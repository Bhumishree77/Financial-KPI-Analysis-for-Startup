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Bhumi_internship\TASK 9\"/>
    </mc:Choice>
  </mc:AlternateContent>
  <xr:revisionPtr revIDLastSave="0" documentId="8_{84D3CFB6-9919-4C35-8693-8FC8ED3EB7E7}" xr6:coauthVersionLast="47" xr6:coauthVersionMax="47" xr10:uidLastSave="{00000000-0000-0000-0000-000000000000}"/>
  <bookViews>
    <workbookView xWindow="-96" yWindow="0" windowWidth="14016" windowHeight="12336" xr2:uid="{2B8286D5-CE7B-4343-9F32-84AA3AED3075}"/>
  </bookViews>
  <sheets>
    <sheet name="Revenue analysis" sheetId="3" r:id="rId1"/>
    <sheet name="Data" sheetId="1" r:id="rId2"/>
    <sheet name="KPI Dashboard" sheetId="2" r:id="rId3"/>
  </sheet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2" l="1"/>
  <c r="B10" i="2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<sst xmlns="http://schemas.openxmlformats.org/spreadsheetml/2006/main" count="20035" uniqueCount="5041">
  <si>
    <t>Startup_Name</t>
  </si>
  <si>
    <t>Industry</t>
  </si>
  <si>
    <t>Startup_Age</t>
  </si>
  <si>
    <t>Funding_Amount</t>
  </si>
  <si>
    <t>Number_of_Founders</t>
  </si>
  <si>
    <t>Founder_Experience</t>
  </si>
  <si>
    <t>Employees_Count</t>
  </si>
  <si>
    <t>Revenue</t>
  </si>
  <si>
    <t>Burn_Rate</t>
  </si>
  <si>
    <t>Market_Size</t>
  </si>
  <si>
    <t>Business_Model</t>
  </si>
  <si>
    <t>Product_Uniqueness_Score</t>
  </si>
  <si>
    <t>Customer_Retention_Rate</t>
  </si>
  <si>
    <t>Marketing_Expense</t>
  </si>
  <si>
    <t>Startup_Status</t>
  </si>
  <si>
    <t>Startup_1</t>
  </si>
  <si>
    <t>Logistics</t>
  </si>
  <si>
    <t>Medium</t>
  </si>
  <si>
    <t>B2B</t>
  </si>
  <si>
    <t>Startup_2</t>
  </si>
  <si>
    <t>Education</t>
  </si>
  <si>
    <t>Large</t>
  </si>
  <si>
    <t>B2C</t>
  </si>
  <si>
    <t>Startup_3</t>
  </si>
  <si>
    <t>Healthcare</t>
  </si>
  <si>
    <t>Small</t>
  </si>
  <si>
    <t>Startup_4</t>
  </si>
  <si>
    <t>E-commerce</t>
  </si>
  <si>
    <t>Startup_5</t>
  </si>
  <si>
    <t>Finance</t>
  </si>
  <si>
    <t>Hybrid</t>
  </si>
  <si>
    <t>Startup_6</t>
  </si>
  <si>
    <t>Tech</t>
  </si>
  <si>
    <t>Startup_7</t>
  </si>
  <si>
    <t>Startup_8</t>
  </si>
  <si>
    <t>Startup_9</t>
  </si>
  <si>
    <t>Startup_10</t>
  </si>
  <si>
    <t>Startup_11</t>
  </si>
  <si>
    <t>AI/ML</t>
  </si>
  <si>
    <t>Startup_12</t>
  </si>
  <si>
    <t>Startup_13</t>
  </si>
  <si>
    <t>Startup_14</t>
  </si>
  <si>
    <t>Startup_15</t>
  </si>
  <si>
    <t>Startup_16</t>
  </si>
  <si>
    <t>Startup_17</t>
  </si>
  <si>
    <t>Startup_18</t>
  </si>
  <si>
    <t>Startup_19</t>
  </si>
  <si>
    <t>Startup_20</t>
  </si>
  <si>
    <t>Startup_21</t>
  </si>
  <si>
    <t>Startup_22</t>
  </si>
  <si>
    <t>Startup_23</t>
  </si>
  <si>
    <t>Startup_24</t>
  </si>
  <si>
    <t>Startup_25</t>
  </si>
  <si>
    <t>Startup_26</t>
  </si>
  <si>
    <t>Startup_27</t>
  </si>
  <si>
    <t>Startup_28</t>
  </si>
  <si>
    <t>Startup_29</t>
  </si>
  <si>
    <t>Startup_30</t>
  </si>
  <si>
    <t>Startup_31</t>
  </si>
  <si>
    <t>Startup_32</t>
  </si>
  <si>
    <t>Startup_33</t>
  </si>
  <si>
    <t>Startup_34</t>
  </si>
  <si>
    <t>Startup_35</t>
  </si>
  <si>
    <t>Startup_36</t>
  </si>
  <si>
    <t>Startup_37</t>
  </si>
  <si>
    <t>Startup_38</t>
  </si>
  <si>
    <t>Startup_39</t>
  </si>
  <si>
    <t>Startup_40</t>
  </si>
  <si>
    <t>Startup_41</t>
  </si>
  <si>
    <t>Startup_42</t>
  </si>
  <si>
    <t>Startup_43</t>
  </si>
  <si>
    <t>Startup_44</t>
  </si>
  <si>
    <t>Startup_45</t>
  </si>
  <si>
    <t>Startup_46</t>
  </si>
  <si>
    <t>Startup_47</t>
  </si>
  <si>
    <t>Startup_48</t>
  </si>
  <si>
    <t>Startup_49</t>
  </si>
  <si>
    <t>Startup_50</t>
  </si>
  <si>
    <t>Startup_51</t>
  </si>
  <si>
    <t>Startup_52</t>
  </si>
  <si>
    <t>Startup_53</t>
  </si>
  <si>
    <t>Startup_54</t>
  </si>
  <si>
    <t>Startup_55</t>
  </si>
  <si>
    <t>Startup_56</t>
  </si>
  <si>
    <t>Startup_57</t>
  </si>
  <si>
    <t>Startup_58</t>
  </si>
  <si>
    <t>Startup_59</t>
  </si>
  <si>
    <t>Startup_60</t>
  </si>
  <si>
    <t>Startup_61</t>
  </si>
  <si>
    <t>Startup_62</t>
  </si>
  <si>
    <t>Startup_63</t>
  </si>
  <si>
    <t>Startup_64</t>
  </si>
  <si>
    <t>Startup_65</t>
  </si>
  <si>
    <t>Startup_66</t>
  </si>
  <si>
    <t>Startup_67</t>
  </si>
  <si>
    <t>Startup_68</t>
  </si>
  <si>
    <t>Startup_69</t>
  </si>
  <si>
    <t>Startup_70</t>
  </si>
  <si>
    <t>Startup_71</t>
  </si>
  <si>
    <t>Startup_72</t>
  </si>
  <si>
    <t>Startup_73</t>
  </si>
  <si>
    <t>Startup_74</t>
  </si>
  <si>
    <t>Startup_75</t>
  </si>
  <si>
    <t>Startup_76</t>
  </si>
  <si>
    <t>Startup_77</t>
  </si>
  <si>
    <t>Startup_78</t>
  </si>
  <si>
    <t>Startup_79</t>
  </si>
  <si>
    <t>Startup_80</t>
  </si>
  <si>
    <t>Startup_81</t>
  </si>
  <si>
    <t>Startup_82</t>
  </si>
  <si>
    <t>Startup_83</t>
  </si>
  <si>
    <t>Startup_84</t>
  </si>
  <si>
    <t>Startup_85</t>
  </si>
  <si>
    <t>Startup_86</t>
  </si>
  <si>
    <t>Startup_87</t>
  </si>
  <si>
    <t>Startup_88</t>
  </si>
  <si>
    <t>Startup_89</t>
  </si>
  <si>
    <t>Startup_90</t>
  </si>
  <si>
    <t>Startup_91</t>
  </si>
  <si>
    <t>Startup_92</t>
  </si>
  <si>
    <t>Startup_93</t>
  </si>
  <si>
    <t>Startup_94</t>
  </si>
  <si>
    <t>Startup_95</t>
  </si>
  <si>
    <t>Startup_96</t>
  </si>
  <si>
    <t>Startup_97</t>
  </si>
  <si>
    <t>Startup_98</t>
  </si>
  <si>
    <t>Startup_99</t>
  </si>
  <si>
    <t>Startup_100</t>
  </si>
  <si>
    <t>Startup_101</t>
  </si>
  <si>
    <t>Startup_102</t>
  </si>
  <si>
    <t>Startup_103</t>
  </si>
  <si>
    <t>Startup_104</t>
  </si>
  <si>
    <t>Startup_105</t>
  </si>
  <si>
    <t>Startup_106</t>
  </si>
  <si>
    <t>Startup_107</t>
  </si>
  <si>
    <t>Startup_108</t>
  </si>
  <si>
    <t>Startup_109</t>
  </si>
  <si>
    <t>Startup_110</t>
  </si>
  <si>
    <t>Startup_111</t>
  </si>
  <si>
    <t>Startup_112</t>
  </si>
  <si>
    <t>Startup_113</t>
  </si>
  <si>
    <t>Startup_114</t>
  </si>
  <si>
    <t>Startup_115</t>
  </si>
  <si>
    <t>Startup_116</t>
  </si>
  <si>
    <t>Startup_117</t>
  </si>
  <si>
    <t>Startup_118</t>
  </si>
  <si>
    <t>Startup_119</t>
  </si>
  <si>
    <t>Startup_120</t>
  </si>
  <si>
    <t>Startup_121</t>
  </si>
  <si>
    <t>Startup_122</t>
  </si>
  <si>
    <t>Startup_123</t>
  </si>
  <si>
    <t>Startup_124</t>
  </si>
  <si>
    <t>Startup_125</t>
  </si>
  <si>
    <t>Startup_126</t>
  </si>
  <si>
    <t>Startup_127</t>
  </si>
  <si>
    <t>Startup_128</t>
  </si>
  <si>
    <t>Startup_129</t>
  </si>
  <si>
    <t>Startup_130</t>
  </si>
  <si>
    <t>Startup_131</t>
  </si>
  <si>
    <t>Startup_132</t>
  </si>
  <si>
    <t>Startup_133</t>
  </si>
  <si>
    <t>Startup_134</t>
  </si>
  <si>
    <t>Startup_135</t>
  </si>
  <si>
    <t>Startup_136</t>
  </si>
  <si>
    <t>Startup_137</t>
  </si>
  <si>
    <t>Startup_138</t>
  </si>
  <si>
    <t>Startup_139</t>
  </si>
  <si>
    <t>Startup_140</t>
  </si>
  <si>
    <t>Startup_141</t>
  </si>
  <si>
    <t>Startup_142</t>
  </si>
  <si>
    <t>Startup_143</t>
  </si>
  <si>
    <t>Startup_144</t>
  </si>
  <si>
    <t>Startup_145</t>
  </si>
  <si>
    <t>Startup_146</t>
  </si>
  <si>
    <t>Startup_147</t>
  </si>
  <si>
    <t>Startup_148</t>
  </si>
  <si>
    <t>Startup_149</t>
  </si>
  <si>
    <t>Startup_150</t>
  </si>
  <si>
    <t>Startup_151</t>
  </si>
  <si>
    <t>Startup_152</t>
  </si>
  <si>
    <t>Startup_153</t>
  </si>
  <si>
    <t>Startup_154</t>
  </si>
  <si>
    <t>Startup_155</t>
  </si>
  <si>
    <t>Startup_156</t>
  </si>
  <si>
    <t>Startup_157</t>
  </si>
  <si>
    <t>Startup_158</t>
  </si>
  <si>
    <t>Startup_159</t>
  </si>
  <si>
    <t>Startup_160</t>
  </si>
  <si>
    <t>Startup_161</t>
  </si>
  <si>
    <t>Startup_162</t>
  </si>
  <si>
    <t>Startup_163</t>
  </si>
  <si>
    <t>Startup_164</t>
  </si>
  <si>
    <t>Startup_165</t>
  </si>
  <si>
    <t>Startup_166</t>
  </si>
  <si>
    <t>Startup_167</t>
  </si>
  <si>
    <t>Startup_168</t>
  </si>
  <si>
    <t>Startup_169</t>
  </si>
  <si>
    <t>Startup_170</t>
  </si>
  <si>
    <t>Startup_171</t>
  </si>
  <si>
    <t>Startup_172</t>
  </si>
  <si>
    <t>Startup_173</t>
  </si>
  <si>
    <t>Startup_174</t>
  </si>
  <si>
    <t>Startup_175</t>
  </si>
  <si>
    <t>Startup_176</t>
  </si>
  <si>
    <t>Startup_177</t>
  </si>
  <si>
    <t>Startup_178</t>
  </si>
  <si>
    <t>Startup_179</t>
  </si>
  <si>
    <t>Startup_180</t>
  </si>
  <si>
    <t>Startup_181</t>
  </si>
  <si>
    <t>Startup_182</t>
  </si>
  <si>
    <t>Startup_183</t>
  </si>
  <si>
    <t>Startup_184</t>
  </si>
  <si>
    <t>Startup_185</t>
  </si>
  <si>
    <t>Startup_186</t>
  </si>
  <si>
    <t>Startup_187</t>
  </si>
  <si>
    <t>Startup_188</t>
  </si>
  <si>
    <t>Startup_189</t>
  </si>
  <si>
    <t>Startup_190</t>
  </si>
  <si>
    <t>Startup_191</t>
  </si>
  <si>
    <t>Startup_192</t>
  </si>
  <si>
    <t>Startup_193</t>
  </si>
  <si>
    <t>Startup_194</t>
  </si>
  <si>
    <t>Startup_195</t>
  </si>
  <si>
    <t>Startup_196</t>
  </si>
  <si>
    <t>Startup_197</t>
  </si>
  <si>
    <t>Startup_198</t>
  </si>
  <si>
    <t>Startup_199</t>
  </si>
  <si>
    <t>Startup_200</t>
  </si>
  <si>
    <t>Startup_201</t>
  </si>
  <si>
    <t>Startup_202</t>
  </si>
  <si>
    <t>Startup_203</t>
  </si>
  <si>
    <t>Startup_204</t>
  </si>
  <si>
    <t>Startup_205</t>
  </si>
  <si>
    <t>Startup_206</t>
  </si>
  <si>
    <t>Startup_207</t>
  </si>
  <si>
    <t>Startup_208</t>
  </si>
  <si>
    <t>Startup_209</t>
  </si>
  <si>
    <t>Startup_210</t>
  </si>
  <si>
    <t>Startup_211</t>
  </si>
  <si>
    <t>Startup_212</t>
  </si>
  <si>
    <t>Startup_213</t>
  </si>
  <si>
    <t>Startup_214</t>
  </si>
  <si>
    <t>Startup_215</t>
  </si>
  <si>
    <t>Startup_216</t>
  </si>
  <si>
    <t>Startup_217</t>
  </si>
  <si>
    <t>Startup_218</t>
  </si>
  <si>
    <t>Startup_219</t>
  </si>
  <si>
    <t>Startup_220</t>
  </si>
  <si>
    <t>Startup_221</t>
  </si>
  <si>
    <t>Startup_222</t>
  </si>
  <si>
    <t>Startup_223</t>
  </si>
  <si>
    <t>Startup_224</t>
  </si>
  <si>
    <t>Startup_225</t>
  </si>
  <si>
    <t>Startup_226</t>
  </si>
  <si>
    <t>Startup_227</t>
  </si>
  <si>
    <t>Startup_228</t>
  </si>
  <si>
    <t>Startup_229</t>
  </si>
  <si>
    <t>Startup_230</t>
  </si>
  <si>
    <t>Startup_231</t>
  </si>
  <si>
    <t>Startup_232</t>
  </si>
  <si>
    <t>Startup_233</t>
  </si>
  <si>
    <t>Startup_234</t>
  </si>
  <si>
    <t>Startup_235</t>
  </si>
  <si>
    <t>Startup_236</t>
  </si>
  <si>
    <t>Startup_237</t>
  </si>
  <si>
    <t>Startup_238</t>
  </si>
  <si>
    <t>Startup_239</t>
  </si>
  <si>
    <t>Startup_240</t>
  </si>
  <si>
    <t>Startup_241</t>
  </si>
  <si>
    <t>Startup_242</t>
  </si>
  <si>
    <t>Startup_243</t>
  </si>
  <si>
    <t>Startup_244</t>
  </si>
  <si>
    <t>Startup_245</t>
  </si>
  <si>
    <t>Startup_246</t>
  </si>
  <si>
    <t>Startup_247</t>
  </si>
  <si>
    <t>Startup_248</t>
  </si>
  <si>
    <t>Startup_249</t>
  </si>
  <si>
    <t>Startup_250</t>
  </si>
  <si>
    <t>Startup_251</t>
  </si>
  <si>
    <t>Startup_252</t>
  </si>
  <si>
    <t>Startup_253</t>
  </si>
  <si>
    <t>Startup_254</t>
  </si>
  <si>
    <t>Startup_255</t>
  </si>
  <si>
    <t>Startup_256</t>
  </si>
  <si>
    <t>Startup_257</t>
  </si>
  <si>
    <t>Startup_258</t>
  </si>
  <si>
    <t>Startup_259</t>
  </si>
  <si>
    <t>Startup_260</t>
  </si>
  <si>
    <t>Startup_261</t>
  </si>
  <si>
    <t>Startup_262</t>
  </si>
  <si>
    <t>Startup_263</t>
  </si>
  <si>
    <t>Startup_264</t>
  </si>
  <si>
    <t>Startup_265</t>
  </si>
  <si>
    <t>Startup_266</t>
  </si>
  <si>
    <t>Startup_267</t>
  </si>
  <si>
    <t>Startup_268</t>
  </si>
  <si>
    <t>Startup_269</t>
  </si>
  <si>
    <t>Startup_270</t>
  </si>
  <si>
    <t>Startup_271</t>
  </si>
  <si>
    <t>Startup_272</t>
  </si>
  <si>
    <t>Startup_273</t>
  </si>
  <si>
    <t>Startup_274</t>
  </si>
  <si>
    <t>Startup_275</t>
  </si>
  <si>
    <t>Startup_276</t>
  </si>
  <si>
    <t>Startup_277</t>
  </si>
  <si>
    <t>Startup_278</t>
  </si>
  <si>
    <t>Startup_279</t>
  </si>
  <si>
    <t>Startup_280</t>
  </si>
  <si>
    <t>Startup_281</t>
  </si>
  <si>
    <t>Startup_282</t>
  </si>
  <si>
    <t>Startup_283</t>
  </si>
  <si>
    <t>Startup_284</t>
  </si>
  <si>
    <t>Startup_285</t>
  </si>
  <si>
    <t>Startup_286</t>
  </si>
  <si>
    <t>Startup_287</t>
  </si>
  <si>
    <t>Startup_288</t>
  </si>
  <si>
    <t>Startup_289</t>
  </si>
  <si>
    <t>Startup_290</t>
  </si>
  <si>
    <t>Startup_291</t>
  </si>
  <si>
    <t>Startup_292</t>
  </si>
  <si>
    <t>Startup_293</t>
  </si>
  <si>
    <t>Startup_294</t>
  </si>
  <si>
    <t>Startup_295</t>
  </si>
  <si>
    <t>Startup_296</t>
  </si>
  <si>
    <t>Startup_297</t>
  </si>
  <si>
    <t>Startup_298</t>
  </si>
  <si>
    <t>Startup_299</t>
  </si>
  <si>
    <t>Startup_300</t>
  </si>
  <si>
    <t>Startup_301</t>
  </si>
  <si>
    <t>Startup_302</t>
  </si>
  <si>
    <t>Startup_303</t>
  </si>
  <si>
    <t>Startup_304</t>
  </si>
  <si>
    <t>Startup_305</t>
  </si>
  <si>
    <t>Startup_306</t>
  </si>
  <si>
    <t>Startup_307</t>
  </si>
  <si>
    <t>Startup_308</t>
  </si>
  <si>
    <t>Startup_309</t>
  </si>
  <si>
    <t>Startup_310</t>
  </si>
  <si>
    <t>Startup_311</t>
  </si>
  <si>
    <t>Startup_312</t>
  </si>
  <si>
    <t>Startup_313</t>
  </si>
  <si>
    <t>Startup_314</t>
  </si>
  <si>
    <t>Startup_315</t>
  </si>
  <si>
    <t>Startup_316</t>
  </si>
  <si>
    <t>Startup_317</t>
  </si>
  <si>
    <t>Startup_318</t>
  </si>
  <si>
    <t>Startup_319</t>
  </si>
  <si>
    <t>Startup_320</t>
  </si>
  <si>
    <t>Startup_321</t>
  </si>
  <si>
    <t>Startup_322</t>
  </si>
  <si>
    <t>Startup_323</t>
  </si>
  <si>
    <t>Startup_324</t>
  </si>
  <si>
    <t>Startup_325</t>
  </si>
  <si>
    <t>Startup_326</t>
  </si>
  <si>
    <t>Startup_327</t>
  </si>
  <si>
    <t>Startup_328</t>
  </si>
  <si>
    <t>Startup_329</t>
  </si>
  <si>
    <t>Startup_330</t>
  </si>
  <si>
    <t>Startup_331</t>
  </si>
  <si>
    <t>Startup_332</t>
  </si>
  <si>
    <t>Startup_333</t>
  </si>
  <si>
    <t>Startup_334</t>
  </si>
  <si>
    <t>Startup_335</t>
  </si>
  <si>
    <t>Startup_336</t>
  </si>
  <si>
    <t>Startup_337</t>
  </si>
  <si>
    <t>Startup_338</t>
  </si>
  <si>
    <t>Startup_339</t>
  </si>
  <si>
    <t>Startup_340</t>
  </si>
  <si>
    <t>Startup_341</t>
  </si>
  <si>
    <t>Startup_342</t>
  </si>
  <si>
    <t>Startup_343</t>
  </si>
  <si>
    <t>Startup_344</t>
  </si>
  <si>
    <t>Startup_345</t>
  </si>
  <si>
    <t>Startup_346</t>
  </si>
  <si>
    <t>Startup_347</t>
  </si>
  <si>
    <t>Startup_348</t>
  </si>
  <si>
    <t>Startup_349</t>
  </si>
  <si>
    <t>Startup_350</t>
  </si>
  <si>
    <t>Startup_351</t>
  </si>
  <si>
    <t>Startup_352</t>
  </si>
  <si>
    <t>Startup_353</t>
  </si>
  <si>
    <t>Startup_354</t>
  </si>
  <si>
    <t>Startup_355</t>
  </si>
  <si>
    <t>Startup_356</t>
  </si>
  <si>
    <t>Startup_357</t>
  </si>
  <si>
    <t>Startup_358</t>
  </si>
  <si>
    <t>Startup_359</t>
  </si>
  <si>
    <t>Startup_360</t>
  </si>
  <si>
    <t>Startup_361</t>
  </si>
  <si>
    <t>Startup_362</t>
  </si>
  <si>
    <t>Startup_363</t>
  </si>
  <si>
    <t>Startup_364</t>
  </si>
  <si>
    <t>Startup_365</t>
  </si>
  <si>
    <t>Startup_366</t>
  </si>
  <si>
    <t>Startup_367</t>
  </si>
  <si>
    <t>Startup_368</t>
  </si>
  <si>
    <t>Startup_369</t>
  </si>
  <si>
    <t>Startup_370</t>
  </si>
  <si>
    <t>Startup_371</t>
  </si>
  <si>
    <t>Startup_372</t>
  </si>
  <si>
    <t>Startup_373</t>
  </si>
  <si>
    <t>Startup_374</t>
  </si>
  <si>
    <t>Startup_375</t>
  </si>
  <si>
    <t>Startup_376</t>
  </si>
  <si>
    <t>Startup_377</t>
  </si>
  <si>
    <t>Startup_378</t>
  </si>
  <si>
    <t>Startup_379</t>
  </si>
  <si>
    <t>Startup_380</t>
  </si>
  <si>
    <t>Startup_381</t>
  </si>
  <si>
    <t>Startup_382</t>
  </si>
  <si>
    <t>Startup_383</t>
  </si>
  <si>
    <t>Startup_384</t>
  </si>
  <si>
    <t>Startup_385</t>
  </si>
  <si>
    <t>Startup_386</t>
  </si>
  <si>
    <t>Startup_387</t>
  </si>
  <si>
    <t>Startup_388</t>
  </si>
  <si>
    <t>Startup_389</t>
  </si>
  <si>
    <t>Startup_390</t>
  </si>
  <si>
    <t>Startup_391</t>
  </si>
  <si>
    <t>Startup_392</t>
  </si>
  <si>
    <t>Startup_393</t>
  </si>
  <si>
    <t>Startup_394</t>
  </si>
  <si>
    <t>Startup_395</t>
  </si>
  <si>
    <t>Startup_396</t>
  </si>
  <si>
    <t>Startup_397</t>
  </si>
  <si>
    <t>Startup_398</t>
  </si>
  <si>
    <t>Startup_399</t>
  </si>
  <si>
    <t>Startup_400</t>
  </si>
  <si>
    <t>Startup_401</t>
  </si>
  <si>
    <t>Startup_402</t>
  </si>
  <si>
    <t>Startup_403</t>
  </si>
  <si>
    <t>Startup_404</t>
  </si>
  <si>
    <t>Startup_405</t>
  </si>
  <si>
    <t>Startup_406</t>
  </si>
  <si>
    <t>Startup_407</t>
  </si>
  <si>
    <t>Startup_408</t>
  </si>
  <si>
    <t>Startup_409</t>
  </si>
  <si>
    <t>Startup_410</t>
  </si>
  <si>
    <t>Startup_411</t>
  </si>
  <si>
    <t>Startup_412</t>
  </si>
  <si>
    <t>Startup_413</t>
  </si>
  <si>
    <t>Startup_414</t>
  </si>
  <si>
    <t>Startup_415</t>
  </si>
  <si>
    <t>Startup_416</t>
  </si>
  <si>
    <t>Startup_417</t>
  </si>
  <si>
    <t>Startup_418</t>
  </si>
  <si>
    <t>Startup_419</t>
  </si>
  <si>
    <t>Startup_420</t>
  </si>
  <si>
    <t>Startup_421</t>
  </si>
  <si>
    <t>Startup_422</t>
  </si>
  <si>
    <t>Startup_423</t>
  </si>
  <si>
    <t>Startup_424</t>
  </si>
  <si>
    <t>Startup_425</t>
  </si>
  <si>
    <t>Startup_426</t>
  </si>
  <si>
    <t>Startup_427</t>
  </si>
  <si>
    <t>Startup_428</t>
  </si>
  <si>
    <t>Startup_429</t>
  </si>
  <si>
    <t>Startup_430</t>
  </si>
  <si>
    <t>Startup_431</t>
  </si>
  <si>
    <t>Startup_432</t>
  </si>
  <si>
    <t>Startup_433</t>
  </si>
  <si>
    <t>Startup_434</t>
  </si>
  <si>
    <t>Startup_435</t>
  </si>
  <si>
    <t>Startup_436</t>
  </si>
  <si>
    <t>Startup_437</t>
  </si>
  <si>
    <t>Startup_438</t>
  </si>
  <si>
    <t>Startup_439</t>
  </si>
  <si>
    <t>Startup_440</t>
  </si>
  <si>
    <t>Startup_441</t>
  </si>
  <si>
    <t>Startup_442</t>
  </si>
  <si>
    <t>Startup_443</t>
  </si>
  <si>
    <t>Startup_444</t>
  </si>
  <si>
    <t>Startup_445</t>
  </si>
  <si>
    <t>Startup_446</t>
  </si>
  <si>
    <t>Startup_447</t>
  </si>
  <si>
    <t>Startup_448</t>
  </si>
  <si>
    <t>Startup_449</t>
  </si>
  <si>
    <t>Startup_450</t>
  </si>
  <si>
    <t>Startup_451</t>
  </si>
  <si>
    <t>Startup_452</t>
  </si>
  <si>
    <t>Startup_453</t>
  </si>
  <si>
    <t>Startup_454</t>
  </si>
  <si>
    <t>Startup_455</t>
  </si>
  <si>
    <t>Startup_456</t>
  </si>
  <si>
    <t>Startup_457</t>
  </si>
  <si>
    <t>Startup_458</t>
  </si>
  <si>
    <t>Startup_459</t>
  </si>
  <si>
    <t>Startup_460</t>
  </si>
  <si>
    <t>Startup_461</t>
  </si>
  <si>
    <t>Startup_462</t>
  </si>
  <si>
    <t>Startup_463</t>
  </si>
  <si>
    <t>Startup_464</t>
  </si>
  <si>
    <t>Startup_465</t>
  </si>
  <si>
    <t>Startup_466</t>
  </si>
  <si>
    <t>Startup_467</t>
  </si>
  <si>
    <t>Startup_468</t>
  </si>
  <si>
    <t>Startup_469</t>
  </si>
  <si>
    <t>Startup_470</t>
  </si>
  <si>
    <t>Startup_471</t>
  </si>
  <si>
    <t>Startup_472</t>
  </si>
  <si>
    <t>Startup_473</t>
  </si>
  <si>
    <t>Startup_474</t>
  </si>
  <si>
    <t>Startup_475</t>
  </si>
  <si>
    <t>Startup_476</t>
  </si>
  <si>
    <t>Startup_477</t>
  </si>
  <si>
    <t>Startup_478</t>
  </si>
  <si>
    <t>Startup_479</t>
  </si>
  <si>
    <t>Startup_480</t>
  </si>
  <si>
    <t>Startup_481</t>
  </si>
  <si>
    <t>Startup_482</t>
  </si>
  <si>
    <t>Startup_483</t>
  </si>
  <si>
    <t>Startup_484</t>
  </si>
  <si>
    <t>Startup_485</t>
  </si>
  <si>
    <t>Startup_486</t>
  </si>
  <si>
    <t>Startup_487</t>
  </si>
  <si>
    <t>Startup_488</t>
  </si>
  <si>
    <t>Startup_489</t>
  </si>
  <si>
    <t>Startup_490</t>
  </si>
  <si>
    <t>Startup_491</t>
  </si>
  <si>
    <t>Startup_492</t>
  </si>
  <si>
    <t>Startup_493</t>
  </si>
  <si>
    <t>Startup_494</t>
  </si>
  <si>
    <t>Startup_495</t>
  </si>
  <si>
    <t>Startup_496</t>
  </si>
  <si>
    <t>Startup_497</t>
  </si>
  <si>
    <t>Startup_498</t>
  </si>
  <si>
    <t>Startup_499</t>
  </si>
  <si>
    <t>Startup_500</t>
  </si>
  <si>
    <t>Startup_501</t>
  </si>
  <si>
    <t>Startup_502</t>
  </si>
  <si>
    <t>Startup_503</t>
  </si>
  <si>
    <t>Startup_504</t>
  </si>
  <si>
    <t>Startup_505</t>
  </si>
  <si>
    <t>Startup_506</t>
  </si>
  <si>
    <t>Startup_507</t>
  </si>
  <si>
    <t>Startup_508</t>
  </si>
  <si>
    <t>Startup_509</t>
  </si>
  <si>
    <t>Startup_510</t>
  </si>
  <si>
    <t>Startup_511</t>
  </si>
  <si>
    <t>Startup_512</t>
  </si>
  <si>
    <t>Startup_513</t>
  </si>
  <si>
    <t>Startup_514</t>
  </si>
  <si>
    <t>Startup_515</t>
  </si>
  <si>
    <t>Startup_516</t>
  </si>
  <si>
    <t>Startup_517</t>
  </si>
  <si>
    <t>Startup_518</t>
  </si>
  <si>
    <t>Startup_519</t>
  </si>
  <si>
    <t>Startup_520</t>
  </si>
  <si>
    <t>Startup_521</t>
  </si>
  <si>
    <t>Startup_522</t>
  </si>
  <si>
    <t>Startup_523</t>
  </si>
  <si>
    <t>Startup_524</t>
  </si>
  <si>
    <t>Startup_525</t>
  </si>
  <si>
    <t>Startup_526</t>
  </si>
  <si>
    <t>Startup_527</t>
  </si>
  <si>
    <t>Startup_528</t>
  </si>
  <si>
    <t>Startup_529</t>
  </si>
  <si>
    <t>Startup_530</t>
  </si>
  <si>
    <t>Startup_531</t>
  </si>
  <si>
    <t>Startup_532</t>
  </si>
  <si>
    <t>Startup_533</t>
  </si>
  <si>
    <t>Startup_534</t>
  </si>
  <si>
    <t>Startup_535</t>
  </si>
  <si>
    <t>Startup_536</t>
  </si>
  <si>
    <t>Startup_537</t>
  </si>
  <si>
    <t>Startup_538</t>
  </si>
  <si>
    <t>Startup_539</t>
  </si>
  <si>
    <t>Startup_540</t>
  </si>
  <si>
    <t>Startup_541</t>
  </si>
  <si>
    <t>Startup_542</t>
  </si>
  <si>
    <t>Startup_543</t>
  </si>
  <si>
    <t>Startup_544</t>
  </si>
  <si>
    <t>Startup_545</t>
  </si>
  <si>
    <t>Startup_546</t>
  </si>
  <si>
    <t>Startup_547</t>
  </si>
  <si>
    <t>Startup_548</t>
  </si>
  <si>
    <t>Startup_549</t>
  </si>
  <si>
    <t>Startup_550</t>
  </si>
  <si>
    <t>Startup_551</t>
  </si>
  <si>
    <t>Startup_552</t>
  </si>
  <si>
    <t>Startup_553</t>
  </si>
  <si>
    <t>Startup_554</t>
  </si>
  <si>
    <t>Startup_555</t>
  </si>
  <si>
    <t>Startup_556</t>
  </si>
  <si>
    <t>Startup_557</t>
  </si>
  <si>
    <t>Startup_558</t>
  </si>
  <si>
    <t>Startup_559</t>
  </si>
  <si>
    <t>Startup_560</t>
  </si>
  <si>
    <t>Startup_561</t>
  </si>
  <si>
    <t>Startup_562</t>
  </si>
  <si>
    <t>Startup_563</t>
  </si>
  <si>
    <t>Startup_564</t>
  </si>
  <si>
    <t>Startup_565</t>
  </si>
  <si>
    <t>Startup_566</t>
  </si>
  <si>
    <t>Startup_567</t>
  </si>
  <si>
    <t>Startup_568</t>
  </si>
  <si>
    <t>Startup_569</t>
  </si>
  <si>
    <t>Startup_570</t>
  </si>
  <si>
    <t>Startup_571</t>
  </si>
  <si>
    <t>Startup_572</t>
  </si>
  <si>
    <t>Startup_573</t>
  </si>
  <si>
    <t>Startup_574</t>
  </si>
  <si>
    <t>Startup_575</t>
  </si>
  <si>
    <t>Startup_576</t>
  </si>
  <si>
    <t>Startup_577</t>
  </si>
  <si>
    <t>Startup_578</t>
  </si>
  <si>
    <t>Startup_579</t>
  </si>
  <si>
    <t>Startup_580</t>
  </si>
  <si>
    <t>Startup_581</t>
  </si>
  <si>
    <t>Startup_582</t>
  </si>
  <si>
    <t>Startup_583</t>
  </si>
  <si>
    <t>Startup_584</t>
  </si>
  <si>
    <t>Startup_585</t>
  </si>
  <si>
    <t>Startup_586</t>
  </si>
  <si>
    <t>Startup_587</t>
  </si>
  <si>
    <t>Startup_588</t>
  </si>
  <si>
    <t>Startup_589</t>
  </si>
  <si>
    <t>Startup_590</t>
  </si>
  <si>
    <t>Startup_591</t>
  </si>
  <si>
    <t>Startup_592</t>
  </si>
  <si>
    <t>Startup_593</t>
  </si>
  <si>
    <t>Startup_594</t>
  </si>
  <si>
    <t>Startup_595</t>
  </si>
  <si>
    <t>Startup_596</t>
  </si>
  <si>
    <t>Startup_597</t>
  </si>
  <si>
    <t>Startup_598</t>
  </si>
  <si>
    <t>Startup_599</t>
  </si>
  <si>
    <t>Startup_600</t>
  </si>
  <si>
    <t>Startup_601</t>
  </si>
  <si>
    <t>Startup_602</t>
  </si>
  <si>
    <t>Startup_603</t>
  </si>
  <si>
    <t>Startup_604</t>
  </si>
  <si>
    <t>Startup_605</t>
  </si>
  <si>
    <t>Startup_606</t>
  </si>
  <si>
    <t>Startup_607</t>
  </si>
  <si>
    <t>Startup_608</t>
  </si>
  <si>
    <t>Startup_609</t>
  </si>
  <si>
    <t>Startup_610</t>
  </si>
  <si>
    <t>Startup_611</t>
  </si>
  <si>
    <t>Startup_612</t>
  </si>
  <si>
    <t>Startup_613</t>
  </si>
  <si>
    <t>Startup_614</t>
  </si>
  <si>
    <t>Startup_615</t>
  </si>
  <si>
    <t>Startup_616</t>
  </si>
  <si>
    <t>Startup_617</t>
  </si>
  <si>
    <t>Startup_618</t>
  </si>
  <si>
    <t>Startup_619</t>
  </si>
  <si>
    <t>Startup_620</t>
  </si>
  <si>
    <t>Startup_621</t>
  </si>
  <si>
    <t>Startup_622</t>
  </si>
  <si>
    <t>Startup_623</t>
  </si>
  <si>
    <t>Startup_624</t>
  </si>
  <si>
    <t>Startup_625</t>
  </si>
  <si>
    <t>Startup_626</t>
  </si>
  <si>
    <t>Startup_627</t>
  </si>
  <si>
    <t>Startup_628</t>
  </si>
  <si>
    <t>Startup_629</t>
  </si>
  <si>
    <t>Startup_630</t>
  </si>
  <si>
    <t>Startup_631</t>
  </si>
  <si>
    <t>Startup_632</t>
  </si>
  <si>
    <t>Startup_633</t>
  </si>
  <si>
    <t>Startup_634</t>
  </si>
  <si>
    <t>Startup_635</t>
  </si>
  <si>
    <t>Startup_636</t>
  </si>
  <si>
    <t>Startup_637</t>
  </si>
  <si>
    <t>Startup_638</t>
  </si>
  <si>
    <t>Startup_639</t>
  </si>
  <si>
    <t>Startup_640</t>
  </si>
  <si>
    <t>Startup_641</t>
  </si>
  <si>
    <t>Startup_642</t>
  </si>
  <si>
    <t>Startup_643</t>
  </si>
  <si>
    <t>Startup_644</t>
  </si>
  <si>
    <t>Startup_645</t>
  </si>
  <si>
    <t>Startup_646</t>
  </si>
  <si>
    <t>Startup_647</t>
  </si>
  <si>
    <t>Startup_648</t>
  </si>
  <si>
    <t>Startup_649</t>
  </si>
  <si>
    <t>Startup_650</t>
  </si>
  <si>
    <t>Startup_651</t>
  </si>
  <si>
    <t>Startup_652</t>
  </si>
  <si>
    <t>Startup_653</t>
  </si>
  <si>
    <t>Startup_654</t>
  </si>
  <si>
    <t>Startup_655</t>
  </si>
  <si>
    <t>Startup_656</t>
  </si>
  <si>
    <t>Startup_657</t>
  </si>
  <si>
    <t>Startup_658</t>
  </si>
  <si>
    <t>Startup_659</t>
  </si>
  <si>
    <t>Startup_660</t>
  </si>
  <si>
    <t>Startup_661</t>
  </si>
  <si>
    <t>Startup_662</t>
  </si>
  <si>
    <t>Startup_663</t>
  </si>
  <si>
    <t>Startup_664</t>
  </si>
  <si>
    <t>Startup_665</t>
  </si>
  <si>
    <t>Startup_666</t>
  </si>
  <si>
    <t>Startup_667</t>
  </si>
  <si>
    <t>Startup_668</t>
  </si>
  <si>
    <t>Startup_669</t>
  </si>
  <si>
    <t>Startup_670</t>
  </si>
  <si>
    <t>Startup_671</t>
  </si>
  <si>
    <t>Startup_672</t>
  </si>
  <si>
    <t>Startup_673</t>
  </si>
  <si>
    <t>Startup_674</t>
  </si>
  <si>
    <t>Startup_675</t>
  </si>
  <si>
    <t>Startup_676</t>
  </si>
  <si>
    <t>Startup_677</t>
  </si>
  <si>
    <t>Startup_678</t>
  </si>
  <si>
    <t>Startup_679</t>
  </si>
  <si>
    <t>Startup_680</t>
  </si>
  <si>
    <t>Startup_681</t>
  </si>
  <si>
    <t>Startup_682</t>
  </si>
  <si>
    <t>Startup_683</t>
  </si>
  <si>
    <t>Startup_684</t>
  </si>
  <si>
    <t>Startup_685</t>
  </si>
  <si>
    <t>Startup_686</t>
  </si>
  <si>
    <t>Startup_687</t>
  </si>
  <si>
    <t>Startup_688</t>
  </si>
  <si>
    <t>Startup_689</t>
  </si>
  <si>
    <t>Startup_690</t>
  </si>
  <si>
    <t>Startup_691</t>
  </si>
  <si>
    <t>Startup_692</t>
  </si>
  <si>
    <t>Startup_693</t>
  </si>
  <si>
    <t>Startup_694</t>
  </si>
  <si>
    <t>Startup_695</t>
  </si>
  <si>
    <t>Startup_696</t>
  </si>
  <si>
    <t>Startup_697</t>
  </si>
  <si>
    <t>Startup_698</t>
  </si>
  <si>
    <t>Startup_699</t>
  </si>
  <si>
    <t>Startup_700</t>
  </si>
  <si>
    <t>Startup_701</t>
  </si>
  <si>
    <t>Startup_702</t>
  </si>
  <si>
    <t>Startup_703</t>
  </si>
  <si>
    <t>Startup_704</t>
  </si>
  <si>
    <t>Startup_705</t>
  </si>
  <si>
    <t>Startup_706</t>
  </si>
  <si>
    <t>Startup_707</t>
  </si>
  <si>
    <t>Startup_708</t>
  </si>
  <si>
    <t>Startup_709</t>
  </si>
  <si>
    <t>Startup_710</t>
  </si>
  <si>
    <t>Startup_711</t>
  </si>
  <si>
    <t>Startup_712</t>
  </si>
  <si>
    <t>Startup_713</t>
  </si>
  <si>
    <t>Startup_714</t>
  </si>
  <si>
    <t>Startup_715</t>
  </si>
  <si>
    <t>Startup_716</t>
  </si>
  <si>
    <t>Startup_717</t>
  </si>
  <si>
    <t>Startup_718</t>
  </si>
  <si>
    <t>Startup_719</t>
  </si>
  <si>
    <t>Startup_720</t>
  </si>
  <si>
    <t>Startup_721</t>
  </si>
  <si>
    <t>Startup_722</t>
  </si>
  <si>
    <t>Startup_723</t>
  </si>
  <si>
    <t>Startup_724</t>
  </si>
  <si>
    <t>Startup_725</t>
  </si>
  <si>
    <t>Startup_726</t>
  </si>
  <si>
    <t>Startup_727</t>
  </si>
  <si>
    <t>Startup_728</t>
  </si>
  <si>
    <t>Startup_729</t>
  </si>
  <si>
    <t>Startup_730</t>
  </si>
  <si>
    <t>Startup_731</t>
  </si>
  <si>
    <t>Startup_732</t>
  </si>
  <si>
    <t>Startup_733</t>
  </si>
  <si>
    <t>Startup_734</t>
  </si>
  <si>
    <t>Startup_735</t>
  </si>
  <si>
    <t>Startup_736</t>
  </si>
  <si>
    <t>Startup_737</t>
  </si>
  <si>
    <t>Startup_738</t>
  </si>
  <si>
    <t>Startup_739</t>
  </si>
  <si>
    <t>Startup_740</t>
  </si>
  <si>
    <t>Startup_741</t>
  </si>
  <si>
    <t>Startup_742</t>
  </si>
  <si>
    <t>Startup_743</t>
  </si>
  <si>
    <t>Startup_744</t>
  </si>
  <si>
    <t>Startup_745</t>
  </si>
  <si>
    <t>Startup_746</t>
  </si>
  <si>
    <t>Startup_747</t>
  </si>
  <si>
    <t>Startup_748</t>
  </si>
  <si>
    <t>Startup_749</t>
  </si>
  <si>
    <t>Startup_750</t>
  </si>
  <si>
    <t>Startup_751</t>
  </si>
  <si>
    <t>Startup_752</t>
  </si>
  <si>
    <t>Startup_753</t>
  </si>
  <si>
    <t>Startup_754</t>
  </si>
  <si>
    <t>Startup_755</t>
  </si>
  <si>
    <t>Startup_756</t>
  </si>
  <si>
    <t>Startup_757</t>
  </si>
  <si>
    <t>Startup_758</t>
  </si>
  <si>
    <t>Startup_759</t>
  </si>
  <si>
    <t>Startup_760</t>
  </si>
  <si>
    <t>Startup_761</t>
  </si>
  <si>
    <t>Startup_762</t>
  </si>
  <si>
    <t>Startup_763</t>
  </si>
  <si>
    <t>Startup_764</t>
  </si>
  <si>
    <t>Startup_765</t>
  </si>
  <si>
    <t>Startup_766</t>
  </si>
  <si>
    <t>Startup_767</t>
  </si>
  <si>
    <t>Startup_768</t>
  </si>
  <si>
    <t>Startup_769</t>
  </si>
  <si>
    <t>Startup_770</t>
  </si>
  <si>
    <t>Startup_771</t>
  </si>
  <si>
    <t>Startup_772</t>
  </si>
  <si>
    <t>Startup_773</t>
  </si>
  <si>
    <t>Startup_774</t>
  </si>
  <si>
    <t>Startup_775</t>
  </si>
  <si>
    <t>Startup_776</t>
  </si>
  <si>
    <t>Startup_777</t>
  </si>
  <si>
    <t>Startup_778</t>
  </si>
  <si>
    <t>Startup_779</t>
  </si>
  <si>
    <t>Startup_780</t>
  </si>
  <si>
    <t>Startup_781</t>
  </si>
  <si>
    <t>Startup_782</t>
  </si>
  <si>
    <t>Startup_783</t>
  </si>
  <si>
    <t>Startup_784</t>
  </si>
  <si>
    <t>Startup_785</t>
  </si>
  <si>
    <t>Startup_786</t>
  </si>
  <si>
    <t>Startup_787</t>
  </si>
  <si>
    <t>Startup_788</t>
  </si>
  <si>
    <t>Startup_789</t>
  </si>
  <si>
    <t>Startup_790</t>
  </si>
  <si>
    <t>Startup_791</t>
  </si>
  <si>
    <t>Startup_792</t>
  </si>
  <si>
    <t>Startup_793</t>
  </si>
  <si>
    <t>Startup_794</t>
  </si>
  <si>
    <t>Startup_795</t>
  </si>
  <si>
    <t>Startup_796</t>
  </si>
  <si>
    <t>Startup_797</t>
  </si>
  <si>
    <t>Startup_798</t>
  </si>
  <si>
    <t>Startup_799</t>
  </si>
  <si>
    <t>Startup_800</t>
  </si>
  <si>
    <t>Startup_801</t>
  </si>
  <si>
    <t>Startup_802</t>
  </si>
  <si>
    <t>Startup_803</t>
  </si>
  <si>
    <t>Startup_804</t>
  </si>
  <si>
    <t>Startup_805</t>
  </si>
  <si>
    <t>Startup_806</t>
  </si>
  <si>
    <t>Startup_807</t>
  </si>
  <si>
    <t>Startup_808</t>
  </si>
  <si>
    <t>Startup_809</t>
  </si>
  <si>
    <t>Startup_810</t>
  </si>
  <si>
    <t>Startup_811</t>
  </si>
  <si>
    <t>Startup_812</t>
  </si>
  <si>
    <t>Startup_813</t>
  </si>
  <si>
    <t>Startup_814</t>
  </si>
  <si>
    <t>Startup_815</t>
  </si>
  <si>
    <t>Startup_816</t>
  </si>
  <si>
    <t>Startup_817</t>
  </si>
  <si>
    <t>Startup_818</t>
  </si>
  <si>
    <t>Startup_819</t>
  </si>
  <si>
    <t>Startup_820</t>
  </si>
  <si>
    <t>Startup_821</t>
  </si>
  <si>
    <t>Startup_822</t>
  </si>
  <si>
    <t>Startup_823</t>
  </si>
  <si>
    <t>Startup_824</t>
  </si>
  <si>
    <t>Startup_825</t>
  </si>
  <si>
    <t>Startup_826</t>
  </si>
  <si>
    <t>Startup_827</t>
  </si>
  <si>
    <t>Startup_828</t>
  </si>
  <si>
    <t>Startup_829</t>
  </si>
  <si>
    <t>Startup_830</t>
  </si>
  <si>
    <t>Startup_831</t>
  </si>
  <si>
    <t>Startup_832</t>
  </si>
  <si>
    <t>Startup_833</t>
  </si>
  <si>
    <t>Startup_834</t>
  </si>
  <si>
    <t>Startup_835</t>
  </si>
  <si>
    <t>Startup_836</t>
  </si>
  <si>
    <t>Startup_837</t>
  </si>
  <si>
    <t>Startup_838</t>
  </si>
  <si>
    <t>Startup_839</t>
  </si>
  <si>
    <t>Startup_840</t>
  </si>
  <si>
    <t>Startup_841</t>
  </si>
  <si>
    <t>Startup_842</t>
  </si>
  <si>
    <t>Startup_843</t>
  </si>
  <si>
    <t>Startup_844</t>
  </si>
  <si>
    <t>Startup_845</t>
  </si>
  <si>
    <t>Startup_846</t>
  </si>
  <si>
    <t>Startup_847</t>
  </si>
  <si>
    <t>Startup_848</t>
  </si>
  <si>
    <t>Startup_849</t>
  </si>
  <si>
    <t>Startup_850</t>
  </si>
  <si>
    <t>Startup_851</t>
  </si>
  <si>
    <t>Startup_852</t>
  </si>
  <si>
    <t>Startup_853</t>
  </si>
  <si>
    <t>Startup_854</t>
  </si>
  <si>
    <t>Startup_855</t>
  </si>
  <si>
    <t>Startup_856</t>
  </si>
  <si>
    <t>Startup_857</t>
  </si>
  <si>
    <t>Startup_858</t>
  </si>
  <si>
    <t>Startup_859</t>
  </si>
  <si>
    <t>Startup_860</t>
  </si>
  <si>
    <t>Startup_861</t>
  </si>
  <si>
    <t>Startup_862</t>
  </si>
  <si>
    <t>Startup_863</t>
  </si>
  <si>
    <t>Startup_864</t>
  </si>
  <si>
    <t>Startup_865</t>
  </si>
  <si>
    <t>Startup_866</t>
  </si>
  <si>
    <t>Startup_867</t>
  </si>
  <si>
    <t>Startup_868</t>
  </si>
  <si>
    <t>Startup_869</t>
  </si>
  <si>
    <t>Startup_870</t>
  </si>
  <si>
    <t>Startup_871</t>
  </si>
  <si>
    <t>Startup_872</t>
  </si>
  <si>
    <t>Startup_873</t>
  </si>
  <si>
    <t>Startup_874</t>
  </si>
  <si>
    <t>Startup_875</t>
  </si>
  <si>
    <t>Startup_876</t>
  </si>
  <si>
    <t>Startup_877</t>
  </si>
  <si>
    <t>Startup_878</t>
  </si>
  <si>
    <t>Startup_879</t>
  </si>
  <si>
    <t>Startup_880</t>
  </si>
  <si>
    <t>Startup_881</t>
  </si>
  <si>
    <t>Startup_882</t>
  </si>
  <si>
    <t>Startup_883</t>
  </si>
  <si>
    <t>Startup_884</t>
  </si>
  <si>
    <t>Startup_885</t>
  </si>
  <si>
    <t>Startup_886</t>
  </si>
  <si>
    <t>Startup_887</t>
  </si>
  <si>
    <t>Startup_888</t>
  </si>
  <si>
    <t>Startup_889</t>
  </si>
  <si>
    <t>Startup_890</t>
  </si>
  <si>
    <t>Startup_891</t>
  </si>
  <si>
    <t>Startup_892</t>
  </si>
  <si>
    <t>Startup_893</t>
  </si>
  <si>
    <t>Startup_894</t>
  </si>
  <si>
    <t>Startup_895</t>
  </si>
  <si>
    <t>Startup_896</t>
  </si>
  <si>
    <t>Startup_897</t>
  </si>
  <si>
    <t>Startup_898</t>
  </si>
  <si>
    <t>Startup_899</t>
  </si>
  <si>
    <t>Startup_900</t>
  </si>
  <si>
    <t>Startup_901</t>
  </si>
  <si>
    <t>Startup_902</t>
  </si>
  <si>
    <t>Startup_903</t>
  </si>
  <si>
    <t>Startup_904</t>
  </si>
  <si>
    <t>Startup_905</t>
  </si>
  <si>
    <t>Startup_906</t>
  </si>
  <si>
    <t>Startup_907</t>
  </si>
  <si>
    <t>Startup_908</t>
  </si>
  <si>
    <t>Startup_909</t>
  </si>
  <si>
    <t>Startup_910</t>
  </si>
  <si>
    <t>Startup_911</t>
  </si>
  <si>
    <t>Startup_912</t>
  </si>
  <si>
    <t>Startup_913</t>
  </si>
  <si>
    <t>Startup_914</t>
  </si>
  <si>
    <t>Startup_915</t>
  </si>
  <si>
    <t>Startup_916</t>
  </si>
  <si>
    <t>Startup_917</t>
  </si>
  <si>
    <t>Startup_918</t>
  </si>
  <si>
    <t>Startup_919</t>
  </si>
  <si>
    <t>Startup_920</t>
  </si>
  <si>
    <t>Startup_921</t>
  </si>
  <si>
    <t>Startup_922</t>
  </si>
  <si>
    <t>Startup_923</t>
  </si>
  <si>
    <t>Startup_924</t>
  </si>
  <si>
    <t>Startup_925</t>
  </si>
  <si>
    <t>Startup_926</t>
  </si>
  <si>
    <t>Startup_927</t>
  </si>
  <si>
    <t>Startup_928</t>
  </si>
  <si>
    <t>Startup_929</t>
  </si>
  <si>
    <t>Startup_930</t>
  </si>
  <si>
    <t>Startup_931</t>
  </si>
  <si>
    <t>Startup_932</t>
  </si>
  <si>
    <t>Startup_933</t>
  </si>
  <si>
    <t>Startup_934</t>
  </si>
  <si>
    <t>Startup_935</t>
  </si>
  <si>
    <t>Startup_936</t>
  </si>
  <si>
    <t>Startup_937</t>
  </si>
  <si>
    <t>Startup_938</t>
  </si>
  <si>
    <t>Startup_939</t>
  </si>
  <si>
    <t>Startup_940</t>
  </si>
  <si>
    <t>Startup_941</t>
  </si>
  <si>
    <t>Startup_942</t>
  </si>
  <si>
    <t>Startup_943</t>
  </si>
  <si>
    <t>Startup_944</t>
  </si>
  <si>
    <t>Startup_945</t>
  </si>
  <si>
    <t>Startup_946</t>
  </si>
  <si>
    <t>Startup_947</t>
  </si>
  <si>
    <t>Startup_948</t>
  </si>
  <si>
    <t>Startup_949</t>
  </si>
  <si>
    <t>Startup_950</t>
  </si>
  <si>
    <t>Startup_951</t>
  </si>
  <si>
    <t>Startup_952</t>
  </si>
  <si>
    <t>Startup_953</t>
  </si>
  <si>
    <t>Startup_954</t>
  </si>
  <si>
    <t>Startup_955</t>
  </si>
  <si>
    <t>Startup_956</t>
  </si>
  <si>
    <t>Startup_957</t>
  </si>
  <si>
    <t>Startup_958</t>
  </si>
  <si>
    <t>Startup_959</t>
  </si>
  <si>
    <t>Startup_960</t>
  </si>
  <si>
    <t>Startup_961</t>
  </si>
  <si>
    <t>Startup_962</t>
  </si>
  <si>
    <t>Startup_963</t>
  </si>
  <si>
    <t>Startup_964</t>
  </si>
  <si>
    <t>Startup_965</t>
  </si>
  <si>
    <t>Startup_966</t>
  </si>
  <si>
    <t>Startup_967</t>
  </si>
  <si>
    <t>Startup_968</t>
  </si>
  <si>
    <t>Startup_969</t>
  </si>
  <si>
    <t>Startup_970</t>
  </si>
  <si>
    <t>Startup_971</t>
  </si>
  <si>
    <t>Startup_972</t>
  </si>
  <si>
    <t>Startup_973</t>
  </si>
  <si>
    <t>Startup_974</t>
  </si>
  <si>
    <t>Startup_975</t>
  </si>
  <si>
    <t>Startup_976</t>
  </si>
  <si>
    <t>Startup_977</t>
  </si>
  <si>
    <t>Startup_978</t>
  </si>
  <si>
    <t>Startup_979</t>
  </si>
  <si>
    <t>Startup_980</t>
  </si>
  <si>
    <t>Startup_981</t>
  </si>
  <si>
    <t>Startup_982</t>
  </si>
  <si>
    <t>Startup_983</t>
  </si>
  <si>
    <t>Startup_984</t>
  </si>
  <si>
    <t>Startup_985</t>
  </si>
  <si>
    <t>Startup_986</t>
  </si>
  <si>
    <t>Startup_987</t>
  </si>
  <si>
    <t>Startup_988</t>
  </si>
  <si>
    <t>Startup_989</t>
  </si>
  <si>
    <t>Startup_990</t>
  </si>
  <si>
    <t>Startup_991</t>
  </si>
  <si>
    <t>Startup_992</t>
  </si>
  <si>
    <t>Startup_993</t>
  </si>
  <si>
    <t>Startup_994</t>
  </si>
  <si>
    <t>Startup_995</t>
  </si>
  <si>
    <t>Startup_996</t>
  </si>
  <si>
    <t>Startup_997</t>
  </si>
  <si>
    <t>Startup_998</t>
  </si>
  <si>
    <t>Startup_999</t>
  </si>
  <si>
    <t>Startup_1000</t>
  </si>
  <si>
    <t>Startup_1001</t>
  </si>
  <si>
    <t>Startup_1002</t>
  </si>
  <si>
    <t>Startup_1003</t>
  </si>
  <si>
    <t>Startup_1004</t>
  </si>
  <si>
    <t>Startup_1005</t>
  </si>
  <si>
    <t>Startup_1006</t>
  </si>
  <si>
    <t>Startup_1007</t>
  </si>
  <si>
    <t>Startup_1008</t>
  </si>
  <si>
    <t>Startup_1009</t>
  </si>
  <si>
    <t>Startup_1010</t>
  </si>
  <si>
    <t>Startup_1011</t>
  </si>
  <si>
    <t>Startup_1012</t>
  </si>
  <si>
    <t>Startup_1013</t>
  </si>
  <si>
    <t>Startup_1014</t>
  </si>
  <si>
    <t>Startup_1015</t>
  </si>
  <si>
    <t>Startup_1016</t>
  </si>
  <si>
    <t>Startup_1017</t>
  </si>
  <si>
    <t>Startup_1018</t>
  </si>
  <si>
    <t>Startup_1019</t>
  </si>
  <si>
    <t>Startup_1020</t>
  </si>
  <si>
    <t>Startup_1021</t>
  </si>
  <si>
    <t>Startup_1022</t>
  </si>
  <si>
    <t>Startup_1023</t>
  </si>
  <si>
    <t>Startup_1024</t>
  </si>
  <si>
    <t>Startup_1025</t>
  </si>
  <si>
    <t>Startup_1026</t>
  </si>
  <si>
    <t>Startup_1027</t>
  </si>
  <si>
    <t>Startup_1028</t>
  </si>
  <si>
    <t>Startup_1029</t>
  </si>
  <si>
    <t>Startup_1030</t>
  </si>
  <si>
    <t>Startup_1031</t>
  </si>
  <si>
    <t>Startup_1032</t>
  </si>
  <si>
    <t>Startup_1033</t>
  </si>
  <si>
    <t>Startup_1034</t>
  </si>
  <si>
    <t>Startup_1035</t>
  </si>
  <si>
    <t>Startup_1036</t>
  </si>
  <si>
    <t>Startup_1037</t>
  </si>
  <si>
    <t>Startup_1038</t>
  </si>
  <si>
    <t>Startup_1039</t>
  </si>
  <si>
    <t>Startup_1040</t>
  </si>
  <si>
    <t>Startup_1041</t>
  </si>
  <si>
    <t>Startup_1042</t>
  </si>
  <si>
    <t>Startup_1043</t>
  </si>
  <si>
    <t>Startup_1044</t>
  </si>
  <si>
    <t>Startup_1045</t>
  </si>
  <si>
    <t>Startup_1046</t>
  </si>
  <si>
    <t>Startup_1047</t>
  </si>
  <si>
    <t>Startup_1048</t>
  </si>
  <si>
    <t>Startup_1049</t>
  </si>
  <si>
    <t>Startup_1050</t>
  </si>
  <si>
    <t>Startup_1051</t>
  </si>
  <si>
    <t>Startup_1052</t>
  </si>
  <si>
    <t>Startup_1053</t>
  </si>
  <si>
    <t>Startup_1054</t>
  </si>
  <si>
    <t>Startup_1055</t>
  </si>
  <si>
    <t>Startup_1056</t>
  </si>
  <si>
    <t>Startup_1057</t>
  </si>
  <si>
    <t>Startup_1058</t>
  </si>
  <si>
    <t>Startup_1059</t>
  </si>
  <si>
    <t>Startup_1060</t>
  </si>
  <si>
    <t>Startup_1061</t>
  </si>
  <si>
    <t>Startup_1062</t>
  </si>
  <si>
    <t>Startup_1063</t>
  </si>
  <si>
    <t>Startup_1064</t>
  </si>
  <si>
    <t>Startup_1065</t>
  </si>
  <si>
    <t>Startup_1066</t>
  </si>
  <si>
    <t>Startup_1067</t>
  </si>
  <si>
    <t>Startup_1068</t>
  </si>
  <si>
    <t>Startup_1069</t>
  </si>
  <si>
    <t>Startup_1070</t>
  </si>
  <si>
    <t>Startup_1071</t>
  </si>
  <si>
    <t>Startup_1072</t>
  </si>
  <si>
    <t>Startup_1073</t>
  </si>
  <si>
    <t>Startup_1074</t>
  </si>
  <si>
    <t>Startup_1075</t>
  </si>
  <si>
    <t>Startup_1076</t>
  </si>
  <si>
    <t>Startup_1077</t>
  </si>
  <si>
    <t>Startup_1078</t>
  </si>
  <si>
    <t>Startup_1079</t>
  </si>
  <si>
    <t>Startup_1080</t>
  </si>
  <si>
    <t>Startup_1081</t>
  </si>
  <si>
    <t>Startup_1082</t>
  </si>
  <si>
    <t>Startup_1083</t>
  </si>
  <si>
    <t>Startup_1084</t>
  </si>
  <si>
    <t>Startup_1085</t>
  </si>
  <si>
    <t>Startup_1086</t>
  </si>
  <si>
    <t>Startup_1087</t>
  </si>
  <si>
    <t>Startup_1088</t>
  </si>
  <si>
    <t>Startup_1089</t>
  </si>
  <si>
    <t>Startup_1090</t>
  </si>
  <si>
    <t>Startup_1091</t>
  </si>
  <si>
    <t>Startup_1092</t>
  </si>
  <si>
    <t>Startup_1093</t>
  </si>
  <si>
    <t>Startup_1094</t>
  </si>
  <si>
    <t>Startup_1095</t>
  </si>
  <si>
    <t>Startup_1096</t>
  </si>
  <si>
    <t>Startup_1097</t>
  </si>
  <si>
    <t>Startup_1098</t>
  </si>
  <si>
    <t>Startup_1099</t>
  </si>
  <si>
    <t>Startup_1100</t>
  </si>
  <si>
    <t>Startup_1101</t>
  </si>
  <si>
    <t>Startup_1102</t>
  </si>
  <si>
    <t>Startup_1103</t>
  </si>
  <si>
    <t>Startup_1104</t>
  </si>
  <si>
    <t>Startup_1105</t>
  </si>
  <si>
    <t>Startup_1106</t>
  </si>
  <si>
    <t>Startup_1107</t>
  </si>
  <si>
    <t>Startup_1108</t>
  </si>
  <si>
    <t>Startup_1109</t>
  </si>
  <si>
    <t>Startup_1110</t>
  </si>
  <si>
    <t>Startup_1111</t>
  </si>
  <si>
    <t>Startup_1112</t>
  </si>
  <si>
    <t>Startup_1113</t>
  </si>
  <si>
    <t>Startup_1114</t>
  </si>
  <si>
    <t>Startup_1115</t>
  </si>
  <si>
    <t>Startup_1116</t>
  </si>
  <si>
    <t>Startup_1117</t>
  </si>
  <si>
    <t>Startup_1118</t>
  </si>
  <si>
    <t>Startup_1119</t>
  </si>
  <si>
    <t>Startup_1120</t>
  </si>
  <si>
    <t>Startup_1121</t>
  </si>
  <si>
    <t>Startup_1122</t>
  </si>
  <si>
    <t>Startup_1123</t>
  </si>
  <si>
    <t>Startup_1124</t>
  </si>
  <si>
    <t>Startup_1125</t>
  </si>
  <si>
    <t>Startup_1126</t>
  </si>
  <si>
    <t>Startup_1127</t>
  </si>
  <si>
    <t>Startup_1128</t>
  </si>
  <si>
    <t>Startup_1129</t>
  </si>
  <si>
    <t>Startup_1130</t>
  </si>
  <si>
    <t>Startup_1131</t>
  </si>
  <si>
    <t>Startup_1132</t>
  </si>
  <si>
    <t>Startup_1133</t>
  </si>
  <si>
    <t>Startup_1134</t>
  </si>
  <si>
    <t>Startup_1135</t>
  </si>
  <si>
    <t>Startup_1136</t>
  </si>
  <si>
    <t>Startup_1137</t>
  </si>
  <si>
    <t>Startup_1138</t>
  </si>
  <si>
    <t>Startup_1139</t>
  </si>
  <si>
    <t>Startup_1140</t>
  </si>
  <si>
    <t>Startup_1141</t>
  </si>
  <si>
    <t>Startup_1142</t>
  </si>
  <si>
    <t>Startup_1143</t>
  </si>
  <si>
    <t>Startup_1144</t>
  </si>
  <si>
    <t>Startup_1145</t>
  </si>
  <si>
    <t>Startup_1146</t>
  </si>
  <si>
    <t>Startup_1147</t>
  </si>
  <si>
    <t>Startup_1148</t>
  </si>
  <si>
    <t>Startup_1149</t>
  </si>
  <si>
    <t>Startup_1150</t>
  </si>
  <si>
    <t>Startup_1151</t>
  </si>
  <si>
    <t>Startup_1152</t>
  </si>
  <si>
    <t>Startup_1153</t>
  </si>
  <si>
    <t>Startup_1154</t>
  </si>
  <si>
    <t>Startup_1155</t>
  </si>
  <si>
    <t>Startup_1156</t>
  </si>
  <si>
    <t>Startup_1157</t>
  </si>
  <si>
    <t>Startup_1158</t>
  </si>
  <si>
    <t>Startup_1159</t>
  </si>
  <si>
    <t>Startup_1160</t>
  </si>
  <si>
    <t>Startup_1161</t>
  </si>
  <si>
    <t>Startup_1162</t>
  </si>
  <si>
    <t>Startup_1163</t>
  </si>
  <si>
    <t>Startup_1164</t>
  </si>
  <si>
    <t>Startup_1165</t>
  </si>
  <si>
    <t>Startup_1166</t>
  </si>
  <si>
    <t>Startup_1167</t>
  </si>
  <si>
    <t>Startup_1168</t>
  </si>
  <si>
    <t>Startup_1169</t>
  </si>
  <si>
    <t>Startup_1170</t>
  </si>
  <si>
    <t>Startup_1171</t>
  </si>
  <si>
    <t>Startup_1172</t>
  </si>
  <si>
    <t>Startup_1173</t>
  </si>
  <si>
    <t>Startup_1174</t>
  </si>
  <si>
    <t>Startup_1175</t>
  </si>
  <si>
    <t>Startup_1176</t>
  </si>
  <si>
    <t>Startup_1177</t>
  </si>
  <si>
    <t>Startup_1178</t>
  </si>
  <si>
    <t>Startup_1179</t>
  </si>
  <si>
    <t>Startup_1180</t>
  </si>
  <si>
    <t>Startup_1181</t>
  </si>
  <si>
    <t>Startup_1182</t>
  </si>
  <si>
    <t>Startup_1183</t>
  </si>
  <si>
    <t>Startup_1184</t>
  </si>
  <si>
    <t>Startup_1185</t>
  </si>
  <si>
    <t>Startup_1186</t>
  </si>
  <si>
    <t>Startup_1187</t>
  </si>
  <si>
    <t>Startup_1188</t>
  </si>
  <si>
    <t>Startup_1189</t>
  </si>
  <si>
    <t>Startup_1190</t>
  </si>
  <si>
    <t>Startup_1191</t>
  </si>
  <si>
    <t>Startup_1192</t>
  </si>
  <si>
    <t>Startup_1193</t>
  </si>
  <si>
    <t>Startup_1194</t>
  </si>
  <si>
    <t>Startup_1195</t>
  </si>
  <si>
    <t>Startup_1196</t>
  </si>
  <si>
    <t>Startup_1197</t>
  </si>
  <si>
    <t>Startup_1198</t>
  </si>
  <si>
    <t>Startup_1199</t>
  </si>
  <si>
    <t>Startup_1200</t>
  </si>
  <si>
    <t>Startup_1201</t>
  </si>
  <si>
    <t>Startup_1202</t>
  </si>
  <si>
    <t>Startup_1203</t>
  </si>
  <si>
    <t>Startup_1204</t>
  </si>
  <si>
    <t>Startup_1205</t>
  </si>
  <si>
    <t>Startup_1206</t>
  </si>
  <si>
    <t>Startup_1207</t>
  </si>
  <si>
    <t>Startup_1208</t>
  </si>
  <si>
    <t>Startup_1209</t>
  </si>
  <si>
    <t>Startup_1210</t>
  </si>
  <si>
    <t>Startup_1211</t>
  </si>
  <si>
    <t>Startup_1212</t>
  </si>
  <si>
    <t>Startup_1213</t>
  </si>
  <si>
    <t>Startup_1214</t>
  </si>
  <si>
    <t>Startup_1215</t>
  </si>
  <si>
    <t>Startup_1216</t>
  </si>
  <si>
    <t>Startup_1217</t>
  </si>
  <si>
    <t>Startup_1218</t>
  </si>
  <si>
    <t>Startup_1219</t>
  </si>
  <si>
    <t>Startup_1220</t>
  </si>
  <si>
    <t>Startup_1221</t>
  </si>
  <si>
    <t>Startup_1222</t>
  </si>
  <si>
    <t>Startup_1223</t>
  </si>
  <si>
    <t>Startup_1224</t>
  </si>
  <si>
    <t>Startup_1225</t>
  </si>
  <si>
    <t>Startup_1226</t>
  </si>
  <si>
    <t>Startup_1227</t>
  </si>
  <si>
    <t>Startup_1228</t>
  </si>
  <si>
    <t>Startup_1229</t>
  </si>
  <si>
    <t>Startup_1230</t>
  </si>
  <si>
    <t>Startup_1231</t>
  </si>
  <si>
    <t>Startup_1232</t>
  </si>
  <si>
    <t>Startup_1233</t>
  </si>
  <si>
    <t>Startup_1234</t>
  </si>
  <si>
    <t>Startup_1235</t>
  </si>
  <si>
    <t>Startup_1236</t>
  </si>
  <si>
    <t>Startup_1237</t>
  </si>
  <si>
    <t>Startup_1238</t>
  </si>
  <si>
    <t>Startup_1239</t>
  </si>
  <si>
    <t>Startup_1240</t>
  </si>
  <si>
    <t>Startup_1241</t>
  </si>
  <si>
    <t>Startup_1242</t>
  </si>
  <si>
    <t>Startup_1243</t>
  </si>
  <si>
    <t>Startup_1244</t>
  </si>
  <si>
    <t>Startup_1245</t>
  </si>
  <si>
    <t>Startup_1246</t>
  </si>
  <si>
    <t>Startup_1247</t>
  </si>
  <si>
    <t>Startup_1248</t>
  </si>
  <si>
    <t>Startup_1249</t>
  </si>
  <si>
    <t>Startup_1250</t>
  </si>
  <si>
    <t>Startup_1251</t>
  </si>
  <si>
    <t>Startup_1252</t>
  </si>
  <si>
    <t>Startup_1253</t>
  </si>
  <si>
    <t>Startup_1254</t>
  </si>
  <si>
    <t>Startup_1255</t>
  </si>
  <si>
    <t>Startup_1256</t>
  </si>
  <si>
    <t>Startup_1257</t>
  </si>
  <si>
    <t>Startup_1258</t>
  </si>
  <si>
    <t>Startup_1259</t>
  </si>
  <si>
    <t>Startup_1260</t>
  </si>
  <si>
    <t>Startup_1261</t>
  </si>
  <si>
    <t>Startup_1262</t>
  </si>
  <si>
    <t>Startup_1263</t>
  </si>
  <si>
    <t>Startup_1264</t>
  </si>
  <si>
    <t>Startup_1265</t>
  </si>
  <si>
    <t>Startup_1266</t>
  </si>
  <si>
    <t>Startup_1267</t>
  </si>
  <si>
    <t>Startup_1268</t>
  </si>
  <si>
    <t>Startup_1269</t>
  </si>
  <si>
    <t>Startup_1270</t>
  </si>
  <si>
    <t>Startup_1271</t>
  </si>
  <si>
    <t>Startup_1272</t>
  </si>
  <si>
    <t>Startup_1273</t>
  </si>
  <si>
    <t>Startup_1274</t>
  </si>
  <si>
    <t>Startup_1275</t>
  </si>
  <si>
    <t>Startup_1276</t>
  </si>
  <si>
    <t>Startup_1277</t>
  </si>
  <si>
    <t>Startup_1278</t>
  </si>
  <si>
    <t>Startup_1279</t>
  </si>
  <si>
    <t>Startup_1280</t>
  </si>
  <si>
    <t>Startup_1281</t>
  </si>
  <si>
    <t>Startup_1282</t>
  </si>
  <si>
    <t>Startup_1283</t>
  </si>
  <si>
    <t>Startup_1284</t>
  </si>
  <si>
    <t>Startup_1285</t>
  </si>
  <si>
    <t>Startup_1286</t>
  </si>
  <si>
    <t>Startup_1287</t>
  </si>
  <si>
    <t>Startup_1288</t>
  </si>
  <si>
    <t>Startup_1289</t>
  </si>
  <si>
    <t>Startup_1290</t>
  </si>
  <si>
    <t>Startup_1291</t>
  </si>
  <si>
    <t>Startup_1292</t>
  </si>
  <si>
    <t>Startup_1293</t>
  </si>
  <si>
    <t>Startup_1294</t>
  </si>
  <si>
    <t>Startup_1295</t>
  </si>
  <si>
    <t>Startup_1296</t>
  </si>
  <si>
    <t>Startup_1297</t>
  </si>
  <si>
    <t>Startup_1298</t>
  </si>
  <si>
    <t>Startup_1299</t>
  </si>
  <si>
    <t>Startup_1300</t>
  </si>
  <si>
    <t>Startup_1301</t>
  </si>
  <si>
    <t>Startup_1302</t>
  </si>
  <si>
    <t>Startup_1303</t>
  </si>
  <si>
    <t>Startup_1304</t>
  </si>
  <si>
    <t>Startup_1305</t>
  </si>
  <si>
    <t>Startup_1306</t>
  </si>
  <si>
    <t>Startup_1307</t>
  </si>
  <si>
    <t>Startup_1308</t>
  </si>
  <si>
    <t>Startup_1309</t>
  </si>
  <si>
    <t>Startup_1310</t>
  </si>
  <si>
    <t>Startup_1311</t>
  </si>
  <si>
    <t>Startup_1312</t>
  </si>
  <si>
    <t>Startup_1313</t>
  </si>
  <si>
    <t>Startup_1314</t>
  </si>
  <si>
    <t>Startup_1315</t>
  </si>
  <si>
    <t>Startup_1316</t>
  </si>
  <si>
    <t>Startup_1317</t>
  </si>
  <si>
    <t>Startup_1318</t>
  </si>
  <si>
    <t>Startup_1319</t>
  </si>
  <si>
    <t>Startup_1320</t>
  </si>
  <si>
    <t>Startup_1321</t>
  </si>
  <si>
    <t>Startup_1322</t>
  </si>
  <si>
    <t>Startup_1323</t>
  </si>
  <si>
    <t>Startup_1324</t>
  </si>
  <si>
    <t>Startup_1325</t>
  </si>
  <si>
    <t>Startup_1326</t>
  </si>
  <si>
    <t>Startup_1327</t>
  </si>
  <si>
    <t>Startup_1328</t>
  </si>
  <si>
    <t>Startup_1329</t>
  </si>
  <si>
    <t>Startup_1330</t>
  </si>
  <si>
    <t>Startup_1331</t>
  </si>
  <si>
    <t>Startup_1332</t>
  </si>
  <si>
    <t>Startup_1333</t>
  </si>
  <si>
    <t>Startup_1334</t>
  </si>
  <si>
    <t>Startup_1335</t>
  </si>
  <si>
    <t>Startup_1336</t>
  </si>
  <si>
    <t>Startup_1337</t>
  </si>
  <si>
    <t>Startup_1338</t>
  </si>
  <si>
    <t>Startup_1339</t>
  </si>
  <si>
    <t>Startup_1340</t>
  </si>
  <si>
    <t>Startup_1341</t>
  </si>
  <si>
    <t>Startup_1342</t>
  </si>
  <si>
    <t>Startup_1343</t>
  </si>
  <si>
    <t>Startup_1344</t>
  </si>
  <si>
    <t>Startup_1345</t>
  </si>
  <si>
    <t>Startup_1346</t>
  </si>
  <si>
    <t>Startup_1347</t>
  </si>
  <si>
    <t>Startup_1348</t>
  </si>
  <si>
    <t>Startup_1349</t>
  </si>
  <si>
    <t>Startup_1350</t>
  </si>
  <si>
    <t>Startup_1351</t>
  </si>
  <si>
    <t>Startup_1352</t>
  </si>
  <si>
    <t>Startup_1353</t>
  </si>
  <si>
    <t>Startup_1354</t>
  </si>
  <si>
    <t>Startup_1355</t>
  </si>
  <si>
    <t>Startup_1356</t>
  </si>
  <si>
    <t>Startup_1357</t>
  </si>
  <si>
    <t>Startup_1358</t>
  </si>
  <si>
    <t>Startup_1359</t>
  </si>
  <si>
    <t>Startup_1360</t>
  </si>
  <si>
    <t>Startup_1361</t>
  </si>
  <si>
    <t>Startup_1362</t>
  </si>
  <si>
    <t>Startup_1363</t>
  </si>
  <si>
    <t>Startup_1364</t>
  </si>
  <si>
    <t>Startup_1365</t>
  </si>
  <si>
    <t>Startup_1366</t>
  </si>
  <si>
    <t>Startup_1367</t>
  </si>
  <si>
    <t>Startup_1368</t>
  </si>
  <si>
    <t>Startup_1369</t>
  </si>
  <si>
    <t>Startup_1370</t>
  </si>
  <si>
    <t>Startup_1371</t>
  </si>
  <si>
    <t>Startup_1372</t>
  </si>
  <si>
    <t>Startup_1373</t>
  </si>
  <si>
    <t>Startup_1374</t>
  </si>
  <si>
    <t>Startup_1375</t>
  </si>
  <si>
    <t>Startup_1376</t>
  </si>
  <si>
    <t>Startup_1377</t>
  </si>
  <si>
    <t>Startup_1378</t>
  </si>
  <si>
    <t>Startup_1379</t>
  </si>
  <si>
    <t>Startup_1380</t>
  </si>
  <si>
    <t>Startup_1381</t>
  </si>
  <si>
    <t>Startup_1382</t>
  </si>
  <si>
    <t>Startup_1383</t>
  </si>
  <si>
    <t>Startup_1384</t>
  </si>
  <si>
    <t>Startup_1385</t>
  </si>
  <si>
    <t>Startup_1386</t>
  </si>
  <si>
    <t>Startup_1387</t>
  </si>
  <si>
    <t>Startup_1388</t>
  </si>
  <si>
    <t>Startup_1389</t>
  </si>
  <si>
    <t>Startup_1390</t>
  </si>
  <si>
    <t>Startup_1391</t>
  </si>
  <si>
    <t>Startup_1392</t>
  </si>
  <si>
    <t>Startup_1393</t>
  </si>
  <si>
    <t>Startup_1394</t>
  </si>
  <si>
    <t>Startup_1395</t>
  </si>
  <si>
    <t>Startup_1396</t>
  </si>
  <si>
    <t>Startup_1397</t>
  </si>
  <si>
    <t>Startup_1398</t>
  </si>
  <si>
    <t>Startup_1399</t>
  </si>
  <si>
    <t>Startup_1400</t>
  </si>
  <si>
    <t>Startup_1401</t>
  </si>
  <si>
    <t>Startup_1402</t>
  </si>
  <si>
    <t>Startup_1403</t>
  </si>
  <si>
    <t>Startup_1404</t>
  </si>
  <si>
    <t>Startup_1405</t>
  </si>
  <si>
    <t>Startup_1406</t>
  </si>
  <si>
    <t>Startup_1407</t>
  </si>
  <si>
    <t>Startup_1408</t>
  </si>
  <si>
    <t>Startup_1409</t>
  </si>
  <si>
    <t>Startup_1410</t>
  </si>
  <si>
    <t>Startup_1411</t>
  </si>
  <si>
    <t>Startup_1412</t>
  </si>
  <si>
    <t>Startup_1413</t>
  </si>
  <si>
    <t>Startup_1414</t>
  </si>
  <si>
    <t>Startup_1415</t>
  </si>
  <si>
    <t>Startup_1416</t>
  </si>
  <si>
    <t>Startup_1417</t>
  </si>
  <si>
    <t>Startup_1418</t>
  </si>
  <si>
    <t>Startup_1419</t>
  </si>
  <si>
    <t>Startup_1420</t>
  </si>
  <si>
    <t>Startup_1421</t>
  </si>
  <si>
    <t>Startup_1422</t>
  </si>
  <si>
    <t>Startup_1423</t>
  </si>
  <si>
    <t>Startup_1424</t>
  </si>
  <si>
    <t>Startup_1425</t>
  </si>
  <si>
    <t>Startup_1426</t>
  </si>
  <si>
    <t>Startup_1427</t>
  </si>
  <si>
    <t>Startup_1428</t>
  </si>
  <si>
    <t>Startup_1429</t>
  </si>
  <si>
    <t>Startup_1430</t>
  </si>
  <si>
    <t>Startup_1431</t>
  </si>
  <si>
    <t>Startup_1432</t>
  </si>
  <si>
    <t>Startup_1433</t>
  </si>
  <si>
    <t>Startup_1434</t>
  </si>
  <si>
    <t>Startup_1435</t>
  </si>
  <si>
    <t>Startup_1436</t>
  </si>
  <si>
    <t>Startup_1437</t>
  </si>
  <si>
    <t>Startup_1438</t>
  </si>
  <si>
    <t>Startup_1439</t>
  </si>
  <si>
    <t>Startup_1440</t>
  </si>
  <si>
    <t>Startup_1441</t>
  </si>
  <si>
    <t>Startup_1442</t>
  </si>
  <si>
    <t>Startup_1443</t>
  </si>
  <si>
    <t>Startup_1444</t>
  </si>
  <si>
    <t>Startup_1445</t>
  </si>
  <si>
    <t>Startup_1446</t>
  </si>
  <si>
    <t>Startup_1447</t>
  </si>
  <si>
    <t>Startup_1448</t>
  </si>
  <si>
    <t>Startup_1449</t>
  </si>
  <si>
    <t>Startup_1450</t>
  </si>
  <si>
    <t>Startup_1451</t>
  </si>
  <si>
    <t>Startup_1452</t>
  </si>
  <si>
    <t>Startup_1453</t>
  </si>
  <si>
    <t>Startup_1454</t>
  </si>
  <si>
    <t>Startup_1455</t>
  </si>
  <si>
    <t>Startup_1456</t>
  </si>
  <si>
    <t>Startup_1457</t>
  </si>
  <si>
    <t>Startup_1458</t>
  </si>
  <si>
    <t>Startup_1459</t>
  </si>
  <si>
    <t>Startup_1460</t>
  </si>
  <si>
    <t>Startup_1461</t>
  </si>
  <si>
    <t>Startup_1462</t>
  </si>
  <si>
    <t>Startup_1463</t>
  </si>
  <si>
    <t>Startup_1464</t>
  </si>
  <si>
    <t>Startup_1465</t>
  </si>
  <si>
    <t>Startup_1466</t>
  </si>
  <si>
    <t>Startup_1467</t>
  </si>
  <si>
    <t>Startup_1468</t>
  </si>
  <si>
    <t>Startup_1469</t>
  </si>
  <si>
    <t>Startup_1470</t>
  </si>
  <si>
    <t>Startup_1471</t>
  </si>
  <si>
    <t>Startup_1472</t>
  </si>
  <si>
    <t>Startup_1473</t>
  </si>
  <si>
    <t>Startup_1474</t>
  </si>
  <si>
    <t>Startup_1475</t>
  </si>
  <si>
    <t>Startup_1476</t>
  </si>
  <si>
    <t>Startup_1477</t>
  </si>
  <si>
    <t>Startup_1478</t>
  </si>
  <si>
    <t>Startup_1479</t>
  </si>
  <si>
    <t>Startup_1480</t>
  </si>
  <si>
    <t>Startup_1481</t>
  </si>
  <si>
    <t>Startup_1482</t>
  </si>
  <si>
    <t>Startup_1483</t>
  </si>
  <si>
    <t>Startup_1484</t>
  </si>
  <si>
    <t>Startup_1485</t>
  </si>
  <si>
    <t>Startup_1486</t>
  </si>
  <si>
    <t>Startup_1487</t>
  </si>
  <si>
    <t>Startup_1488</t>
  </si>
  <si>
    <t>Startup_1489</t>
  </si>
  <si>
    <t>Startup_1490</t>
  </si>
  <si>
    <t>Startup_1491</t>
  </si>
  <si>
    <t>Startup_1492</t>
  </si>
  <si>
    <t>Startup_1493</t>
  </si>
  <si>
    <t>Startup_1494</t>
  </si>
  <si>
    <t>Startup_1495</t>
  </si>
  <si>
    <t>Startup_1496</t>
  </si>
  <si>
    <t>Startup_1497</t>
  </si>
  <si>
    <t>Startup_1498</t>
  </si>
  <si>
    <t>Startup_1499</t>
  </si>
  <si>
    <t>Startup_1500</t>
  </si>
  <si>
    <t>Startup_1501</t>
  </si>
  <si>
    <t>Startup_1502</t>
  </si>
  <si>
    <t>Startup_1503</t>
  </si>
  <si>
    <t>Startup_1504</t>
  </si>
  <si>
    <t>Startup_1505</t>
  </si>
  <si>
    <t>Startup_1506</t>
  </si>
  <si>
    <t>Startup_1507</t>
  </si>
  <si>
    <t>Startup_1508</t>
  </si>
  <si>
    <t>Startup_1509</t>
  </si>
  <si>
    <t>Startup_1510</t>
  </si>
  <si>
    <t>Startup_1511</t>
  </si>
  <si>
    <t>Startup_1512</t>
  </si>
  <si>
    <t>Startup_1513</t>
  </si>
  <si>
    <t>Startup_1514</t>
  </si>
  <si>
    <t>Startup_1515</t>
  </si>
  <si>
    <t>Startup_1516</t>
  </si>
  <si>
    <t>Startup_1517</t>
  </si>
  <si>
    <t>Startup_1518</t>
  </si>
  <si>
    <t>Startup_1519</t>
  </si>
  <si>
    <t>Startup_1520</t>
  </si>
  <si>
    <t>Startup_1521</t>
  </si>
  <si>
    <t>Startup_1522</t>
  </si>
  <si>
    <t>Startup_1523</t>
  </si>
  <si>
    <t>Startup_1524</t>
  </si>
  <si>
    <t>Startup_1525</t>
  </si>
  <si>
    <t>Startup_1526</t>
  </si>
  <si>
    <t>Startup_1527</t>
  </si>
  <si>
    <t>Startup_1528</t>
  </si>
  <si>
    <t>Startup_1529</t>
  </si>
  <si>
    <t>Startup_1530</t>
  </si>
  <si>
    <t>Startup_1531</t>
  </si>
  <si>
    <t>Startup_1532</t>
  </si>
  <si>
    <t>Startup_1533</t>
  </si>
  <si>
    <t>Startup_1534</t>
  </si>
  <si>
    <t>Startup_1535</t>
  </si>
  <si>
    <t>Startup_1536</t>
  </si>
  <si>
    <t>Startup_1537</t>
  </si>
  <si>
    <t>Startup_1538</t>
  </si>
  <si>
    <t>Startup_1539</t>
  </si>
  <si>
    <t>Startup_1540</t>
  </si>
  <si>
    <t>Startup_1541</t>
  </si>
  <si>
    <t>Startup_1542</t>
  </si>
  <si>
    <t>Startup_1543</t>
  </si>
  <si>
    <t>Startup_1544</t>
  </si>
  <si>
    <t>Startup_1545</t>
  </si>
  <si>
    <t>Startup_1546</t>
  </si>
  <si>
    <t>Startup_1547</t>
  </si>
  <si>
    <t>Startup_1548</t>
  </si>
  <si>
    <t>Startup_1549</t>
  </si>
  <si>
    <t>Startup_1550</t>
  </si>
  <si>
    <t>Startup_1551</t>
  </si>
  <si>
    <t>Startup_1552</t>
  </si>
  <si>
    <t>Startup_1553</t>
  </si>
  <si>
    <t>Startup_1554</t>
  </si>
  <si>
    <t>Startup_1555</t>
  </si>
  <si>
    <t>Startup_1556</t>
  </si>
  <si>
    <t>Startup_1557</t>
  </si>
  <si>
    <t>Startup_1558</t>
  </si>
  <si>
    <t>Startup_1559</t>
  </si>
  <si>
    <t>Startup_1560</t>
  </si>
  <si>
    <t>Startup_1561</t>
  </si>
  <si>
    <t>Startup_1562</t>
  </si>
  <si>
    <t>Startup_1563</t>
  </si>
  <si>
    <t>Startup_1564</t>
  </si>
  <si>
    <t>Startup_1565</t>
  </si>
  <si>
    <t>Startup_1566</t>
  </si>
  <si>
    <t>Startup_1567</t>
  </si>
  <si>
    <t>Startup_1568</t>
  </si>
  <si>
    <t>Startup_1569</t>
  </si>
  <si>
    <t>Startup_1570</t>
  </si>
  <si>
    <t>Startup_1571</t>
  </si>
  <si>
    <t>Startup_1572</t>
  </si>
  <si>
    <t>Startup_1573</t>
  </si>
  <si>
    <t>Startup_1574</t>
  </si>
  <si>
    <t>Startup_1575</t>
  </si>
  <si>
    <t>Startup_1576</t>
  </si>
  <si>
    <t>Startup_1577</t>
  </si>
  <si>
    <t>Startup_1578</t>
  </si>
  <si>
    <t>Startup_1579</t>
  </si>
  <si>
    <t>Startup_1580</t>
  </si>
  <si>
    <t>Startup_1581</t>
  </si>
  <si>
    <t>Startup_1582</t>
  </si>
  <si>
    <t>Startup_1583</t>
  </si>
  <si>
    <t>Startup_1584</t>
  </si>
  <si>
    <t>Startup_1585</t>
  </si>
  <si>
    <t>Startup_1586</t>
  </si>
  <si>
    <t>Startup_1587</t>
  </si>
  <si>
    <t>Startup_1588</t>
  </si>
  <si>
    <t>Startup_1589</t>
  </si>
  <si>
    <t>Startup_1590</t>
  </si>
  <si>
    <t>Startup_1591</t>
  </si>
  <si>
    <t>Startup_1592</t>
  </si>
  <si>
    <t>Startup_1593</t>
  </si>
  <si>
    <t>Startup_1594</t>
  </si>
  <si>
    <t>Startup_1595</t>
  </si>
  <si>
    <t>Startup_1596</t>
  </si>
  <si>
    <t>Startup_1597</t>
  </si>
  <si>
    <t>Startup_1598</t>
  </si>
  <si>
    <t>Startup_1599</t>
  </si>
  <si>
    <t>Startup_1600</t>
  </si>
  <si>
    <t>Startup_1601</t>
  </si>
  <si>
    <t>Startup_1602</t>
  </si>
  <si>
    <t>Startup_1603</t>
  </si>
  <si>
    <t>Startup_1604</t>
  </si>
  <si>
    <t>Startup_1605</t>
  </si>
  <si>
    <t>Startup_1606</t>
  </si>
  <si>
    <t>Startup_1607</t>
  </si>
  <si>
    <t>Startup_1608</t>
  </si>
  <si>
    <t>Startup_1609</t>
  </si>
  <si>
    <t>Startup_1610</t>
  </si>
  <si>
    <t>Startup_1611</t>
  </si>
  <si>
    <t>Startup_1612</t>
  </si>
  <si>
    <t>Startup_1613</t>
  </si>
  <si>
    <t>Startup_1614</t>
  </si>
  <si>
    <t>Startup_1615</t>
  </si>
  <si>
    <t>Startup_1616</t>
  </si>
  <si>
    <t>Startup_1617</t>
  </si>
  <si>
    <t>Startup_1618</t>
  </si>
  <si>
    <t>Startup_1619</t>
  </si>
  <si>
    <t>Startup_1620</t>
  </si>
  <si>
    <t>Startup_1621</t>
  </si>
  <si>
    <t>Startup_1622</t>
  </si>
  <si>
    <t>Startup_1623</t>
  </si>
  <si>
    <t>Startup_1624</t>
  </si>
  <si>
    <t>Startup_1625</t>
  </si>
  <si>
    <t>Startup_1626</t>
  </si>
  <si>
    <t>Startup_1627</t>
  </si>
  <si>
    <t>Startup_1628</t>
  </si>
  <si>
    <t>Startup_1629</t>
  </si>
  <si>
    <t>Startup_1630</t>
  </si>
  <si>
    <t>Startup_1631</t>
  </si>
  <si>
    <t>Startup_1632</t>
  </si>
  <si>
    <t>Startup_1633</t>
  </si>
  <si>
    <t>Startup_1634</t>
  </si>
  <si>
    <t>Startup_1635</t>
  </si>
  <si>
    <t>Startup_1636</t>
  </si>
  <si>
    <t>Startup_1637</t>
  </si>
  <si>
    <t>Startup_1638</t>
  </si>
  <si>
    <t>Startup_1639</t>
  </si>
  <si>
    <t>Startup_1640</t>
  </si>
  <si>
    <t>Startup_1641</t>
  </si>
  <si>
    <t>Startup_1642</t>
  </si>
  <si>
    <t>Startup_1643</t>
  </si>
  <si>
    <t>Startup_1644</t>
  </si>
  <si>
    <t>Startup_1645</t>
  </si>
  <si>
    <t>Startup_1646</t>
  </si>
  <si>
    <t>Startup_1647</t>
  </si>
  <si>
    <t>Startup_1648</t>
  </si>
  <si>
    <t>Startup_1649</t>
  </si>
  <si>
    <t>Startup_1650</t>
  </si>
  <si>
    <t>Startup_1651</t>
  </si>
  <si>
    <t>Startup_1652</t>
  </si>
  <si>
    <t>Startup_1653</t>
  </si>
  <si>
    <t>Startup_1654</t>
  </si>
  <si>
    <t>Startup_1655</t>
  </si>
  <si>
    <t>Startup_1656</t>
  </si>
  <si>
    <t>Startup_1657</t>
  </si>
  <si>
    <t>Startup_1658</t>
  </si>
  <si>
    <t>Startup_1659</t>
  </si>
  <si>
    <t>Startup_1660</t>
  </si>
  <si>
    <t>Startup_1661</t>
  </si>
  <si>
    <t>Startup_1662</t>
  </si>
  <si>
    <t>Startup_1663</t>
  </si>
  <si>
    <t>Startup_1664</t>
  </si>
  <si>
    <t>Startup_1665</t>
  </si>
  <si>
    <t>Startup_1666</t>
  </si>
  <si>
    <t>Startup_1667</t>
  </si>
  <si>
    <t>Startup_1668</t>
  </si>
  <si>
    <t>Startup_1669</t>
  </si>
  <si>
    <t>Startup_1670</t>
  </si>
  <si>
    <t>Startup_1671</t>
  </si>
  <si>
    <t>Startup_1672</t>
  </si>
  <si>
    <t>Startup_1673</t>
  </si>
  <si>
    <t>Startup_1674</t>
  </si>
  <si>
    <t>Startup_1675</t>
  </si>
  <si>
    <t>Startup_1676</t>
  </si>
  <si>
    <t>Startup_1677</t>
  </si>
  <si>
    <t>Startup_1678</t>
  </si>
  <si>
    <t>Startup_1679</t>
  </si>
  <si>
    <t>Startup_1680</t>
  </si>
  <si>
    <t>Startup_1681</t>
  </si>
  <si>
    <t>Startup_1682</t>
  </si>
  <si>
    <t>Startup_1683</t>
  </si>
  <si>
    <t>Startup_1684</t>
  </si>
  <si>
    <t>Startup_1685</t>
  </si>
  <si>
    <t>Startup_1686</t>
  </si>
  <si>
    <t>Startup_1687</t>
  </si>
  <si>
    <t>Startup_1688</t>
  </si>
  <si>
    <t>Startup_1689</t>
  </si>
  <si>
    <t>Startup_1690</t>
  </si>
  <si>
    <t>Startup_1691</t>
  </si>
  <si>
    <t>Startup_1692</t>
  </si>
  <si>
    <t>Startup_1693</t>
  </si>
  <si>
    <t>Startup_1694</t>
  </si>
  <si>
    <t>Startup_1695</t>
  </si>
  <si>
    <t>Startup_1696</t>
  </si>
  <si>
    <t>Startup_1697</t>
  </si>
  <si>
    <t>Startup_1698</t>
  </si>
  <si>
    <t>Startup_1699</t>
  </si>
  <si>
    <t>Startup_1700</t>
  </si>
  <si>
    <t>Startup_1701</t>
  </si>
  <si>
    <t>Startup_1702</t>
  </si>
  <si>
    <t>Startup_1703</t>
  </si>
  <si>
    <t>Startup_1704</t>
  </si>
  <si>
    <t>Startup_1705</t>
  </si>
  <si>
    <t>Startup_1706</t>
  </si>
  <si>
    <t>Startup_1707</t>
  </si>
  <si>
    <t>Startup_1708</t>
  </si>
  <si>
    <t>Startup_1709</t>
  </si>
  <si>
    <t>Startup_1710</t>
  </si>
  <si>
    <t>Startup_1711</t>
  </si>
  <si>
    <t>Startup_1712</t>
  </si>
  <si>
    <t>Startup_1713</t>
  </si>
  <si>
    <t>Startup_1714</t>
  </si>
  <si>
    <t>Startup_1715</t>
  </si>
  <si>
    <t>Startup_1716</t>
  </si>
  <si>
    <t>Startup_1717</t>
  </si>
  <si>
    <t>Startup_1718</t>
  </si>
  <si>
    <t>Startup_1719</t>
  </si>
  <si>
    <t>Startup_1720</t>
  </si>
  <si>
    <t>Startup_1721</t>
  </si>
  <si>
    <t>Startup_1722</t>
  </si>
  <si>
    <t>Startup_1723</t>
  </si>
  <si>
    <t>Startup_1724</t>
  </si>
  <si>
    <t>Startup_1725</t>
  </si>
  <si>
    <t>Startup_1726</t>
  </si>
  <si>
    <t>Startup_1727</t>
  </si>
  <si>
    <t>Startup_1728</t>
  </si>
  <si>
    <t>Startup_1729</t>
  </si>
  <si>
    <t>Startup_1730</t>
  </si>
  <si>
    <t>Startup_1731</t>
  </si>
  <si>
    <t>Startup_1732</t>
  </si>
  <si>
    <t>Startup_1733</t>
  </si>
  <si>
    <t>Startup_1734</t>
  </si>
  <si>
    <t>Startup_1735</t>
  </si>
  <si>
    <t>Startup_1736</t>
  </si>
  <si>
    <t>Startup_1737</t>
  </si>
  <si>
    <t>Startup_1738</t>
  </si>
  <si>
    <t>Startup_1739</t>
  </si>
  <si>
    <t>Startup_1740</t>
  </si>
  <si>
    <t>Startup_1741</t>
  </si>
  <si>
    <t>Startup_1742</t>
  </si>
  <si>
    <t>Startup_1743</t>
  </si>
  <si>
    <t>Startup_1744</t>
  </si>
  <si>
    <t>Startup_1745</t>
  </si>
  <si>
    <t>Startup_1746</t>
  </si>
  <si>
    <t>Startup_1747</t>
  </si>
  <si>
    <t>Startup_1748</t>
  </si>
  <si>
    <t>Startup_1749</t>
  </si>
  <si>
    <t>Startup_1750</t>
  </si>
  <si>
    <t>Startup_1751</t>
  </si>
  <si>
    <t>Startup_1752</t>
  </si>
  <si>
    <t>Startup_1753</t>
  </si>
  <si>
    <t>Startup_1754</t>
  </si>
  <si>
    <t>Startup_1755</t>
  </si>
  <si>
    <t>Startup_1756</t>
  </si>
  <si>
    <t>Startup_1757</t>
  </si>
  <si>
    <t>Startup_1758</t>
  </si>
  <si>
    <t>Startup_1759</t>
  </si>
  <si>
    <t>Startup_1760</t>
  </si>
  <si>
    <t>Startup_1761</t>
  </si>
  <si>
    <t>Startup_1762</t>
  </si>
  <si>
    <t>Startup_1763</t>
  </si>
  <si>
    <t>Startup_1764</t>
  </si>
  <si>
    <t>Startup_1765</t>
  </si>
  <si>
    <t>Startup_1766</t>
  </si>
  <si>
    <t>Startup_1767</t>
  </si>
  <si>
    <t>Startup_1768</t>
  </si>
  <si>
    <t>Startup_1769</t>
  </si>
  <si>
    <t>Startup_1770</t>
  </si>
  <si>
    <t>Startup_1771</t>
  </si>
  <si>
    <t>Startup_1772</t>
  </si>
  <si>
    <t>Startup_1773</t>
  </si>
  <si>
    <t>Startup_1774</t>
  </si>
  <si>
    <t>Startup_1775</t>
  </si>
  <si>
    <t>Startup_1776</t>
  </si>
  <si>
    <t>Startup_1777</t>
  </si>
  <si>
    <t>Startup_1778</t>
  </si>
  <si>
    <t>Startup_1779</t>
  </si>
  <si>
    <t>Startup_1780</t>
  </si>
  <si>
    <t>Startup_1781</t>
  </si>
  <si>
    <t>Startup_1782</t>
  </si>
  <si>
    <t>Startup_1783</t>
  </si>
  <si>
    <t>Startup_1784</t>
  </si>
  <si>
    <t>Startup_1785</t>
  </si>
  <si>
    <t>Startup_1786</t>
  </si>
  <si>
    <t>Startup_1787</t>
  </si>
  <si>
    <t>Startup_1788</t>
  </si>
  <si>
    <t>Startup_1789</t>
  </si>
  <si>
    <t>Startup_1790</t>
  </si>
  <si>
    <t>Startup_1791</t>
  </si>
  <si>
    <t>Startup_1792</t>
  </si>
  <si>
    <t>Startup_1793</t>
  </si>
  <si>
    <t>Startup_1794</t>
  </si>
  <si>
    <t>Startup_1795</t>
  </si>
  <si>
    <t>Startup_1796</t>
  </si>
  <si>
    <t>Startup_1797</t>
  </si>
  <si>
    <t>Startup_1798</t>
  </si>
  <si>
    <t>Startup_1799</t>
  </si>
  <si>
    <t>Startup_1800</t>
  </si>
  <si>
    <t>Startup_1801</t>
  </si>
  <si>
    <t>Startup_1802</t>
  </si>
  <si>
    <t>Startup_1803</t>
  </si>
  <si>
    <t>Startup_1804</t>
  </si>
  <si>
    <t>Startup_1805</t>
  </si>
  <si>
    <t>Startup_1806</t>
  </si>
  <si>
    <t>Startup_1807</t>
  </si>
  <si>
    <t>Startup_1808</t>
  </si>
  <si>
    <t>Startup_1809</t>
  </si>
  <si>
    <t>Startup_1810</t>
  </si>
  <si>
    <t>Startup_1811</t>
  </si>
  <si>
    <t>Startup_1812</t>
  </si>
  <si>
    <t>Startup_1813</t>
  </si>
  <si>
    <t>Startup_1814</t>
  </si>
  <si>
    <t>Startup_1815</t>
  </si>
  <si>
    <t>Startup_1816</t>
  </si>
  <si>
    <t>Startup_1817</t>
  </si>
  <si>
    <t>Startup_1818</t>
  </si>
  <si>
    <t>Startup_1819</t>
  </si>
  <si>
    <t>Startup_1820</t>
  </si>
  <si>
    <t>Startup_1821</t>
  </si>
  <si>
    <t>Startup_1822</t>
  </si>
  <si>
    <t>Startup_1823</t>
  </si>
  <si>
    <t>Startup_1824</t>
  </si>
  <si>
    <t>Startup_1825</t>
  </si>
  <si>
    <t>Startup_1826</t>
  </si>
  <si>
    <t>Startup_1827</t>
  </si>
  <si>
    <t>Startup_1828</t>
  </si>
  <si>
    <t>Startup_1829</t>
  </si>
  <si>
    <t>Startup_1830</t>
  </si>
  <si>
    <t>Startup_1831</t>
  </si>
  <si>
    <t>Startup_1832</t>
  </si>
  <si>
    <t>Startup_1833</t>
  </si>
  <si>
    <t>Startup_1834</t>
  </si>
  <si>
    <t>Startup_1835</t>
  </si>
  <si>
    <t>Startup_1836</t>
  </si>
  <si>
    <t>Startup_1837</t>
  </si>
  <si>
    <t>Startup_1838</t>
  </si>
  <si>
    <t>Startup_1839</t>
  </si>
  <si>
    <t>Startup_1840</t>
  </si>
  <si>
    <t>Startup_1841</t>
  </si>
  <si>
    <t>Startup_1842</t>
  </si>
  <si>
    <t>Startup_1843</t>
  </si>
  <si>
    <t>Startup_1844</t>
  </si>
  <si>
    <t>Startup_1845</t>
  </si>
  <si>
    <t>Startup_1846</t>
  </si>
  <si>
    <t>Startup_1847</t>
  </si>
  <si>
    <t>Startup_1848</t>
  </si>
  <si>
    <t>Startup_1849</t>
  </si>
  <si>
    <t>Startup_1850</t>
  </si>
  <si>
    <t>Startup_1851</t>
  </si>
  <si>
    <t>Startup_1852</t>
  </si>
  <si>
    <t>Startup_1853</t>
  </si>
  <si>
    <t>Startup_1854</t>
  </si>
  <si>
    <t>Startup_1855</t>
  </si>
  <si>
    <t>Startup_1856</t>
  </si>
  <si>
    <t>Startup_1857</t>
  </si>
  <si>
    <t>Startup_1858</t>
  </si>
  <si>
    <t>Startup_1859</t>
  </si>
  <si>
    <t>Startup_1860</t>
  </si>
  <si>
    <t>Startup_1861</t>
  </si>
  <si>
    <t>Startup_1862</t>
  </si>
  <si>
    <t>Startup_1863</t>
  </si>
  <si>
    <t>Startup_1864</t>
  </si>
  <si>
    <t>Startup_1865</t>
  </si>
  <si>
    <t>Startup_1866</t>
  </si>
  <si>
    <t>Startup_1867</t>
  </si>
  <si>
    <t>Startup_1868</t>
  </si>
  <si>
    <t>Startup_1869</t>
  </si>
  <si>
    <t>Startup_1870</t>
  </si>
  <si>
    <t>Startup_1871</t>
  </si>
  <si>
    <t>Startup_1872</t>
  </si>
  <si>
    <t>Startup_1873</t>
  </si>
  <si>
    <t>Startup_1874</t>
  </si>
  <si>
    <t>Startup_1875</t>
  </si>
  <si>
    <t>Startup_1876</t>
  </si>
  <si>
    <t>Startup_1877</t>
  </si>
  <si>
    <t>Startup_1878</t>
  </si>
  <si>
    <t>Startup_1879</t>
  </si>
  <si>
    <t>Startup_1880</t>
  </si>
  <si>
    <t>Startup_1881</t>
  </si>
  <si>
    <t>Startup_1882</t>
  </si>
  <si>
    <t>Startup_1883</t>
  </si>
  <si>
    <t>Startup_1884</t>
  </si>
  <si>
    <t>Startup_1885</t>
  </si>
  <si>
    <t>Startup_1886</t>
  </si>
  <si>
    <t>Startup_1887</t>
  </si>
  <si>
    <t>Startup_1888</t>
  </si>
  <si>
    <t>Startup_1889</t>
  </si>
  <si>
    <t>Startup_1890</t>
  </si>
  <si>
    <t>Startup_1891</t>
  </si>
  <si>
    <t>Startup_1892</t>
  </si>
  <si>
    <t>Startup_1893</t>
  </si>
  <si>
    <t>Startup_1894</t>
  </si>
  <si>
    <t>Startup_1895</t>
  </si>
  <si>
    <t>Startup_1896</t>
  </si>
  <si>
    <t>Startup_1897</t>
  </si>
  <si>
    <t>Startup_1898</t>
  </si>
  <si>
    <t>Startup_1899</t>
  </si>
  <si>
    <t>Startup_1900</t>
  </si>
  <si>
    <t>Startup_1901</t>
  </si>
  <si>
    <t>Startup_1902</t>
  </si>
  <si>
    <t>Startup_1903</t>
  </si>
  <si>
    <t>Startup_1904</t>
  </si>
  <si>
    <t>Startup_1905</t>
  </si>
  <si>
    <t>Startup_1906</t>
  </si>
  <si>
    <t>Startup_1907</t>
  </si>
  <si>
    <t>Startup_1908</t>
  </si>
  <si>
    <t>Startup_1909</t>
  </si>
  <si>
    <t>Startup_1910</t>
  </si>
  <si>
    <t>Startup_1911</t>
  </si>
  <si>
    <t>Startup_1912</t>
  </si>
  <si>
    <t>Startup_1913</t>
  </si>
  <si>
    <t>Startup_1914</t>
  </si>
  <si>
    <t>Startup_1915</t>
  </si>
  <si>
    <t>Startup_1916</t>
  </si>
  <si>
    <t>Startup_1917</t>
  </si>
  <si>
    <t>Startup_1918</t>
  </si>
  <si>
    <t>Startup_1919</t>
  </si>
  <si>
    <t>Startup_1920</t>
  </si>
  <si>
    <t>Startup_1921</t>
  </si>
  <si>
    <t>Startup_1922</t>
  </si>
  <si>
    <t>Startup_1923</t>
  </si>
  <si>
    <t>Startup_1924</t>
  </si>
  <si>
    <t>Startup_1925</t>
  </si>
  <si>
    <t>Startup_1926</t>
  </si>
  <si>
    <t>Startup_1927</t>
  </si>
  <si>
    <t>Startup_1928</t>
  </si>
  <si>
    <t>Startup_1929</t>
  </si>
  <si>
    <t>Startup_1930</t>
  </si>
  <si>
    <t>Startup_1931</t>
  </si>
  <si>
    <t>Startup_1932</t>
  </si>
  <si>
    <t>Startup_1933</t>
  </si>
  <si>
    <t>Startup_1934</t>
  </si>
  <si>
    <t>Startup_1935</t>
  </si>
  <si>
    <t>Startup_1936</t>
  </si>
  <si>
    <t>Startup_1937</t>
  </si>
  <si>
    <t>Startup_1938</t>
  </si>
  <si>
    <t>Startup_1939</t>
  </si>
  <si>
    <t>Startup_1940</t>
  </si>
  <si>
    <t>Startup_1941</t>
  </si>
  <si>
    <t>Startup_1942</t>
  </si>
  <si>
    <t>Startup_1943</t>
  </si>
  <si>
    <t>Startup_1944</t>
  </si>
  <si>
    <t>Startup_1945</t>
  </si>
  <si>
    <t>Startup_1946</t>
  </si>
  <si>
    <t>Startup_1947</t>
  </si>
  <si>
    <t>Startup_1948</t>
  </si>
  <si>
    <t>Startup_1949</t>
  </si>
  <si>
    <t>Startup_1950</t>
  </si>
  <si>
    <t>Startup_1951</t>
  </si>
  <si>
    <t>Startup_1952</t>
  </si>
  <si>
    <t>Startup_1953</t>
  </si>
  <si>
    <t>Startup_1954</t>
  </si>
  <si>
    <t>Startup_1955</t>
  </si>
  <si>
    <t>Startup_1956</t>
  </si>
  <si>
    <t>Startup_1957</t>
  </si>
  <si>
    <t>Startup_1958</t>
  </si>
  <si>
    <t>Startup_1959</t>
  </si>
  <si>
    <t>Startup_1960</t>
  </si>
  <si>
    <t>Startup_1961</t>
  </si>
  <si>
    <t>Startup_1962</t>
  </si>
  <si>
    <t>Startup_1963</t>
  </si>
  <si>
    <t>Startup_1964</t>
  </si>
  <si>
    <t>Startup_1965</t>
  </si>
  <si>
    <t>Startup_1966</t>
  </si>
  <si>
    <t>Startup_1967</t>
  </si>
  <si>
    <t>Startup_1968</t>
  </si>
  <si>
    <t>Startup_1969</t>
  </si>
  <si>
    <t>Startup_1970</t>
  </si>
  <si>
    <t>Startup_1971</t>
  </si>
  <si>
    <t>Startup_1972</t>
  </si>
  <si>
    <t>Startup_1973</t>
  </si>
  <si>
    <t>Startup_1974</t>
  </si>
  <si>
    <t>Startup_1975</t>
  </si>
  <si>
    <t>Startup_1976</t>
  </si>
  <si>
    <t>Startup_1977</t>
  </si>
  <si>
    <t>Startup_1978</t>
  </si>
  <si>
    <t>Startup_1979</t>
  </si>
  <si>
    <t>Startup_1980</t>
  </si>
  <si>
    <t>Startup_1981</t>
  </si>
  <si>
    <t>Startup_1982</t>
  </si>
  <si>
    <t>Startup_1983</t>
  </si>
  <si>
    <t>Startup_1984</t>
  </si>
  <si>
    <t>Startup_1985</t>
  </si>
  <si>
    <t>Startup_1986</t>
  </si>
  <si>
    <t>Startup_1987</t>
  </si>
  <si>
    <t>Startup_1988</t>
  </si>
  <si>
    <t>Startup_1989</t>
  </si>
  <si>
    <t>Startup_1990</t>
  </si>
  <si>
    <t>Startup_1991</t>
  </si>
  <si>
    <t>Startup_1992</t>
  </si>
  <si>
    <t>Startup_1993</t>
  </si>
  <si>
    <t>Startup_1994</t>
  </si>
  <si>
    <t>Startup_1995</t>
  </si>
  <si>
    <t>Startup_1996</t>
  </si>
  <si>
    <t>Startup_1997</t>
  </si>
  <si>
    <t>Startup_1998</t>
  </si>
  <si>
    <t>Startup_1999</t>
  </si>
  <si>
    <t>Startup_2000</t>
  </si>
  <si>
    <t>Startup_2001</t>
  </si>
  <si>
    <t>Startup_2002</t>
  </si>
  <si>
    <t>Startup_2003</t>
  </si>
  <si>
    <t>Startup_2004</t>
  </si>
  <si>
    <t>Startup_2005</t>
  </si>
  <si>
    <t>Startup_2006</t>
  </si>
  <si>
    <t>Startup_2007</t>
  </si>
  <si>
    <t>Startup_2008</t>
  </si>
  <si>
    <t>Startup_2009</t>
  </si>
  <si>
    <t>Startup_2010</t>
  </si>
  <si>
    <t>Startup_2011</t>
  </si>
  <si>
    <t>Startup_2012</t>
  </si>
  <si>
    <t>Startup_2013</t>
  </si>
  <si>
    <t>Startup_2014</t>
  </si>
  <si>
    <t>Startup_2015</t>
  </si>
  <si>
    <t>Startup_2016</t>
  </si>
  <si>
    <t>Startup_2017</t>
  </si>
  <si>
    <t>Startup_2018</t>
  </si>
  <si>
    <t>Startup_2019</t>
  </si>
  <si>
    <t>Startup_2020</t>
  </si>
  <si>
    <t>Startup_2021</t>
  </si>
  <si>
    <t>Startup_2022</t>
  </si>
  <si>
    <t>Startup_2023</t>
  </si>
  <si>
    <t>Startup_2024</t>
  </si>
  <si>
    <t>Startup_2025</t>
  </si>
  <si>
    <t>Startup_2026</t>
  </si>
  <si>
    <t>Startup_2027</t>
  </si>
  <si>
    <t>Startup_2028</t>
  </si>
  <si>
    <t>Startup_2029</t>
  </si>
  <si>
    <t>Startup_2030</t>
  </si>
  <si>
    <t>Startup_2031</t>
  </si>
  <si>
    <t>Startup_2032</t>
  </si>
  <si>
    <t>Startup_2033</t>
  </si>
  <si>
    <t>Startup_2034</t>
  </si>
  <si>
    <t>Startup_2035</t>
  </si>
  <si>
    <t>Startup_2036</t>
  </si>
  <si>
    <t>Startup_2037</t>
  </si>
  <si>
    <t>Startup_2038</t>
  </si>
  <si>
    <t>Startup_2039</t>
  </si>
  <si>
    <t>Startup_2040</t>
  </si>
  <si>
    <t>Startup_2041</t>
  </si>
  <si>
    <t>Startup_2042</t>
  </si>
  <si>
    <t>Startup_2043</t>
  </si>
  <si>
    <t>Startup_2044</t>
  </si>
  <si>
    <t>Startup_2045</t>
  </si>
  <si>
    <t>Startup_2046</t>
  </si>
  <si>
    <t>Startup_2047</t>
  </si>
  <si>
    <t>Startup_2048</t>
  </si>
  <si>
    <t>Startup_2049</t>
  </si>
  <si>
    <t>Startup_2050</t>
  </si>
  <si>
    <t>Startup_2051</t>
  </si>
  <si>
    <t>Startup_2052</t>
  </si>
  <si>
    <t>Startup_2053</t>
  </si>
  <si>
    <t>Startup_2054</t>
  </si>
  <si>
    <t>Startup_2055</t>
  </si>
  <si>
    <t>Startup_2056</t>
  </si>
  <si>
    <t>Startup_2057</t>
  </si>
  <si>
    <t>Startup_2058</t>
  </si>
  <si>
    <t>Startup_2059</t>
  </si>
  <si>
    <t>Startup_2060</t>
  </si>
  <si>
    <t>Startup_2061</t>
  </si>
  <si>
    <t>Startup_2062</t>
  </si>
  <si>
    <t>Startup_2063</t>
  </si>
  <si>
    <t>Startup_2064</t>
  </si>
  <si>
    <t>Startup_2065</t>
  </si>
  <si>
    <t>Startup_2066</t>
  </si>
  <si>
    <t>Startup_2067</t>
  </si>
  <si>
    <t>Startup_2068</t>
  </si>
  <si>
    <t>Startup_2069</t>
  </si>
  <si>
    <t>Startup_2070</t>
  </si>
  <si>
    <t>Startup_2071</t>
  </si>
  <si>
    <t>Startup_2072</t>
  </si>
  <si>
    <t>Startup_2073</t>
  </si>
  <si>
    <t>Startup_2074</t>
  </si>
  <si>
    <t>Startup_2075</t>
  </si>
  <si>
    <t>Startup_2076</t>
  </si>
  <si>
    <t>Startup_2077</t>
  </si>
  <si>
    <t>Startup_2078</t>
  </si>
  <si>
    <t>Startup_2079</t>
  </si>
  <si>
    <t>Startup_2080</t>
  </si>
  <si>
    <t>Startup_2081</t>
  </si>
  <si>
    <t>Startup_2082</t>
  </si>
  <si>
    <t>Startup_2083</t>
  </si>
  <si>
    <t>Startup_2084</t>
  </si>
  <si>
    <t>Startup_2085</t>
  </si>
  <si>
    <t>Startup_2086</t>
  </si>
  <si>
    <t>Startup_2087</t>
  </si>
  <si>
    <t>Startup_2088</t>
  </si>
  <si>
    <t>Startup_2089</t>
  </si>
  <si>
    <t>Startup_2090</t>
  </si>
  <si>
    <t>Startup_2091</t>
  </si>
  <si>
    <t>Startup_2092</t>
  </si>
  <si>
    <t>Startup_2093</t>
  </si>
  <si>
    <t>Startup_2094</t>
  </si>
  <si>
    <t>Startup_2095</t>
  </si>
  <si>
    <t>Startup_2096</t>
  </si>
  <si>
    <t>Startup_2097</t>
  </si>
  <si>
    <t>Startup_2098</t>
  </si>
  <si>
    <t>Startup_2099</t>
  </si>
  <si>
    <t>Startup_2100</t>
  </si>
  <si>
    <t>Startup_2101</t>
  </si>
  <si>
    <t>Startup_2102</t>
  </si>
  <si>
    <t>Startup_2103</t>
  </si>
  <si>
    <t>Startup_2104</t>
  </si>
  <si>
    <t>Startup_2105</t>
  </si>
  <si>
    <t>Startup_2106</t>
  </si>
  <si>
    <t>Startup_2107</t>
  </si>
  <si>
    <t>Startup_2108</t>
  </si>
  <si>
    <t>Startup_2109</t>
  </si>
  <si>
    <t>Startup_2110</t>
  </si>
  <si>
    <t>Startup_2111</t>
  </si>
  <si>
    <t>Startup_2112</t>
  </si>
  <si>
    <t>Startup_2113</t>
  </si>
  <si>
    <t>Startup_2114</t>
  </si>
  <si>
    <t>Startup_2115</t>
  </si>
  <si>
    <t>Startup_2116</t>
  </si>
  <si>
    <t>Startup_2117</t>
  </si>
  <si>
    <t>Startup_2118</t>
  </si>
  <si>
    <t>Startup_2119</t>
  </si>
  <si>
    <t>Startup_2120</t>
  </si>
  <si>
    <t>Startup_2121</t>
  </si>
  <si>
    <t>Startup_2122</t>
  </si>
  <si>
    <t>Startup_2123</t>
  </si>
  <si>
    <t>Startup_2124</t>
  </si>
  <si>
    <t>Startup_2125</t>
  </si>
  <si>
    <t>Startup_2126</t>
  </si>
  <si>
    <t>Startup_2127</t>
  </si>
  <si>
    <t>Startup_2128</t>
  </si>
  <si>
    <t>Startup_2129</t>
  </si>
  <si>
    <t>Startup_2130</t>
  </si>
  <si>
    <t>Startup_2131</t>
  </si>
  <si>
    <t>Startup_2132</t>
  </si>
  <si>
    <t>Startup_2133</t>
  </si>
  <si>
    <t>Startup_2134</t>
  </si>
  <si>
    <t>Startup_2135</t>
  </si>
  <si>
    <t>Startup_2136</t>
  </si>
  <si>
    <t>Startup_2137</t>
  </si>
  <si>
    <t>Startup_2138</t>
  </si>
  <si>
    <t>Startup_2139</t>
  </si>
  <si>
    <t>Startup_2140</t>
  </si>
  <si>
    <t>Startup_2141</t>
  </si>
  <si>
    <t>Startup_2142</t>
  </si>
  <si>
    <t>Startup_2143</t>
  </si>
  <si>
    <t>Startup_2144</t>
  </si>
  <si>
    <t>Startup_2145</t>
  </si>
  <si>
    <t>Startup_2146</t>
  </si>
  <si>
    <t>Startup_2147</t>
  </si>
  <si>
    <t>Startup_2148</t>
  </si>
  <si>
    <t>Startup_2149</t>
  </si>
  <si>
    <t>Startup_2150</t>
  </si>
  <si>
    <t>Startup_2151</t>
  </si>
  <si>
    <t>Startup_2152</t>
  </si>
  <si>
    <t>Startup_2153</t>
  </si>
  <si>
    <t>Startup_2154</t>
  </si>
  <si>
    <t>Startup_2155</t>
  </si>
  <si>
    <t>Startup_2156</t>
  </si>
  <si>
    <t>Startup_2157</t>
  </si>
  <si>
    <t>Startup_2158</t>
  </si>
  <si>
    <t>Startup_2159</t>
  </si>
  <si>
    <t>Startup_2160</t>
  </si>
  <si>
    <t>Startup_2161</t>
  </si>
  <si>
    <t>Startup_2162</t>
  </si>
  <si>
    <t>Startup_2163</t>
  </si>
  <si>
    <t>Startup_2164</t>
  </si>
  <si>
    <t>Startup_2165</t>
  </si>
  <si>
    <t>Startup_2166</t>
  </si>
  <si>
    <t>Startup_2167</t>
  </si>
  <si>
    <t>Startup_2168</t>
  </si>
  <si>
    <t>Startup_2169</t>
  </si>
  <si>
    <t>Startup_2170</t>
  </si>
  <si>
    <t>Startup_2171</t>
  </si>
  <si>
    <t>Startup_2172</t>
  </si>
  <si>
    <t>Startup_2173</t>
  </si>
  <si>
    <t>Startup_2174</t>
  </si>
  <si>
    <t>Startup_2175</t>
  </si>
  <si>
    <t>Startup_2176</t>
  </si>
  <si>
    <t>Startup_2177</t>
  </si>
  <si>
    <t>Startup_2178</t>
  </si>
  <si>
    <t>Startup_2179</t>
  </si>
  <si>
    <t>Startup_2180</t>
  </si>
  <si>
    <t>Startup_2181</t>
  </si>
  <si>
    <t>Startup_2182</t>
  </si>
  <si>
    <t>Startup_2183</t>
  </si>
  <si>
    <t>Startup_2184</t>
  </si>
  <si>
    <t>Startup_2185</t>
  </si>
  <si>
    <t>Startup_2186</t>
  </si>
  <si>
    <t>Startup_2187</t>
  </si>
  <si>
    <t>Startup_2188</t>
  </si>
  <si>
    <t>Startup_2189</t>
  </si>
  <si>
    <t>Startup_2190</t>
  </si>
  <si>
    <t>Startup_2191</t>
  </si>
  <si>
    <t>Startup_2192</t>
  </si>
  <si>
    <t>Startup_2193</t>
  </si>
  <si>
    <t>Startup_2194</t>
  </si>
  <si>
    <t>Startup_2195</t>
  </si>
  <si>
    <t>Startup_2196</t>
  </si>
  <si>
    <t>Startup_2197</t>
  </si>
  <si>
    <t>Startup_2198</t>
  </si>
  <si>
    <t>Startup_2199</t>
  </si>
  <si>
    <t>Startup_2200</t>
  </si>
  <si>
    <t>Startup_2201</t>
  </si>
  <si>
    <t>Startup_2202</t>
  </si>
  <si>
    <t>Startup_2203</t>
  </si>
  <si>
    <t>Startup_2204</t>
  </si>
  <si>
    <t>Startup_2205</t>
  </si>
  <si>
    <t>Startup_2206</t>
  </si>
  <si>
    <t>Startup_2207</t>
  </si>
  <si>
    <t>Startup_2208</t>
  </si>
  <si>
    <t>Startup_2209</t>
  </si>
  <si>
    <t>Startup_2210</t>
  </si>
  <si>
    <t>Startup_2211</t>
  </si>
  <si>
    <t>Startup_2212</t>
  </si>
  <si>
    <t>Startup_2213</t>
  </si>
  <si>
    <t>Startup_2214</t>
  </si>
  <si>
    <t>Startup_2215</t>
  </si>
  <si>
    <t>Startup_2216</t>
  </si>
  <si>
    <t>Startup_2217</t>
  </si>
  <si>
    <t>Startup_2218</t>
  </si>
  <si>
    <t>Startup_2219</t>
  </si>
  <si>
    <t>Startup_2220</t>
  </si>
  <si>
    <t>Startup_2221</t>
  </si>
  <si>
    <t>Startup_2222</t>
  </si>
  <si>
    <t>Startup_2223</t>
  </si>
  <si>
    <t>Startup_2224</t>
  </si>
  <si>
    <t>Startup_2225</t>
  </si>
  <si>
    <t>Startup_2226</t>
  </si>
  <si>
    <t>Startup_2227</t>
  </si>
  <si>
    <t>Startup_2228</t>
  </si>
  <si>
    <t>Startup_2229</t>
  </si>
  <si>
    <t>Startup_2230</t>
  </si>
  <si>
    <t>Startup_2231</t>
  </si>
  <si>
    <t>Startup_2232</t>
  </si>
  <si>
    <t>Startup_2233</t>
  </si>
  <si>
    <t>Startup_2234</t>
  </si>
  <si>
    <t>Startup_2235</t>
  </si>
  <si>
    <t>Startup_2236</t>
  </si>
  <si>
    <t>Startup_2237</t>
  </si>
  <si>
    <t>Startup_2238</t>
  </si>
  <si>
    <t>Startup_2239</t>
  </si>
  <si>
    <t>Startup_2240</t>
  </si>
  <si>
    <t>Startup_2241</t>
  </si>
  <si>
    <t>Startup_2242</t>
  </si>
  <si>
    <t>Startup_2243</t>
  </si>
  <si>
    <t>Startup_2244</t>
  </si>
  <si>
    <t>Startup_2245</t>
  </si>
  <si>
    <t>Startup_2246</t>
  </si>
  <si>
    <t>Startup_2247</t>
  </si>
  <si>
    <t>Startup_2248</t>
  </si>
  <si>
    <t>Startup_2249</t>
  </si>
  <si>
    <t>Startup_2250</t>
  </si>
  <si>
    <t>Startup_2251</t>
  </si>
  <si>
    <t>Startup_2252</t>
  </si>
  <si>
    <t>Startup_2253</t>
  </si>
  <si>
    <t>Startup_2254</t>
  </si>
  <si>
    <t>Startup_2255</t>
  </si>
  <si>
    <t>Startup_2256</t>
  </si>
  <si>
    <t>Startup_2257</t>
  </si>
  <si>
    <t>Startup_2258</t>
  </si>
  <si>
    <t>Startup_2259</t>
  </si>
  <si>
    <t>Startup_2260</t>
  </si>
  <si>
    <t>Startup_2261</t>
  </si>
  <si>
    <t>Startup_2262</t>
  </si>
  <si>
    <t>Startup_2263</t>
  </si>
  <si>
    <t>Startup_2264</t>
  </si>
  <si>
    <t>Startup_2265</t>
  </si>
  <si>
    <t>Startup_2266</t>
  </si>
  <si>
    <t>Startup_2267</t>
  </si>
  <si>
    <t>Startup_2268</t>
  </si>
  <si>
    <t>Startup_2269</t>
  </si>
  <si>
    <t>Startup_2270</t>
  </si>
  <si>
    <t>Startup_2271</t>
  </si>
  <si>
    <t>Startup_2272</t>
  </si>
  <si>
    <t>Startup_2273</t>
  </si>
  <si>
    <t>Startup_2274</t>
  </si>
  <si>
    <t>Startup_2275</t>
  </si>
  <si>
    <t>Startup_2276</t>
  </si>
  <si>
    <t>Startup_2277</t>
  </si>
  <si>
    <t>Startup_2278</t>
  </si>
  <si>
    <t>Startup_2279</t>
  </si>
  <si>
    <t>Startup_2280</t>
  </si>
  <si>
    <t>Startup_2281</t>
  </si>
  <si>
    <t>Startup_2282</t>
  </si>
  <si>
    <t>Startup_2283</t>
  </si>
  <si>
    <t>Startup_2284</t>
  </si>
  <si>
    <t>Startup_2285</t>
  </si>
  <si>
    <t>Startup_2286</t>
  </si>
  <si>
    <t>Startup_2287</t>
  </si>
  <si>
    <t>Startup_2288</t>
  </si>
  <si>
    <t>Startup_2289</t>
  </si>
  <si>
    <t>Startup_2290</t>
  </si>
  <si>
    <t>Startup_2291</t>
  </si>
  <si>
    <t>Startup_2292</t>
  </si>
  <si>
    <t>Startup_2293</t>
  </si>
  <si>
    <t>Startup_2294</t>
  </si>
  <si>
    <t>Startup_2295</t>
  </si>
  <si>
    <t>Startup_2296</t>
  </si>
  <si>
    <t>Startup_2297</t>
  </si>
  <si>
    <t>Startup_2298</t>
  </si>
  <si>
    <t>Startup_2299</t>
  </si>
  <si>
    <t>Startup_2300</t>
  </si>
  <si>
    <t>Startup_2301</t>
  </si>
  <si>
    <t>Startup_2302</t>
  </si>
  <si>
    <t>Startup_2303</t>
  </si>
  <si>
    <t>Startup_2304</t>
  </si>
  <si>
    <t>Startup_2305</t>
  </si>
  <si>
    <t>Startup_2306</t>
  </si>
  <si>
    <t>Startup_2307</t>
  </si>
  <si>
    <t>Startup_2308</t>
  </si>
  <si>
    <t>Startup_2309</t>
  </si>
  <si>
    <t>Startup_2310</t>
  </si>
  <si>
    <t>Startup_2311</t>
  </si>
  <si>
    <t>Startup_2312</t>
  </si>
  <si>
    <t>Startup_2313</t>
  </si>
  <si>
    <t>Startup_2314</t>
  </si>
  <si>
    <t>Startup_2315</t>
  </si>
  <si>
    <t>Startup_2316</t>
  </si>
  <si>
    <t>Startup_2317</t>
  </si>
  <si>
    <t>Startup_2318</t>
  </si>
  <si>
    <t>Startup_2319</t>
  </si>
  <si>
    <t>Startup_2320</t>
  </si>
  <si>
    <t>Startup_2321</t>
  </si>
  <si>
    <t>Startup_2322</t>
  </si>
  <si>
    <t>Startup_2323</t>
  </si>
  <si>
    <t>Startup_2324</t>
  </si>
  <si>
    <t>Startup_2325</t>
  </si>
  <si>
    <t>Startup_2326</t>
  </si>
  <si>
    <t>Startup_2327</t>
  </si>
  <si>
    <t>Startup_2328</t>
  </si>
  <si>
    <t>Startup_2329</t>
  </si>
  <si>
    <t>Startup_2330</t>
  </si>
  <si>
    <t>Startup_2331</t>
  </si>
  <si>
    <t>Startup_2332</t>
  </si>
  <si>
    <t>Startup_2333</t>
  </si>
  <si>
    <t>Startup_2334</t>
  </si>
  <si>
    <t>Startup_2335</t>
  </si>
  <si>
    <t>Startup_2336</t>
  </si>
  <si>
    <t>Startup_2337</t>
  </si>
  <si>
    <t>Startup_2338</t>
  </si>
  <si>
    <t>Startup_2339</t>
  </si>
  <si>
    <t>Startup_2340</t>
  </si>
  <si>
    <t>Startup_2341</t>
  </si>
  <si>
    <t>Startup_2342</t>
  </si>
  <si>
    <t>Startup_2343</t>
  </si>
  <si>
    <t>Startup_2344</t>
  </si>
  <si>
    <t>Startup_2345</t>
  </si>
  <si>
    <t>Startup_2346</t>
  </si>
  <si>
    <t>Startup_2347</t>
  </si>
  <si>
    <t>Startup_2348</t>
  </si>
  <si>
    <t>Startup_2349</t>
  </si>
  <si>
    <t>Startup_2350</t>
  </si>
  <si>
    <t>Startup_2351</t>
  </si>
  <si>
    <t>Startup_2352</t>
  </si>
  <si>
    <t>Startup_2353</t>
  </si>
  <si>
    <t>Startup_2354</t>
  </si>
  <si>
    <t>Startup_2355</t>
  </si>
  <si>
    <t>Startup_2356</t>
  </si>
  <si>
    <t>Startup_2357</t>
  </si>
  <si>
    <t>Startup_2358</t>
  </si>
  <si>
    <t>Startup_2359</t>
  </si>
  <si>
    <t>Startup_2360</t>
  </si>
  <si>
    <t>Startup_2361</t>
  </si>
  <si>
    <t>Startup_2362</t>
  </si>
  <si>
    <t>Startup_2363</t>
  </si>
  <si>
    <t>Startup_2364</t>
  </si>
  <si>
    <t>Startup_2365</t>
  </si>
  <si>
    <t>Startup_2366</t>
  </si>
  <si>
    <t>Startup_2367</t>
  </si>
  <si>
    <t>Startup_2368</t>
  </si>
  <si>
    <t>Startup_2369</t>
  </si>
  <si>
    <t>Startup_2370</t>
  </si>
  <si>
    <t>Startup_2371</t>
  </si>
  <si>
    <t>Startup_2372</t>
  </si>
  <si>
    <t>Startup_2373</t>
  </si>
  <si>
    <t>Startup_2374</t>
  </si>
  <si>
    <t>Startup_2375</t>
  </si>
  <si>
    <t>Startup_2376</t>
  </si>
  <si>
    <t>Startup_2377</t>
  </si>
  <si>
    <t>Startup_2378</t>
  </si>
  <si>
    <t>Startup_2379</t>
  </si>
  <si>
    <t>Startup_2380</t>
  </si>
  <si>
    <t>Startup_2381</t>
  </si>
  <si>
    <t>Startup_2382</t>
  </si>
  <si>
    <t>Startup_2383</t>
  </si>
  <si>
    <t>Startup_2384</t>
  </si>
  <si>
    <t>Startup_2385</t>
  </si>
  <si>
    <t>Startup_2386</t>
  </si>
  <si>
    <t>Startup_2387</t>
  </si>
  <si>
    <t>Startup_2388</t>
  </si>
  <si>
    <t>Startup_2389</t>
  </si>
  <si>
    <t>Startup_2390</t>
  </si>
  <si>
    <t>Startup_2391</t>
  </si>
  <si>
    <t>Startup_2392</t>
  </si>
  <si>
    <t>Startup_2393</t>
  </si>
  <si>
    <t>Startup_2394</t>
  </si>
  <si>
    <t>Startup_2395</t>
  </si>
  <si>
    <t>Startup_2396</t>
  </si>
  <si>
    <t>Startup_2397</t>
  </si>
  <si>
    <t>Startup_2398</t>
  </si>
  <si>
    <t>Startup_2399</t>
  </si>
  <si>
    <t>Startup_2400</t>
  </si>
  <si>
    <t>Startup_2401</t>
  </si>
  <si>
    <t>Startup_2402</t>
  </si>
  <si>
    <t>Startup_2403</t>
  </si>
  <si>
    <t>Startup_2404</t>
  </si>
  <si>
    <t>Startup_2405</t>
  </si>
  <si>
    <t>Startup_2406</t>
  </si>
  <si>
    <t>Startup_2407</t>
  </si>
  <si>
    <t>Startup_2408</t>
  </si>
  <si>
    <t>Startup_2409</t>
  </si>
  <si>
    <t>Startup_2410</t>
  </si>
  <si>
    <t>Startup_2411</t>
  </si>
  <si>
    <t>Startup_2412</t>
  </si>
  <si>
    <t>Startup_2413</t>
  </si>
  <si>
    <t>Startup_2414</t>
  </si>
  <si>
    <t>Startup_2415</t>
  </si>
  <si>
    <t>Startup_2416</t>
  </si>
  <si>
    <t>Startup_2417</t>
  </si>
  <si>
    <t>Startup_2418</t>
  </si>
  <si>
    <t>Startup_2419</t>
  </si>
  <si>
    <t>Startup_2420</t>
  </si>
  <si>
    <t>Startup_2421</t>
  </si>
  <si>
    <t>Startup_2422</t>
  </si>
  <si>
    <t>Startup_2423</t>
  </si>
  <si>
    <t>Startup_2424</t>
  </si>
  <si>
    <t>Startup_2425</t>
  </si>
  <si>
    <t>Startup_2426</t>
  </si>
  <si>
    <t>Startup_2427</t>
  </si>
  <si>
    <t>Startup_2428</t>
  </si>
  <si>
    <t>Startup_2429</t>
  </si>
  <si>
    <t>Startup_2430</t>
  </si>
  <si>
    <t>Startup_2431</t>
  </si>
  <si>
    <t>Startup_2432</t>
  </si>
  <si>
    <t>Startup_2433</t>
  </si>
  <si>
    <t>Startup_2434</t>
  </si>
  <si>
    <t>Startup_2435</t>
  </si>
  <si>
    <t>Startup_2436</t>
  </si>
  <si>
    <t>Startup_2437</t>
  </si>
  <si>
    <t>Startup_2438</t>
  </si>
  <si>
    <t>Startup_2439</t>
  </si>
  <si>
    <t>Startup_2440</t>
  </si>
  <si>
    <t>Startup_2441</t>
  </si>
  <si>
    <t>Startup_2442</t>
  </si>
  <si>
    <t>Startup_2443</t>
  </si>
  <si>
    <t>Startup_2444</t>
  </si>
  <si>
    <t>Startup_2445</t>
  </si>
  <si>
    <t>Startup_2446</t>
  </si>
  <si>
    <t>Startup_2447</t>
  </si>
  <si>
    <t>Startup_2448</t>
  </si>
  <si>
    <t>Startup_2449</t>
  </si>
  <si>
    <t>Startup_2450</t>
  </si>
  <si>
    <t>Startup_2451</t>
  </si>
  <si>
    <t>Startup_2452</t>
  </si>
  <si>
    <t>Startup_2453</t>
  </si>
  <si>
    <t>Startup_2454</t>
  </si>
  <si>
    <t>Startup_2455</t>
  </si>
  <si>
    <t>Startup_2456</t>
  </si>
  <si>
    <t>Startup_2457</t>
  </si>
  <si>
    <t>Startup_2458</t>
  </si>
  <si>
    <t>Startup_2459</t>
  </si>
  <si>
    <t>Startup_2460</t>
  </si>
  <si>
    <t>Startup_2461</t>
  </si>
  <si>
    <t>Startup_2462</t>
  </si>
  <si>
    <t>Startup_2463</t>
  </si>
  <si>
    <t>Startup_2464</t>
  </si>
  <si>
    <t>Startup_2465</t>
  </si>
  <si>
    <t>Startup_2466</t>
  </si>
  <si>
    <t>Startup_2467</t>
  </si>
  <si>
    <t>Startup_2468</t>
  </si>
  <si>
    <t>Startup_2469</t>
  </si>
  <si>
    <t>Startup_2470</t>
  </si>
  <si>
    <t>Startup_2471</t>
  </si>
  <si>
    <t>Startup_2472</t>
  </si>
  <si>
    <t>Startup_2473</t>
  </si>
  <si>
    <t>Startup_2474</t>
  </si>
  <si>
    <t>Startup_2475</t>
  </si>
  <si>
    <t>Startup_2476</t>
  </si>
  <si>
    <t>Startup_2477</t>
  </si>
  <si>
    <t>Startup_2478</t>
  </si>
  <si>
    <t>Startup_2479</t>
  </si>
  <si>
    <t>Startup_2480</t>
  </si>
  <si>
    <t>Startup_2481</t>
  </si>
  <si>
    <t>Startup_2482</t>
  </si>
  <si>
    <t>Startup_2483</t>
  </si>
  <si>
    <t>Startup_2484</t>
  </si>
  <si>
    <t>Startup_2485</t>
  </si>
  <si>
    <t>Startup_2486</t>
  </si>
  <si>
    <t>Startup_2487</t>
  </si>
  <si>
    <t>Startup_2488</t>
  </si>
  <si>
    <t>Startup_2489</t>
  </si>
  <si>
    <t>Startup_2490</t>
  </si>
  <si>
    <t>Startup_2491</t>
  </si>
  <si>
    <t>Startup_2492</t>
  </si>
  <si>
    <t>Startup_2493</t>
  </si>
  <si>
    <t>Startup_2494</t>
  </si>
  <si>
    <t>Startup_2495</t>
  </si>
  <si>
    <t>Startup_2496</t>
  </si>
  <si>
    <t>Startup_2497</t>
  </si>
  <si>
    <t>Startup_2498</t>
  </si>
  <si>
    <t>Startup_2499</t>
  </si>
  <si>
    <t>Startup_2500</t>
  </si>
  <si>
    <t>Startup_2501</t>
  </si>
  <si>
    <t>Startup_2502</t>
  </si>
  <si>
    <t>Startup_2503</t>
  </si>
  <si>
    <t>Startup_2504</t>
  </si>
  <si>
    <t>Startup_2505</t>
  </si>
  <si>
    <t>Startup_2506</t>
  </si>
  <si>
    <t>Startup_2507</t>
  </si>
  <si>
    <t>Startup_2508</t>
  </si>
  <si>
    <t>Startup_2509</t>
  </si>
  <si>
    <t>Startup_2510</t>
  </si>
  <si>
    <t>Startup_2511</t>
  </si>
  <si>
    <t>Startup_2512</t>
  </si>
  <si>
    <t>Startup_2513</t>
  </si>
  <si>
    <t>Startup_2514</t>
  </si>
  <si>
    <t>Startup_2515</t>
  </si>
  <si>
    <t>Startup_2516</t>
  </si>
  <si>
    <t>Startup_2517</t>
  </si>
  <si>
    <t>Startup_2518</t>
  </si>
  <si>
    <t>Startup_2519</t>
  </si>
  <si>
    <t>Startup_2520</t>
  </si>
  <si>
    <t>Startup_2521</t>
  </si>
  <si>
    <t>Startup_2522</t>
  </si>
  <si>
    <t>Startup_2523</t>
  </si>
  <si>
    <t>Startup_2524</t>
  </si>
  <si>
    <t>Startup_2525</t>
  </si>
  <si>
    <t>Startup_2526</t>
  </si>
  <si>
    <t>Startup_2527</t>
  </si>
  <si>
    <t>Startup_2528</t>
  </si>
  <si>
    <t>Startup_2529</t>
  </si>
  <si>
    <t>Startup_2530</t>
  </si>
  <si>
    <t>Startup_2531</t>
  </si>
  <si>
    <t>Startup_2532</t>
  </si>
  <si>
    <t>Startup_2533</t>
  </si>
  <si>
    <t>Startup_2534</t>
  </si>
  <si>
    <t>Startup_2535</t>
  </si>
  <si>
    <t>Startup_2536</t>
  </si>
  <si>
    <t>Startup_2537</t>
  </si>
  <si>
    <t>Startup_2538</t>
  </si>
  <si>
    <t>Startup_2539</t>
  </si>
  <si>
    <t>Startup_2540</t>
  </si>
  <si>
    <t>Startup_2541</t>
  </si>
  <si>
    <t>Startup_2542</t>
  </si>
  <si>
    <t>Startup_2543</t>
  </si>
  <si>
    <t>Startup_2544</t>
  </si>
  <si>
    <t>Startup_2545</t>
  </si>
  <si>
    <t>Startup_2546</t>
  </si>
  <si>
    <t>Startup_2547</t>
  </si>
  <si>
    <t>Startup_2548</t>
  </si>
  <si>
    <t>Startup_2549</t>
  </si>
  <si>
    <t>Startup_2550</t>
  </si>
  <si>
    <t>Startup_2551</t>
  </si>
  <si>
    <t>Startup_2552</t>
  </si>
  <si>
    <t>Startup_2553</t>
  </si>
  <si>
    <t>Startup_2554</t>
  </si>
  <si>
    <t>Startup_2555</t>
  </si>
  <si>
    <t>Startup_2556</t>
  </si>
  <si>
    <t>Startup_2557</t>
  </si>
  <si>
    <t>Startup_2558</t>
  </si>
  <si>
    <t>Startup_2559</t>
  </si>
  <si>
    <t>Startup_2560</t>
  </si>
  <si>
    <t>Startup_2561</t>
  </si>
  <si>
    <t>Startup_2562</t>
  </si>
  <si>
    <t>Startup_2563</t>
  </si>
  <si>
    <t>Startup_2564</t>
  </si>
  <si>
    <t>Startup_2565</t>
  </si>
  <si>
    <t>Startup_2566</t>
  </si>
  <si>
    <t>Startup_2567</t>
  </si>
  <si>
    <t>Startup_2568</t>
  </si>
  <si>
    <t>Startup_2569</t>
  </si>
  <si>
    <t>Startup_2570</t>
  </si>
  <si>
    <t>Startup_2571</t>
  </si>
  <si>
    <t>Startup_2572</t>
  </si>
  <si>
    <t>Startup_2573</t>
  </si>
  <si>
    <t>Startup_2574</t>
  </si>
  <si>
    <t>Startup_2575</t>
  </si>
  <si>
    <t>Startup_2576</t>
  </si>
  <si>
    <t>Startup_2577</t>
  </si>
  <si>
    <t>Startup_2578</t>
  </si>
  <si>
    <t>Startup_2579</t>
  </si>
  <si>
    <t>Startup_2580</t>
  </si>
  <si>
    <t>Startup_2581</t>
  </si>
  <si>
    <t>Startup_2582</t>
  </si>
  <si>
    <t>Startup_2583</t>
  </si>
  <si>
    <t>Startup_2584</t>
  </si>
  <si>
    <t>Startup_2585</t>
  </si>
  <si>
    <t>Startup_2586</t>
  </si>
  <si>
    <t>Startup_2587</t>
  </si>
  <si>
    <t>Startup_2588</t>
  </si>
  <si>
    <t>Startup_2589</t>
  </si>
  <si>
    <t>Startup_2590</t>
  </si>
  <si>
    <t>Startup_2591</t>
  </si>
  <si>
    <t>Startup_2592</t>
  </si>
  <si>
    <t>Startup_2593</t>
  </si>
  <si>
    <t>Startup_2594</t>
  </si>
  <si>
    <t>Startup_2595</t>
  </si>
  <si>
    <t>Startup_2596</t>
  </si>
  <si>
    <t>Startup_2597</t>
  </si>
  <si>
    <t>Startup_2598</t>
  </si>
  <si>
    <t>Startup_2599</t>
  </si>
  <si>
    <t>Startup_2600</t>
  </si>
  <si>
    <t>Startup_2601</t>
  </si>
  <si>
    <t>Startup_2602</t>
  </si>
  <si>
    <t>Startup_2603</t>
  </si>
  <si>
    <t>Startup_2604</t>
  </si>
  <si>
    <t>Startup_2605</t>
  </si>
  <si>
    <t>Startup_2606</t>
  </si>
  <si>
    <t>Startup_2607</t>
  </si>
  <si>
    <t>Startup_2608</t>
  </si>
  <si>
    <t>Startup_2609</t>
  </si>
  <si>
    <t>Startup_2610</t>
  </si>
  <si>
    <t>Startup_2611</t>
  </si>
  <si>
    <t>Startup_2612</t>
  </si>
  <si>
    <t>Startup_2613</t>
  </si>
  <si>
    <t>Startup_2614</t>
  </si>
  <si>
    <t>Startup_2615</t>
  </si>
  <si>
    <t>Startup_2616</t>
  </si>
  <si>
    <t>Startup_2617</t>
  </si>
  <si>
    <t>Startup_2618</t>
  </si>
  <si>
    <t>Startup_2619</t>
  </si>
  <si>
    <t>Startup_2620</t>
  </si>
  <si>
    <t>Startup_2621</t>
  </si>
  <si>
    <t>Startup_2622</t>
  </si>
  <si>
    <t>Startup_2623</t>
  </si>
  <si>
    <t>Startup_2624</t>
  </si>
  <si>
    <t>Startup_2625</t>
  </si>
  <si>
    <t>Startup_2626</t>
  </si>
  <si>
    <t>Startup_2627</t>
  </si>
  <si>
    <t>Startup_2628</t>
  </si>
  <si>
    <t>Startup_2629</t>
  </si>
  <si>
    <t>Startup_2630</t>
  </si>
  <si>
    <t>Startup_2631</t>
  </si>
  <si>
    <t>Startup_2632</t>
  </si>
  <si>
    <t>Startup_2633</t>
  </si>
  <si>
    <t>Startup_2634</t>
  </si>
  <si>
    <t>Startup_2635</t>
  </si>
  <si>
    <t>Startup_2636</t>
  </si>
  <si>
    <t>Startup_2637</t>
  </si>
  <si>
    <t>Startup_2638</t>
  </si>
  <si>
    <t>Startup_2639</t>
  </si>
  <si>
    <t>Startup_2640</t>
  </si>
  <si>
    <t>Startup_2641</t>
  </si>
  <si>
    <t>Startup_2642</t>
  </si>
  <si>
    <t>Startup_2643</t>
  </si>
  <si>
    <t>Startup_2644</t>
  </si>
  <si>
    <t>Startup_2645</t>
  </si>
  <si>
    <t>Startup_2646</t>
  </si>
  <si>
    <t>Startup_2647</t>
  </si>
  <si>
    <t>Startup_2648</t>
  </si>
  <si>
    <t>Startup_2649</t>
  </si>
  <si>
    <t>Startup_2650</t>
  </si>
  <si>
    <t>Startup_2651</t>
  </si>
  <si>
    <t>Startup_2652</t>
  </si>
  <si>
    <t>Startup_2653</t>
  </si>
  <si>
    <t>Startup_2654</t>
  </si>
  <si>
    <t>Startup_2655</t>
  </si>
  <si>
    <t>Startup_2656</t>
  </si>
  <si>
    <t>Startup_2657</t>
  </si>
  <si>
    <t>Startup_2658</t>
  </si>
  <si>
    <t>Startup_2659</t>
  </si>
  <si>
    <t>Startup_2660</t>
  </si>
  <si>
    <t>Startup_2661</t>
  </si>
  <si>
    <t>Startup_2662</t>
  </si>
  <si>
    <t>Startup_2663</t>
  </si>
  <si>
    <t>Startup_2664</t>
  </si>
  <si>
    <t>Startup_2665</t>
  </si>
  <si>
    <t>Startup_2666</t>
  </si>
  <si>
    <t>Startup_2667</t>
  </si>
  <si>
    <t>Startup_2668</t>
  </si>
  <si>
    <t>Startup_2669</t>
  </si>
  <si>
    <t>Startup_2670</t>
  </si>
  <si>
    <t>Startup_2671</t>
  </si>
  <si>
    <t>Startup_2672</t>
  </si>
  <si>
    <t>Startup_2673</t>
  </si>
  <si>
    <t>Startup_2674</t>
  </si>
  <si>
    <t>Startup_2675</t>
  </si>
  <si>
    <t>Startup_2676</t>
  </si>
  <si>
    <t>Startup_2677</t>
  </si>
  <si>
    <t>Startup_2678</t>
  </si>
  <si>
    <t>Startup_2679</t>
  </si>
  <si>
    <t>Startup_2680</t>
  </si>
  <si>
    <t>Startup_2681</t>
  </si>
  <si>
    <t>Startup_2682</t>
  </si>
  <si>
    <t>Startup_2683</t>
  </si>
  <si>
    <t>Startup_2684</t>
  </si>
  <si>
    <t>Startup_2685</t>
  </si>
  <si>
    <t>Startup_2686</t>
  </si>
  <si>
    <t>Startup_2687</t>
  </si>
  <si>
    <t>Startup_2688</t>
  </si>
  <si>
    <t>Startup_2689</t>
  </si>
  <si>
    <t>Startup_2690</t>
  </si>
  <si>
    <t>Startup_2691</t>
  </si>
  <si>
    <t>Startup_2692</t>
  </si>
  <si>
    <t>Startup_2693</t>
  </si>
  <si>
    <t>Startup_2694</t>
  </si>
  <si>
    <t>Startup_2695</t>
  </si>
  <si>
    <t>Startup_2696</t>
  </si>
  <si>
    <t>Startup_2697</t>
  </si>
  <si>
    <t>Startup_2698</t>
  </si>
  <si>
    <t>Startup_2699</t>
  </si>
  <si>
    <t>Startup_2700</t>
  </si>
  <si>
    <t>Startup_2701</t>
  </si>
  <si>
    <t>Startup_2702</t>
  </si>
  <si>
    <t>Startup_2703</t>
  </si>
  <si>
    <t>Startup_2704</t>
  </si>
  <si>
    <t>Startup_2705</t>
  </si>
  <si>
    <t>Startup_2706</t>
  </si>
  <si>
    <t>Startup_2707</t>
  </si>
  <si>
    <t>Startup_2708</t>
  </si>
  <si>
    <t>Startup_2709</t>
  </si>
  <si>
    <t>Startup_2710</t>
  </si>
  <si>
    <t>Startup_2711</t>
  </si>
  <si>
    <t>Startup_2712</t>
  </si>
  <si>
    <t>Startup_2713</t>
  </si>
  <si>
    <t>Startup_2714</t>
  </si>
  <si>
    <t>Startup_2715</t>
  </si>
  <si>
    <t>Startup_2716</t>
  </si>
  <si>
    <t>Startup_2717</t>
  </si>
  <si>
    <t>Startup_2718</t>
  </si>
  <si>
    <t>Startup_2719</t>
  </si>
  <si>
    <t>Startup_2720</t>
  </si>
  <si>
    <t>Startup_2721</t>
  </si>
  <si>
    <t>Startup_2722</t>
  </si>
  <si>
    <t>Startup_2723</t>
  </si>
  <si>
    <t>Startup_2724</t>
  </si>
  <si>
    <t>Startup_2725</t>
  </si>
  <si>
    <t>Startup_2726</t>
  </si>
  <si>
    <t>Startup_2727</t>
  </si>
  <si>
    <t>Startup_2728</t>
  </si>
  <si>
    <t>Startup_2729</t>
  </si>
  <si>
    <t>Startup_2730</t>
  </si>
  <si>
    <t>Startup_2731</t>
  </si>
  <si>
    <t>Startup_2732</t>
  </si>
  <si>
    <t>Startup_2733</t>
  </si>
  <si>
    <t>Startup_2734</t>
  </si>
  <si>
    <t>Startup_2735</t>
  </si>
  <si>
    <t>Startup_2736</t>
  </si>
  <si>
    <t>Startup_2737</t>
  </si>
  <si>
    <t>Startup_2738</t>
  </si>
  <si>
    <t>Startup_2739</t>
  </si>
  <si>
    <t>Startup_2740</t>
  </si>
  <si>
    <t>Startup_2741</t>
  </si>
  <si>
    <t>Startup_2742</t>
  </si>
  <si>
    <t>Startup_2743</t>
  </si>
  <si>
    <t>Startup_2744</t>
  </si>
  <si>
    <t>Startup_2745</t>
  </si>
  <si>
    <t>Startup_2746</t>
  </si>
  <si>
    <t>Startup_2747</t>
  </si>
  <si>
    <t>Startup_2748</t>
  </si>
  <si>
    <t>Startup_2749</t>
  </si>
  <si>
    <t>Startup_2750</t>
  </si>
  <si>
    <t>Startup_2751</t>
  </si>
  <si>
    <t>Startup_2752</t>
  </si>
  <si>
    <t>Startup_2753</t>
  </si>
  <si>
    <t>Startup_2754</t>
  </si>
  <si>
    <t>Startup_2755</t>
  </si>
  <si>
    <t>Startup_2756</t>
  </si>
  <si>
    <t>Startup_2757</t>
  </si>
  <si>
    <t>Startup_2758</t>
  </si>
  <si>
    <t>Startup_2759</t>
  </si>
  <si>
    <t>Startup_2760</t>
  </si>
  <si>
    <t>Startup_2761</t>
  </si>
  <si>
    <t>Startup_2762</t>
  </si>
  <si>
    <t>Startup_2763</t>
  </si>
  <si>
    <t>Startup_2764</t>
  </si>
  <si>
    <t>Startup_2765</t>
  </si>
  <si>
    <t>Startup_2766</t>
  </si>
  <si>
    <t>Startup_2767</t>
  </si>
  <si>
    <t>Startup_2768</t>
  </si>
  <si>
    <t>Startup_2769</t>
  </si>
  <si>
    <t>Startup_2770</t>
  </si>
  <si>
    <t>Startup_2771</t>
  </si>
  <si>
    <t>Startup_2772</t>
  </si>
  <si>
    <t>Startup_2773</t>
  </si>
  <si>
    <t>Startup_2774</t>
  </si>
  <si>
    <t>Startup_2775</t>
  </si>
  <si>
    <t>Startup_2776</t>
  </si>
  <si>
    <t>Startup_2777</t>
  </si>
  <si>
    <t>Startup_2778</t>
  </si>
  <si>
    <t>Startup_2779</t>
  </si>
  <si>
    <t>Startup_2780</t>
  </si>
  <si>
    <t>Startup_2781</t>
  </si>
  <si>
    <t>Startup_2782</t>
  </si>
  <si>
    <t>Startup_2783</t>
  </si>
  <si>
    <t>Startup_2784</t>
  </si>
  <si>
    <t>Startup_2785</t>
  </si>
  <si>
    <t>Startup_2786</t>
  </si>
  <si>
    <t>Startup_2787</t>
  </si>
  <si>
    <t>Startup_2788</t>
  </si>
  <si>
    <t>Startup_2789</t>
  </si>
  <si>
    <t>Startup_2790</t>
  </si>
  <si>
    <t>Startup_2791</t>
  </si>
  <si>
    <t>Startup_2792</t>
  </si>
  <si>
    <t>Startup_2793</t>
  </si>
  <si>
    <t>Startup_2794</t>
  </si>
  <si>
    <t>Startup_2795</t>
  </si>
  <si>
    <t>Startup_2796</t>
  </si>
  <si>
    <t>Startup_2797</t>
  </si>
  <si>
    <t>Startup_2798</t>
  </si>
  <si>
    <t>Startup_2799</t>
  </si>
  <si>
    <t>Startup_2800</t>
  </si>
  <si>
    <t>Startup_2801</t>
  </si>
  <si>
    <t>Startup_2802</t>
  </si>
  <si>
    <t>Startup_2803</t>
  </si>
  <si>
    <t>Startup_2804</t>
  </si>
  <si>
    <t>Startup_2805</t>
  </si>
  <si>
    <t>Startup_2806</t>
  </si>
  <si>
    <t>Startup_2807</t>
  </si>
  <si>
    <t>Startup_2808</t>
  </si>
  <si>
    <t>Startup_2809</t>
  </si>
  <si>
    <t>Startup_2810</t>
  </si>
  <si>
    <t>Startup_2811</t>
  </si>
  <si>
    <t>Startup_2812</t>
  </si>
  <si>
    <t>Startup_2813</t>
  </si>
  <si>
    <t>Startup_2814</t>
  </si>
  <si>
    <t>Startup_2815</t>
  </si>
  <si>
    <t>Startup_2816</t>
  </si>
  <si>
    <t>Startup_2817</t>
  </si>
  <si>
    <t>Startup_2818</t>
  </si>
  <si>
    <t>Startup_2819</t>
  </si>
  <si>
    <t>Startup_2820</t>
  </si>
  <si>
    <t>Startup_2821</t>
  </si>
  <si>
    <t>Startup_2822</t>
  </si>
  <si>
    <t>Startup_2823</t>
  </si>
  <si>
    <t>Startup_2824</t>
  </si>
  <si>
    <t>Startup_2825</t>
  </si>
  <si>
    <t>Startup_2826</t>
  </si>
  <si>
    <t>Startup_2827</t>
  </si>
  <si>
    <t>Startup_2828</t>
  </si>
  <si>
    <t>Startup_2829</t>
  </si>
  <si>
    <t>Startup_2830</t>
  </si>
  <si>
    <t>Startup_2831</t>
  </si>
  <si>
    <t>Startup_2832</t>
  </si>
  <si>
    <t>Startup_2833</t>
  </si>
  <si>
    <t>Startup_2834</t>
  </si>
  <si>
    <t>Startup_2835</t>
  </si>
  <si>
    <t>Startup_2836</t>
  </si>
  <si>
    <t>Startup_2837</t>
  </si>
  <si>
    <t>Startup_2838</t>
  </si>
  <si>
    <t>Startup_2839</t>
  </si>
  <si>
    <t>Startup_2840</t>
  </si>
  <si>
    <t>Startup_2841</t>
  </si>
  <si>
    <t>Startup_2842</t>
  </si>
  <si>
    <t>Startup_2843</t>
  </si>
  <si>
    <t>Startup_2844</t>
  </si>
  <si>
    <t>Startup_2845</t>
  </si>
  <si>
    <t>Startup_2846</t>
  </si>
  <si>
    <t>Startup_2847</t>
  </si>
  <si>
    <t>Startup_2848</t>
  </si>
  <si>
    <t>Startup_2849</t>
  </si>
  <si>
    <t>Startup_2850</t>
  </si>
  <si>
    <t>Startup_2851</t>
  </si>
  <si>
    <t>Startup_2852</t>
  </si>
  <si>
    <t>Startup_2853</t>
  </si>
  <si>
    <t>Startup_2854</t>
  </si>
  <si>
    <t>Startup_2855</t>
  </si>
  <si>
    <t>Startup_2856</t>
  </si>
  <si>
    <t>Startup_2857</t>
  </si>
  <si>
    <t>Startup_2858</t>
  </si>
  <si>
    <t>Startup_2859</t>
  </si>
  <si>
    <t>Startup_2860</t>
  </si>
  <si>
    <t>Startup_2861</t>
  </si>
  <si>
    <t>Startup_2862</t>
  </si>
  <si>
    <t>Startup_2863</t>
  </si>
  <si>
    <t>Startup_2864</t>
  </si>
  <si>
    <t>Startup_2865</t>
  </si>
  <si>
    <t>Startup_2866</t>
  </si>
  <si>
    <t>Startup_2867</t>
  </si>
  <si>
    <t>Startup_2868</t>
  </si>
  <si>
    <t>Startup_2869</t>
  </si>
  <si>
    <t>Startup_2870</t>
  </si>
  <si>
    <t>Startup_2871</t>
  </si>
  <si>
    <t>Startup_2872</t>
  </si>
  <si>
    <t>Startup_2873</t>
  </si>
  <si>
    <t>Startup_2874</t>
  </si>
  <si>
    <t>Startup_2875</t>
  </si>
  <si>
    <t>Startup_2876</t>
  </si>
  <si>
    <t>Startup_2877</t>
  </si>
  <si>
    <t>Startup_2878</t>
  </si>
  <si>
    <t>Startup_2879</t>
  </si>
  <si>
    <t>Startup_2880</t>
  </si>
  <si>
    <t>Startup_2881</t>
  </si>
  <si>
    <t>Startup_2882</t>
  </si>
  <si>
    <t>Startup_2883</t>
  </si>
  <si>
    <t>Startup_2884</t>
  </si>
  <si>
    <t>Startup_2885</t>
  </si>
  <si>
    <t>Startup_2886</t>
  </si>
  <si>
    <t>Startup_2887</t>
  </si>
  <si>
    <t>Startup_2888</t>
  </si>
  <si>
    <t>Startup_2889</t>
  </si>
  <si>
    <t>Startup_2890</t>
  </si>
  <si>
    <t>Startup_2891</t>
  </si>
  <si>
    <t>Startup_2892</t>
  </si>
  <si>
    <t>Startup_2893</t>
  </si>
  <si>
    <t>Startup_2894</t>
  </si>
  <si>
    <t>Startup_2895</t>
  </si>
  <si>
    <t>Startup_2896</t>
  </si>
  <si>
    <t>Startup_2897</t>
  </si>
  <si>
    <t>Startup_2898</t>
  </si>
  <si>
    <t>Startup_2899</t>
  </si>
  <si>
    <t>Startup_2900</t>
  </si>
  <si>
    <t>Startup_2901</t>
  </si>
  <si>
    <t>Startup_2902</t>
  </si>
  <si>
    <t>Startup_2903</t>
  </si>
  <si>
    <t>Startup_2904</t>
  </si>
  <si>
    <t>Startup_2905</t>
  </si>
  <si>
    <t>Startup_2906</t>
  </si>
  <si>
    <t>Startup_2907</t>
  </si>
  <si>
    <t>Startup_2908</t>
  </si>
  <si>
    <t>Startup_2909</t>
  </si>
  <si>
    <t>Startup_2910</t>
  </si>
  <si>
    <t>Startup_2911</t>
  </si>
  <si>
    <t>Startup_2912</t>
  </si>
  <si>
    <t>Startup_2913</t>
  </si>
  <si>
    <t>Startup_2914</t>
  </si>
  <si>
    <t>Startup_2915</t>
  </si>
  <si>
    <t>Startup_2916</t>
  </si>
  <si>
    <t>Startup_2917</t>
  </si>
  <si>
    <t>Startup_2918</t>
  </si>
  <si>
    <t>Startup_2919</t>
  </si>
  <si>
    <t>Startup_2920</t>
  </si>
  <si>
    <t>Startup_2921</t>
  </si>
  <si>
    <t>Startup_2922</t>
  </si>
  <si>
    <t>Startup_2923</t>
  </si>
  <si>
    <t>Startup_2924</t>
  </si>
  <si>
    <t>Startup_2925</t>
  </si>
  <si>
    <t>Startup_2926</t>
  </si>
  <si>
    <t>Startup_2927</t>
  </si>
  <si>
    <t>Startup_2928</t>
  </si>
  <si>
    <t>Startup_2929</t>
  </si>
  <si>
    <t>Startup_2930</t>
  </si>
  <si>
    <t>Startup_2931</t>
  </si>
  <si>
    <t>Startup_2932</t>
  </si>
  <si>
    <t>Startup_2933</t>
  </si>
  <si>
    <t>Startup_2934</t>
  </si>
  <si>
    <t>Startup_2935</t>
  </si>
  <si>
    <t>Startup_2936</t>
  </si>
  <si>
    <t>Startup_2937</t>
  </si>
  <si>
    <t>Startup_2938</t>
  </si>
  <si>
    <t>Startup_2939</t>
  </si>
  <si>
    <t>Startup_2940</t>
  </si>
  <si>
    <t>Startup_2941</t>
  </si>
  <si>
    <t>Startup_2942</t>
  </si>
  <si>
    <t>Startup_2943</t>
  </si>
  <si>
    <t>Startup_2944</t>
  </si>
  <si>
    <t>Startup_2945</t>
  </si>
  <si>
    <t>Startup_2946</t>
  </si>
  <si>
    <t>Startup_2947</t>
  </si>
  <si>
    <t>Startup_2948</t>
  </si>
  <si>
    <t>Startup_2949</t>
  </si>
  <si>
    <t>Startup_2950</t>
  </si>
  <si>
    <t>Startup_2951</t>
  </si>
  <si>
    <t>Startup_2952</t>
  </si>
  <si>
    <t>Startup_2953</t>
  </si>
  <si>
    <t>Startup_2954</t>
  </si>
  <si>
    <t>Startup_2955</t>
  </si>
  <si>
    <t>Startup_2956</t>
  </si>
  <si>
    <t>Startup_2957</t>
  </si>
  <si>
    <t>Startup_2958</t>
  </si>
  <si>
    <t>Startup_2959</t>
  </si>
  <si>
    <t>Startup_2960</t>
  </si>
  <si>
    <t>Startup_2961</t>
  </si>
  <si>
    <t>Startup_2962</t>
  </si>
  <si>
    <t>Startup_2963</t>
  </si>
  <si>
    <t>Startup_2964</t>
  </si>
  <si>
    <t>Startup_2965</t>
  </si>
  <si>
    <t>Startup_2966</t>
  </si>
  <si>
    <t>Startup_2967</t>
  </si>
  <si>
    <t>Startup_2968</t>
  </si>
  <si>
    <t>Startup_2969</t>
  </si>
  <si>
    <t>Startup_2970</t>
  </si>
  <si>
    <t>Startup_2971</t>
  </si>
  <si>
    <t>Startup_2972</t>
  </si>
  <si>
    <t>Startup_2973</t>
  </si>
  <si>
    <t>Startup_2974</t>
  </si>
  <si>
    <t>Startup_2975</t>
  </si>
  <si>
    <t>Startup_2976</t>
  </si>
  <si>
    <t>Startup_2977</t>
  </si>
  <si>
    <t>Startup_2978</t>
  </si>
  <si>
    <t>Startup_2979</t>
  </si>
  <si>
    <t>Startup_2980</t>
  </si>
  <si>
    <t>Startup_2981</t>
  </si>
  <si>
    <t>Startup_2982</t>
  </si>
  <si>
    <t>Startup_2983</t>
  </si>
  <si>
    <t>Startup_2984</t>
  </si>
  <si>
    <t>Startup_2985</t>
  </si>
  <si>
    <t>Startup_2986</t>
  </si>
  <si>
    <t>Startup_2987</t>
  </si>
  <si>
    <t>Startup_2988</t>
  </si>
  <si>
    <t>Startup_2989</t>
  </si>
  <si>
    <t>Startup_2990</t>
  </si>
  <si>
    <t>Startup_2991</t>
  </si>
  <si>
    <t>Startup_2992</t>
  </si>
  <si>
    <t>Startup_2993</t>
  </si>
  <si>
    <t>Startup_2994</t>
  </si>
  <si>
    <t>Startup_2995</t>
  </si>
  <si>
    <t>Startup_2996</t>
  </si>
  <si>
    <t>Startup_2997</t>
  </si>
  <si>
    <t>Startup_2998</t>
  </si>
  <si>
    <t>Startup_2999</t>
  </si>
  <si>
    <t>Startup_3000</t>
  </si>
  <si>
    <t>Startup_3001</t>
  </si>
  <si>
    <t>Startup_3002</t>
  </si>
  <si>
    <t>Startup_3003</t>
  </si>
  <si>
    <t>Startup_3004</t>
  </si>
  <si>
    <t>Startup_3005</t>
  </si>
  <si>
    <t>Startup_3006</t>
  </si>
  <si>
    <t>Startup_3007</t>
  </si>
  <si>
    <t>Startup_3008</t>
  </si>
  <si>
    <t>Startup_3009</t>
  </si>
  <si>
    <t>Startup_3010</t>
  </si>
  <si>
    <t>Startup_3011</t>
  </si>
  <si>
    <t>Startup_3012</t>
  </si>
  <si>
    <t>Startup_3013</t>
  </si>
  <si>
    <t>Startup_3014</t>
  </si>
  <si>
    <t>Startup_3015</t>
  </si>
  <si>
    <t>Startup_3016</t>
  </si>
  <si>
    <t>Startup_3017</t>
  </si>
  <si>
    <t>Startup_3018</t>
  </si>
  <si>
    <t>Startup_3019</t>
  </si>
  <si>
    <t>Startup_3020</t>
  </si>
  <si>
    <t>Startup_3021</t>
  </si>
  <si>
    <t>Startup_3022</t>
  </si>
  <si>
    <t>Startup_3023</t>
  </si>
  <si>
    <t>Startup_3024</t>
  </si>
  <si>
    <t>Startup_3025</t>
  </si>
  <si>
    <t>Startup_3026</t>
  </si>
  <si>
    <t>Startup_3027</t>
  </si>
  <si>
    <t>Startup_3028</t>
  </si>
  <si>
    <t>Startup_3029</t>
  </si>
  <si>
    <t>Startup_3030</t>
  </si>
  <si>
    <t>Startup_3031</t>
  </si>
  <si>
    <t>Startup_3032</t>
  </si>
  <si>
    <t>Startup_3033</t>
  </si>
  <si>
    <t>Startup_3034</t>
  </si>
  <si>
    <t>Startup_3035</t>
  </si>
  <si>
    <t>Startup_3036</t>
  </si>
  <si>
    <t>Startup_3037</t>
  </si>
  <si>
    <t>Startup_3038</t>
  </si>
  <si>
    <t>Startup_3039</t>
  </si>
  <si>
    <t>Startup_3040</t>
  </si>
  <si>
    <t>Startup_3041</t>
  </si>
  <si>
    <t>Startup_3042</t>
  </si>
  <si>
    <t>Startup_3043</t>
  </si>
  <si>
    <t>Startup_3044</t>
  </si>
  <si>
    <t>Startup_3045</t>
  </si>
  <si>
    <t>Startup_3046</t>
  </si>
  <si>
    <t>Startup_3047</t>
  </si>
  <si>
    <t>Startup_3048</t>
  </si>
  <si>
    <t>Startup_3049</t>
  </si>
  <si>
    <t>Startup_3050</t>
  </si>
  <si>
    <t>Startup_3051</t>
  </si>
  <si>
    <t>Startup_3052</t>
  </si>
  <si>
    <t>Startup_3053</t>
  </si>
  <si>
    <t>Startup_3054</t>
  </si>
  <si>
    <t>Startup_3055</t>
  </si>
  <si>
    <t>Startup_3056</t>
  </si>
  <si>
    <t>Startup_3057</t>
  </si>
  <si>
    <t>Startup_3058</t>
  </si>
  <si>
    <t>Startup_3059</t>
  </si>
  <si>
    <t>Startup_3060</t>
  </si>
  <si>
    <t>Startup_3061</t>
  </si>
  <si>
    <t>Startup_3062</t>
  </si>
  <si>
    <t>Startup_3063</t>
  </si>
  <si>
    <t>Startup_3064</t>
  </si>
  <si>
    <t>Startup_3065</t>
  </si>
  <si>
    <t>Startup_3066</t>
  </si>
  <si>
    <t>Startup_3067</t>
  </si>
  <si>
    <t>Startup_3068</t>
  </si>
  <si>
    <t>Startup_3069</t>
  </si>
  <si>
    <t>Startup_3070</t>
  </si>
  <si>
    <t>Startup_3071</t>
  </si>
  <si>
    <t>Startup_3072</t>
  </si>
  <si>
    <t>Startup_3073</t>
  </si>
  <si>
    <t>Startup_3074</t>
  </si>
  <si>
    <t>Startup_3075</t>
  </si>
  <si>
    <t>Startup_3076</t>
  </si>
  <si>
    <t>Startup_3077</t>
  </si>
  <si>
    <t>Startup_3078</t>
  </si>
  <si>
    <t>Startup_3079</t>
  </si>
  <si>
    <t>Startup_3080</t>
  </si>
  <si>
    <t>Startup_3081</t>
  </si>
  <si>
    <t>Startup_3082</t>
  </si>
  <si>
    <t>Startup_3083</t>
  </si>
  <si>
    <t>Startup_3084</t>
  </si>
  <si>
    <t>Startup_3085</t>
  </si>
  <si>
    <t>Startup_3086</t>
  </si>
  <si>
    <t>Startup_3087</t>
  </si>
  <si>
    <t>Startup_3088</t>
  </si>
  <si>
    <t>Startup_3089</t>
  </si>
  <si>
    <t>Startup_3090</t>
  </si>
  <si>
    <t>Startup_3091</t>
  </si>
  <si>
    <t>Startup_3092</t>
  </si>
  <si>
    <t>Startup_3093</t>
  </si>
  <si>
    <t>Startup_3094</t>
  </si>
  <si>
    <t>Startup_3095</t>
  </si>
  <si>
    <t>Startup_3096</t>
  </si>
  <si>
    <t>Startup_3097</t>
  </si>
  <si>
    <t>Startup_3098</t>
  </si>
  <si>
    <t>Startup_3099</t>
  </si>
  <si>
    <t>Startup_3100</t>
  </si>
  <si>
    <t>Startup_3101</t>
  </si>
  <si>
    <t>Startup_3102</t>
  </si>
  <si>
    <t>Startup_3103</t>
  </si>
  <si>
    <t>Startup_3104</t>
  </si>
  <si>
    <t>Startup_3105</t>
  </si>
  <si>
    <t>Startup_3106</t>
  </si>
  <si>
    <t>Startup_3107</t>
  </si>
  <si>
    <t>Startup_3108</t>
  </si>
  <si>
    <t>Startup_3109</t>
  </si>
  <si>
    <t>Startup_3110</t>
  </si>
  <si>
    <t>Startup_3111</t>
  </si>
  <si>
    <t>Startup_3112</t>
  </si>
  <si>
    <t>Startup_3113</t>
  </si>
  <si>
    <t>Startup_3114</t>
  </si>
  <si>
    <t>Startup_3115</t>
  </si>
  <si>
    <t>Startup_3116</t>
  </si>
  <si>
    <t>Startup_3117</t>
  </si>
  <si>
    <t>Startup_3118</t>
  </si>
  <si>
    <t>Startup_3119</t>
  </si>
  <si>
    <t>Startup_3120</t>
  </si>
  <si>
    <t>Startup_3121</t>
  </si>
  <si>
    <t>Startup_3122</t>
  </si>
  <si>
    <t>Startup_3123</t>
  </si>
  <si>
    <t>Startup_3124</t>
  </si>
  <si>
    <t>Startup_3125</t>
  </si>
  <si>
    <t>Startup_3126</t>
  </si>
  <si>
    <t>Startup_3127</t>
  </si>
  <si>
    <t>Startup_3128</t>
  </si>
  <si>
    <t>Startup_3129</t>
  </si>
  <si>
    <t>Startup_3130</t>
  </si>
  <si>
    <t>Startup_3131</t>
  </si>
  <si>
    <t>Startup_3132</t>
  </si>
  <si>
    <t>Startup_3133</t>
  </si>
  <si>
    <t>Startup_3134</t>
  </si>
  <si>
    <t>Startup_3135</t>
  </si>
  <si>
    <t>Startup_3136</t>
  </si>
  <si>
    <t>Startup_3137</t>
  </si>
  <si>
    <t>Startup_3138</t>
  </si>
  <si>
    <t>Startup_3139</t>
  </si>
  <si>
    <t>Startup_3140</t>
  </si>
  <si>
    <t>Startup_3141</t>
  </si>
  <si>
    <t>Startup_3142</t>
  </si>
  <si>
    <t>Startup_3143</t>
  </si>
  <si>
    <t>Startup_3144</t>
  </si>
  <si>
    <t>Startup_3145</t>
  </si>
  <si>
    <t>Startup_3146</t>
  </si>
  <si>
    <t>Startup_3147</t>
  </si>
  <si>
    <t>Startup_3148</t>
  </si>
  <si>
    <t>Startup_3149</t>
  </si>
  <si>
    <t>Startup_3150</t>
  </si>
  <si>
    <t>Startup_3151</t>
  </si>
  <si>
    <t>Startup_3152</t>
  </si>
  <si>
    <t>Startup_3153</t>
  </si>
  <si>
    <t>Startup_3154</t>
  </si>
  <si>
    <t>Startup_3155</t>
  </si>
  <si>
    <t>Startup_3156</t>
  </si>
  <si>
    <t>Startup_3157</t>
  </si>
  <si>
    <t>Startup_3158</t>
  </si>
  <si>
    <t>Startup_3159</t>
  </si>
  <si>
    <t>Startup_3160</t>
  </si>
  <si>
    <t>Startup_3161</t>
  </si>
  <si>
    <t>Startup_3162</t>
  </si>
  <si>
    <t>Startup_3163</t>
  </si>
  <si>
    <t>Startup_3164</t>
  </si>
  <si>
    <t>Startup_3165</t>
  </si>
  <si>
    <t>Startup_3166</t>
  </si>
  <si>
    <t>Startup_3167</t>
  </si>
  <si>
    <t>Startup_3168</t>
  </si>
  <si>
    <t>Startup_3169</t>
  </si>
  <si>
    <t>Startup_3170</t>
  </si>
  <si>
    <t>Startup_3171</t>
  </si>
  <si>
    <t>Startup_3172</t>
  </si>
  <si>
    <t>Startup_3173</t>
  </si>
  <si>
    <t>Startup_3174</t>
  </si>
  <si>
    <t>Startup_3175</t>
  </si>
  <si>
    <t>Startup_3176</t>
  </si>
  <si>
    <t>Startup_3177</t>
  </si>
  <si>
    <t>Startup_3178</t>
  </si>
  <si>
    <t>Startup_3179</t>
  </si>
  <si>
    <t>Startup_3180</t>
  </si>
  <si>
    <t>Startup_3181</t>
  </si>
  <si>
    <t>Startup_3182</t>
  </si>
  <si>
    <t>Startup_3183</t>
  </si>
  <si>
    <t>Startup_3184</t>
  </si>
  <si>
    <t>Startup_3185</t>
  </si>
  <si>
    <t>Startup_3186</t>
  </si>
  <si>
    <t>Startup_3187</t>
  </si>
  <si>
    <t>Startup_3188</t>
  </si>
  <si>
    <t>Startup_3189</t>
  </si>
  <si>
    <t>Startup_3190</t>
  </si>
  <si>
    <t>Startup_3191</t>
  </si>
  <si>
    <t>Startup_3192</t>
  </si>
  <si>
    <t>Startup_3193</t>
  </si>
  <si>
    <t>Startup_3194</t>
  </si>
  <si>
    <t>Startup_3195</t>
  </si>
  <si>
    <t>Startup_3196</t>
  </si>
  <si>
    <t>Startup_3197</t>
  </si>
  <si>
    <t>Startup_3198</t>
  </si>
  <si>
    <t>Startup_3199</t>
  </si>
  <si>
    <t>Startup_3200</t>
  </si>
  <si>
    <t>Startup_3201</t>
  </si>
  <si>
    <t>Startup_3202</t>
  </si>
  <si>
    <t>Startup_3203</t>
  </si>
  <si>
    <t>Startup_3204</t>
  </si>
  <si>
    <t>Startup_3205</t>
  </si>
  <si>
    <t>Startup_3206</t>
  </si>
  <si>
    <t>Startup_3207</t>
  </si>
  <si>
    <t>Startup_3208</t>
  </si>
  <si>
    <t>Startup_3209</t>
  </si>
  <si>
    <t>Startup_3210</t>
  </si>
  <si>
    <t>Startup_3211</t>
  </si>
  <si>
    <t>Startup_3212</t>
  </si>
  <si>
    <t>Startup_3213</t>
  </si>
  <si>
    <t>Startup_3214</t>
  </si>
  <si>
    <t>Startup_3215</t>
  </si>
  <si>
    <t>Startup_3216</t>
  </si>
  <si>
    <t>Startup_3217</t>
  </si>
  <si>
    <t>Startup_3218</t>
  </si>
  <si>
    <t>Startup_3219</t>
  </si>
  <si>
    <t>Startup_3220</t>
  </si>
  <si>
    <t>Startup_3221</t>
  </si>
  <si>
    <t>Startup_3222</t>
  </si>
  <si>
    <t>Startup_3223</t>
  </si>
  <si>
    <t>Startup_3224</t>
  </si>
  <si>
    <t>Startup_3225</t>
  </si>
  <si>
    <t>Startup_3226</t>
  </si>
  <si>
    <t>Startup_3227</t>
  </si>
  <si>
    <t>Startup_3228</t>
  </si>
  <si>
    <t>Startup_3229</t>
  </si>
  <si>
    <t>Startup_3230</t>
  </si>
  <si>
    <t>Startup_3231</t>
  </si>
  <si>
    <t>Startup_3232</t>
  </si>
  <si>
    <t>Startup_3233</t>
  </si>
  <si>
    <t>Startup_3234</t>
  </si>
  <si>
    <t>Startup_3235</t>
  </si>
  <si>
    <t>Startup_3236</t>
  </si>
  <si>
    <t>Startup_3237</t>
  </si>
  <si>
    <t>Startup_3238</t>
  </si>
  <si>
    <t>Startup_3239</t>
  </si>
  <si>
    <t>Startup_3240</t>
  </si>
  <si>
    <t>Startup_3241</t>
  </si>
  <si>
    <t>Startup_3242</t>
  </si>
  <si>
    <t>Startup_3243</t>
  </si>
  <si>
    <t>Startup_3244</t>
  </si>
  <si>
    <t>Startup_3245</t>
  </si>
  <si>
    <t>Startup_3246</t>
  </si>
  <si>
    <t>Startup_3247</t>
  </si>
  <si>
    <t>Startup_3248</t>
  </si>
  <si>
    <t>Startup_3249</t>
  </si>
  <si>
    <t>Startup_3250</t>
  </si>
  <si>
    <t>Startup_3251</t>
  </si>
  <si>
    <t>Startup_3252</t>
  </si>
  <si>
    <t>Startup_3253</t>
  </si>
  <si>
    <t>Startup_3254</t>
  </si>
  <si>
    <t>Startup_3255</t>
  </si>
  <si>
    <t>Startup_3256</t>
  </si>
  <si>
    <t>Startup_3257</t>
  </si>
  <si>
    <t>Startup_3258</t>
  </si>
  <si>
    <t>Startup_3259</t>
  </si>
  <si>
    <t>Startup_3260</t>
  </si>
  <si>
    <t>Startup_3261</t>
  </si>
  <si>
    <t>Startup_3262</t>
  </si>
  <si>
    <t>Startup_3263</t>
  </si>
  <si>
    <t>Startup_3264</t>
  </si>
  <si>
    <t>Startup_3265</t>
  </si>
  <si>
    <t>Startup_3266</t>
  </si>
  <si>
    <t>Startup_3267</t>
  </si>
  <si>
    <t>Startup_3268</t>
  </si>
  <si>
    <t>Startup_3269</t>
  </si>
  <si>
    <t>Startup_3270</t>
  </si>
  <si>
    <t>Startup_3271</t>
  </si>
  <si>
    <t>Startup_3272</t>
  </si>
  <si>
    <t>Startup_3273</t>
  </si>
  <si>
    <t>Startup_3274</t>
  </si>
  <si>
    <t>Startup_3275</t>
  </si>
  <si>
    <t>Startup_3276</t>
  </si>
  <si>
    <t>Startup_3277</t>
  </si>
  <si>
    <t>Startup_3278</t>
  </si>
  <si>
    <t>Startup_3279</t>
  </si>
  <si>
    <t>Startup_3280</t>
  </si>
  <si>
    <t>Startup_3281</t>
  </si>
  <si>
    <t>Startup_3282</t>
  </si>
  <si>
    <t>Startup_3283</t>
  </si>
  <si>
    <t>Startup_3284</t>
  </si>
  <si>
    <t>Startup_3285</t>
  </si>
  <si>
    <t>Startup_3286</t>
  </si>
  <si>
    <t>Startup_3287</t>
  </si>
  <si>
    <t>Startup_3288</t>
  </si>
  <si>
    <t>Startup_3289</t>
  </si>
  <si>
    <t>Startup_3290</t>
  </si>
  <si>
    <t>Startup_3291</t>
  </si>
  <si>
    <t>Startup_3292</t>
  </si>
  <si>
    <t>Startup_3293</t>
  </si>
  <si>
    <t>Startup_3294</t>
  </si>
  <si>
    <t>Startup_3295</t>
  </si>
  <si>
    <t>Startup_3296</t>
  </si>
  <si>
    <t>Startup_3297</t>
  </si>
  <si>
    <t>Startup_3298</t>
  </si>
  <si>
    <t>Startup_3299</t>
  </si>
  <si>
    <t>Startup_3300</t>
  </si>
  <si>
    <t>Startup_3301</t>
  </si>
  <si>
    <t>Startup_3302</t>
  </si>
  <si>
    <t>Startup_3303</t>
  </si>
  <si>
    <t>Startup_3304</t>
  </si>
  <si>
    <t>Startup_3305</t>
  </si>
  <si>
    <t>Startup_3306</t>
  </si>
  <si>
    <t>Startup_3307</t>
  </si>
  <si>
    <t>Startup_3308</t>
  </si>
  <si>
    <t>Startup_3309</t>
  </si>
  <si>
    <t>Startup_3310</t>
  </si>
  <si>
    <t>Startup_3311</t>
  </si>
  <si>
    <t>Startup_3312</t>
  </si>
  <si>
    <t>Startup_3313</t>
  </si>
  <si>
    <t>Startup_3314</t>
  </si>
  <si>
    <t>Startup_3315</t>
  </si>
  <si>
    <t>Startup_3316</t>
  </si>
  <si>
    <t>Startup_3317</t>
  </si>
  <si>
    <t>Startup_3318</t>
  </si>
  <si>
    <t>Startup_3319</t>
  </si>
  <si>
    <t>Startup_3320</t>
  </si>
  <si>
    <t>Startup_3321</t>
  </si>
  <si>
    <t>Startup_3322</t>
  </si>
  <si>
    <t>Startup_3323</t>
  </si>
  <si>
    <t>Startup_3324</t>
  </si>
  <si>
    <t>Startup_3325</t>
  </si>
  <si>
    <t>Startup_3326</t>
  </si>
  <si>
    <t>Startup_3327</t>
  </si>
  <si>
    <t>Startup_3328</t>
  </si>
  <si>
    <t>Startup_3329</t>
  </si>
  <si>
    <t>Startup_3330</t>
  </si>
  <si>
    <t>Startup_3331</t>
  </si>
  <si>
    <t>Startup_3332</t>
  </si>
  <si>
    <t>Startup_3333</t>
  </si>
  <si>
    <t>Startup_3334</t>
  </si>
  <si>
    <t>Startup_3335</t>
  </si>
  <si>
    <t>Startup_3336</t>
  </si>
  <si>
    <t>Startup_3337</t>
  </si>
  <si>
    <t>Startup_3338</t>
  </si>
  <si>
    <t>Startup_3339</t>
  </si>
  <si>
    <t>Startup_3340</t>
  </si>
  <si>
    <t>Startup_3341</t>
  </si>
  <si>
    <t>Startup_3342</t>
  </si>
  <si>
    <t>Startup_3343</t>
  </si>
  <si>
    <t>Startup_3344</t>
  </si>
  <si>
    <t>Startup_3345</t>
  </si>
  <si>
    <t>Startup_3346</t>
  </si>
  <si>
    <t>Startup_3347</t>
  </si>
  <si>
    <t>Startup_3348</t>
  </si>
  <si>
    <t>Startup_3349</t>
  </si>
  <si>
    <t>Startup_3350</t>
  </si>
  <si>
    <t>Startup_3351</t>
  </si>
  <si>
    <t>Startup_3352</t>
  </si>
  <si>
    <t>Startup_3353</t>
  </si>
  <si>
    <t>Startup_3354</t>
  </si>
  <si>
    <t>Startup_3355</t>
  </si>
  <si>
    <t>Startup_3356</t>
  </si>
  <si>
    <t>Startup_3357</t>
  </si>
  <si>
    <t>Startup_3358</t>
  </si>
  <si>
    <t>Startup_3359</t>
  </si>
  <si>
    <t>Startup_3360</t>
  </si>
  <si>
    <t>Startup_3361</t>
  </si>
  <si>
    <t>Startup_3362</t>
  </si>
  <si>
    <t>Startup_3363</t>
  </si>
  <si>
    <t>Startup_3364</t>
  </si>
  <si>
    <t>Startup_3365</t>
  </si>
  <si>
    <t>Startup_3366</t>
  </si>
  <si>
    <t>Startup_3367</t>
  </si>
  <si>
    <t>Startup_3368</t>
  </si>
  <si>
    <t>Startup_3369</t>
  </si>
  <si>
    <t>Startup_3370</t>
  </si>
  <si>
    <t>Startup_3371</t>
  </si>
  <si>
    <t>Startup_3372</t>
  </si>
  <si>
    <t>Startup_3373</t>
  </si>
  <si>
    <t>Startup_3374</t>
  </si>
  <si>
    <t>Startup_3375</t>
  </si>
  <si>
    <t>Startup_3376</t>
  </si>
  <si>
    <t>Startup_3377</t>
  </si>
  <si>
    <t>Startup_3378</t>
  </si>
  <si>
    <t>Startup_3379</t>
  </si>
  <si>
    <t>Startup_3380</t>
  </si>
  <si>
    <t>Startup_3381</t>
  </si>
  <si>
    <t>Startup_3382</t>
  </si>
  <si>
    <t>Startup_3383</t>
  </si>
  <si>
    <t>Startup_3384</t>
  </si>
  <si>
    <t>Startup_3385</t>
  </si>
  <si>
    <t>Startup_3386</t>
  </si>
  <si>
    <t>Startup_3387</t>
  </si>
  <si>
    <t>Startup_3388</t>
  </si>
  <si>
    <t>Startup_3389</t>
  </si>
  <si>
    <t>Startup_3390</t>
  </si>
  <si>
    <t>Startup_3391</t>
  </si>
  <si>
    <t>Startup_3392</t>
  </si>
  <si>
    <t>Startup_3393</t>
  </si>
  <si>
    <t>Startup_3394</t>
  </si>
  <si>
    <t>Startup_3395</t>
  </si>
  <si>
    <t>Startup_3396</t>
  </si>
  <si>
    <t>Startup_3397</t>
  </si>
  <si>
    <t>Startup_3398</t>
  </si>
  <si>
    <t>Startup_3399</t>
  </si>
  <si>
    <t>Startup_3400</t>
  </si>
  <si>
    <t>Startup_3401</t>
  </si>
  <si>
    <t>Startup_3402</t>
  </si>
  <si>
    <t>Startup_3403</t>
  </si>
  <si>
    <t>Startup_3404</t>
  </si>
  <si>
    <t>Startup_3405</t>
  </si>
  <si>
    <t>Startup_3406</t>
  </si>
  <si>
    <t>Startup_3407</t>
  </si>
  <si>
    <t>Startup_3408</t>
  </si>
  <si>
    <t>Startup_3409</t>
  </si>
  <si>
    <t>Startup_3410</t>
  </si>
  <si>
    <t>Startup_3411</t>
  </si>
  <si>
    <t>Startup_3412</t>
  </si>
  <si>
    <t>Startup_3413</t>
  </si>
  <si>
    <t>Startup_3414</t>
  </si>
  <si>
    <t>Startup_3415</t>
  </si>
  <si>
    <t>Startup_3416</t>
  </si>
  <si>
    <t>Startup_3417</t>
  </si>
  <si>
    <t>Startup_3418</t>
  </si>
  <si>
    <t>Startup_3419</t>
  </si>
  <si>
    <t>Startup_3420</t>
  </si>
  <si>
    <t>Startup_3421</t>
  </si>
  <si>
    <t>Startup_3422</t>
  </si>
  <si>
    <t>Startup_3423</t>
  </si>
  <si>
    <t>Startup_3424</t>
  </si>
  <si>
    <t>Startup_3425</t>
  </si>
  <si>
    <t>Startup_3426</t>
  </si>
  <si>
    <t>Startup_3427</t>
  </si>
  <si>
    <t>Startup_3428</t>
  </si>
  <si>
    <t>Startup_3429</t>
  </si>
  <si>
    <t>Startup_3430</t>
  </si>
  <si>
    <t>Startup_3431</t>
  </si>
  <si>
    <t>Startup_3432</t>
  </si>
  <si>
    <t>Startup_3433</t>
  </si>
  <si>
    <t>Startup_3434</t>
  </si>
  <si>
    <t>Startup_3435</t>
  </si>
  <si>
    <t>Startup_3436</t>
  </si>
  <si>
    <t>Startup_3437</t>
  </si>
  <si>
    <t>Startup_3438</t>
  </si>
  <si>
    <t>Startup_3439</t>
  </si>
  <si>
    <t>Startup_3440</t>
  </si>
  <si>
    <t>Startup_3441</t>
  </si>
  <si>
    <t>Startup_3442</t>
  </si>
  <si>
    <t>Startup_3443</t>
  </si>
  <si>
    <t>Startup_3444</t>
  </si>
  <si>
    <t>Startup_3445</t>
  </si>
  <si>
    <t>Startup_3446</t>
  </si>
  <si>
    <t>Startup_3447</t>
  </si>
  <si>
    <t>Startup_3448</t>
  </si>
  <si>
    <t>Startup_3449</t>
  </si>
  <si>
    <t>Startup_3450</t>
  </si>
  <si>
    <t>Startup_3451</t>
  </si>
  <si>
    <t>Startup_3452</t>
  </si>
  <si>
    <t>Startup_3453</t>
  </si>
  <si>
    <t>Startup_3454</t>
  </si>
  <si>
    <t>Startup_3455</t>
  </si>
  <si>
    <t>Startup_3456</t>
  </si>
  <si>
    <t>Startup_3457</t>
  </si>
  <si>
    <t>Startup_3458</t>
  </si>
  <si>
    <t>Startup_3459</t>
  </si>
  <si>
    <t>Startup_3460</t>
  </si>
  <si>
    <t>Startup_3461</t>
  </si>
  <si>
    <t>Startup_3462</t>
  </si>
  <si>
    <t>Startup_3463</t>
  </si>
  <si>
    <t>Startup_3464</t>
  </si>
  <si>
    <t>Startup_3465</t>
  </si>
  <si>
    <t>Startup_3466</t>
  </si>
  <si>
    <t>Startup_3467</t>
  </si>
  <si>
    <t>Startup_3468</t>
  </si>
  <si>
    <t>Startup_3469</t>
  </si>
  <si>
    <t>Startup_3470</t>
  </si>
  <si>
    <t>Startup_3471</t>
  </si>
  <si>
    <t>Startup_3472</t>
  </si>
  <si>
    <t>Startup_3473</t>
  </si>
  <si>
    <t>Startup_3474</t>
  </si>
  <si>
    <t>Startup_3475</t>
  </si>
  <si>
    <t>Startup_3476</t>
  </si>
  <si>
    <t>Startup_3477</t>
  </si>
  <si>
    <t>Startup_3478</t>
  </si>
  <si>
    <t>Startup_3479</t>
  </si>
  <si>
    <t>Startup_3480</t>
  </si>
  <si>
    <t>Startup_3481</t>
  </si>
  <si>
    <t>Startup_3482</t>
  </si>
  <si>
    <t>Startup_3483</t>
  </si>
  <si>
    <t>Startup_3484</t>
  </si>
  <si>
    <t>Startup_3485</t>
  </si>
  <si>
    <t>Startup_3486</t>
  </si>
  <si>
    <t>Startup_3487</t>
  </si>
  <si>
    <t>Startup_3488</t>
  </si>
  <si>
    <t>Startup_3489</t>
  </si>
  <si>
    <t>Startup_3490</t>
  </si>
  <si>
    <t>Startup_3491</t>
  </si>
  <si>
    <t>Startup_3492</t>
  </si>
  <si>
    <t>Startup_3493</t>
  </si>
  <si>
    <t>Startup_3494</t>
  </si>
  <si>
    <t>Startup_3495</t>
  </si>
  <si>
    <t>Startup_3496</t>
  </si>
  <si>
    <t>Startup_3497</t>
  </si>
  <si>
    <t>Startup_3498</t>
  </si>
  <si>
    <t>Startup_3499</t>
  </si>
  <si>
    <t>Startup_3500</t>
  </si>
  <si>
    <t>Startup_3501</t>
  </si>
  <si>
    <t>Startup_3502</t>
  </si>
  <si>
    <t>Startup_3503</t>
  </si>
  <si>
    <t>Startup_3504</t>
  </si>
  <si>
    <t>Startup_3505</t>
  </si>
  <si>
    <t>Startup_3506</t>
  </si>
  <si>
    <t>Startup_3507</t>
  </si>
  <si>
    <t>Startup_3508</t>
  </si>
  <si>
    <t>Startup_3509</t>
  </si>
  <si>
    <t>Startup_3510</t>
  </si>
  <si>
    <t>Startup_3511</t>
  </si>
  <si>
    <t>Startup_3512</t>
  </si>
  <si>
    <t>Startup_3513</t>
  </si>
  <si>
    <t>Startup_3514</t>
  </si>
  <si>
    <t>Startup_3515</t>
  </si>
  <si>
    <t>Startup_3516</t>
  </si>
  <si>
    <t>Startup_3517</t>
  </si>
  <si>
    <t>Startup_3518</t>
  </si>
  <si>
    <t>Startup_3519</t>
  </si>
  <si>
    <t>Startup_3520</t>
  </si>
  <si>
    <t>Startup_3521</t>
  </si>
  <si>
    <t>Startup_3522</t>
  </si>
  <si>
    <t>Startup_3523</t>
  </si>
  <si>
    <t>Startup_3524</t>
  </si>
  <si>
    <t>Startup_3525</t>
  </si>
  <si>
    <t>Startup_3526</t>
  </si>
  <si>
    <t>Startup_3527</t>
  </si>
  <si>
    <t>Startup_3528</t>
  </si>
  <si>
    <t>Startup_3529</t>
  </si>
  <si>
    <t>Startup_3530</t>
  </si>
  <si>
    <t>Startup_3531</t>
  </si>
  <si>
    <t>Startup_3532</t>
  </si>
  <si>
    <t>Startup_3533</t>
  </si>
  <si>
    <t>Startup_3534</t>
  </si>
  <si>
    <t>Startup_3535</t>
  </si>
  <si>
    <t>Startup_3536</t>
  </si>
  <si>
    <t>Startup_3537</t>
  </si>
  <si>
    <t>Startup_3538</t>
  </si>
  <si>
    <t>Startup_3539</t>
  </si>
  <si>
    <t>Startup_3540</t>
  </si>
  <si>
    <t>Startup_3541</t>
  </si>
  <si>
    <t>Startup_3542</t>
  </si>
  <si>
    <t>Startup_3543</t>
  </si>
  <si>
    <t>Startup_3544</t>
  </si>
  <si>
    <t>Startup_3545</t>
  </si>
  <si>
    <t>Startup_3546</t>
  </si>
  <si>
    <t>Startup_3547</t>
  </si>
  <si>
    <t>Startup_3548</t>
  </si>
  <si>
    <t>Startup_3549</t>
  </si>
  <si>
    <t>Startup_3550</t>
  </si>
  <si>
    <t>Startup_3551</t>
  </si>
  <si>
    <t>Startup_3552</t>
  </si>
  <si>
    <t>Startup_3553</t>
  </si>
  <si>
    <t>Startup_3554</t>
  </si>
  <si>
    <t>Startup_3555</t>
  </si>
  <si>
    <t>Startup_3556</t>
  </si>
  <si>
    <t>Startup_3557</t>
  </si>
  <si>
    <t>Startup_3558</t>
  </si>
  <si>
    <t>Startup_3559</t>
  </si>
  <si>
    <t>Startup_3560</t>
  </si>
  <si>
    <t>Startup_3561</t>
  </si>
  <si>
    <t>Startup_3562</t>
  </si>
  <si>
    <t>Startup_3563</t>
  </si>
  <si>
    <t>Startup_3564</t>
  </si>
  <si>
    <t>Startup_3565</t>
  </si>
  <si>
    <t>Startup_3566</t>
  </si>
  <si>
    <t>Startup_3567</t>
  </si>
  <si>
    <t>Startup_3568</t>
  </si>
  <si>
    <t>Startup_3569</t>
  </si>
  <si>
    <t>Startup_3570</t>
  </si>
  <si>
    <t>Startup_3571</t>
  </si>
  <si>
    <t>Startup_3572</t>
  </si>
  <si>
    <t>Startup_3573</t>
  </si>
  <si>
    <t>Startup_3574</t>
  </si>
  <si>
    <t>Startup_3575</t>
  </si>
  <si>
    <t>Startup_3576</t>
  </si>
  <si>
    <t>Startup_3577</t>
  </si>
  <si>
    <t>Startup_3578</t>
  </si>
  <si>
    <t>Startup_3579</t>
  </si>
  <si>
    <t>Startup_3580</t>
  </si>
  <si>
    <t>Startup_3581</t>
  </si>
  <si>
    <t>Startup_3582</t>
  </si>
  <si>
    <t>Startup_3583</t>
  </si>
  <si>
    <t>Startup_3584</t>
  </si>
  <si>
    <t>Startup_3585</t>
  </si>
  <si>
    <t>Startup_3586</t>
  </si>
  <si>
    <t>Startup_3587</t>
  </si>
  <si>
    <t>Startup_3588</t>
  </si>
  <si>
    <t>Startup_3589</t>
  </si>
  <si>
    <t>Startup_3590</t>
  </si>
  <si>
    <t>Startup_3591</t>
  </si>
  <si>
    <t>Startup_3592</t>
  </si>
  <si>
    <t>Startup_3593</t>
  </si>
  <si>
    <t>Startup_3594</t>
  </si>
  <si>
    <t>Startup_3595</t>
  </si>
  <si>
    <t>Startup_3596</t>
  </si>
  <si>
    <t>Startup_3597</t>
  </si>
  <si>
    <t>Startup_3598</t>
  </si>
  <si>
    <t>Startup_3599</t>
  </si>
  <si>
    <t>Startup_3600</t>
  </si>
  <si>
    <t>Startup_3601</t>
  </si>
  <si>
    <t>Startup_3602</t>
  </si>
  <si>
    <t>Startup_3603</t>
  </si>
  <si>
    <t>Startup_3604</t>
  </si>
  <si>
    <t>Startup_3605</t>
  </si>
  <si>
    <t>Startup_3606</t>
  </si>
  <si>
    <t>Startup_3607</t>
  </si>
  <si>
    <t>Startup_3608</t>
  </si>
  <si>
    <t>Startup_3609</t>
  </si>
  <si>
    <t>Startup_3610</t>
  </si>
  <si>
    <t>Startup_3611</t>
  </si>
  <si>
    <t>Startup_3612</t>
  </si>
  <si>
    <t>Startup_3613</t>
  </si>
  <si>
    <t>Startup_3614</t>
  </si>
  <si>
    <t>Startup_3615</t>
  </si>
  <si>
    <t>Startup_3616</t>
  </si>
  <si>
    <t>Startup_3617</t>
  </si>
  <si>
    <t>Startup_3618</t>
  </si>
  <si>
    <t>Startup_3619</t>
  </si>
  <si>
    <t>Startup_3620</t>
  </si>
  <si>
    <t>Startup_3621</t>
  </si>
  <si>
    <t>Startup_3622</t>
  </si>
  <si>
    <t>Startup_3623</t>
  </si>
  <si>
    <t>Startup_3624</t>
  </si>
  <si>
    <t>Startup_3625</t>
  </si>
  <si>
    <t>Startup_3626</t>
  </si>
  <si>
    <t>Startup_3627</t>
  </si>
  <si>
    <t>Startup_3628</t>
  </si>
  <si>
    <t>Startup_3629</t>
  </si>
  <si>
    <t>Startup_3630</t>
  </si>
  <si>
    <t>Startup_3631</t>
  </si>
  <si>
    <t>Startup_3632</t>
  </si>
  <si>
    <t>Startup_3633</t>
  </si>
  <si>
    <t>Startup_3634</t>
  </si>
  <si>
    <t>Startup_3635</t>
  </si>
  <si>
    <t>Startup_3636</t>
  </si>
  <si>
    <t>Startup_3637</t>
  </si>
  <si>
    <t>Startup_3638</t>
  </si>
  <si>
    <t>Startup_3639</t>
  </si>
  <si>
    <t>Startup_3640</t>
  </si>
  <si>
    <t>Startup_3641</t>
  </si>
  <si>
    <t>Startup_3642</t>
  </si>
  <si>
    <t>Startup_3643</t>
  </si>
  <si>
    <t>Startup_3644</t>
  </si>
  <si>
    <t>Startup_3645</t>
  </si>
  <si>
    <t>Startup_3646</t>
  </si>
  <si>
    <t>Startup_3647</t>
  </si>
  <si>
    <t>Startup_3648</t>
  </si>
  <si>
    <t>Startup_3649</t>
  </si>
  <si>
    <t>Startup_3650</t>
  </si>
  <si>
    <t>Startup_3651</t>
  </si>
  <si>
    <t>Startup_3652</t>
  </si>
  <si>
    <t>Startup_3653</t>
  </si>
  <si>
    <t>Startup_3654</t>
  </si>
  <si>
    <t>Startup_3655</t>
  </si>
  <si>
    <t>Startup_3656</t>
  </si>
  <si>
    <t>Startup_3657</t>
  </si>
  <si>
    <t>Startup_3658</t>
  </si>
  <si>
    <t>Startup_3659</t>
  </si>
  <si>
    <t>Startup_3660</t>
  </si>
  <si>
    <t>Startup_3661</t>
  </si>
  <si>
    <t>Startup_3662</t>
  </si>
  <si>
    <t>Startup_3663</t>
  </si>
  <si>
    <t>Startup_3664</t>
  </si>
  <si>
    <t>Startup_3665</t>
  </si>
  <si>
    <t>Startup_3666</t>
  </si>
  <si>
    <t>Startup_3667</t>
  </si>
  <si>
    <t>Startup_3668</t>
  </si>
  <si>
    <t>Startup_3669</t>
  </si>
  <si>
    <t>Startup_3670</t>
  </si>
  <si>
    <t>Startup_3671</t>
  </si>
  <si>
    <t>Startup_3672</t>
  </si>
  <si>
    <t>Startup_3673</t>
  </si>
  <si>
    <t>Startup_3674</t>
  </si>
  <si>
    <t>Startup_3675</t>
  </si>
  <si>
    <t>Startup_3676</t>
  </si>
  <si>
    <t>Startup_3677</t>
  </si>
  <si>
    <t>Startup_3678</t>
  </si>
  <si>
    <t>Startup_3679</t>
  </si>
  <si>
    <t>Startup_3680</t>
  </si>
  <si>
    <t>Startup_3681</t>
  </si>
  <si>
    <t>Startup_3682</t>
  </si>
  <si>
    <t>Startup_3683</t>
  </si>
  <si>
    <t>Startup_3684</t>
  </si>
  <si>
    <t>Startup_3685</t>
  </si>
  <si>
    <t>Startup_3686</t>
  </si>
  <si>
    <t>Startup_3687</t>
  </si>
  <si>
    <t>Startup_3688</t>
  </si>
  <si>
    <t>Startup_3689</t>
  </si>
  <si>
    <t>Startup_3690</t>
  </si>
  <si>
    <t>Startup_3691</t>
  </si>
  <si>
    <t>Startup_3692</t>
  </si>
  <si>
    <t>Startup_3693</t>
  </si>
  <si>
    <t>Startup_3694</t>
  </si>
  <si>
    <t>Startup_3695</t>
  </si>
  <si>
    <t>Startup_3696</t>
  </si>
  <si>
    <t>Startup_3697</t>
  </si>
  <si>
    <t>Startup_3698</t>
  </si>
  <si>
    <t>Startup_3699</t>
  </si>
  <si>
    <t>Startup_3700</t>
  </si>
  <si>
    <t>Startup_3701</t>
  </si>
  <si>
    <t>Startup_3702</t>
  </si>
  <si>
    <t>Startup_3703</t>
  </si>
  <si>
    <t>Startup_3704</t>
  </si>
  <si>
    <t>Startup_3705</t>
  </si>
  <si>
    <t>Startup_3706</t>
  </si>
  <si>
    <t>Startup_3707</t>
  </si>
  <si>
    <t>Startup_3708</t>
  </si>
  <si>
    <t>Startup_3709</t>
  </si>
  <si>
    <t>Startup_3710</t>
  </si>
  <si>
    <t>Startup_3711</t>
  </si>
  <si>
    <t>Startup_3712</t>
  </si>
  <si>
    <t>Startup_3713</t>
  </si>
  <si>
    <t>Startup_3714</t>
  </si>
  <si>
    <t>Startup_3715</t>
  </si>
  <si>
    <t>Startup_3716</t>
  </si>
  <si>
    <t>Startup_3717</t>
  </si>
  <si>
    <t>Startup_3718</t>
  </si>
  <si>
    <t>Startup_3719</t>
  </si>
  <si>
    <t>Startup_3720</t>
  </si>
  <si>
    <t>Startup_3721</t>
  </si>
  <si>
    <t>Startup_3722</t>
  </si>
  <si>
    <t>Startup_3723</t>
  </si>
  <si>
    <t>Startup_3724</t>
  </si>
  <si>
    <t>Startup_3725</t>
  </si>
  <si>
    <t>Startup_3726</t>
  </si>
  <si>
    <t>Startup_3727</t>
  </si>
  <si>
    <t>Startup_3728</t>
  </si>
  <si>
    <t>Startup_3729</t>
  </si>
  <si>
    <t>Startup_3730</t>
  </si>
  <si>
    <t>Startup_3731</t>
  </si>
  <si>
    <t>Startup_3732</t>
  </si>
  <si>
    <t>Startup_3733</t>
  </si>
  <si>
    <t>Startup_3734</t>
  </si>
  <si>
    <t>Startup_3735</t>
  </si>
  <si>
    <t>Startup_3736</t>
  </si>
  <si>
    <t>Startup_3737</t>
  </si>
  <si>
    <t>Startup_3738</t>
  </si>
  <si>
    <t>Startup_3739</t>
  </si>
  <si>
    <t>Startup_3740</t>
  </si>
  <si>
    <t>Startup_3741</t>
  </si>
  <si>
    <t>Startup_3742</t>
  </si>
  <si>
    <t>Startup_3743</t>
  </si>
  <si>
    <t>Startup_3744</t>
  </si>
  <si>
    <t>Startup_3745</t>
  </si>
  <si>
    <t>Startup_3746</t>
  </si>
  <si>
    <t>Startup_3747</t>
  </si>
  <si>
    <t>Startup_3748</t>
  </si>
  <si>
    <t>Startup_3749</t>
  </si>
  <si>
    <t>Startup_3750</t>
  </si>
  <si>
    <t>Startup_3751</t>
  </si>
  <si>
    <t>Startup_3752</t>
  </si>
  <si>
    <t>Startup_3753</t>
  </si>
  <si>
    <t>Startup_3754</t>
  </si>
  <si>
    <t>Startup_3755</t>
  </si>
  <si>
    <t>Startup_3756</t>
  </si>
  <si>
    <t>Startup_3757</t>
  </si>
  <si>
    <t>Startup_3758</t>
  </si>
  <si>
    <t>Startup_3759</t>
  </si>
  <si>
    <t>Startup_3760</t>
  </si>
  <si>
    <t>Startup_3761</t>
  </si>
  <si>
    <t>Startup_3762</t>
  </si>
  <si>
    <t>Startup_3763</t>
  </si>
  <si>
    <t>Startup_3764</t>
  </si>
  <si>
    <t>Startup_3765</t>
  </si>
  <si>
    <t>Startup_3766</t>
  </si>
  <si>
    <t>Startup_3767</t>
  </si>
  <si>
    <t>Startup_3768</t>
  </si>
  <si>
    <t>Startup_3769</t>
  </si>
  <si>
    <t>Startup_3770</t>
  </si>
  <si>
    <t>Startup_3771</t>
  </si>
  <si>
    <t>Startup_3772</t>
  </si>
  <si>
    <t>Startup_3773</t>
  </si>
  <si>
    <t>Startup_3774</t>
  </si>
  <si>
    <t>Startup_3775</t>
  </si>
  <si>
    <t>Startup_3776</t>
  </si>
  <si>
    <t>Startup_3777</t>
  </si>
  <si>
    <t>Startup_3778</t>
  </si>
  <si>
    <t>Startup_3779</t>
  </si>
  <si>
    <t>Startup_3780</t>
  </si>
  <si>
    <t>Startup_3781</t>
  </si>
  <si>
    <t>Startup_3782</t>
  </si>
  <si>
    <t>Startup_3783</t>
  </si>
  <si>
    <t>Startup_3784</t>
  </si>
  <si>
    <t>Startup_3785</t>
  </si>
  <si>
    <t>Startup_3786</t>
  </si>
  <si>
    <t>Startup_3787</t>
  </si>
  <si>
    <t>Startup_3788</t>
  </si>
  <si>
    <t>Startup_3789</t>
  </si>
  <si>
    <t>Startup_3790</t>
  </si>
  <si>
    <t>Startup_3791</t>
  </si>
  <si>
    <t>Startup_3792</t>
  </si>
  <si>
    <t>Startup_3793</t>
  </si>
  <si>
    <t>Startup_3794</t>
  </si>
  <si>
    <t>Startup_3795</t>
  </si>
  <si>
    <t>Startup_3796</t>
  </si>
  <si>
    <t>Startup_3797</t>
  </si>
  <si>
    <t>Startup_3798</t>
  </si>
  <si>
    <t>Startup_3799</t>
  </si>
  <si>
    <t>Startup_3800</t>
  </si>
  <si>
    <t>Startup_3801</t>
  </si>
  <si>
    <t>Startup_3802</t>
  </si>
  <si>
    <t>Startup_3803</t>
  </si>
  <si>
    <t>Startup_3804</t>
  </si>
  <si>
    <t>Startup_3805</t>
  </si>
  <si>
    <t>Startup_3806</t>
  </si>
  <si>
    <t>Startup_3807</t>
  </si>
  <si>
    <t>Startup_3808</t>
  </si>
  <si>
    <t>Startup_3809</t>
  </si>
  <si>
    <t>Startup_3810</t>
  </si>
  <si>
    <t>Startup_3811</t>
  </si>
  <si>
    <t>Startup_3812</t>
  </si>
  <si>
    <t>Startup_3813</t>
  </si>
  <si>
    <t>Startup_3814</t>
  </si>
  <si>
    <t>Startup_3815</t>
  </si>
  <si>
    <t>Startup_3816</t>
  </si>
  <si>
    <t>Startup_3817</t>
  </si>
  <si>
    <t>Startup_3818</t>
  </si>
  <si>
    <t>Startup_3819</t>
  </si>
  <si>
    <t>Startup_3820</t>
  </si>
  <si>
    <t>Startup_3821</t>
  </si>
  <si>
    <t>Startup_3822</t>
  </si>
  <si>
    <t>Startup_3823</t>
  </si>
  <si>
    <t>Startup_3824</t>
  </si>
  <si>
    <t>Startup_3825</t>
  </si>
  <si>
    <t>Startup_3826</t>
  </si>
  <si>
    <t>Startup_3827</t>
  </si>
  <si>
    <t>Startup_3828</t>
  </si>
  <si>
    <t>Startup_3829</t>
  </si>
  <si>
    <t>Startup_3830</t>
  </si>
  <si>
    <t>Startup_3831</t>
  </si>
  <si>
    <t>Startup_3832</t>
  </si>
  <si>
    <t>Startup_3833</t>
  </si>
  <si>
    <t>Startup_3834</t>
  </si>
  <si>
    <t>Startup_3835</t>
  </si>
  <si>
    <t>Startup_3836</t>
  </si>
  <si>
    <t>Startup_3837</t>
  </si>
  <si>
    <t>Startup_3838</t>
  </si>
  <si>
    <t>Startup_3839</t>
  </si>
  <si>
    <t>Startup_3840</t>
  </si>
  <si>
    <t>Startup_3841</t>
  </si>
  <si>
    <t>Startup_3842</t>
  </si>
  <si>
    <t>Startup_3843</t>
  </si>
  <si>
    <t>Startup_3844</t>
  </si>
  <si>
    <t>Startup_3845</t>
  </si>
  <si>
    <t>Startup_3846</t>
  </si>
  <si>
    <t>Startup_3847</t>
  </si>
  <si>
    <t>Startup_3848</t>
  </si>
  <si>
    <t>Startup_3849</t>
  </si>
  <si>
    <t>Startup_3850</t>
  </si>
  <si>
    <t>Startup_3851</t>
  </si>
  <si>
    <t>Startup_3852</t>
  </si>
  <si>
    <t>Startup_3853</t>
  </si>
  <si>
    <t>Startup_3854</t>
  </si>
  <si>
    <t>Startup_3855</t>
  </si>
  <si>
    <t>Startup_3856</t>
  </si>
  <si>
    <t>Startup_3857</t>
  </si>
  <si>
    <t>Startup_3858</t>
  </si>
  <si>
    <t>Startup_3859</t>
  </si>
  <si>
    <t>Startup_3860</t>
  </si>
  <si>
    <t>Startup_3861</t>
  </si>
  <si>
    <t>Startup_3862</t>
  </si>
  <si>
    <t>Startup_3863</t>
  </si>
  <si>
    <t>Startup_3864</t>
  </si>
  <si>
    <t>Startup_3865</t>
  </si>
  <si>
    <t>Startup_3866</t>
  </si>
  <si>
    <t>Startup_3867</t>
  </si>
  <si>
    <t>Startup_3868</t>
  </si>
  <si>
    <t>Startup_3869</t>
  </si>
  <si>
    <t>Startup_3870</t>
  </si>
  <si>
    <t>Startup_3871</t>
  </si>
  <si>
    <t>Startup_3872</t>
  </si>
  <si>
    <t>Startup_3873</t>
  </si>
  <si>
    <t>Startup_3874</t>
  </si>
  <si>
    <t>Startup_3875</t>
  </si>
  <si>
    <t>Startup_3876</t>
  </si>
  <si>
    <t>Startup_3877</t>
  </si>
  <si>
    <t>Startup_3878</t>
  </si>
  <si>
    <t>Startup_3879</t>
  </si>
  <si>
    <t>Startup_3880</t>
  </si>
  <si>
    <t>Startup_3881</t>
  </si>
  <si>
    <t>Startup_3882</t>
  </si>
  <si>
    <t>Startup_3883</t>
  </si>
  <si>
    <t>Startup_3884</t>
  </si>
  <si>
    <t>Startup_3885</t>
  </si>
  <si>
    <t>Startup_3886</t>
  </si>
  <si>
    <t>Startup_3887</t>
  </si>
  <si>
    <t>Startup_3888</t>
  </si>
  <si>
    <t>Startup_3889</t>
  </si>
  <si>
    <t>Startup_3890</t>
  </si>
  <si>
    <t>Startup_3891</t>
  </si>
  <si>
    <t>Startup_3892</t>
  </si>
  <si>
    <t>Startup_3893</t>
  </si>
  <si>
    <t>Startup_3894</t>
  </si>
  <si>
    <t>Startup_3895</t>
  </si>
  <si>
    <t>Startup_3896</t>
  </si>
  <si>
    <t>Startup_3897</t>
  </si>
  <si>
    <t>Startup_3898</t>
  </si>
  <si>
    <t>Startup_3899</t>
  </si>
  <si>
    <t>Startup_3900</t>
  </si>
  <si>
    <t>Startup_3901</t>
  </si>
  <si>
    <t>Startup_3902</t>
  </si>
  <si>
    <t>Startup_3903</t>
  </si>
  <si>
    <t>Startup_3904</t>
  </si>
  <si>
    <t>Startup_3905</t>
  </si>
  <si>
    <t>Startup_3906</t>
  </si>
  <si>
    <t>Startup_3907</t>
  </si>
  <si>
    <t>Startup_3908</t>
  </si>
  <si>
    <t>Startup_3909</t>
  </si>
  <si>
    <t>Startup_3910</t>
  </si>
  <si>
    <t>Startup_3911</t>
  </si>
  <si>
    <t>Startup_3912</t>
  </si>
  <si>
    <t>Startup_3913</t>
  </si>
  <si>
    <t>Startup_3914</t>
  </si>
  <si>
    <t>Startup_3915</t>
  </si>
  <si>
    <t>Startup_3916</t>
  </si>
  <si>
    <t>Startup_3917</t>
  </si>
  <si>
    <t>Startup_3918</t>
  </si>
  <si>
    <t>Startup_3919</t>
  </si>
  <si>
    <t>Startup_3920</t>
  </si>
  <si>
    <t>Startup_3921</t>
  </si>
  <si>
    <t>Startup_3922</t>
  </si>
  <si>
    <t>Startup_3923</t>
  </si>
  <si>
    <t>Startup_3924</t>
  </si>
  <si>
    <t>Startup_3925</t>
  </si>
  <si>
    <t>Startup_3926</t>
  </si>
  <si>
    <t>Startup_3927</t>
  </si>
  <si>
    <t>Startup_3928</t>
  </si>
  <si>
    <t>Startup_3929</t>
  </si>
  <si>
    <t>Startup_3930</t>
  </si>
  <si>
    <t>Startup_3931</t>
  </si>
  <si>
    <t>Startup_3932</t>
  </si>
  <si>
    <t>Startup_3933</t>
  </si>
  <si>
    <t>Startup_3934</t>
  </si>
  <si>
    <t>Startup_3935</t>
  </si>
  <si>
    <t>Startup_3936</t>
  </si>
  <si>
    <t>Startup_3937</t>
  </si>
  <si>
    <t>Startup_3938</t>
  </si>
  <si>
    <t>Startup_3939</t>
  </si>
  <si>
    <t>Startup_3940</t>
  </si>
  <si>
    <t>Startup_3941</t>
  </si>
  <si>
    <t>Startup_3942</t>
  </si>
  <si>
    <t>Startup_3943</t>
  </si>
  <si>
    <t>Startup_3944</t>
  </si>
  <si>
    <t>Startup_3945</t>
  </si>
  <si>
    <t>Startup_3946</t>
  </si>
  <si>
    <t>Startup_3947</t>
  </si>
  <si>
    <t>Startup_3948</t>
  </si>
  <si>
    <t>Startup_3949</t>
  </si>
  <si>
    <t>Startup_3950</t>
  </si>
  <si>
    <t>Startup_3951</t>
  </si>
  <si>
    <t>Startup_3952</t>
  </si>
  <si>
    <t>Startup_3953</t>
  </si>
  <si>
    <t>Startup_3954</t>
  </si>
  <si>
    <t>Startup_3955</t>
  </si>
  <si>
    <t>Startup_3956</t>
  </si>
  <si>
    <t>Startup_3957</t>
  </si>
  <si>
    <t>Startup_3958</t>
  </si>
  <si>
    <t>Startup_3959</t>
  </si>
  <si>
    <t>Startup_3960</t>
  </si>
  <si>
    <t>Startup_3961</t>
  </si>
  <si>
    <t>Startup_3962</t>
  </si>
  <si>
    <t>Startup_3963</t>
  </si>
  <si>
    <t>Startup_3964</t>
  </si>
  <si>
    <t>Startup_3965</t>
  </si>
  <si>
    <t>Startup_3966</t>
  </si>
  <si>
    <t>Startup_3967</t>
  </si>
  <si>
    <t>Startup_3968</t>
  </si>
  <si>
    <t>Startup_3969</t>
  </si>
  <si>
    <t>Startup_3970</t>
  </si>
  <si>
    <t>Startup_3971</t>
  </si>
  <si>
    <t>Startup_3972</t>
  </si>
  <si>
    <t>Startup_3973</t>
  </si>
  <si>
    <t>Startup_3974</t>
  </si>
  <si>
    <t>Startup_3975</t>
  </si>
  <si>
    <t>Startup_3976</t>
  </si>
  <si>
    <t>Startup_3977</t>
  </si>
  <si>
    <t>Startup_3978</t>
  </si>
  <si>
    <t>Startup_3979</t>
  </si>
  <si>
    <t>Startup_3980</t>
  </si>
  <si>
    <t>Startup_3981</t>
  </si>
  <si>
    <t>Startup_3982</t>
  </si>
  <si>
    <t>Startup_3983</t>
  </si>
  <si>
    <t>Startup_3984</t>
  </si>
  <si>
    <t>Startup_3985</t>
  </si>
  <si>
    <t>Startup_3986</t>
  </si>
  <si>
    <t>Startup_3987</t>
  </si>
  <si>
    <t>Startup_3988</t>
  </si>
  <si>
    <t>Startup_3989</t>
  </si>
  <si>
    <t>Startup_3990</t>
  </si>
  <si>
    <t>Startup_3991</t>
  </si>
  <si>
    <t>Startup_3992</t>
  </si>
  <si>
    <t>Startup_3993</t>
  </si>
  <si>
    <t>Startup_3994</t>
  </si>
  <si>
    <t>Startup_3995</t>
  </si>
  <si>
    <t>Startup_3996</t>
  </si>
  <si>
    <t>Startup_3997</t>
  </si>
  <si>
    <t>Startup_3998</t>
  </si>
  <si>
    <t>Startup_3999</t>
  </si>
  <si>
    <t>Startup_4000</t>
  </si>
  <si>
    <t>Startup_4001</t>
  </si>
  <si>
    <t>Startup_4002</t>
  </si>
  <si>
    <t>Startup_4003</t>
  </si>
  <si>
    <t>Startup_4004</t>
  </si>
  <si>
    <t>Startup_4005</t>
  </si>
  <si>
    <t>Startup_4006</t>
  </si>
  <si>
    <t>Startup_4007</t>
  </si>
  <si>
    <t>Startup_4008</t>
  </si>
  <si>
    <t>Startup_4009</t>
  </si>
  <si>
    <t>Startup_4010</t>
  </si>
  <si>
    <t>Startup_4011</t>
  </si>
  <si>
    <t>Startup_4012</t>
  </si>
  <si>
    <t>Startup_4013</t>
  </si>
  <si>
    <t>Startup_4014</t>
  </si>
  <si>
    <t>Startup_4015</t>
  </si>
  <si>
    <t>Startup_4016</t>
  </si>
  <si>
    <t>Startup_4017</t>
  </si>
  <si>
    <t>Startup_4018</t>
  </si>
  <si>
    <t>Startup_4019</t>
  </si>
  <si>
    <t>Startup_4020</t>
  </si>
  <si>
    <t>Startup_4021</t>
  </si>
  <si>
    <t>Startup_4022</t>
  </si>
  <si>
    <t>Startup_4023</t>
  </si>
  <si>
    <t>Startup_4024</t>
  </si>
  <si>
    <t>Startup_4025</t>
  </si>
  <si>
    <t>Startup_4026</t>
  </si>
  <si>
    <t>Startup_4027</t>
  </si>
  <si>
    <t>Startup_4028</t>
  </si>
  <si>
    <t>Startup_4029</t>
  </si>
  <si>
    <t>Startup_4030</t>
  </si>
  <si>
    <t>Startup_4031</t>
  </si>
  <si>
    <t>Startup_4032</t>
  </si>
  <si>
    <t>Startup_4033</t>
  </si>
  <si>
    <t>Startup_4034</t>
  </si>
  <si>
    <t>Startup_4035</t>
  </si>
  <si>
    <t>Startup_4036</t>
  </si>
  <si>
    <t>Startup_4037</t>
  </si>
  <si>
    <t>Startup_4038</t>
  </si>
  <si>
    <t>Startup_4039</t>
  </si>
  <si>
    <t>Startup_4040</t>
  </si>
  <si>
    <t>Startup_4041</t>
  </si>
  <si>
    <t>Startup_4042</t>
  </si>
  <si>
    <t>Startup_4043</t>
  </si>
  <si>
    <t>Startup_4044</t>
  </si>
  <si>
    <t>Startup_4045</t>
  </si>
  <si>
    <t>Startup_4046</t>
  </si>
  <si>
    <t>Startup_4047</t>
  </si>
  <si>
    <t>Startup_4048</t>
  </si>
  <si>
    <t>Startup_4049</t>
  </si>
  <si>
    <t>Startup_4050</t>
  </si>
  <si>
    <t>Startup_4051</t>
  </si>
  <si>
    <t>Startup_4052</t>
  </si>
  <si>
    <t>Startup_4053</t>
  </si>
  <si>
    <t>Startup_4054</t>
  </si>
  <si>
    <t>Startup_4055</t>
  </si>
  <si>
    <t>Startup_4056</t>
  </si>
  <si>
    <t>Startup_4057</t>
  </si>
  <si>
    <t>Startup_4058</t>
  </si>
  <si>
    <t>Startup_4059</t>
  </si>
  <si>
    <t>Startup_4060</t>
  </si>
  <si>
    <t>Startup_4061</t>
  </si>
  <si>
    <t>Startup_4062</t>
  </si>
  <si>
    <t>Startup_4063</t>
  </si>
  <si>
    <t>Startup_4064</t>
  </si>
  <si>
    <t>Startup_4065</t>
  </si>
  <si>
    <t>Startup_4066</t>
  </si>
  <si>
    <t>Startup_4067</t>
  </si>
  <si>
    <t>Startup_4068</t>
  </si>
  <si>
    <t>Startup_4069</t>
  </si>
  <si>
    <t>Startup_4070</t>
  </si>
  <si>
    <t>Startup_4071</t>
  </si>
  <si>
    <t>Startup_4072</t>
  </si>
  <si>
    <t>Startup_4073</t>
  </si>
  <si>
    <t>Startup_4074</t>
  </si>
  <si>
    <t>Startup_4075</t>
  </si>
  <si>
    <t>Startup_4076</t>
  </si>
  <si>
    <t>Startup_4077</t>
  </si>
  <si>
    <t>Startup_4078</t>
  </si>
  <si>
    <t>Startup_4079</t>
  </si>
  <si>
    <t>Startup_4080</t>
  </si>
  <si>
    <t>Startup_4081</t>
  </si>
  <si>
    <t>Startup_4082</t>
  </si>
  <si>
    <t>Startup_4083</t>
  </si>
  <si>
    <t>Startup_4084</t>
  </si>
  <si>
    <t>Startup_4085</t>
  </si>
  <si>
    <t>Startup_4086</t>
  </si>
  <si>
    <t>Startup_4087</t>
  </si>
  <si>
    <t>Startup_4088</t>
  </si>
  <si>
    <t>Startup_4089</t>
  </si>
  <si>
    <t>Startup_4090</t>
  </si>
  <si>
    <t>Startup_4091</t>
  </si>
  <si>
    <t>Startup_4092</t>
  </si>
  <si>
    <t>Startup_4093</t>
  </si>
  <si>
    <t>Startup_4094</t>
  </si>
  <si>
    <t>Startup_4095</t>
  </si>
  <si>
    <t>Startup_4096</t>
  </si>
  <si>
    <t>Startup_4097</t>
  </si>
  <si>
    <t>Startup_4098</t>
  </si>
  <si>
    <t>Startup_4099</t>
  </si>
  <si>
    <t>Startup_4100</t>
  </si>
  <si>
    <t>Startup_4101</t>
  </si>
  <si>
    <t>Startup_4102</t>
  </si>
  <si>
    <t>Startup_4103</t>
  </si>
  <si>
    <t>Startup_4104</t>
  </si>
  <si>
    <t>Startup_4105</t>
  </si>
  <si>
    <t>Startup_4106</t>
  </si>
  <si>
    <t>Startup_4107</t>
  </si>
  <si>
    <t>Startup_4108</t>
  </si>
  <si>
    <t>Startup_4109</t>
  </si>
  <si>
    <t>Startup_4110</t>
  </si>
  <si>
    <t>Startup_4111</t>
  </si>
  <si>
    <t>Startup_4112</t>
  </si>
  <si>
    <t>Startup_4113</t>
  </si>
  <si>
    <t>Startup_4114</t>
  </si>
  <si>
    <t>Startup_4115</t>
  </si>
  <si>
    <t>Startup_4116</t>
  </si>
  <si>
    <t>Startup_4117</t>
  </si>
  <si>
    <t>Startup_4118</t>
  </si>
  <si>
    <t>Startup_4119</t>
  </si>
  <si>
    <t>Startup_4120</t>
  </si>
  <si>
    <t>Startup_4121</t>
  </si>
  <si>
    <t>Startup_4122</t>
  </si>
  <si>
    <t>Startup_4123</t>
  </si>
  <si>
    <t>Startup_4124</t>
  </si>
  <si>
    <t>Startup_4125</t>
  </si>
  <si>
    <t>Startup_4126</t>
  </si>
  <si>
    <t>Startup_4127</t>
  </si>
  <si>
    <t>Startup_4128</t>
  </si>
  <si>
    <t>Startup_4129</t>
  </si>
  <si>
    <t>Startup_4130</t>
  </si>
  <si>
    <t>Startup_4131</t>
  </si>
  <si>
    <t>Startup_4132</t>
  </si>
  <si>
    <t>Startup_4133</t>
  </si>
  <si>
    <t>Startup_4134</t>
  </si>
  <si>
    <t>Startup_4135</t>
  </si>
  <si>
    <t>Startup_4136</t>
  </si>
  <si>
    <t>Startup_4137</t>
  </si>
  <si>
    <t>Startup_4138</t>
  </si>
  <si>
    <t>Startup_4139</t>
  </si>
  <si>
    <t>Startup_4140</t>
  </si>
  <si>
    <t>Startup_4141</t>
  </si>
  <si>
    <t>Startup_4142</t>
  </si>
  <si>
    <t>Startup_4143</t>
  </si>
  <si>
    <t>Startup_4144</t>
  </si>
  <si>
    <t>Startup_4145</t>
  </si>
  <si>
    <t>Startup_4146</t>
  </si>
  <si>
    <t>Startup_4147</t>
  </si>
  <si>
    <t>Startup_4148</t>
  </si>
  <si>
    <t>Startup_4149</t>
  </si>
  <si>
    <t>Startup_4150</t>
  </si>
  <si>
    <t>Startup_4151</t>
  </si>
  <si>
    <t>Startup_4152</t>
  </si>
  <si>
    <t>Startup_4153</t>
  </si>
  <si>
    <t>Startup_4154</t>
  </si>
  <si>
    <t>Startup_4155</t>
  </si>
  <si>
    <t>Startup_4156</t>
  </si>
  <si>
    <t>Startup_4157</t>
  </si>
  <si>
    <t>Startup_4158</t>
  </si>
  <si>
    <t>Startup_4159</t>
  </si>
  <si>
    <t>Startup_4160</t>
  </si>
  <si>
    <t>Startup_4161</t>
  </si>
  <si>
    <t>Startup_4162</t>
  </si>
  <si>
    <t>Startup_4163</t>
  </si>
  <si>
    <t>Startup_4164</t>
  </si>
  <si>
    <t>Startup_4165</t>
  </si>
  <si>
    <t>Startup_4166</t>
  </si>
  <si>
    <t>Startup_4167</t>
  </si>
  <si>
    <t>Startup_4168</t>
  </si>
  <si>
    <t>Startup_4169</t>
  </si>
  <si>
    <t>Startup_4170</t>
  </si>
  <si>
    <t>Startup_4171</t>
  </si>
  <si>
    <t>Startup_4172</t>
  </si>
  <si>
    <t>Startup_4173</t>
  </si>
  <si>
    <t>Startup_4174</t>
  </si>
  <si>
    <t>Startup_4175</t>
  </si>
  <si>
    <t>Startup_4176</t>
  </si>
  <si>
    <t>Startup_4177</t>
  </si>
  <si>
    <t>Startup_4178</t>
  </si>
  <si>
    <t>Startup_4179</t>
  </si>
  <si>
    <t>Startup_4180</t>
  </si>
  <si>
    <t>Startup_4181</t>
  </si>
  <si>
    <t>Startup_4182</t>
  </si>
  <si>
    <t>Startup_4183</t>
  </si>
  <si>
    <t>Startup_4184</t>
  </si>
  <si>
    <t>Startup_4185</t>
  </si>
  <si>
    <t>Startup_4186</t>
  </si>
  <si>
    <t>Startup_4187</t>
  </si>
  <si>
    <t>Startup_4188</t>
  </si>
  <si>
    <t>Startup_4189</t>
  </si>
  <si>
    <t>Startup_4190</t>
  </si>
  <si>
    <t>Startup_4191</t>
  </si>
  <si>
    <t>Startup_4192</t>
  </si>
  <si>
    <t>Startup_4193</t>
  </si>
  <si>
    <t>Startup_4194</t>
  </si>
  <si>
    <t>Startup_4195</t>
  </si>
  <si>
    <t>Startup_4196</t>
  </si>
  <si>
    <t>Startup_4197</t>
  </si>
  <si>
    <t>Startup_4198</t>
  </si>
  <si>
    <t>Startup_4199</t>
  </si>
  <si>
    <t>Startup_4200</t>
  </si>
  <si>
    <t>Startup_4201</t>
  </si>
  <si>
    <t>Startup_4202</t>
  </si>
  <si>
    <t>Startup_4203</t>
  </si>
  <si>
    <t>Startup_4204</t>
  </si>
  <si>
    <t>Startup_4205</t>
  </si>
  <si>
    <t>Startup_4206</t>
  </si>
  <si>
    <t>Startup_4207</t>
  </si>
  <si>
    <t>Startup_4208</t>
  </si>
  <si>
    <t>Startup_4209</t>
  </si>
  <si>
    <t>Startup_4210</t>
  </si>
  <si>
    <t>Startup_4211</t>
  </si>
  <si>
    <t>Startup_4212</t>
  </si>
  <si>
    <t>Startup_4213</t>
  </si>
  <si>
    <t>Startup_4214</t>
  </si>
  <si>
    <t>Startup_4215</t>
  </si>
  <si>
    <t>Startup_4216</t>
  </si>
  <si>
    <t>Startup_4217</t>
  </si>
  <si>
    <t>Startup_4218</t>
  </si>
  <si>
    <t>Startup_4219</t>
  </si>
  <si>
    <t>Startup_4220</t>
  </si>
  <si>
    <t>Startup_4221</t>
  </si>
  <si>
    <t>Startup_4222</t>
  </si>
  <si>
    <t>Startup_4223</t>
  </si>
  <si>
    <t>Startup_4224</t>
  </si>
  <si>
    <t>Startup_4225</t>
  </si>
  <si>
    <t>Startup_4226</t>
  </si>
  <si>
    <t>Startup_4227</t>
  </si>
  <si>
    <t>Startup_4228</t>
  </si>
  <si>
    <t>Startup_4229</t>
  </si>
  <si>
    <t>Startup_4230</t>
  </si>
  <si>
    <t>Startup_4231</t>
  </si>
  <si>
    <t>Startup_4232</t>
  </si>
  <si>
    <t>Startup_4233</t>
  </si>
  <si>
    <t>Startup_4234</t>
  </si>
  <si>
    <t>Startup_4235</t>
  </si>
  <si>
    <t>Startup_4236</t>
  </si>
  <si>
    <t>Startup_4237</t>
  </si>
  <si>
    <t>Startup_4238</t>
  </si>
  <si>
    <t>Startup_4239</t>
  </si>
  <si>
    <t>Startup_4240</t>
  </si>
  <si>
    <t>Startup_4241</t>
  </si>
  <si>
    <t>Startup_4242</t>
  </si>
  <si>
    <t>Startup_4243</t>
  </si>
  <si>
    <t>Startup_4244</t>
  </si>
  <si>
    <t>Startup_4245</t>
  </si>
  <si>
    <t>Startup_4246</t>
  </si>
  <si>
    <t>Startup_4247</t>
  </si>
  <si>
    <t>Startup_4248</t>
  </si>
  <si>
    <t>Startup_4249</t>
  </si>
  <si>
    <t>Startup_4250</t>
  </si>
  <si>
    <t>Startup_4251</t>
  </si>
  <si>
    <t>Startup_4252</t>
  </si>
  <si>
    <t>Startup_4253</t>
  </si>
  <si>
    <t>Startup_4254</t>
  </si>
  <si>
    <t>Startup_4255</t>
  </si>
  <si>
    <t>Startup_4256</t>
  </si>
  <si>
    <t>Startup_4257</t>
  </si>
  <si>
    <t>Startup_4258</t>
  </si>
  <si>
    <t>Startup_4259</t>
  </si>
  <si>
    <t>Startup_4260</t>
  </si>
  <si>
    <t>Startup_4261</t>
  </si>
  <si>
    <t>Startup_4262</t>
  </si>
  <si>
    <t>Startup_4263</t>
  </si>
  <si>
    <t>Startup_4264</t>
  </si>
  <si>
    <t>Startup_4265</t>
  </si>
  <si>
    <t>Startup_4266</t>
  </si>
  <si>
    <t>Startup_4267</t>
  </si>
  <si>
    <t>Startup_4268</t>
  </si>
  <si>
    <t>Startup_4269</t>
  </si>
  <si>
    <t>Startup_4270</t>
  </si>
  <si>
    <t>Startup_4271</t>
  </si>
  <si>
    <t>Startup_4272</t>
  </si>
  <si>
    <t>Startup_4273</t>
  </si>
  <si>
    <t>Startup_4274</t>
  </si>
  <si>
    <t>Startup_4275</t>
  </si>
  <si>
    <t>Startup_4276</t>
  </si>
  <si>
    <t>Startup_4277</t>
  </si>
  <si>
    <t>Startup_4278</t>
  </si>
  <si>
    <t>Startup_4279</t>
  </si>
  <si>
    <t>Startup_4280</t>
  </si>
  <si>
    <t>Startup_4281</t>
  </si>
  <si>
    <t>Startup_4282</t>
  </si>
  <si>
    <t>Startup_4283</t>
  </si>
  <si>
    <t>Startup_4284</t>
  </si>
  <si>
    <t>Startup_4285</t>
  </si>
  <si>
    <t>Startup_4286</t>
  </si>
  <si>
    <t>Startup_4287</t>
  </si>
  <si>
    <t>Startup_4288</t>
  </si>
  <si>
    <t>Startup_4289</t>
  </si>
  <si>
    <t>Startup_4290</t>
  </si>
  <si>
    <t>Startup_4291</t>
  </si>
  <si>
    <t>Startup_4292</t>
  </si>
  <si>
    <t>Startup_4293</t>
  </si>
  <si>
    <t>Startup_4294</t>
  </si>
  <si>
    <t>Startup_4295</t>
  </si>
  <si>
    <t>Startup_4296</t>
  </si>
  <si>
    <t>Startup_4297</t>
  </si>
  <si>
    <t>Startup_4298</t>
  </si>
  <si>
    <t>Startup_4299</t>
  </si>
  <si>
    <t>Startup_4300</t>
  </si>
  <si>
    <t>Startup_4301</t>
  </si>
  <si>
    <t>Startup_4302</t>
  </si>
  <si>
    <t>Startup_4303</t>
  </si>
  <si>
    <t>Startup_4304</t>
  </si>
  <si>
    <t>Startup_4305</t>
  </si>
  <si>
    <t>Startup_4306</t>
  </si>
  <si>
    <t>Startup_4307</t>
  </si>
  <si>
    <t>Startup_4308</t>
  </si>
  <si>
    <t>Startup_4309</t>
  </si>
  <si>
    <t>Startup_4310</t>
  </si>
  <si>
    <t>Startup_4311</t>
  </si>
  <si>
    <t>Startup_4312</t>
  </si>
  <si>
    <t>Startup_4313</t>
  </si>
  <si>
    <t>Startup_4314</t>
  </si>
  <si>
    <t>Startup_4315</t>
  </si>
  <si>
    <t>Startup_4316</t>
  </si>
  <si>
    <t>Startup_4317</t>
  </si>
  <si>
    <t>Startup_4318</t>
  </si>
  <si>
    <t>Startup_4319</t>
  </si>
  <si>
    <t>Startup_4320</t>
  </si>
  <si>
    <t>Startup_4321</t>
  </si>
  <si>
    <t>Startup_4322</t>
  </si>
  <si>
    <t>Startup_4323</t>
  </si>
  <si>
    <t>Startup_4324</t>
  </si>
  <si>
    <t>Startup_4325</t>
  </si>
  <si>
    <t>Startup_4326</t>
  </si>
  <si>
    <t>Startup_4327</t>
  </si>
  <si>
    <t>Startup_4328</t>
  </si>
  <si>
    <t>Startup_4329</t>
  </si>
  <si>
    <t>Startup_4330</t>
  </si>
  <si>
    <t>Startup_4331</t>
  </si>
  <si>
    <t>Startup_4332</t>
  </si>
  <si>
    <t>Startup_4333</t>
  </si>
  <si>
    <t>Startup_4334</t>
  </si>
  <si>
    <t>Startup_4335</t>
  </si>
  <si>
    <t>Startup_4336</t>
  </si>
  <si>
    <t>Startup_4337</t>
  </si>
  <si>
    <t>Startup_4338</t>
  </si>
  <si>
    <t>Startup_4339</t>
  </si>
  <si>
    <t>Startup_4340</t>
  </si>
  <si>
    <t>Startup_4341</t>
  </si>
  <si>
    <t>Startup_4342</t>
  </si>
  <si>
    <t>Startup_4343</t>
  </si>
  <si>
    <t>Startup_4344</t>
  </si>
  <si>
    <t>Startup_4345</t>
  </si>
  <si>
    <t>Startup_4346</t>
  </si>
  <si>
    <t>Startup_4347</t>
  </si>
  <si>
    <t>Startup_4348</t>
  </si>
  <si>
    <t>Startup_4349</t>
  </si>
  <si>
    <t>Startup_4350</t>
  </si>
  <si>
    <t>Startup_4351</t>
  </si>
  <si>
    <t>Startup_4352</t>
  </si>
  <si>
    <t>Startup_4353</t>
  </si>
  <si>
    <t>Startup_4354</t>
  </si>
  <si>
    <t>Startup_4355</t>
  </si>
  <si>
    <t>Startup_4356</t>
  </si>
  <si>
    <t>Startup_4357</t>
  </si>
  <si>
    <t>Startup_4358</t>
  </si>
  <si>
    <t>Startup_4359</t>
  </si>
  <si>
    <t>Startup_4360</t>
  </si>
  <si>
    <t>Startup_4361</t>
  </si>
  <si>
    <t>Startup_4362</t>
  </si>
  <si>
    <t>Startup_4363</t>
  </si>
  <si>
    <t>Startup_4364</t>
  </si>
  <si>
    <t>Startup_4365</t>
  </si>
  <si>
    <t>Startup_4366</t>
  </si>
  <si>
    <t>Startup_4367</t>
  </si>
  <si>
    <t>Startup_4368</t>
  </si>
  <si>
    <t>Startup_4369</t>
  </si>
  <si>
    <t>Startup_4370</t>
  </si>
  <si>
    <t>Startup_4371</t>
  </si>
  <si>
    <t>Startup_4372</t>
  </si>
  <si>
    <t>Startup_4373</t>
  </si>
  <si>
    <t>Startup_4374</t>
  </si>
  <si>
    <t>Startup_4375</t>
  </si>
  <si>
    <t>Startup_4376</t>
  </si>
  <si>
    <t>Startup_4377</t>
  </si>
  <si>
    <t>Startup_4378</t>
  </si>
  <si>
    <t>Startup_4379</t>
  </si>
  <si>
    <t>Startup_4380</t>
  </si>
  <si>
    <t>Startup_4381</t>
  </si>
  <si>
    <t>Startup_4382</t>
  </si>
  <si>
    <t>Startup_4383</t>
  </si>
  <si>
    <t>Startup_4384</t>
  </si>
  <si>
    <t>Startup_4385</t>
  </si>
  <si>
    <t>Startup_4386</t>
  </si>
  <si>
    <t>Startup_4387</t>
  </si>
  <si>
    <t>Startup_4388</t>
  </si>
  <si>
    <t>Startup_4389</t>
  </si>
  <si>
    <t>Startup_4390</t>
  </si>
  <si>
    <t>Startup_4391</t>
  </si>
  <si>
    <t>Startup_4392</t>
  </si>
  <si>
    <t>Startup_4393</t>
  </si>
  <si>
    <t>Startup_4394</t>
  </si>
  <si>
    <t>Startup_4395</t>
  </si>
  <si>
    <t>Startup_4396</t>
  </si>
  <si>
    <t>Startup_4397</t>
  </si>
  <si>
    <t>Startup_4398</t>
  </si>
  <si>
    <t>Startup_4399</t>
  </si>
  <si>
    <t>Startup_4400</t>
  </si>
  <si>
    <t>Startup_4401</t>
  </si>
  <si>
    <t>Startup_4402</t>
  </si>
  <si>
    <t>Startup_4403</t>
  </si>
  <si>
    <t>Startup_4404</t>
  </si>
  <si>
    <t>Startup_4405</t>
  </si>
  <si>
    <t>Startup_4406</t>
  </si>
  <si>
    <t>Startup_4407</t>
  </si>
  <si>
    <t>Startup_4408</t>
  </si>
  <si>
    <t>Startup_4409</t>
  </si>
  <si>
    <t>Startup_4410</t>
  </si>
  <si>
    <t>Startup_4411</t>
  </si>
  <si>
    <t>Startup_4412</t>
  </si>
  <si>
    <t>Startup_4413</t>
  </si>
  <si>
    <t>Startup_4414</t>
  </si>
  <si>
    <t>Startup_4415</t>
  </si>
  <si>
    <t>Startup_4416</t>
  </si>
  <si>
    <t>Startup_4417</t>
  </si>
  <si>
    <t>Startup_4418</t>
  </si>
  <si>
    <t>Startup_4419</t>
  </si>
  <si>
    <t>Startup_4420</t>
  </si>
  <si>
    <t>Startup_4421</t>
  </si>
  <si>
    <t>Startup_4422</t>
  </si>
  <si>
    <t>Startup_4423</t>
  </si>
  <si>
    <t>Startup_4424</t>
  </si>
  <si>
    <t>Startup_4425</t>
  </si>
  <si>
    <t>Startup_4426</t>
  </si>
  <si>
    <t>Startup_4427</t>
  </si>
  <si>
    <t>Startup_4428</t>
  </si>
  <si>
    <t>Startup_4429</t>
  </si>
  <si>
    <t>Startup_4430</t>
  </si>
  <si>
    <t>Startup_4431</t>
  </si>
  <si>
    <t>Startup_4432</t>
  </si>
  <si>
    <t>Startup_4433</t>
  </si>
  <si>
    <t>Startup_4434</t>
  </si>
  <si>
    <t>Startup_4435</t>
  </si>
  <si>
    <t>Startup_4436</t>
  </si>
  <si>
    <t>Startup_4437</t>
  </si>
  <si>
    <t>Startup_4438</t>
  </si>
  <si>
    <t>Startup_4439</t>
  </si>
  <si>
    <t>Startup_4440</t>
  </si>
  <si>
    <t>Startup_4441</t>
  </si>
  <si>
    <t>Startup_4442</t>
  </si>
  <si>
    <t>Startup_4443</t>
  </si>
  <si>
    <t>Startup_4444</t>
  </si>
  <si>
    <t>Startup_4445</t>
  </si>
  <si>
    <t>Startup_4446</t>
  </si>
  <si>
    <t>Startup_4447</t>
  </si>
  <si>
    <t>Startup_4448</t>
  </si>
  <si>
    <t>Startup_4449</t>
  </si>
  <si>
    <t>Startup_4450</t>
  </si>
  <si>
    <t>Startup_4451</t>
  </si>
  <si>
    <t>Startup_4452</t>
  </si>
  <si>
    <t>Startup_4453</t>
  </si>
  <si>
    <t>Startup_4454</t>
  </si>
  <si>
    <t>Startup_4455</t>
  </si>
  <si>
    <t>Startup_4456</t>
  </si>
  <si>
    <t>Startup_4457</t>
  </si>
  <si>
    <t>Startup_4458</t>
  </si>
  <si>
    <t>Startup_4459</t>
  </si>
  <si>
    <t>Startup_4460</t>
  </si>
  <si>
    <t>Startup_4461</t>
  </si>
  <si>
    <t>Startup_4462</t>
  </si>
  <si>
    <t>Startup_4463</t>
  </si>
  <si>
    <t>Startup_4464</t>
  </si>
  <si>
    <t>Startup_4465</t>
  </si>
  <si>
    <t>Startup_4466</t>
  </si>
  <si>
    <t>Startup_4467</t>
  </si>
  <si>
    <t>Startup_4468</t>
  </si>
  <si>
    <t>Startup_4469</t>
  </si>
  <si>
    <t>Startup_4470</t>
  </si>
  <si>
    <t>Startup_4471</t>
  </si>
  <si>
    <t>Startup_4472</t>
  </si>
  <si>
    <t>Startup_4473</t>
  </si>
  <si>
    <t>Startup_4474</t>
  </si>
  <si>
    <t>Startup_4475</t>
  </si>
  <si>
    <t>Startup_4476</t>
  </si>
  <si>
    <t>Startup_4477</t>
  </si>
  <si>
    <t>Startup_4478</t>
  </si>
  <si>
    <t>Startup_4479</t>
  </si>
  <si>
    <t>Startup_4480</t>
  </si>
  <si>
    <t>Startup_4481</t>
  </si>
  <si>
    <t>Startup_4482</t>
  </si>
  <si>
    <t>Startup_4483</t>
  </si>
  <si>
    <t>Startup_4484</t>
  </si>
  <si>
    <t>Startup_4485</t>
  </si>
  <si>
    <t>Startup_4486</t>
  </si>
  <si>
    <t>Startup_4487</t>
  </si>
  <si>
    <t>Startup_4488</t>
  </si>
  <si>
    <t>Startup_4489</t>
  </si>
  <si>
    <t>Startup_4490</t>
  </si>
  <si>
    <t>Startup_4491</t>
  </si>
  <si>
    <t>Startup_4492</t>
  </si>
  <si>
    <t>Startup_4493</t>
  </si>
  <si>
    <t>Startup_4494</t>
  </si>
  <si>
    <t>Startup_4495</t>
  </si>
  <si>
    <t>Startup_4496</t>
  </si>
  <si>
    <t>Startup_4497</t>
  </si>
  <si>
    <t>Startup_4498</t>
  </si>
  <si>
    <t>Startup_4499</t>
  </si>
  <si>
    <t>Startup_4500</t>
  </si>
  <si>
    <t>Startup_4501</t>
  </si>
  <si>
    <t>Startup_4502</t>
  </si>
  <si>
    <t>Startup_4503</t>
  </si>
  <si>
    <t>Startup_4504</t>
  </si>
  <si>
    <t>Startup_4505</t>
  </si>
  <si>
    <t>Startup_4506</t>
  </si>
  <si>
    <t>Startup_4507</t>
  </si>
  <si>
    <t>Startup_4508</t>
  </si>
  <si>
    <t>Startup_4509</t>
  </si>
  <si>
    <t>Startup_4510</t>
  </si>
  <si>
    <t>Startup_4511</t>
  </si>
  <si>
    <t>Startup_4512</t>
  </si>
  <si>
    <t>Startup_4513</t>
  </si>
  <si>
    <t>Startup_4514</t>
  </si>
  <si>
    <t>Startup_4515</t>
  </si>
  <si>
    <t>Startup_4516</t>
  </si>
  <si>
    <t>Startup_4517</t>
  </si>
  <si>
    <t>Startup_4518</t>
  </si>
  <si>
    <t>Startup_4519</t>
  </si>
  <si>
    <t>Startup_4520</t>
  </si>
  <si>
    <t>Startup_4521</t>
  </si>
  <si>
    <t>Startup_4522</t>
  </si>
  <si>
    <t>Startup_4523</t>
  </si>
  <si>
    <t>Startup_4524</t>
  </si>
  <si>
    <t>Startup_4525</t>
  </si>
  <si>
    <t>Startup_4526</t>
  </si>
  <si>
    <t>Startup_4527</t>
  </si>
  <si>
    <t>Startup_4528</t>
  </si>
  <si>
    <t>Startup_4529</t>
  </si>
  <si>
    <t>Startup_4530</t>
  </si>
  <si>
    <t>Startup_4531</t>
  </si>
  <si>
    <t>Startup_4532</t>
  </si>
  <si>
    <t>Startup_4533</t>
  </si>
  <si>
    <t>Startup_4534</t>
  </si>
  <si>
    <t>Startup_4535</t>
  </si>
  <si>
    <t>Startup_4536</t>
  </si>
  <si>
    <t>Startup_4537</t>
  </si>
  <si>
    <t>Startup_4538</t>
  </si>
  <si>
    <t>Startup_4539</t>
  </si>
  <si>
    <t>Startup_4540</t>
  </si>
  <si>
    <t>Startup_4541</t>
  </si>
  <si>
    <t>Startup_4542</t>
  </si>
  <si>
    <t>Startup_4543</t>
  </si>
  <si>
    <t>Startup_4544</t>
  </si>
  <si>
    <t>Startup_4545</t>
  </si>
  <si>
    <t>Startup_4546</t>
  </si>
  <si>
    <t>Startup_4547</t>
  </si>
  <si>
    <t>Startup_4548</t>
  </si>
  <si>
    <t>Startup_4549</t>
  </si>
  <si>
    <t>Startup_4550</t>
  </si>
  <si>
    <t>Startup_4551</t>
  </si>
  <si>
    <t>Startup_4552</t>
  </si>
  <si>
    <t>Startup_4553</t>
  </si>
  <si>
    <t>Startup_4554</t>
  </si>
  <si>
    <t>Startup_4555</t>
  </si>
  <si>
    <t>Startup_4556</t>
  </si>
  <si>
    <t>Startup_4557</t>
  </si>
  <si>
    <t>Startup_4558</t>
  </si>
  <si>
    <t>Startup_4559</t>
  </si>
  <si>
    <t>Startup_4560</t>
  </si>
  <si>
    <t>Startup_4561</t>
  </si>
  <si>
    <t>Startup_4562</t>
  </si>
  <si>
    <t>Startup_4563</t>
  </si>
  <si>
    <t>Startup_4564</t>
  </si>
  <si>
    <t>Startup_4565</t>
  </si>
  <si>
    <t>Startup_4566</t>
  </si>
  <si>
    <t>Startup_4567</t>
  </si>
  <si>
    <t>Startup_4568</t>
  </si>
  <si>
    <t>Startup_4569</t>
  </si>
  <si>
    <t>Startup_4570</t>
  </si>
  <si>
    <t>Startup_4571</t>
  </si>
  <si>
    <t>Startup_4572</t>
  </si>
  <si>
    <t>Startup_4573</t>
  </si>
  <si>
    <t>Startup_4574</t>
  </si>
  <si>
    <t>Startup_4575</t>
  </si>
  <si>
    <t>Startup_4576</t>
  </si>
  <si>
    <t>Startup_4577</t>
  </si>
  <si>
    <t>Startup_4578</t>
  </si>
  <si>
    <t>Startup_4579</t>
  </si>
  <si>
    <t>Startup_4580</t>
  </si>
  <si>
    <t>Startup_4581</t>
  </si>
  <si>
    <t>Startup_4582</t>
  </si>
  <si>
    <t>Startup_4583</t>
  </si>
  <si>
    <t>Startup_4584</t>
  </si>
  <si>
    <t>Startup_4585</t>
  </si>
  <si>
    <t>Startup_4586</t>
  </si>
  <si>
    <t>Startup_4587</t>
  </si>
  <si>
    <t>Startup_4588</t>
  </si>
  <si>
    <t>Startup_4589</t>
  </si>
  <si>
    <t>Startup_4590</t>
  </si>
  <si>
    <t>Startup_4591</t>
  </si>
  <si>
    <t>Startup_4592</t>
  </si>
  <si>
    <t>Startup_4593</t>
  </si>
  <si>
    <t>Startup_4594</t>
  </si>
  <si>
    <t>Startup_4595</t>
  </si>
  <si>
    <t>Startup_4596</t>
  </si>
  <si>
    <t>Startup_4597</t>
  </si>
  <si>
    <t>Startup_4598</t>
  </si>
  <si>
    <t>Startup_4599</t>
  </si>
  <si>
    <t>Startup_4600</t>
  </si>
  <si>
    <t>Startup_4601</t>
  </si>
  <si>
    <t>Startup_4602</t>
  </si>
  <si>
    <t>Startup_4603</t>
  </si>
  <si>
    <t>Startup_4604</t>
  </si>
  <si>
    <t>Startup_4605</t>
  </si>
  <si>
    <t>Startup_4606</t>
  </si>
  <si>
    <t>Startup_4607</t>
  </si>
  <si>
    <t>Startup_4608</t>
  </si>
  <si>
    <t>Startup_4609</t>
  </si>
  <si>
    <t>Startup_4610</t>
  </si>
  <si>
    <t>Startup_4611</t>
  </si>
  <si>
    <t>Startup_4612</t>
  </si>
  <si>
    <t>Startup_4613</t>
  </si>
  <si>
    <t>Startup_4614</t>
  </si>
  <si>
    <t>Startup_4615</t>
  </si>
  <si>
    <t>Startup_4616</t>
  </si>
  <si>
    <t>Startup_4617</t>
  </si>
  <si>
    <t>Startup_4618</t>
  </si>
  <si>
    <t>Startup_4619</t>
  </si>
  <si>
    <t>Startup_4620</t>
  </si>
  <si>
    <t>Startup_4621</t>
  </si>
  <si>
    <t>Startup_4622</t>
  </si>
  <si>
    <t>Startup_4623</t>
  </si>
  <si>
    <t>Startup_4624</t>
  </si>
  <si>
    <t>Startup_4625</t>
  </si>
  <si>
    <t>Startup_4626</t>
  </si>
  <si>
    <t>Startup_4627</t>
  </si>
  <si>
    <t>Startup_4628</t>
  </si>
  <si>
    <t>Startup_4629</t>
  </si>
  <si>
    <t>Startup_4630</t>
  </si>
  <si>
    <t>Startup_4631</t>
  </si>
  <si>
    <t>Startup_4632</t>
  </si>
  <si>
    <t>Startup_4633</t>
  </si>
  <si>
    <t>Startup_4634</t>
  </si>
  <si>
    <t>Startup_4635</t>
  </si>
  <si>
    <t>Startup_4636</t>
  </si>
  <si>
    <t>Startup_4637</t>
  </si>
  <si>
    <t>Startup_4638</t>
  </si>
  <si>
    <t>Startup_4639</t>
  </si>
  <si>
    <t>Startup_4640</t>
  </si>
  <si>
    <t>Startup_4641</t>
  </si>
  <si>
    <t>Startup_4642</t>
  </si>
  <si>
    <t>Startup_4643</t>
  </si>
  <si>
    <t>Startup_4644</t>
  </si>
  <si>
    <t>Startup_4645</t>
  </si>
  <si>
    <t>Startup_4646</t>
  </si>
  <si>
    <t>Startup_4647</t>
  </si>
  <si>
    <t>Startup_4648</t>
  </si>
  <si>
    <t>Startup_4649</t>
  </si>
  <si>
    <t>Startup_4650</t>
  </si>
  <si>
    <t>Startup_4651</t>
  </si>
  <si>
    <t>Startup_4652</t>
  </si>
  <si>
    <t>Startup_4653</t>
  </si>
  <si>
    <t>Startup_4654</t>
  </si>
  <si>
    <t>Startup_4655</t>
  </si>
  <si>
    <t>Startup_4656</t>
  </si>
  <si>
    <t>Startup_4657</t>
  </si>
  <si>
    <t>Startup_4658</t>
  </si>
  <si>
    <t>Startup_4659</t>
  </si>
  <si>
    <t>Startup_4660</t>
  </si>
  <si>
    <t>Startup_4661</t>
  </si>
  <si>
    <t>Startup_4662</t>
  </si>
  <si>
    <t>Startup_4663</t>
  </si>
  <si>
    <t>Startup_4664</t>
  </si>
  <si>
    <t>Startup_4665</t>
  </si>
  <si>
    <t>Startup_4666</t>
  </si>
  <si>
    <t>Startup_4667</t>
  </si>
  <si>
    <t>Startup_4668</t>
  </si>
  <si>
    <t>Startup_4669</t>
  </si>
  <si>
    <t>Startup_4670</t>
  </si>
  <si>
    <t>Startup_4671</t>
  </si>
  <si>
    <t>Startup_4672</t>
  </si>
  <si>
    <t>Startup_4673</t>
  </si>
  <si>
    <t>Startup_4674</t>
  </si>
  <si>
    <t>Startup_4675</t>
  </si>
  <si>
    <t>Startup_4676</t>
  </si>
  <si>
    <t>Startup_4677</t>
  </si>
  <si>
    <t>Startup_4678</t>
  </si>
  <si>
    <t>Startup_4679</t>
  </si>
  <si>
    <t>Startup_4680</t>
  </si>
  <si>
    <t>Startup_4681</t>
  </si>
  <si>
    <t>Startup_4682</t>
  </si>
  <si>
    <t>Startup_4683</t>
  </si>
  <si>
    <t>Startup_4684</t>
  </si>
  <si>
    <t>Startup_4685</t>
  </si>
  <si>
    <t>Startup_4686</t>
  </si>
  <si>
    <t>Startup_4687</t>
  </si>
  <si>
    <t>Startup_4688</t>
  </si>
  <si>
    <t>Startup_4689</t>
  </si>
  <si>
    <t>Startup_4690</t>
  </si>
  <si>
    <t>Startup_4691</t>
  </si>
  <si>
    <t>Startup_4692</t>
  </si>
  <si>
    <t>Startup_4693</t>
  </si>
  <si>
    <t>Startup_4694</t>
  </si>
  <si>
    <t>Startup_4695</t>
  </si>
  <si>
    <t>Startup_4696</t>
  </si>
  <si>
    <t>Startup_4697</t>
  </si>
  <si>
    <t>Startup_4698</t>
  </si>
  <si>
    <t>Startup_4699</t>
  </si>
  <si>
    <t>Startup_4700</t>
  </si>
  <si>
    <t>Startup_4701</t>
  </si>
  <si>
    <t>Startup_4702</t>
  </si>
  <si>
    <t>Startup_4703</t>
  </si>
  <si>
    <t>Startup_4704</t>
  </si>
  <si>
    <t>Startup_4705</t>
  </si>
  <si>
    <t>Startup_4706</t>
  </si>
  <si>
    <t>Startup_4707</t>
  </si>
  <si>
    <t>Startup_4708</t>
  </si>
  <si>
    <t>Startup_4709</t>
  </si>
  <si>
    <t>Startup_4710</t>
  </si>
  <si>
    <t>Startup_4711</t>
  </si>
  <si>
    <t>Startup_4712</t>
  </si>
  <si>
    <t>Startup_4713</t>
  </si>
  <si>
    <t>Startup_4714</t>
  </si>
  <si>
    <t>Startup_4715</t>
  </si>
  <si>
    <t>Startup_4716</t>
  </si>
  <si>
    <t>Startup_4717</t>
  </si>
  <si>
    <t>Startup_4718</t>
  </si>
  <si>
    <t>Startup_4719</t>
  </si>
  <si>
    <t>Startup_4720</t>
  </si>
  <si>
    <t>Startup_4721</t>
  </si>
  <si>
    <t>Startup_4722</t>
  </si>
  <si>
    <t>Startup_4723</t>
  </si>
  <si>
    <t>Startup_4724</t>
  </si>
  <si>
    <t>Startup_4725</t>
  </si>
  <si>
    <t>Startup_4726</t>
  </si>
  <si>
    <t>Startup_4727</t>
  </si>
  <si>
    <t>Startup_4728</t>
  </si>
  <si>
    <t>Startup_4729</t>
  </si>
  <si>
    <t>Startup_4730</t>
  </si>
  <si>
    <t>Startup_4731</t>
  </si>
  <si>
    <t>Startup_4732</t>
  </si>
  <si>
    <t>Startup_4733</t>
  </si>
  <si>
    <t>Startup_4734</t>
  </si>
  <si>
    <t>Startup_4735</t>
  </si>
  <si>
    <t>Startup_4736</t>
  </si>
  <si>
    <t>Startup_4737</t>
  </si>
  <si>
    <t>Startup_4738</t>
  </si>
  <si>
    <t>Startup_4739</t>
  </si>
  <si>
    <t>Startup_4740</t>
  </si>
  <si>
    <t>Startup_4741</t>
  </si>
  <si>
    <t>Startup_4742</t>
  </si>
  <si>
    <t>Startup_4743</t>
  </si>
  <si>
    <t>Startup_4744</t>
  </si>
  <si>
    <t>Startup_4745</t>
  </si>
  <si>
    <t>Startup_4746</t>
  </si>
  <si>
    <t>Startup_4747</t>
  </si>
  <si>
    <t>Startup_4748</t>
  </si>
  <si>
    <t>Startup_4749</t>
  </si>
  <si>
    <t>Startup_4750</t>
  </si>
  <si>
    <t>Startup_4751</t>
  </si>
  <si>
    <t>Startup_4752</t>
  </si>
  <si>
    <t>Startup_4753</t>
  </si>
  <si>
    <t>Startup_4754</t>
  </si>
  <si>
    <t>Startup_4755</t>
  </si>
  <si>
    <t>Startup_4756</t>
  </si>
  <si>
    <t>Startup_4757</t>
  </si>
  <si>
    <t>Startup_4758</t>
  </si>
  <si>
    <t>Startup_4759</t>
  </si>
  <si>
    <t>Startup_4760</t>
  </si>
  <si>
    <t>Startup_4761</t>
  </si>
  <si>
    <t>Startup_4762</t>
  </si>
  <si>
    <t>Startup_4763</t>
  </si>
  <si>
    <t>Startup_4764</t>
  </si>
  <si>
    <t>Startup_4765</t>
  </si>
  <si>
    <t>Startup_4766</t>
  </si>
  <si>
    <t>Startup_4767</t>
  </si>
  <si>
    <t>Startup_4768</t>
  </si>
  <si>
    <t>Startup_4769</t>
  </si>
  <si>
    <t>Startup_4770</t>
  </si>
  <si>
    <t>Startup_4771</t>
  </si>
  <si>
    <t>Startup_4772</t>
  </si>
  <si>
    <t>Startup_4773</t>
  </si>
  <si>
    <t>Startup_4774</t>
  </si>
  <si>
    <t>Startup_4775</t>
  </si>
  <si>
    <t>Startup_4776</t>
  </si>
  <si>
    <t>Startup_4777</t>
  </si>
  <si>
    <t>Startup_4778</t>
  </si>
  <si>
    <t>Startup_4779</t>
  </si>
  <si>
    <t>Startup_4780</t>
  </si>
  <si>
    <t>Startup_4781</t>
  </si>
  <si>
    <t>Startup_4782</t>
  </si>
  <si>
    <t>Startup_4783</t>
  </si>
  <si>
    <t>Startup_4784</t>
  </si>
  <si>
    <t>Startup_4785</t>
  </si>
  <si>
    <t>Startup_4786</t>
  </si>
  <si>
    <t>Startup_4787</t>
  </si>
  <si>
    <t>Startup_4788</t>
  </si>
  <si>
    <t>Startup_4789</t>
  </si>
  <si>
    <t>Startup_4790</t>
  </si>
  <si>
    <t>Startup_4791</t>
  </si>
  <si>
    <t>Startup_4792</t>
  </si>
  <si>
    <t>Startup_4793</t>
  </si>
  <si>
    <t>Startup_4794</t>
  </si>
  <si>
    <t>Startup_4795</t>
  </si>
  <si>
    <t>Startup_4796</t>
  </si>
  <si>
    <t>Startup_4797</t>
  </si>
  <si>
    <t>Startup_4798</t>
  </si>
  <si>
    <t>Startup_4799</t>
  </si>
  <si>
    <t>Startup_4800</t>
  </si>
  <si>
    <t>Startup_4801</t>
  </si>
  <si>
    <t>Startup_4802</t>
  </si>
  <si>
    <t>Startup_4803</t>
  </si>
  <si>
    <t>Startup_4804</t>
  </si>
  <si>
    <t>Startup_4805</t>
  </si>
  <si>
    <t>Startup_4806</t>
  </si>
  <si>
    <t>Startup_4807</t>
  </si>
  <si>
    <t>Startup_4808</t>
  </si>
  <si>
    <t>Startup_4809</t>
  </si>
  <si>
    <t>Startup_4810</t>
  </si>
  <si>
    <t>Startup_4811</t>
  </si>
  <si>
    <t>Startup_4812</t>
  </si>
  <si>
    <t>Startup_4813</t>
  </si>
  <si>
    <t>Startup_4814</t>
  </si>
  <si>
    <t>Startup_4815</t>
  </si>
  <si>
    <t>Startup_4816</t>
  </si>
  <si>
    <t>Startup_4817</t>
  </si>
  <si>
    <t>Startup_4818</t>
  </si>
  <si>
    <t>Startup_4819</t>
  </si>
  <si>
    <t>Startup_4820</t>
  </si>
  <si>
    <t>Startup_4821</t>
  </si>
  <si>
    <t>Startup_4822</t>
  </si>
  <si>
    <t>Startup_4823</t>
  </si>
  <si>
    <t>Startup_4824</t>
  </si>
  <si>
    <t>Startup_4825</t>
  </si>
  <si>
    <t>Startup_4826</t>
  </si>
  <si>
    <t>Startup_4827</t>
  </si>
  <si>
    <t>Startup_4828</t>
  </si>
  <si>
    <t>Startup_4829</t>
  </si>
  <si>
    <t>Startup_4830</t>
  </si>
  <si>
    <t>Startup_4831</t>
  </si>
  <si>
    <t>Startup_4832</t>
  </si>
  <si>
    <t>Startup_4833</t>
  </si>
  <si>
    <t>Startup_4834</t>
  </si>
  <si>
    <t>Startup_4835</t>
  </si>
  <si>
    <t>Startup_4836</t>
  </si>
  <si>
    <t>Startup_4837</t>
  </si>
  <si>
    <t>Startup_4838</t>
  </si>
  <si>
    <t>Startup_4839</t>
  </si>
  <si>
    <t>Startup_4840</t>
  </si>
  <si>
    <t>Startup_4841</t>
  </si>
  <si>
    <t>Startup_4842</t>
  </si>
  <si>
    <t>Startup_4843</t>
  </si>
  <si>
    <t>Startup_4844</t>
  </si>
  <si>
    <t>Startup_4845</t>
  </si>
  <si>
    <t>Startup_4846</t>
  </si>
  <si>
    <t>Startup_4847</t>
  </si>
  <si>
    <t>Startup_4848</t>
  </si>
  <si>
    <t>Startup_4849</t>
  </si>
  <si>
    <t>Startup_4850</t>
  </si>
  <si>
    <t>Startup_4851</t>
  </si>
  <si>
    <t>Startup_4852</t>
  </si>
  <si>
    <t>Startup_4853</t>
  </si>
  <si>
    <t>Startup_4854</t>
  </si>
  <si>
    <t>Startup_4855</t>
  </si>
  <si>
    <t>Startup_4856</t>
  </si>
  <si>
    <t>Startup_4857</t>
  </si>
  <si>
    <t>Startup_4858</t>
  </si>
  <si>
    <t>Startup_4859</t>
  </si>
  <si>
    <t>Startup_4860</t>
  </si>
  <si>
    <t>Startup_4861</t>
  </si>
  <si>
    <t>Startup_4862</t>
  </si>
  <si>
    <t>Startup_4863</t>
  </si>
  <si>
    <t>Startup_4864</t>
  </si>
  <si>
    <t>Startup_4865</t>
  </si>
  <si>
    <t>Startup_4866</t>
  </si>
  <si>
    <t>Startup_4867</t>
  </si>
  <si>
    <t>Startup_4868</t>
  </si>
  <si>
    <t>Startup_4869</t>
  </si>
  <si>
    <t>Startup_4870</t>
  </si>
  <si>
    <t>Startup_4871</t>
  </si>
  <si>
    <t>Startup_4872</t>
  </si>
  <si>
    <t>Startup_4873</t>
  </si>
  <si>
    <t>Startup_4874</t>
  </si>
  <si>
    <t>Startup_4875</t>
  </si>
  <si>
    <t>Startup_4876</t>
  </si>
  <si>
    <t>Startup_4877</t>
  </si>
  <si>
    <t>Startup_4878</t>
  </si>
  <si>
    <t>Startup_4879</t>
  </si>
  <si>
    <t>Startup_4880</t>
  </si>
  <si>
    <t>Startup_4881</t>
  </si>
  <si>
    <t>Startup_4882</t>
  </si>
  <si>
    <t>Startup_4883</t>
  </si>
  <si>
    <t>Startup_4884</t>
  </si>
  <si>
    <t>Startup_4885</t>
  </si>
  <si>
    <t>Startup_4886</t>
  </si>
  <si>
    <t>Startup_4887</t>
  </si>
  <si>
    <t>Startup_4888</t>
  </si>
  <si>
    <t>Startup_4889</t>
  </si>
  <si>
    <t>Startup_4890</t>
  </si>
  <si>
    <t>Startup_4891</t>
  </si>
  <si>
    <t>Startup_4892</t>
  </si>
  <si>
    <t>Startup_4893</t>
  </si>
  <si>
    <t>Startup_4894</t>
  </si>
  <si>
    <t>Startup_4895</t>
  </si>
  <si>
    <t>Startup_4896</t>
  </si>
  <si>
    <t>Startup_4897</t>
  </si>
  <si>
    <t>Startup_4898</t>
  </si>
  <si>
    <t>Startup_4899</t>
  </si>
  <si>
    <t>Startup_4900</t>
  </si>
  <si>
    <t>Startup_4901</t>
  </si>
  <si>
    <t>Startup_4902</t>
  </si>
  <si>
    <t>Startup_4903</t>
  </si>
  <si>
    <t>Startup_4904</t>
  </si>
  <si>
    <t>Startup_4905</t>
  </si>
  <si>
    <t>Startup_4906</t>
  </si>
  <si>
    <t>Startup_4907</t>
  </si>
  <si>
    <t>Startup_4908</t>
  </si>
  <si>
    <t>Startup_4909</t>
  </si>
  <si>
    <t>Startup_4910</t>
  </si>
  <si>
    <t>Startup_4911</t>
  </si>
  <si>
    <t>Startup_4912</t>
  </si>
  <si>
    <t>Startup_4913</t>
  </si>
  <si>
    <t>Startup_4914</t>
  </si>
  <si>
    <t>Startup_4915</t>
  </si>
  <si>
    <t>Startup_4916</t>
  </si>
  <si>
    <t>Startup_4917</t>
  </si>
  <si>
    <t>Startup_4918</t>
  </si>
  <si>
    <t>Startup_4919</t>
  </si>
  <si>
    <t>Startup_4920</t>
  </si>
  <si>
    <t>Startup_4921</t>
  </si>
  <si>
    <t>Startup_4922</t>
  </si>
  <si>
    <t>Startup_4923</t>
  </si>
  <si>
    <t>Startup_4924</t>
  </si>
  <si>
    <t>Startup_4925</t>
  </si>
  <si>
    <t>Startup_4926</t>
  </si>
  <si>
    <t>Startup_4927</t>
  </si>
  <si>
    <t>Startup_4928</t>
  </si>
  <si>
    <t>Startup_4929</t>
  </si>
  <si>
    <t>Startup_4930</t>
  </si>
  <si>
    <t>Startup_4931</t>
  </si>
  <si>
    <t>Startup_4932</t>
  </si>
  <si>
    <t>Startup_4933</t>
  </si>
  <si>
    <t>Startup_4934</t>
  </si>
  <si>
    <t>Startup_4935</t>
  </si>
  <si>
    <t>Startup_4936</t>
  </si>
  <si>
    <t>Startup_4937</t>
  </si>
  <si>
    <t>Startup_4938</t>
  </si>
  <si>
    <t>Startup_4939</t>
  </si>
  <si>
    <t>Startup_4940</t>
  </si>
  <si>
    <t>Startup_4941</t>
  </si>
  <si>
    <t>Startup_4942</t>
  </si>
  <si>
    <t>Startup_4943</t>
  </si>
  <si>
    <t>Startup_4944</t>
  </si>
  <si>
    <t>Startup_4945</t>
  </si>
  <si>
    <t>Startup_4946</t>
  </si>
  <si>
    <t>Startup_4947</t>
  </si>
  <si>
    <t>Startup_4948</t>
  </si>
  <si>
    <t>Startup_4949</t>
  </si>
  <si>
    <t>Startup_4950</t>
  </si>
  <si>
    <t>Startup_4951</t>
  </si>
  <si>
    <t>Startup_4952</t>
  </si>
  <si>
    <t>Startup_4953</t>
  </si>
  <si>
    <t>Startup_4954</t>
  </si>
  <si>
    <t>Startup_4955</t>
  </si>
  <si>
    <t>Startup_4956</t>
  </si>
  <si>
    <t>Startup_4957</t>
  </si>
  <si>
    <t>Startup_4958</t>
  </si>
  <si>
    <t>Startup_4959</t>
  </si>
  <si>
    <t>Startup_4960</t>
  </si>
  <si>
    <t>Startup_4961</t>
  </si>
  <si>
    <t>Startup_4962</t>
  </si>
  <si>
    <t>Startup_4963</t>
  </si>
  <si>
    <t>Startup_4964</t>
  </si>
  <si>
    <t>Startup_4965</t>
  </si>
  <si>
    <t>Startup_4966</t>
  </si>
  <si>
    <t>Startup_4967</t>
  </si>
  <si>
    <t>Startup_4968</t>
  </si>
  <si>
    <t>Startup_4969</t>
  </si>
  <si>
    <t>Startup_4970</t>
  </si>
  <si>
    <t>Startup_4971</t>
  </si>
  <si>
    <t>Startup_4972</t>
  </si>
  <si>
    <t>Startup_4973</t>
  </si>
  <si>
    <t>Startup_4974</t>
  </si>
  <si>
    <t>Startup_4975</t>
  </si>
  <si>
    <t>Startup_4976</t>
  </si>
  <si>
    <t>Startup_4977</t>
  </si>
  <si>
    <t>Startup_4978</t>
  </si>
  <si>
    <t>Startup_4979</t>
  </si>
  <si>
    <t>Startup_4980</t>
  </si>
  <si>
    <t>Startup_4981</t>
  </si>
  <si>
    <t>Startup_4982</t>
  </si>
  <si>
    <t>Startup_4983</t>
  </si>
  <si>
    <t>Startup_4984</t>
  </si>
  <si>
    <t>Startup_4985</t>
  </si>
  <si>
    <t>Startup_4986</t>
  </si>
  <si>
    <t>Startup_4987</t>
  </si>
  <si>
    <t>Startup_4988</t>
  </si>
  <si>
    <t>Startup_4989</t>
  </si>
  <si>
    <t>Startup_4990</t>
  </si>
  <si>
    <t>Startup_4991</t>
  </si>
  <si>
    <t>Startup_4992</t>
  </si>
  <si>
    <t>Startup_4993</t>
  </si>
  <si>
    <t>Startup_4994</t>
  </si>
  <si>
    <t>Startup_4995</t>
  </si>
  <si>
    <t>Startup_4996</t>
  </si>
  <si>
    <t>Startup_4997</t>
  </si>
  <si>
    <t>Startup_4998</t>
  </si>
  <si>
    <t>Startup_4999</t>
  </si>
  <si>
    <t>Startup_5000</t>
  </si>
  <si>
    <t>KPI</t>
  </si>
  <si>
    <t>Total Revenue</t>
  </si>
  <si>
    <t>Average Revenue</t>
  </si>
  <si>
    <t>Total Burn Rate</t>
  </si>
  <si>
    <t>Average Burn Rate</t>
  </si>
  <si>
    <t>Value</t>
  </si>
  <si>
    <t>Total Marketing Expense</t>
  </si>
  <si>
    <t>Average Customer Retention Rate</t>
  </si>
  <si>
    <t>Total Funding Amount</t>
  </si>
  <si>
    <t>Average Startup Age</t>
  </si>
  <si>
    <t>Row Labels</t>
  </si>
  <si>
    <t>Grand Total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</si>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</sst>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43" fontId="18" fillId="0" borderId="0" xfId="42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[Financial_KPI_Analysis_Startup.xlsx]Revenue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industry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analysis'!$A$4:$A$11</c:f>
              <c:strCache>
                <c:ptCount val="7"/>
                <c:pt idx="0">
                  <c:v>AI/ML</c:v>
                </c:pt>
                <c:pt idx="1">
                  <c:v>E-commerce</c:v>
                </c:pt>
                <c:pt idx="2">
                  <c:v>Education</c:v>
                </c:pt>
                <c:pt idx="3">
                  <c:v>Finance</c:v>
                </c:pt>
                <c:pt idx="4">
                  <c:v>Healthcare</c:v>
                </c:pt>
                <c:pt idx="5">
                  <c:v>Logistics</c:v>
                </c:pt>
                <c:pt idx="6">
                  <c:v>Tech</c:v>
                </c:pt>
              </c:strCache>
            </c:strRef>
          </c:cat>
          <c:val>
            <c:numRef>
              <c:f>'Revenue analysis'!$B$4:$B$11</c:f>
              <c:numCache>
                <c:formatCode>General</c:formatCode>
                <c:ptCount val="7"/>
                <c:pt idx="0">
                  <c:v>37681542717</c:v>
                </c:pt>
                <c:pt idx="1">
                  <c:v>33835784962</c:v>
                </c:pt>
                <c:pt idx="2">
                  <c:v>35779634609</c:v>
                </c:pt>
                <c:pt idx="3">
                  <c:v>32631039025</c:v>
                </c:pt>
                <c:pt idx="4">
                  <c:v>37221722742</c:v>
                </c:pt>
                <c:pt idx="5">
                  <c:v>36628158954</c:v>
                </c:pt>
                <c:pt idx="6">
                  <c:v>35822849824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E-4BCF-81FB-AB8977DF6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33400079"/>
        <c:axId val="1333400559"/>
      </c:barChart>
      <c:catAx>
        <c:axId val="133340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400559"/>
        <c:crosses val="autoZero"/>
        <c:auto val="1"/>
        <c:lblAlgn val="ctr"/>
        <c:lblOffset val="100"/>
        <c:noMultiLvlLbl val="0"/>
      </c:catAx>
      <c:valAx>
        <c:axId val="133340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40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179070</xdr:rowOff>
    </xdr:from>
    <xdr:to>
      <xdr:col>10</xdr:col>
      <xdr:colOff>320040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C0FC41-13B6-36B9-F56A-9968F49E2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mi shree" refreshedDate="46230.822933796298" createdVersion="8" refreshedVersion="8" minRefreshableVersion="3" recordCount="5000" xr:uid="{DEB33D58-953A-492E-9597-B71CC90BE82F}">
  <cacheSource type="worksheet">
    <worksheetSource name="startupdata"/>
  </cacheSource>
  <cacheFields count="15">
    <cacheField name="Startup_Name" numFmtId="0">
      <sharedItems/>
    </cacheField>
    <cacheField name="Industry" numFmtId="0">
      <sharedItems count="7">
        <s v="Logistics"/>
        <s v="Education"/>
        <s v="Healthcare"/>
        <s v="E-commerce"/>
        <s v="Finance"/>
        <s v="Tech"/>
        <s v="AI/ML"/>
      </sharedItems>
    </cacheField>
    <cacheField name="Startup_Age" numFmtId="0">
      <sharedItems containsSemiMixedTypes="0" containsString="0" containsNumber="1" containsInteger="1" minValue="0" maxValue="14"/>
    </cacheField>
    <cacheField name="Funding_Amount" numFmtId="0">
      <sharedItems containsSemiMixedTypes="0" containsString="0" containsNumber="1" containsInteger="1" minValue="11209" maxValue="49993132"/>
    </cacheField>
    <cacheField name="Number_of_Founders" numFmtId="0">
      <sharedItems containsSemiMixedTypes="0" containsString="0" containsNumber="1" containsInteger="1" minValue="1" maxValue="4"/>
    </cacheField>
    <cacheField name="Founder_Experience" numFmtId="0">
      <sharedItems containsSemiMixedTypes="0" containsString="0" containsNumber="1" containsInteger="1" minValue="0" maxValue="29"/>
    </cacheField>
    <cacheField name="Employees_Count" numFmtId="0">
      <sharedItems containsSemiMixedTypes="0" containsString="0" containsNumber="1" containsInteger="1" minValue="1" maxValue="999"/>
    </cacheField>
    <cacheField name="Revenue" numFmtId="0">
      <sharedItems containsSemiMixedTypes="0" containsString="0" containsNumber="1" containsInteger="1" minValue="3213" maxValue="99996630"/>
    </cacheField>
    <cacheField name="Burn_Rate" numFmtId="0">
      <sharedItems containsSemiMixedTypes="0" containsString="0" containsNumber="1" containsInteger="1" minValue="5016" maxValue="999554"/>
    </cacheField>
    <cacheField name="Market_Size" numFmtId="0">
      <sharedItems/>
    </cacheField>
    <cacheField name="Business_Model" numFmtId="0">
      <sharedItems/>
    </cacheField>
    <cacheField name="Product_Uniqueness_Score" numFmtId="0">
      <sharedItems containsSemiMixedTypes="0" containsString="0" containsNumber="1" containsInteger="1" minValue="1" maxValue="9"/>
    </cacheField>
    <cacheField name="Customer_Retention_Rate" numFmtId="0">
      <sharedItems containsSemiMixedTypes="0" containsString="0" containsNumber="1" minValue="0.04" maxValue="99.98"/>
    </cacheField>
    <cacheField name="Marketing_Expense" numFmtId="0">
      <sharedItems containsSemiMixedTypes="0" containsString="0" containsNumber="1" containsInteger="1" minValue="5253" maxValue="999866"/>
    </cacheField>
    <cacheField name="Startup_Status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Startup_1"/>
    <x v="0"/>
    <n v="8"/>
    <n v="18328419"/>
    <n v="2"/>
    <n v="13"/>
    <n v="581"/>
    <n v="97866143"/>
    <n v="602731"/>
    <s v="Medium"/>
    <s v="B2B"/>
    <n v="2"/>
    <n v="79.61"/>
    <n v="987830"/>
    <n v="1"/>
  </r>
  <r>
    <s v="Startup_2"/>
    <x v="1"/>
    <n v="3"/>
    <n v="39753708"/>
    <n v="3"/>
    <n v="16"/>
    <n v="529"/>
    <n v="36868744"/>
    <n v="820698"/>
    <s v="Large"/>
    <s v="B2C"/>
    <n v="3"/>
    <n v="32.47"/>
    <n v="599615"/>
    <n v="1"/>
  </r>
  <r>
    <s v="Startup_3"/>
    <x v="2"/>
    <n v="14"/>
    <n v="18073294"/>
    <n v="1"/>
    <n v="28"/>
    <n v="82"/>
    <n v="3478737"/>
    <n v="992205"/>
    <s v="Small"/>
    <s v="B2C"/>
    <n v="1"/>
    <n v="9.8800000000000008"/>
    <n v="780730"/>
    <n v="1"/>
  </r>
  <r>
    <s v="Startup_4"/>
    <x v="3"/>
    <n v="5"/>
    <n v="19435653"/>
    <n v="4"/>
    <n v="14"/>
    <n v="234"/>
    <n v="80716899"/>
    <n v="536747"/>
    <s v="Medium"/>
    <s v="B2C"/>
    <n v="9"/>
    <n v="23.2"/>
    <n v="188588"/>
    <n v="1"/>
  </r>
  <r>
    <s v="Startup_5"/>
    <x v="4"/>
    <n v="14"/>
    <n v="4205797"/>
    <n v="4"/>
    <n v="17"/>
    <n v="960"/>
    <n v="53347246"/>
    <n v="555199"/>
    <s v="Medium"/>
    <s v="Hybrid"/>
    <n v="3"/>
    <n v="73.52"/>
    <n v="310892"/>
    <n v="1"/>
  </r>
  <r>
    <s v="Startup_6"/>
    <x v="5"/>
    <n v="0"/>
    <n v="48328564"/>
    <n v="4"/>
    <n v="4"/>
    <n v="279"/>
    <n v="58660263"/>
    <n v="208816"/>
    <s v="Large"/>
    <s v="B2C"/>
    <n v="9"/>
    <n v="40.020000000000003"/>
    <n v="452610"/>
    <n v="1"/>
  </r>
  <r>
    <s v="Startup_7"/>
    <x v="2"/>
    <n v="3"/>
    <n v="37143557"/>
    <n v="2"/>
    <n v="19"/>
    <n v="789"/>
    <n v="95569521"/>
    <n v="722325"/>
    <s v="Large"/>
    <s v="Hybrid"/>
    <n v="2"/>
    <n v="95.23"/>
    <n v="984848"/>
    <n v="1"/>
  </r>
  <r>
    <s v="Startup_8"/>
    <x v="3"/>
    <n v="14"/>
    <n v="1127240"/>
    <n v="2"/>
    <n v="17"/>
    <n v="810"/>
    <n v="25786919"/>
    <n v="853560"/>
    <s v="Medium"/>
    <s v="Hybrid"/>
    <n v="6"/>
    <n v="43"/>
    <n v="318844"/>
    <n v="1"/>
  </r>
  <r>
    <s v="Startup_9"/>
    <x v="2"/>
    <n v="1"/>
    <n v="34191972"/>
    <n v="3"/>
    <n v="16"/>
    <n v="12"/>
    <n v="26301736"/>
    <n v="499809"/>
    <s v="Medium"/>
    <s v="Hybrid"/>
    <n v="6"/>
    <n v="86.05"/>
    <n v="681932"/>
    <n v="1"/>
  </r>
  <r>
    <s v="Startup_10"/>
    <x v="3"/>
    <n v="1"/>
    <n v="6929832"/>
    <n v="1"/>
    <n v="19"/>
    <n v="95"/>
    <n v="95098244"/>
    <n v="21534"/>
    <s v="Small"/>
    <s v="Hybrid"/>
    <n v="5"/>
    <n v="53.96"/>
    <n v="846763"/>
    <n v="1"/>
  </r>
  <r>
    <s v="Startup_11"/>
    <x v="6"/>
    <n v="4"/>
    <n v="33990992"/>
    <n v="1"/>
    <n v="20"/>
    <n v="148"/>
    <n v="97922292"/>
    <n v="817861"/>
    <s v="Large"/>
    <s v="Hybrid"/>
    <n v="6"/>
    <n v="29.96"/>
    <n v="382315"/>
    <n v="1"/>
  </r>
  <r>
    <s v="Startup_12"/>
    <x v="4"/>
    <n v="14"/>
    <n v="2104514"/>
    <n v="1"/>
    <n v="13"/>
    <n v="773"/>
    <n v="52521011"/>
    <n v="291691"/>
    <s v="Small"/>
    <s v="Hybrid"/>
    <n v="4"/>
    <n v="7.72"/>
    <n v="732224"/>
    <n v="1"/>
  </r>
  <r>
    <s v="Startup_13"/>
    <x v="4"/>
    <n v="4"/>
    <n v="34767581"/>
    <n v="2"/>
    <n v="0"/>
    <n v="567"/>
    <n v="79658365"/>
    <n v="75106"/>
    <s v="Large"/>
    <s v="B2B"/>
    <n v="6"/>
    <n v="57.15"/>
    <n v="357642"/>
    <n v="1"/>
  </r>
  <r>
    <s v="Startup_14"/>
    <x v="6"/>
    <n v="6"/>
    <n v="35054359"/>
    <n v="4"/>
    <n v="0"/>
    <n v="77"/>
    <n v="30520019"/>
    <n v="14403"/>
    <s v="Large"/>
    <s v="B2C"/>
    <n v="3"/>
    <n v="5.19"/>
    <n v="439945"/>
    <n v="1"/>
  </r>
  <r>
    <s v="Startup_15"/>
    <x v="5"/>
    <n v="11"/>
    <n v="40239796"/>
    <n v="2"/>
    <n v="11"/>
    <n v="973"/>
    <n v="87799552"/>
    <n v="33836"/>
    <s v="Small"/>
    <s v="B2B"/>
    <n v="1"/>
    <n v="50.62"/>
    <n v="746600"/>
    <n v="1"/>
  </r>
  <r>
    <s v="Startup_16"/>
    <x v="3"/>
    <n v="8"/>
    <n v="34215557"/>
    <n v="2"/>
    <n v="0"/>
    <n v="879"/>
    <n v="66290636"/>
    <n v="705265"/>
    <s v="Large"/>
    <s v="B2C"/>
    <n v="2"/>
    <n v="6.37"/>
    <n v="370329"/>
    <n v="1"/>
  </r>
  <r>
    <s v="Startup_17"/>
    <x v="1"/>
    <n v="8"/>
    <n v="31283211"/>
    <n v="2"/>
    <n v="24"/>
    <n v="162"/>
    <n v="56768240"/>
    <n v="664511"/>
    <s v="Medium"/>
    <s v="B2B"/>
    <n v="1"/>
    <n v="51.84"/>
    <n v="230993"/>
    <n v="1"/>
  </r>
  <r>
    <s v="Startup_18"/>
    <x v="2"/>
    <n v="2"/>
    <n v="46116520"/>
    <n v="2"/>
    <n v="19"/>
    <n v="771"/>
    <n v="80301225"/>
    <n v="872946"/>
    <s v="Medium"/>
    <s v="B2C"/>
    <n v="4"/>
    <n v="19.25"/>
    <n v="654281"/>
    <n v="1"/>
  </r>
  <r>
    <s v="Startup_19"/>
    <x v="1"/>
    <n v="8"/>
    <n v="20871316"/>
    <n v="1"/>
    <n v="26"/>
    <n v="638"/>
    <n v="12239897"/>
    <n v="947650"/>
    <s v="Large"/>
    <s v="B2B"/>
    <n v="8"/>
    <n v="34.979999999999997"/>
    <n v="278923"/>
    <n v="1"/>
  </r>
  <r>
    <s v="Startup_20"/>
    <x v="4"/>
    <n v="4"/>
    <n v="28036188"/>
    <n v="4"/>
    <n v="3"/>
    <n v="867"/>
    <n v="48656010"/>
    <n v="913009"/>
    <s v="Medium"/>
    <s v="Hybrid"/>
    <n v="3"/>
    <n v="25.38"/>
    <n v="877806"/>
    <n v="1"/>
  </r>
  <r>
    <s v="Startup_21"/>
    <x v="4"/>
    <n v="11"/>
    <n v="37596728"/>
    <n v="3"/>
    <n v="10"/>
    <n v="245"/>
    <n v="52807951"/>
    <n v="714953"/>
    <s v="Large"/>
    <s v="Hybrid"/>
    <n v="2"/>
    <n v="64.64"/>
    <n v="13770"/>
    <n v="1"/>
  </r>
  <r>
    <s v="Startup_22"/>
    <x v="4"/>
    <n v="0"/>
    <n v="10363707"/>
    <n v="1"/>
    <n v="9"/>
    <n v="88"/>
    <n v="62794509"/>
    <n v="43600"/>
    <s v="Large"/>
    <s v="B2B"/>
    <n v="7"/>
    <n v="72.91"/>
    <n v="40529"/>
    <n v="1"/>
  </r>
  <r>
    <s v="Startup_23"/>
    <x v="4"/>
    <n v="7"/>
    <n v="36299372"/>
    <n v="3"/>
    <n v="7"/>
    <n v="717"/>
    <n v="8773379"/>
    <n v="176662"/>
    <s v="Medium"/>
    <s v="B2C"/>
    <n v="9"/>
    <n v="61.56"/>
    <n v="137040"/>
    <n v="1"/>
  </r>
  <r>
    <s v="Startup_24"/>
    <x v="0"/>
    <n v="8"/>
    <n v="7754288"/>
    <n v="1"/>
    <n v="7"/>
    <n v="426"/>
    <n v="76427837"/>
    <n v="138681"/>
    <s v="Large"/>
    <s v="B2B"/>
    <n v="1"/>
    <n v="38.090000000000003"/>
    <n v="162026"/>
    <n v="1"/>
  </r>
  <r>
    <s v="Startup_25"/>
    <x v="4"/>
    <n v="13"/>
    <n v="19601617"/>
    <n v="3"/>
    <n v="26"/>
    <n v="436"/>
    <n v="64369447"/>
    <n v="564789"/>
    <s v="Medium"/>
    <s v="B2C"/>
    <n v="3"/>
    <n v="71.319999999999993"/>
    <n v="29395"/>
    <n v="1"/>
  </r>
  <r>
    <s v="Startup_26"/>
    <x v="6"/>
    <n v="7"/>
    <n v="28150838"/>
    <n v="1"/>
    <n v="9"/>
    <n v="537"/>
    <n v="50615355"/>
    <n v="103565"/>
    <s v="Large"/>
    <s v="B2B"/>
    <n v="3"/>
    <n v="52.88"/>
    <n v="16100"/>
    <n v="1"/>
  </r>
  <r>
    <s v="Startup_27"/>
    <x v="2"/>
    <n v="2"/>
    <n v="18997115"/>
    <n v="3"/>
    <n v="27"/>
    <n v="665"/>
    <n v="94939738"/>
    <n v="658128"/>
    <s v="Medium"/>
    <s v="B2C"/>
    <n v="9"/>
    <n v="64.56"/>
    <n v="880890"/>
    <n v="1"/>
  </r>
  <r>
    <s v="Startup_28"/>
    <x v="4"/>
    <n v="10"/>
    <n v="38166773"/>
    <n v="1"/>
    <n v="12"/>
    <n v="890"/>
    <n v="67252567"/>
    <n v="937341"/>
    <s v="Medium"/>
    <s v="Hybrid"/>
    <n v="3"/>
    <n v="26.36"/>
    <n v="825995"/>
    <n v="1"/>
  </r>
  <r>
    <s v="Startup_29"/>
    <x v="4"/>
    <n v="0"/>
    <n v="5831688"/>
    <n v="2"/>
    <n v="12"/>
    <n v="700"/>
    <n v="71839120"/>
    <n v="22035"/>
    <s v="Large"/>
    <s v="Hybrid"/>
    <n v="3"/>
    <n v="31.04"/>
    <n v="198988"/>
    <n v="1"/>
  </r>
  <r>
    <s v="Startup_30"/>
    <x v="3"/>
    <n v="2"/>
    <n v="26065297"/>
    <n v="4"/>
    <n v="20"/>
    <n v="640"/>
    <n v="27943836"/>
    <n v="413921"/>
    <s v="Medium"/>
    <s v="B2B"/>
    <n v="8"/>
    <n v="73.98"/>
    <n v="7254"/>
    <n v="1"/>
  </r>
  <r>
    <s v="Startup_31"/>
    <x v="2"/>
    <n v="12"/>
    <n v="37067121"/>
    <n v="2"/>
    <n v="27"/>
    <n v="693"/>
    <n v="54630107"/>
    <n v="758568"/>
    <s v="Large"/>
    <s v="B2B"/>
    <n v="5"/>
    <n v="32.76"/>
    <n v="871489"/>
    <n v="1"/>
  </r>
  <r>
    <s v="Startup_32"/>
    <x v="2"/>
    <n v="10"/>
    <n v="16915371"/>
    <n v="1"/>
    <n v="28"/>
    <n v="992"/>
    <n v="41222079"/>
    <n v="118890"/>
    <s v="Medium"/>
    <s v="Hybrid"/>
    <n v="9"/>
    <n v="30.57"/>
    <n v="667981"/>
    <n v="1"/>
  </r>
  <r>
    <s v="Startup_33"/>
    <x v="3"/>
    <n v="8"/>
    <n v="42124031"/>
    <n v="2"/>
    <n v="28"/>
    <n v="735"/>
    <n v="24803442"/>
    <n v="8172"/>
    <s v="Small"/>
    <s v="B2C"/>
    <n v="4"/>
    <n v="5.51"/>
    <n v="682592"/>
    <n v="1"/>
  </r>
  <r>
    <s v="Startup_34"/>
    <x v="1"/>
    <n v="13"/>
    <n v="2321715"/>
    <n v="4"/>
    <n v="29"/>
    <n v="279"/>
    <n v="3829111"/>
    <n v="873498"/>
    <s v="Small"/>
    <s v="B2C"/>
    <n v="3"/>
    <n v="81.64"/>
    <n v="366940"/>
    <n v="1"/>
  </r>
  <r>
    <s v="Startup_35"/>
    <x v="1"/>
    <n v="6"/>
    <n v="7221743"/>
    <n v="3"/>
    <n v="5"/>
    <n v="791"/>
    <n v="60588053"/>
    <n v="855109"/>
    <s v="Medium"/>
    <s v="B2B"/>
    <n v="7"/>
    <n v="55.14"/>
    <n v="479174"/>
    <n v="1"/>
  </r>
  <r>
    <s v="Startup_36"/>
    <x v="3"/>
    <n v="12"/>
    <n v="21623058"/>
    <n v="2"/>
    <n v="5"/>
    <n v="192"/>
    <n v="28372482"/>
    <n v="714902"/>
    <s v="Small"/>
    <s v="Hybrid"/>
    <n v="5"/>
    <n v="97.6"/>
    <n v="831281"/>
    <n v="1"/>
  </r>
  <r>
    <s v="Startup_37"/>
    <x v="1"/>
    <n v="1"/>
    <n v="29168999"/>
    <n v="4"/>
    <n v="27"/>
    <n v="979"/>
    <n v="11559233"/>
    <n v="288566"/>
    <s v="Medium"/>
    <s v="B2C"/>
    <n v="8"/>
    <n v="90.25"/>
    <n v="476830"/>
    <n v="1"/>
  </r>
  <r>
    <s v="Startup_38"/>
    <x v="0"/>
    <n v="9"/>
    <n v="28632223"/>
    <n v="4"/>
    <n v="18"/>
    <n v="901"/>
    <n v="45107055"/>
    <n v="550866"/>
    <s v="Large"/>
    <s v="B2C"/>
    <n v="6"/>
    <n v="9.9499999999999993"/>
    <n v="343908"/>
    <n v="1"/>
  </r>
  <r>
    <s v="Startup_39"/>
    <x v="0"/>
    <n v="13"/>
    <n v="7249691"/>
    <n v="2"/>
    <n v="27"/>
    <n v="920"/>
    <n v="65388315"/>
    <n v="694094"/>
    <s v="Large"/>
    <s v="Hybrid"/>
    <n v="4"/>
    <n v="41.62"/>
    <n v="718248"/>
    <n v="1"/>
  </r>
  <r>
    <s v="Startup_40"/>
    <x v="0"/>
    <n v="10"/>
    <n v="7433487"/>
    <n v="4"/>
    <n v="27"/>
    <n v="517"/>
    <n v="37811084"/>
    <n v="843950"/>
    <s v="Small"/>
    <s v="B2B"/>
    <n v="6"/>
    <n v="65.08"/>
    <n v="774772"/>
    <n v="1"/>
  </r>
  <r>
    <s v="Startup_41"/>
    <x v="6"/>
    <n v="12"/>
    <n v="33047488"/>
    <n v="1"/>
    <n v="7"/>
    <n v="672"/>
    <n v="1985521"/>
    <n v="339171"/>
    <s v="Large"/>
    <s v="B2C"/>
    <n v="2"/>
    <n v="39.39"/>
    <n v="678073"/>
    <n v="1"/>
  </r>
  <r>
    <s v="Startup_42"/>
    <x v="4"/>
    <n v="9"/>
    <n v="48202891"/>
    <n v="2"/>
    <n v="25"/>
    <n v="659"/>
    <n v="76615311"/>
    <n v="611087"/>
    <s v="Medium"/>
    <s v="B2C"/>
    <n v="5"/>
    <n v="85.61"/>
    <n v="114800"/>
    <n v="1"/>
  </r>
  <r>
    <s v="Startup_43"/>
    <x v="3"/>
    <n v="2"/>
    <n v="41748660"/>
    <n v="1"/>
    <n v="26"/>
    <n v="850"/>
    <n v="48443488"/>
    <n v="185798"/>
    <s v="Small"/>
    <s v="B2C"/>
    <n v="2"/>
    <n v="60.06"/>
    <n v="682103"/>
    <n v="1"/>
  </r>
  <r>
    <s v="Startup_44"/>
    <x v="5"/>
    <n v="2"/>
    <n v="32967189"/>
    <n v="2"/>
    <n v="7"/>
    <n v="230"/>
    <n v="17996309"/>
    <n v="579673"/>
    <s v="Small"/>
    <s v="B2C"/>
    <n v="2"/>
    <n v="28.19"/>
    <n v="82418"/>
    <n v="1"/>
  </r>
  <r>
    <s v="Startup_45"/>
    <x v="4"/>
    <n v="1"/>
    <n v="40289077"/>
    <n v="3"/>
    <n v="11"/>
    <n v="643"/>
    <n v="37052953"/>
    <n v="405253"/>
    <s v="Medium"/>
    <s v="Hybrid"/>
    <n v="6"/>
    <n v="74.180000000000007"/>
    <n v="398972"/>
    <n v="1"/>
  </r>
  <r>
    <s v="Startup_46"/>
    <x v="5"/>
    <n v="6"/>
    <n v="45804502"/>
    <n v="4"/>
    <n v="11"/>
    <n v="823"/>
    <n v="63322307"/>
    <n v="805398"/>
    <s v="Medium"/>
    <s v="Hybrid"/>
    <n v="5"/>
    <n v="34.6"/>
    <n v="462265"/>
    <n v="1"/>
  </r>
  <r>
    <s v="Startup_47"/>
    <x v="5"/>
    <n v="6"/>
    <n v="22897174"/>
    <n v="4"/>
    <n v="9"/>
    <n v="59"/>
    <n v="82518967"/>
    <n v="85235"/>
    <s v="Small"/>
    <s v="B2B"/>
    <n v="9"/>
    <n v="56"/>
    <n v="638758"/>
    <n v="1"/>
  </r>
  <r>
    <s v="Startup_48"/>
    <x v="4"/>
    <n v="8"/>
    <n v="18756075"/>
    <n v="4"/>
    <n v="6"/>
    <n v="451"/>
    <n v="18158305"/>
    <n v="348177"/>
    <s v="Small"/>
    <s v="Hybrid"/>
    <n v="5"/>
    <n v="62.51"/>
    <n v="998541"/>
    <n v="1"/>
  </r>
  <r>
    <s v="Startup_49"/>
    <x v="1"/>
    <n v="2"/>
    <n v="22618831"/>
    <n v="3"/>
    <n v="18"/>
    <n v="990"/>
    <n v="1611175"/>
    <n v="860396"/>
    <s v="Medium"/>
    <s v="Hybrid"/>
    <n v="9"/>
    <n v="17.2"/>
    <n v="754166"/>
    <n v="1"/>
  </r>
  <r>
    <s v="Startup_50"/>
    <x v="3"/>
    <n v="9"/>
    <n v="2841501"/>
    <n v="3"/>
    <n v="6"/>
    <n v="660"/>
    <n v="32099516"/>
    <n v="424102"/>
    <s v="Large"/>
    <s v="B2C"/>
    <n v="8"/>
    <n v="62.15"/>
    <n v="611625"/>
    <n v="1"/>
  </r>
  <r>
    <s v="Startup_51"/>
    <x v="6"/>
    <n v="13"/>
    <n v="42973719"/>
    <n v="3"/>
    <n v="1"/>
    <n v="723"/>
    <n v="43767085"/>
    <n v="933167"/>
    <s v="Small"/>
    <s v="B2B"/>
    <n v="4"/>
    <n v="58.39"/>
    <n v="92581"/>
    <n v="1"/>
  </r>
  <r>
    <s v="Startup_52"/>
    <x v="4"/>
    <n v="2"/>
    <n v="12058869"/>
    <n v="3"/>
    <n v="5"/>
    <n v="858"/>
    <n v="16953770"/>
    <n v="447762"/>
    <s v="Large"/>
    <s v="Hybrid"/>
    <n v="5"/>
    <n v="10.83"/>
    <n v="896976"/>
    <n v="1"/>
  </r>
  <r>
    <s v="Startup_53"/>
    <x v="2"/>
    <n v="5"/>
    <n v="675413"/>
    <n v="2"/>
    <n v="26"/>
    <n v="451"/>
    <n v="57771629"/>
    <n v="45013"/>
    <s v="Medium"/>
    <s v="B2C"/>
    <n v="8"/>
    <n v="14.21"/>
    <n v="859732"/>
    <n v="1"/>
  </r>
  <r>
    <s v="Startup_54"/>
    <x v="0"/>
    <n v="7"/>
    <n v="44110266"/>
    <n v="3"/>
    <n v="1"/>
    <n v="621"/>
    <n v="21729624"/>
    <n v="921224"/>
    <s v="Medium"/>
    <s v="B2B"/>
    <n v="9"/>
    <n v="14.32"/>
    <n v="706655"/>
    <n v="1"/>
  </r>
  <r>
    <s v="Startup_55"/>
    <x v="3"/>
    <n v="10"/>
    <n v="38596101"/>
    <n v="4"/>
    <n v="4"/>
    <n v="169"/>
    <n v="40950142"/>
    <n v="203325"/>
    <s v="Large"/>
    <s v="B2B"/>
    <n v="2"/>
    <n v="40.9"/>
    <n v="382153"/>
    <n v="1"/>
  </r>
  <r>
    <s v="Startup_56"/>
    <x v="3"/>
    <n v="12"/>
    <n v="17343842"/>
    <n v="1"/>
    <n v="15"/>
    <n v="251"/>
    <n v="41789321"/>
    <n v="603141"/>
    <s v="Medium"/>
    <s v="B2C"/>
    <n v="2"/>
    <n v="16.350000000000001"/>
    <n v="157756"/>
    <n v="1"/>
  </r>
  <r>
    <s v="Startup_57"/>
    <x v="3"/>
    <n v="0"/>
    <n v="35436756"/>
    <n v="4"/>
    <n v="6"/>
    <n v="715"/>
    <n v="4796127"/>
    <n v="358151"/>
    <s v="Small"/>
    <s v="B2B"/>
    <n v="7"/>
    <n v="9.44"/>
    <n v="748128"/>
    <n v="1"/>
  </r>
  <r>
    <s v="Startup_58"/>
    <x v="0"/>
    <n v="5"/>
    <n v="32056708"/>
    <n v="2"/>
    <n v="14"/>
    <n v="162"/>
    <n v="44675913"/>
    <n v="29134"/>
    <s v="Medium"/>
    <s v="Hybrid"/>
    <n v="4"/>
    <n v="41.71"/>
    <n v="784120"/>
    <n v="1"/>
  </r>
  <r>
    <s v="Startup_59"/>
    <x v="2"/>
    <n v="5"/>
    <n v="29656596"/>
    <n v="4"/>
    <n v="15"/>
    <n v="623"/>
    <n v="64175087"/>
    <n v="237608"/>
    <s v="Medium"/>
    <s v="B2C"/>
    <n v="6"/>
    <n v="24.64"/>
    <n v="864891"/>
    <n v="1"/>
  </r>
  <r>
    <s v="Startup_60"/>
    <x v="2"/>
    <n v="11"/>
    <n v="23725346"/>
    <n v="2"/>
    <n v="28"/>
    <n v="509"/>
    <n v="77282665"/>
    <n v="384404"/>
    <s v="Medium"/>
    <s v="B2B"/>
    <n v="3"/>
    <n v="94.62"/>
    <n v="606346"/>
    <n v="1"/>
  </r>
  <r>
    <s v="Startup_61"/>
    <x v="6"/>
    <n v="3"/>
    <n v="18519913"/>
    <n v="2"/>
    <n v="11"/>
    <n v="662"/>
    <n v="76459032"/>
    <n v="385114"/>
    <s v="Large"/>
    <s v="B2B"/>
    <n v="3"/>
    <n v="3.24"/>
    <n v="634659"/>
    <n v="1"/>
  </r>
  <r>
    <s v="Startup_62"/>
    <x v="2"/>
    <n v="5"/>
    <n v="1603212"/>
    <n v="2"/>
    <n v="9"/>
    <n v="698"/>
    <n v="41241205"/>
    <n v="757639"/>
    <s v="Medium"/>
    <s v="B2B"/>
    <n v="6"/>
    <n v="67.569999999999993"/>
    <n v="157329"/>
    <n v="1"/>
  </r>
  <r>
    <s v="Startup_63"/>
    <x v="6"/>
    <n v="4"/>
    <n v="42120184"/>
    <n v="3"/>
    <n v="5"/>
    <n v="336"/>
    <n v="70743675"/>
    <n v="159120"/>
    <s v="Large"/>
    <s v="B2B"/>
    <n v="7"/>
    <n v="67.97"/>
    <n v="243569"/>
    <n v="1"/>
  </r>
  <r>
    <s v="Startup_64"/>
    <x v="6"/>
    <n v="8"/>
    <n v="7528811"/>
    <n v="4"/>
    <n v="5"/>
    <n v="324"/>
    <n v="59342815"/>
    <n v="778866"/>
    <s v="Large"/>
    <s v="Hybrid"/>
    <n v="3"/>
    <n v="38.11"/>
    <n v="889255"/>
    <n v="1"/>
  </r>
  <r>
    <s v="Startup_65"/>
    <x v="3"/>
    <n v="11"/>
    <n v="5367670"/>
    <n v="2"/>
    <n v="12"/>
    <n v="341"/>
    <n v="67204540"/>
    <n v="908985"/>
    <s v="Medium"/>
    <s v="B2C"/>
    <n v="8"/>
    <n v="74.38"/>
    <n v="604674"/>
    <n v="1"/>
  </r>
  <r>
    <s v="Startup_66"/>
    <x v="5"/>
    <n v="4"/>
    <n v="7929441"/>
    <n v="4"/>
    <n v="12"/>
    <n v="852"/>
    <n v="89972520"/>
    <n v="955376"/>
    <s v="Medium"/>
    <s v="Hybrid"/>
    <n v="1"/>
    <n v="14.61"/>
    <n v="27192"/>
    <n v="1"/>
  </r>
  <r>
    <s v="Startup_67"/>
    <x v="6"/>
    <n v="14"/>
    <n v="30779731"/>
    <n v="1"/>
    <n v="11"/>
    <n v="18"/>
    <n v="64820766"/>
    <n v="782928"/>
    <s v="Large"/>
    <s v="B2C"/>
    <n v="2"/>
    <n v="9.7200000000000006"/>
    <n v="434625"/>
    <n v="1"/>
  </r>
  <r>
    <s v="Startup_68"/>
    <x v="2"/>
    <n v="8"/>
    <n v="11284847"/>
    <n v="4"/>
    <n v="0"/>
    <n v="54"/>
    <n v="4812841"/>
    <n v="881269"/>
    <s v="Large"/>
    <s v="Hybrid"/>
    <n v="6"/>
    <n v="66.61"/>
    <n v="853276"/>
    <n v="1"/>
  </r>
  <r>
    <s v="Startup_69"/>
    <x v="5"/>
    <n v="1"/>
    <n v="18566308"/>
    <n v="3"/>
    <n v="15"/>
    <n v="264"/>
    <n v="76489399"/>
    <n v="446690"/>
    <s v="Large"/>
    <s v="B2C"/>
    <n v="1"/>
    <n v="12.97"/>
    <n v="611356"/>
    <n v="1"/>
  </r>
  <r>
    <s v="Startup_70"/>
    <x v="6"/>
    <n v="8"/>
    <n v="12034761"/>
    <n v="2"/>
    <n v="13"/>
    <n v="49"/>
    <n v="36479232"/>
    <n v="754718"/>
    <s v="Small"/>
    <s v="B2C"/>
    <n v="9"/>
    <n v="31.62"/>
    <n v="668876"/>
    <n v="1"/>
  </r>
  <r>
    <s v="Startup_71"/>
    <x v="4"/>
    <n v="10"/>
    <n v="35394775"/>
    <n v="3"/>
    <n v="24"/>
    <n v="340"/>
    <n v="14079048"/>
    <n v="812559"/>
    <s v="Medium"/>
    <s v="Hybrid"/>
    <n v="8"/>
    <n v="67.150000000000006"/>
    <n v="454592"/>
    <n v="1"/>
  </r>
  <r>
    <s v="Startup_72"/>
    <x v="1"/>
    <n v="12"/>
    <n v="31623899"/>
    <n v="4"/>
    <n v="23"/>
    <n v="365"/>
    <n v="83494704"/>
    <n v="707360"/>
    <s v="Small"/>
    <s v="B2C"/>
    <n v="6"/>
    <n v="8.33"/>
    <n v="907194"/>
    <n v="1"/>
  </r>
  <r>
    <s v="Startup_73"/>
    <x v="4"/>
    <n v="12"/>
    <n v="12222557"/>
    <n v="3"/>
    <n v="21"/>
    <n v="364"/>
    <n v="69417912"/>
    <n v="792925"/>
    <s v="Large"/>
    <s v="B2C"/>
    <n v="6"/>
    <n v="68.23"/>
    <n v="821516"/>
    <n v="1"/>
  </r>
  <r>
    <s v="Startup_74"/>
    <x v="4"/>
    <n v="10"/>
    <n v="6979695"/>
    <n v="1"/>
    <n v="3"/>
    <n v="240"/>
    <n v="58776373"/>
    <n v="63979"/>
    <s v="Medium"/>
    <s v="B2B"/>
    <n v="6"/>
    <n v="68.05"/>
    <n v="37848"/>
    <n v="1"/>
  </r>
  <r>
    <s v="Startup_75"/>
    <x v="4"/>
    <n v="12"/>
    <n v="23712489"/>
    <n v="1"/>
    <n v="0"/>
    <n v="86"/>
    <n v="25958910"/>
    <n v="352524"/>
    <s v="Medium"/>
    <s v="Hybrid"/>
    <n v="1"/>
    <n v="29.61"/>
    <n v="127437"/>
    <n v="1"/>
  </r>
  <r>
    <s v="Startup_76"/>
    <x v="0"/>
    <n v="5"/>
    <n v="18997328"/>
    <n v="1"/>
    <n v="4"/>
    <n v="222"/>
    <n v="9449383"/>
    <n v="83413"/>
    <s v="Small"/>
    <s v="B2B"/>
    <n v="7"/>
    <n v="76.2"/>
    <n v="907499"/>
    <n v="1"/>
  </r>
  <r>
    <s v="Startup_77"/>
    <x v="2"/>
    <n v="14"/>
    <n v="9634999"/>
    <n v="2"/>
    <n v="25"/>
    <n v="990"/>
    <n v="18044963"/>
    <n v="493831"/>
    <s v="Large"/>
    <s v="B2B"/>
    <n v="7"/>
    <n v="8.85"/>
    <n v="467600"/>
    <n v="1"/>
  </r>
  <r>
    <s v="Startup_78"/>
    <x v="0"/>
    <n v="14"/>
    <n v="23179918"/>
    <n v="4"/>
    <n v="15"/>
    <n v="336"/>
    <n v="38538013"/>
    <n v="161662"/>
    <s v="Medium"/>
    <s v="Hybrid"/>
    <n v="2"/>
    <n v="81.430000000000007"/>
    <n v="918492"/>
    <n v="1"/>
  </r>
  <r>
    <s v="Startup_79"/>
    <x v="1"/>
    <n v="8"/>
    <n v="43449657"/>
    <n v="4"/>
    <n v="9"/>
    <n v="892"/>
    <n v="54725529"/>
    <n v="454259"/>
    <s v="Medium"/>
    <s v="B2B"/>
    <n v="9"/>
    <n v="35.46"/>
    <n v="643200"/>
    <n v="1"/>
  </r>
  <r>
    <s v="Startup_80"/>
    <x v="3"/>
    <n v="0"/>
    <n v="14853499"/>
    <n v="1"/>
    <n v="13"/>
    <n v="765"/>
    <n v="68432135"/>
    <n v="263216"/>
    <s v="Medium"/>
    <s v="Hybrid"/>
    <n v="8"/>
    <n v="6.53"/>
    <n v="241860"/>
    <n v="1"/>
  </r>
  <r>
    <s v="Startup_81"/>
    <x v="6"/>
    <n v="2"/>
    <n v="9651950"/>
    <n v="4"/>
    <n v="0"/>
    <n v="260"/>
    <n v="4632736"/>
    <n v="434632"/>
    <s v="Small"/>
    <s v="B2B"/>
    <n v="3"/>
    <n v="23"/>
    <n v="741810"/>
    <n v="1"/>
  </r>
  <r>
    <s v="Startup_82"/>
    <x v="2"/>
    <n v="12"/>
    <n v="13138896"/>
    <n v="4"/>
    <n v="7"/>
    <n v="476"/>
    <n v="89188811"/>
    <n v="83747"/>
    <s v="Large"/>
    <s v="B2B"/>
    <n v="4"/>
    <n v="31.99"/>
    <n v="248795"/>
    <n v="1"/>
  </r>
  <r>
    <s v="Startup_83"/>
    <x v="2"/>
    <n v="4"/>
    <n v="46495824"/>
    <n v="4"/>
    <n v="21"/>
    <n v="627"/>
    <n v="68425974"/>
    <n v="603837"/>
    <s v="Small"/>
    <s v="B2B"/>
    <n v="6"/>
    <n v="33.979999999999997"/>
    <n v="126271"/>
    <n v="1"/>
  </r>
  <r>
    <s v="Startup_84"/>
    <x v="2"/>
    <n v="7"/>
    <n v="34221114"/>
    <n v="1"/>
    <n v="7"/>
    <n v="932"/>
    <n v="10373401"/>
    <n v="111682"/>
    <s v="Medium"/>
    <s v="B2B"/>
    <n v="8"/>
    <n v="52.4"/>
    <n v="589002"/>
    <n v="1"/>
  </r>
  <r>
    <s v="Startup_85"/>
    <x v="3"/>
    <n v="11"/>
    <n v="15599293"/>
    <n v="1"/>
    <n v="4"/>
    <n v="389"/>
    <n v="71836315"/>
    <n v="260412"/>
    <s v="Medium"/>
    <s v="B2C"/>
    <n v="4"/>
    <n v="4.2"/>
    <n v="235165"/>
    <n v="1"/>
  </r>
  <r>
    <s v="Startup_86"/>
    <x v="0"/>
    <n v="6"/>
    <n v="19753431"/>
    <n v="3"/>
    <n v="28"/>
    <n v="762"/>
    <n v="30315871"/>
    <n v="376858"/>
    <s v="Large"/>
    <s v="Hybrid"/>
    <n v="2"/>
    <n v="5.59"/>
    <n v="202927"/>
    <n v="1"/>
  </r>
  <r>
    <s v="Startup_87"/>
    <x v="1"/>
    <n v="5"/>
    <n v="15383398"/>
    <n v="3"/>
    <n v="12"/>
    <n v="426"/>
    <n v="41971808"/>
    <n v="455353"/>
    <s v="Large"/>
    <s v="Hybrid"/>
    <n v="2"/>
    <n v="30.29"/>
    <n v="915156"/>
    <n v="1"/>
  </r>
  <r>
    <s v="Startup_88"/>
    <x v="6"/>
    <n v="5"/>
    <n v="7900965"/>
    <n v="1"/>
    <n v="28"/>
    <n v="88"/>
    <n v="70077343"/>
    <n v="135477"/>
    <s v="Medium"/>
    <s v="Hybrid"/>
    <n v="2"/>
    <n v="36.950000000000003"/>
    <n v="268687"/>
    <n v="1"/>
  </r>
  <r>
    <s v="Startup_89"/>
    <x v="5"/>
    <n v="5"/>
    <n v="40038073"/>
    <n v="4"/>
    <n v="29"/>
    <n v="654"/>
    <n v="98106162"/>
    <n v="911778"/>
    <s v="Large"/>
    <s v="B2C"/>
    <n v="2"/>
    <n v="78.14"/>
    <n v="118470"/>
    <n v="1"/>
  </r>
  <r>
    <s v="Startup_90"/>
    <x v="5"/>
    <n v="6"/>
    <n v="37920093"/>
    <n v="4"/>
    <n v="23"/>
    <n v="678"/>
    <n v="93025682"/>
    <n v="372445"/>
    <s v="Large"/>
    <s v="Hybrid"/>
    <n v="6"/>
    <n v="35.090000000000003"/>
    <n v="710295"/>
    <n v="1"/>
  </r>
  <r>
    <s v="Startup_91"/>
    <x v="0"/>
    <n v="0"/>
    <n v="7554350"/>
    <n v="3"/>
    <n v="19"/>
    <n v="752"/>
    <n v="47510260"/>
    <n v="611413"/>
    <s v="Small"/>
    <s v="B2C"/>
    <n v="6"/>
    <n v="53.22"/>
    <n v="900436"/>
    <n v="1"/>
  </r>
  <r>
    <s v="Startup_92"/>
    <x v="0"/>
    <n v="11"/>
    <n v="7128856"/>
    <n v="2"/>
    <n v="29"/>
    <n v="430"/>
    <n v="44784491"/>
    <n v="768275"/>
    <s v="Small"/>
    <s v="Hybrid"/>
    <n v="3"/>
    <n v="15.68"/>
    <n v="827396"/>
    <n v="1"/>
  </r>
  <r>
    <s v="Startup_93"/>
    <x v="5"/>
    <n v="3"/>
    <n v="18316133"/>
    <n v="2"/>
    <n v="14"/>
    <n v="608"/>
    <n v="53607790"/>
    <n v="260855"/>
    <s v="Medium"/>
    <s v="Hybrid"/>
    <n v="6"/>
    <n v="82.76"/>
    <n v="810484"/>
    <n v="1"/>
  </r>
  <r>
    <s v="Startup_94"/>
    <x v="2"/>
    <n v="14"/>
    <n v="41149128"/>
    <n v="4"/>
    <n v="11"/>
    <n v="424"/>
    <n v="52757975"/>
    <n v="887435"/>
    <s v="Medium"/>
    <s v="Hybrid"/>
    <n v="3"/>
    <n v="49.93"/>
    <n v="541298"/>
    <n v="1"/>
  </r>
  <r>
    <s v="Startup_95"/>
    <x v="2"/>
    <n v="12"/>
    <n v="29596845"/>
    <n v="1"/>
    <n v="20"/>
    <n v="171"/>
    <n v="60817626"/>
    <n v="957475"/>
    <s v="Large"/>
    <s v="B2B"/>
    <n v="9"/>
    <n v="28.27"/>
    <n v="213087"/>
    <n v="1"/>
  </r>
  <r>
    <s v="Startup_96"/>
    <x v="2"/>
    <n v="10"/>
    <n v="31992021"/>
    <n v="1"/>
    <n v="19"/>
    <n v="167"/>
    <n v="58491007"/>
    <n v="159276"/>
    <s v="Small"/>
    <s v="B2B"/>
    <n v="1"/>
    <n v="64.14"/>
    <n v="297616"/>
    <n v="1"/>
  </r>
  <r>
    <s v="Startup_97"/>
    <x v="2"/>
    <n v="10"/>
    <n v="44058261"/>
    <n v="3"/>
    <n v="7"/>
    <n v="959"/>
    <n v="24332335"/>
    <n v="607196"/>
    <s v="Medium"/>
    <s v="B2C"/>
    <n v="1"/>
    <n v="5.16"/>
    <n v="419845"/>
    <n v="1"/>
  </r>
  <r>
    <s v="Startup_98"/>
    <x v="6"/>
    <n v="1"/>
    <n v="38318256"/>
    <n v="4"/>
    <n v="18"/>
    <n v="804"/>
    <n v="61669123"/>
    <n v="768333"/>
    <s v="Large"/>
    <s v="B2B"/>
    <n v="7"/>
    <n v="37.31"/>
    <n v="129366"/>
    <n v="1"/>
  </r>
  <r>
    <s v="Startup_99"/>
    <x v="0"/>
    <n v="10"/>
    <n v="17382157"/>
    <n v="4"/>
    <n v="8"/>
    <n v="951"/>
    <n v="86905412"/>
    <n v="303429"/>
    <s v="Medium"/>
    <s v="B2B"/>
    <n v="7"/>
    <n v="17.84"/>
    <n v="345069"/>
    <n v="1"/>
  </r>
  <r>
    <s v="Startup_100"/>
    <x v="5"/>
    <n v="9"/>
    <n v="16664432"/>
    <n v="4"/>
    <n v="8"/>
    <n v="415"/>
    <n v="67796141"/>
    <n v="400530"/>
    <s v="Large"/>
    <s v="Hybrid"/>
    <n v="7"/>
    <n v="37.15"/>
    <n v="284616"/>
    <n v="1"/>
  </r>
  <r>
    <s v="Startup_101"/>
    <x v="6"/>
    <n v="8"/>
    <n v="47016211"/>
    <n v="3"/>
    <n v="22"/>
    <n v="413"/>
    <n v="84812277"/>
    <n v="235201"/>
    <s v="Medium"/>
    <s v="B2C"/>
    <n v="1"/>
    <n v="14.3"/>
    <n v="569194"/>
    <n v="1"/>
  </r>
  <r>
    <s v="Startup_102"/>
    <x v="0"/>
    <n v="2"/>
    <n v="5955258"/>
    <n v="1"/>
    <n v="12"/>
    <n v="510"/>
    <n v="92901067"/>
    <n v="468364"/>
    <s v="Medium"/>
    <s v="Hybrid"/>
    <n v="7"/>
    <n v="99.78"/>
    <n v="668631"/>
    <n v="1"/>
  </r>
  <r>
    <s v="Startup_103"/>
    <x v="0"/>
    <n v="12"/>
    <n v="34331374"/>
    <n v="3"/>
    <n v="27"/>
    <n v="620"/>
    <n v="25836271"/>
    <n v="678174"/>
    <s v="Large"/>
    <s v="Hybrid"/>
    <n v="8"/>
    <n v="91.9"/>
    <n v="240567"/>
    <n v="1"/>
  </r>
  <r>
    <s v="Startup_104"/>
    <x v="2"/>
    <n v="12"/>
    <n v="45573763"/>
    <n v="2"/>
    <n v="29"/>
    <n v="173"/>
    <n v="66434260"/>
    <n v="418186"/>
    <s v="Large"/>
    <s v="B2B"/>
    <n v="6"/>
    <n v="38.86"/>
    <n v="139285"/>
    <n v="1"/>
  </r>
  <r>
    <s v="Startup_105"/>
    <x v="1"/>
    <n v="13"/>
    <n v="11209"/>
    <n v="4"/>
    <n v="9"/>
    <n v="105"/>
    <n v="37777860"/>
    <n v="252665"/>
    <s v="Medium"/>
    <s v="B2B"/>
    <n v="2"/>
    <n v="85.78"/>
    <n v="510828"/>
    <n v="1"/>
  </r>
  <r>
    <s v="Startup_106"/>
    <x v="5"/>
    <n v="2"/>
    <n v="6513111"/>
    <n v="3"/>
    <n v="22"/>
    <n v="165"/>
    <n v="68693993"/>
    <n v="323799"/>
    <s v="Large"/>
    <s v="B2B"/>
    <n v="8"/>
    <n v="59.82"/>
    <n v="293173"/>
    <n v="1"/>
  </r>
  <r>
    <s v="Startup_107"/>
    <x v="4"/>
    <n v="14"/>
    <n v="5170535"/>
    <n v="3"/>
    <n v="29"/>
    <n v="851"/>
    <n v="63252004"/>
    <n v="41530"/>
    <s v="Large"/>
    <s v="B2C"/>
    <n v="5"/>
    <n v="37.19"/>
    <n v="259037"/>
    <n v="1"/>
  </r>
  <r>
    <s v="Startup_108"/>
    <x v="6"/>
    <n v="11"/>
    <n v="29164039"/>
    <n v="4"/>
    <n v="8"/>
    <n v="23"/>
    <n v="96587796"/>
    <n v="923372"/>
    <s v="Medium"/>
    <s v="B2C"/>
    <n v="8"/>
    <n v="95.55"/>
    <n v="809281"/>
    <n v="1"/>
  </r>
  <r>
    <s v="Startup_109"/>
    <x v="5"/>
    <n v="12"/>
    <n v="22605293"/>
    <n v="1"/>
    <n v="28"/>
    <n v="176"/>
    <n v="70468635"/>
    <n v="588157"/>
    <s v="Medium"/>
    <s v="B2C"/>
    <n v="6"/>
    <n v="16.579999999999998"/>
    <n v="651278"/>
    <n v="1"/>
  </r>
  <r>
    <s v="Startup_110"/>
    <x v="6"/>
    <n v="12"/>
    <n v="37915472"/>
    <n v="3"/>
    <n v="16"/>
    <n v="725"/>
    <n v="46610997"/>
    <n v="219851"/>
    <s v="Small"/>
    <s v="B2C"/>
    <n v="2"/>
    <n v="40.659999999999997"/>
    <n v="498567"/>
    <n v="1"/>
  </r>
  <r>
    <s v="Startup_111"/>
    <x v="4"/>
    <n v="5"/>
    <n v="18124408"/>
    <n v="4"/>
    <n v="13"/>
    <n v="815"/>
    <n v="82079113"/>
    <n v="285309"/>
    <s v="Medium"/>
    <s v="B2C"/>
    <n v="8"/>
    <n v="90.87"/>
    <n v="798625"/>
    <n v="1"/>
  </r>
  <r>
    <s v="Startup_112"/>
    <x v="0"/>
    <n v="1"/>
    <n v="38849885"/>
    <n v="3"/>
    <n v="4"/>
    <n v="133"/>
    <n v="266080"/>
    <n v="617031"/>
    <s v="Small"/>
    <s v="Hybrid"/>
    <n v="4"/>
    <n v="14.56"/>
    <n v="280813"/>
    <n v="1"/>
  </r>
  <r>
    <s v="Startup_113"/>
    <x v="5"/>
    <n v="6"/>
    <n v="20160886"/>
    <n v="4"/>
    <n v="11"/>
    <n v="104"/>
    <n v="31945270"/>
    <n v="51477"/>
    <s v="Medium"/>
    <s v="B2C"/>
    <n v="7"/>
    <n v="75.709999999999994"/>
    <n v="469372"/>
    <n v="1"/>
  </r>
  <r>
    <s v="Startup_114"/>
    <x v="4"/>
    <n v="2"/>
    <n v="47215844"/>
    <n v="4"/>
    <n v="1"/>
    <n v="708"/>
    <n v="82099290"/>
    <n v="258908"/>
    <s v="Small"/>
    <s v="B2C"/>
    <n v="8"/>
    <n v="1.5"/>
    <n v="142791"/>
    <n v="1"/>
  </r>
  <r>
    <s v="Startup_115"/>
    <x v="2"/>
    <n v="7"/>
    <n v="20604062"/>
    <n v="2"/>
    <n v="19"/>
    <n v="42"/>
    <n v="80376453"/>
    <n v="903036"/>
    <s v="Medium"/>
    <s v="B2B"/>
    <n v="7"/>
    <n v="99.63"/>
    <n v="162063"/>
    <n v="1"/>
  </r>
  <r>
    <s v="Startup_116"/>
    <x v="4"/>
    <n v="14"/>
    <n v="44581234"/>
    <n v="4"/>
    <n v="7"/>
    <n v="375"/>
    <n v="80140488"/>
    <n v="667631"/>
    <s v="Medium"/>
    <s v="B2C"/>
    <n v="6"/>
    <n v="77.53"/>
    <n v="417191"/>
    <n v="1"/>
  </r>
  <r>
    <s v="Startup_117"/>
    <x v="6"/>
    <n v="0"/>
    <n v="25312794"/>
    <n v="3"/>
    <n v="0"/>
    <n v="845"/>
    <n v="15993562"/>
    <n v="365928"/>
    <s v="Small"/>
    <s v="Hybrid"/>
    <n v="4"/>
    <n v="77.849999999999994"/>
    <n v="778760"/>
    <n v="1"/>
  </r>
  <r>
    <s v="Startup_118"/>
    <x v="3"/>
    <n v="8"/>
    <n v="19684508"/>
    <n v="3"/>
    <n v="14"/>
    <n v="173"/>
    <n v="36792394"/>
    <n v="340478"/>
    <s v="Medium"/>
    <s v="B2B"/>
    <n v="6"/>
    <n v="26.14"/>
    <n v="896822"/>
    <n v="1"/>
  </r>
  <r>
    <s v="Startup_119"/>
    <x v="3"/>
    <n v="2"/>
    <n v="40167948"/>
    <n v="4"/>
    <n v="20"/>
    <n v="200"/>
    <n v="8333915"/>
    <n v="842148"/>
    <s v="Large"/>
    <s v="Hybrid"/>
    <n v="4"/>
    <n v="15.45"/>
    <n v="561159"/>
    <n v="1"/>
  </r>
  <r>
    <s v="Startup_120"/>
    <x v="0"/>
    <n v="5"/>
    <n v="24434221"/>
    <n v="3"/>
    <n v="2"/>
    <n v="636"/>
    <n v="83002034"/>
    <n v="217699"/>
    <s v="Medium"/>
    <s v="B2B"/>
    <n v="4"/>
    <n v="93.65"/>
    <n v="368560"/>
    <n v="1"/>
  </r>
  <r>
    <s v="Startup_121"/>
    <x v="2"/>
    <n v="14"/>
    <n v="30615134"/>
    <n v="4"/>
    <n v="16"/>
    <n v="503"/>
    <n v="61214552"/>
    <n v="858011"/>
    <s v="Large"/>
    <s v="B2B"/>
    <n v="1"/>
    <n v="26.9"/>
    <n v="793370"/>
    <n v="1"/>
  </r>
  <r>
    <s v="Startup_122"/>
    <x v="4"/>
    <n v="6"/>
    <n v="5841211"/>
    <n v="1"/>
    <n v="24"/>
    <n v="73"/>
    <n v="22974561"/>
    <n v="795407"/>
    <s v="Medium"/>
    <s v="B2B"/>
    <n v="8"/>
    <n v="39.479999999999997"/>
    <n v="576680"/>
    <n v="1"/>
  </r>
  <r>
    <s v="Startup_123"/>
    <x v="6"/>
    <n v="13"/>
    <n v="32917788"/>
    <n v="2"/>
    <n v="0"/>
    <n v="476"/>
    <n v="53147466"/>
    <n v="998007"/>
    <s v="Medium"/>
    <s v="Hybrid"/>
    <n v="2"/>
    <n v="87.96"/>
    <n v="519366"/>
    <n v="1"/>
  </r>
  <r>
    <s v="Startup_124"/>
    <x v="3"/>
    <n v="11"/>
    <n v="31874108"/>
    <n v="4"/>
    <n v="20"/>
    <n v="920"/>
    <n v="45401528"/>
    <n v="699011"/>
    <s v="Small"/>
    <s v="Hybrid"/>
    <n v="1"/>
    <n v="97.08"/>
    <n v="483218"/>
    <n v="1"/>
  </r>
  <r>
    <s v="Startup_125"/>
    <x v="0"/>
    <n v="12"/>
    <n v="28046650"/>
    <n v="1"/>
    <n v="8"/>
    <n v="52"/>
    <n v="64820176"/>
    <n v="7809"/>
    <s v="Medium"/>
    <s v="Hybrid"/>
    <n v="5"/>
    <n v="30.83"/>
    <n v="134785"/>
    <n v="1"/>
  </r>
  <r>
    <s v="Startup_126"/>
    <x v="1"/>
    <n v="8"/>
    <n v="26659998"/>
    <n v="4"/>
    <n v="11"/>
    <n v="745"/>
    <n v="96265153"/>
    <n v="653195"/>
    <s v="Medium"/>
    <s v="B2B"/>
    <n v="7"/>
    <n v="28.94"/>
    <n v="840759"/>
    <n v="1"/>
  </r>
  <r>
    <s v="Startup_127"/>
    <x v="3"/>
    <n v="14"/>
    <n v="37479984"/>
    <n v="3"/>
    <n v="23"/>
    <n v="145"/>
    <n v="90842356"/>
    <n v="533204"/>
    <s v="Large"/>
    <s v="Hybrid"/>
    <n v="3"/>
    <n v="50.28"/>
    <n v="579483"/>
    <n v="1"/>
  </r>
  <r>
    <s v="Startup_128"/>
    <x v="6"/>
    <n v="9"/>
    <n v="5423430"/>
    <n v="4"/>
    <n v="5"/>
    <n v="202"/>
    <n v="28607510"/>
    <n v="398448"/>
    <s v="Medium"/>
    <s v="B2B"/>
    <n v="5"/>
    <n v="83.49"/>
    <n v="348940"/>
    <n v="1"/>
  </r>
  <r>
    <s v="Startup_129"/>
    <x v="4"/>
    <n v="13"/>
    <n v="19399270"/>
    <n v="4"/>
    <n v="7"/>
    <n v="341"/>
    <n v="79508587"/>
    <n v="719596"/>
    <s v="Large"/>
    <s v="Hybrid"/>
    <n v="3"/>
    <n v="3.61"/>
    <n v="83698"/>
    <n v="1"/>
  </r>
  <r>
    <s v="Startup_130"/>
    <x v="1"/>
    <n v="1"/>
    <n v="46057559"/>
    <n v="3"/>
    <n v="16"/>
    <n v="533"/>
    <n v="92887953"/>
    <n v="964638"/>
    <s v="Medium"/>
    <s v="B2C"/>
    <n v="8"/>
    <n v="49.79"/>
    <n v="635526"/>
    <n v="1"/>
  </r>
  <r>
    <s v="Startup_131"/>
    <x v="5"/>
    <n v="14"/>
    <n v="31375653"/>
    <n v="1"/>
    <n v="19"/>
    <n v="54"/>
    <n v="77610306"/>
    <n v="697685"/>
    <s v="Medium"/>
    <s v="B2C"/>
    <n v="8"/>
    <n v="66.87"/>
    <n v="259229"/>
    <n v="1"/>
  </r>
  <r>
    <s v="Startup_132"/>
    <x v="4"/>
    <n v="13"/>
    <n v="13140232"/>
    <n v="1"/>
    <n v="18"/>
    <n v="904"/>
    <n v="19888727"/>
    <n v="36137"/>
    <s v="Large"/>
    <s v="Hybrid"/>
    <n v="1"/>
    <n v="47.52"/>
    <n v="901220"/>
    <n v="1"/>
  </r>
  <r>
    <s v="Startup_133"/>
    <x v="5"/>
    <n v="12"/>
    <n v="29338697"/>
    <n v="2"/>
    <n v="29"/>
    <n v="643"/>
    <n v="14622761"/>
    <n v="145650"/>
    <s v="Medium"/>
    <s v="B2C"/>
    <n v="7"/>
    <n v="3.28"/>
    <n v="54413"/>
    <n v="1"/>
  </r>
  <r>
    <s v="Startup_134"/>
    <x v="6"/>
    <n v="2"/>
    <n v="39274641"/>
    <n v="2"/>
    <n v="0"/>
    <n v="524"/>
    <n v="43920287"/>
    <n v="205168"/>
    <s v="Small"/>
    <s v="B2C"/>
    <n v="3"/>
    <n v="80.73"/>
    <n v="657187"/>
    <n v="1"/>
  </r>
  <r>
    <s v="Startup_135"/>
    <x v="5"/>
    <n v="12"/>
    <n v="9072682"/>
    <n v="1"/>
    <n v="28"/>
    <n v="592"/>
    <n v="18575218"/>
    <n v="704569"/>
    <s v="Large"/>
    <s v="B2B"/>
    <n v="9"/>
    <n v="49.04"/>
    <n v="663311"/>
    <n v="1"/>
  </r>
  <r>
    <s v="Startup_136"/>
    <x v="0"/>
    <n v="3"/>
    <n v="18735889"/>
    <n v="2"/>
    <n v="2"/>
    <n v="269"/>
    <n v="8366160"/>
    <n v="505260"/>
    <s v="Medium"/>
    <s v="B2C"/>
    <n v="1"/>
    <n v="61.57"/>
    <n v="693597"/>
    <n v="1"/>
  </r>
  <r>
    <s v="Startup_137"/>
    <x v="0"/>
    <n v="1"/>
    <n v="713064"/>
    <n v="2"/>
    <n v="10"/>
    <n v="758"/>
    <n v="53127591"/>
    <n v="76323"/>
    <s v="Medium"/>
    <s v="B2B"/>
    <n v="3"/>
    <n v="7.73"/>
    <n v="282620"/>
    <n v="1"/>
  </r>
  <r>
    <s v="Startup_138"/>
    <x v="6"/>
    <n v="14"/>
    <n v="47613376"/>
    <n v="4"/>
    <n v="8"/>
    <n v="671"/>
    <n v="14036707"/>
    <n v="758232"/>
    <s v="Medium"/>
    <s v="B2B"/>
    <n v="3"/>
    <n v="92.68"/>
    <n v="497413"/>
    <n v="1"/>
  </r>
  <r>
    <s v="Startup_139"/>
    <x v="6"/>
    <n v="5"/>
    <n v="42103143"/>
    <n v="2"/>
    <n v="5"/>
    <n v="88"/>
    <n v="15314388"/>
    <n v="906707"/>
    <s v="Small"/>
    <s v="Hybrid"/>
    <n v="4"/>
    <n v="55.59"/>
    <n v="805123"/>
    <n v="1"/>
  </r>
  <r>
    <s v="Startup_140"/>
    <x v="3"/>
    <n v="8"/>
    <n v="24417237"/>
    <n v="1"/>
    <n v="13"/>
    <n v="215"/>
    <n v="54141693"/>
    <n v="176730"/>
    <s v="Large"/>
    <s v="Hybrid"/>
    <n v="8"/>
    <n v="0.87"/>
    <n v="697232"/>
    <n v="1"/>
  </r>
  <r>
    <s v="Startup_141"/>
    <x v="2"/>
    <n v="14"/>
    <n v="28311503"/>
    <n v="4"/>
    <n v="26"/>
    <n v="89"/>
    <n v="86295765"/>
    <n v="715823"/>
    <s v="Large"/>
    <s v="Hybrid"/>
    <n v="3"/>
    <n v="64.58"/>
    <n v="817002"/>
    <n v="1"/>
  </r>
  <r>
    <s v="Startup_142"/>
    <x v="6"/>
    <n v="4"/>
    <n v="22308648"/>
    <n v="2"/>
    <n v="21"/>
    <n v="695"/>
    <n v="14982463"/>
    <n v="476825"/>
    <s v="Large"/>
    <s v="B2C"/>
    <n v="6"/>
    <n v="78.87"/>
    <n v="665790"/>
    <n v="1"/>
  </r>
  <r>
    <s v="Startup_143"/>
    <x v="5"/>
    <n v="7"/>
    <n v="11561825"/>
    <n v="3"/>
    <n v="27"/>
    <n v="185"/>
    <n v="76668613"/>
    <n v="362009"/>
    <s v="Small"/>
    <s v="B2B"/>
    <n v="5"/>
    <n v="6.65"/>
    <n v="104397"/>
    <n v="1"/>
  </r>
  <r>
    <s v="Startup_144"/>
    <x v="1"/>
    <n v="11"/>
    <n v="13353622"/>
    <n v="2"/>
    <n v="9"/>
    <n v="513"/>
    <n v="85707668"/>
    <n v="872077"/>
    <s v="Large"/>
    <s v="B2C"/>
    <n v="9"/>
    <n v="87.02"/>
    <n v="643507"/>
    <n v="1"/>
  </r>
  <r>
    <s v="Startup_145"/>
    <x v="4"/>
    <n v="7"/>
    <n v="43957324"/>
    <n v="1"/>
    <n v="13"/>
    <n v="838"/>
    <n v="64280224"/>
    <n v="350783"/>
    <s v="Medium"/>
    <s v="Hybrid"/>
    <n v="5"/>
    <n v="85.21"/>
    <n v="266525"/>
    <n v="1"/>
  </r>
  <r>
    <s v="Startup_146"/>
    <x v="6"/>
    <n v="6"/>
    <n v="1929745"/>
    <n v="4"/>
    <n v="8"/>
    <n v="122"/>
    <n v="55721013"/>
    <n v="172010"/>
    <s v="Large"/>
    <s v="Hybrid"/>
    <n v="7"/>
    <n v="27.23"/>
    <n v="986449"/>
    <n v="1"/>
  </r>
  <r>
    <s v="Startup_147"/>
    <x v="5"/>
    <n v="10"/>
    <n v="47836389"/>
    <n v="2"/>
    <n v="15"/>
    <n v="809"/>
    <n v="37937886"/>
    <n v="365126"/>
    <s v="Large"/>
    <s v="Hybrid"/>
    <n v="1"/>
    <n v="3.54"/>
    <n v="377157"/>
    <n v="1"/>
  </r>
  <r>
    <s v="Startup_148"/>
    <x v="2"/>
    <n v="8"/>
    <n v="24804061"/>
    <n v="2"/>
    <n v="26"/>
    <n v="971"/>
    <n v="67652958"/>
    <n v="847818"/>
    <s v="Small"/>
    <s v="Hybrid"/>
    <n v="1"/>
    <n v="4.8899999999999997"/>
    <n v="296078"/>
    <n v="1"/>
  </r>
  <r>
    <s v="Startup_149"/>
    <x v="2"/>
    <n v="2"/>
    <n v="39889973"/>
    <n v="4"/>
    <n v="10"/>
    <n v="119"/>
    <n v="18859950"/>
    <n v="260907"/>
    <s v="Large"/>
    <s v="Hybrid"/>
    <n v="4"/>
    <n v="90.81"/>
    <n v="825107"/>
    <n v="1"/>
  </r>
  <r>
    <s v="Startup_150"/>
    <x v="1"/>
    <n v="3"/>
    <n v="4417185"/>
    <n v="4"/>
    <n v="20"/>
    <n v="564"/>
    <n v="26132946"/>
    <n v="903002"/>
    <s v="Small"/>
    <s v="B2B"/>
    <n v="6"/>
    <n v="26.19"/>
    <n v="172733"/>
    <n v="1"/>
  </r>
  <r>
    <s v="Startup_151"/>
    <x v="2"/>
    <n v="7"/>
    <n v="9009297"/>
    <n v="2"/>
    <n v="20"/>
    <n v="269"/>
    <n v="40920793"/>
    <n v="102898"/>
    <s v="Large"/>
    <s v="Hybrid"/>
    <n v="3"/>
    <n v="27.79"/>
    <n v="993315"/>
    <n v="1"/>
  </r>
  <r>
    <s v="Startup_152"/>
    <x v="0"/>
    <n v="1"/>
    <n v="21430803"/>
    <n v="4"/>
    <n v="27"/>
    <n v="116"/>
    <n v="75581014"/>
    <n v="588720"/>
    <s v="Large"/>
    <s v="Hybrid"/>
    <n v="7"/>
    <n v="56.06"/>
    <n v="122462"/>
    <n v="1"/>
  </r>
  <r>
    <s v="Startup_153"/>
    <x v="1"/>
    <n v="10"/>
    <n v="6944355"/>
    <n v="1"/>
    <n v="20"/>
    <n v="142"/>
    <n v="57958125"/>
    <n v="954352"/>
    <s v="Large"/>
    <s v="B2B"/>
    <n v="1"/>
    <n v="68.930000000000007"/>
    <n v="786988"/>
    <n v="1"/>
  </r>
  <r>
    <s v="Startup_154"/>
    <x v="1"/>
    <n v="10"/>
    <n v="11982591"/>
    <n v="2"/>
    <n v="0"/>
    <n v="879"/>
    <n v="34292438"/>
    <n v="220697"/>
    <s v="Small"/>
    <s v="Hybrid"/>
    <n v="5"/>
    <n v="21.65"/>
    <n v="937773"/>
    <n v="1"/>
  </r>
  <r>
    <s v="Startup_155"/>
    <x v="6"/>
    <n v="13"/>
    <n v="27715205"/>
    <n v="4"/>
    <n v="0"/>
    <n v="656"/>
    <n v="98096022"/>
    <n v="77904"/>
    <s v="Medium"/>
    <s v="B2B"/>
    <n v="7"/>
    <n v="69.27"/>
    <n v="281403"/>
    <n v="1"/>
  </r>
  <r>
    <s v="Startup_156"/>
    <x v="1"/>
    <n v="11"/>
    <n v="8498271"/>
    <n v="2"/>
    <n v="6"/>
    <n v="219"/>
    <n v="73727453"/>
    <n v="632497"/>
    <s v="Large"/>
    <s v="B2C"/>
    <n v="3"/>
    <n v="93.62"/>
    <n v="514773"/>
    <n v="1"/>
  </r>
  <r>
    <s v="Startup_157"/>
    <x v="5"/>
    <n v="7"/>
    <n v="9779179"/>
    <n v="4"/>
    <n v="10"/>
    <n v="382"/>
    <n v="82146332"/>
    <n v="707356"/>
    <s v="Medium"/>
    <s v="Hybrid"/>
    <n v="5"/>
    <n v="53.96"/>
    <n v="929410"/>
    <n v="1"/>
  </r>
  <r>
    <s v="Startup_158"/>
    <x v="2"/>
    <n v="9"/>
    <n v="43737211"/>
    <n v="4"/>
    <n v="28"/>
    <n v="895"/>
    <n v="38173026"/>
    <n v="981007"/>
    <s v="Small"/>
    <s v="Hybrid"/>
    <n v="2"/>
    <n v="56.98"/>
    <n v="505056"/>
    <n v="1"/>
  </r>
  <r>
    <s v="Startup_159"/>
    <x v="1"/>
    <n v="10"/>
    <n v="3149655"/>
    <n v="2"/>
    <n v="6"/>
    <n v="972"/>
    <n v="48357108"/>
    <n v="913129"/>
    <s v="Small"/>
    <s v="Hybrid"/>
    <n v="1"/>
    <n v="60.63"/>
    <n v="556995"/>
    <n v="1"/>
  </r>
  <r>
    <s v="Startup_160"/>
    <x v="1"/>
    <n v="6"/>
    <n v="15548822"/>
    <n v="1"/>
    <n v="11"/>
    <n v="499"/>
    <n v="55009877"/>
    <n v="630936"/>
    <s v="Large"/>
    <s v="B2B"/>
    <n v="9"/>
    <n v="62.37"/>
    <n v="751481"/>
    <n v="1"/>
  </r>
  <r>
    <s v="Startup_161"/>
    <x v="1"/>
    <n v="5"/>
    <n v="40165236"/>
    <n v="2"/>
    <n v="25"/>
    <n v="254"/>
    <n v="87516916"/>
    <n v="447081"/>
    <s v="Medium"/>
    <s v="B2B"/>
    <n v="8"/>
    <n v="82.7"/>
    <n v="82144"/>
    <n v="1"/>
  </r>
  <r>
    <s v="Startup_162"/>
    <x v="3"/>
    <n v="10"/>
    <n v="13991016"/>
    <n v="4"/>
    <n v="11"/>
    <n v="937"/>
    <n v="9638491"/>
    <n v="652108"/>
    <s v="Large"/>
    <s v="B2C"/>
    <n v="6"/>
    <n v="78.260000000000005"/>
    <n v="524265"/>
    <n v="1"/>
  </r>
  <r>
    <s v="Startup_163"/>
    <x v="3"/>
    <n v="4"/>
    <n v="44045952"/>
    <n v="1"/>
    <n v="18"/>
    <n v="367"/>
    <n v="29286015"/>
    <n v="599982"/>
    <s v="Medium"/>
    <s v="Hybrid"/>
    <n v="2"/>
    <n v="20.54"/>
    <n v="900335"/>
    <n v="1"/>
  </r>
  <r>
    <s v="Startup_164"/>
    <x v="6"/>
    <n v="6"/>
    <n v="28874805"/>
    <n v="2"/>
    <n v="28"/>
    <n v="21"/>
    <n v="88210074"/>
    <n v="243253"/>
    <s v="Medium"/>
    <s v="Hybrid"/>
    <n v="9"/>
    <n v="58.9"/>
    <n v="691773"/>
    <n v="1"/>
  </r>
  <r>
    <s v="Startup_165"/>
    <x v="2"/>
    <n v="9"/>
    <n v="46798569"/>
    <n v="1"/>
    <n v="15"/>
    <n v="348"/>
    <n v="5105840"/>
    <n v="930246"/>
    <s v="Large"/>
    <s v="B2B"/>
    <n v="8"/>
    <n v="77.3"/>
    <n v="394527"/>
    <n v="1"/>
  </r>
  <r>
    <s v="Startup_166"/>
    <x v="1"/>
    <n v="11"/>
    <n v="35265044"/>
    <n v="1"/>
    <n v="24"/>
    <n v="233"/>
    <n v="71566978"/>
    <n v="983818"/>
    <s v="Medium"/>
    <s v="B2C"/>
    <n v="3"/>
    <n v="59.29"/>
    <n v="26890"/>
    <n v="1"/>
  </r>
  <r>
    <s v="Startup_167"/>
    <x v="1"/>
    <n v="1"/>
    <n v="22713576"/>
    <n v="1"/>
    <n v="29"/>
    <n v="996"/>
    <n v="5863701"/>
    <n v="405188"/>
    <s v="Medium"/>
    <s v="Hybrid"/>
    <n v="4"/>
    <n v="53.8"/>
    <n v="57754"/>
    <n v="1"/>
  </r>
  <r>
    <s v="Startup_168"/>
    <x v="2"/>
    <n v="0"/>
    <n v="46397483"/>
    <n v="2"/>
    <n v="7"/>
    <n v="843"/>
    <n v="86712314"/>
    <n v="334726"/>
    <s v="Medium"/>
    <s v="Hybrid"/>
    <n v="4"/>
    <n v="8.0399999999999991"/>
    <n v="892900"/>
    <n v="1"/>
  </r>
  <r>
    <s v="Startup_169"/>
    <x v="4"/>
    <n v="3"/>
    <n v="21552156"/>
    <n v="3"/>
    <n v="12"/>
    <n v="256"/>
    <n v="96379573"/>
    <n v="248488"/>
    <s v="Small"/>
    <s v="B2B"/>
    <n v="1"/>
    <n v="64.45"/>
    <n v="205591"/>
    <n v="1"/>
  </r>
  <r>
    <s v="Startup_170"/>
    <x v="0"/>
    <n v="5"/>
    <n v="19384868"/>
    <n v="4"/>
    <n v="29"/>
    <n v="95"/>
    <n v="59990024"/>
    <n v="817412"/>
    <s v="Small"/>
    <s v="B2B"/>
    <n v="2"/>
    <n v="93.88"/>
    <n v="327762"/>
    <n v="1"/>
  </r>
  <r>
    <s v="Startup_171"/>
    <x v="1"/>
    <n v="9"/>
    <n v="20723419"/>
    <n v="3"/>
    <n v="11"/>
    <n v="259"/>
    <n v="15103700"/>
    <n v="577604"/>
    <s v="Small"/>
    <s v="B2C"/>
    <n v="7"/>
    <n v="40.75"/>
    <n v="432995"/>
    <n v="1"/>
  </r>
  <r>
    <s v="Startup_172"/>
    <x v="2"/>
    <n v="14"/>
    <n v="38867725"/>
    <n v="3"/>
    <n v="11"/>
    <n v="476"/>
    <n v="58052397"/>
    <n v="403958"/>
    <s v="Large"/>
    <s v="B2B"/>
    <n v="2"/>
    <n v="20.36"/>
    <n v="358460"/>
    <n v="1"/>
  </r>
  <r>
    <s v="Startup_173"/>
    <x v="4"/>
    <n v="11"/>
    <n v="34181557"/>
    <n v="3"/>
    <n v="23"/>
    <n v="864"/>
    <n v="33322488"/>
    <n v="395775"/>
    <s v="Medium"/>
    <s v="B2B"/>
    <n v="7"/>
    <n v="68.31"/>
    <n v="687363"/>
    <n v="1"/>
  </r>
  <r>
    <s v="Startup_174"/>
    <x v="4"/>
    <n v="9"/>
    <n v="10965453"/>
    <n v="2"/>
    <n v="20"/>
    <n v="925"/>
    <n v="1552314"/>
    <n v="195673"/>
    <s v="Large"/>
    <s v="B2B"/>
    <n v="3"/>
    <n v="89.91"/>
    <n v="939153"/>
    <n v="1"/>
  </r>
  <r>
    <s v="Startup_175"/>
    <x v="6"/>
    <n v="7"/>
    <n v="19516110"/>
    <n v="2"/>
    <n v="24"/>
    <n v="447"/>
    <n v="10747578"/>
    <n v="499004"/>
    <s v="Medium"/>
    <s v="Hybrid"/>
    <n v="8"/>
    <n v="56.62"/>
    <n v="970023"/>
    <n v="1"/>
  </r>
  <r>
    <s v="Startup_176"/>
    <x v="2"/>
    <n v="14"/>
    <n v="44734632"/>
    <n v="1"/>
    <n v="28"/>
    <n v="124"/>
    <n v="2978339"/>
    <n v="524096"/>
    <s v="Small"/>
    <s v="Hybrid"/>
    <n v="4"/>
    <n v="7.28"/>
    <n v="584837"/>
    <n v="1"/>
  </r>
  <r>
    <s v="Startup_177"/>
    <x v="1"/>
    <n v="2"/>
    <n v="17090047"/>
    <n v="2"/>
    <n v="6"/>
    <n v="293"/>
    <n v="54139285"/>
    <n v="131167"/>
    <s v="Large"/>
    <s v="Hybrid"/>
    <n v="6"/>
    <n v="56.62"/>
    <n v="158831"/>
    <n v="1"/>
  </r>
  <r>
    <s v="Startup_178"/>
    <x v="3"/>
    <n v="13"/>
    <n v="43342092"/>
    <n v="3"/>
    <n v="19"/>
    <n v="439"/>
    <n v="34803973"/>
    <n v="973691"/>
    <s v="Small"/>
    <s v="B2C"/>
    <n v="2"/>
    <n v="17.86"/>
    <n v="951504"/>
    <n v="1"/>
  </r>
  <r>
    <s v="Startup_179"/>
    <x v="2"/>
    <n v="14"/>
    <n v="37695897"/>
    <n v="2"/>
    <n v="13"/>
    <n v="356"/>
    <n v="49948391"/>
    <n v="566644"/>
    <s v="Medium"/>
    <s v="B2C"/>
    <n v="3"/>
    <n v="23.04"/>
    <n v="868033"/>
    <n v="1"/>
  </r>
  <r>
    <s v="Startup_180"/>
    <x v="6"/>
    <n v="4"/>
    <n v="3983167"/>
    <n v="1"/>
    <n v="11"/>
    <n v="960"/>
    <n v="46224751"/>
    <n v="69518"/>
    <s v="Small"/>
    <s v="B2C"/>
    <n v="6"/>
    <n v="85.93"/>
    <n v="872738"/>
    <n v="1"/>
  </r>
  <r>
    <s v="Startup_181"/>
    <x v="3"/>
    <n v="2"/>
    <n v="14114252"/>
    <n v="3"/>
    <n v="20"/>
    <n v="853"/>
    <n v="33051093"/>
    <n v="127239"/>
    <s v="Large"/>
    <s v="B2C"/>
    <n v="3"/>
    <n v="45.71"/>
    <n v="960513"/>
    <n v="1"/>
  </r>
  <r>
    <s v="Startup_182"/>
    <x v="2"/>
    <n v="1"/>
    <n v="12667728"/>
    <n v="3"/>
    <n v="18"/>
    <n v="425"/>
    <n v="63605452"/>
    <n v="179936"/>
    <s v="Medium"/>
    <s v="B2B"/>
    <n v="7"/>
    <n v="82.7"/>
    <n v="530451"/>
    <n v="1"/>
  </r>
  <r>
    <s v="Startup_183"/>
    <x v="1"/>
    <n v="9"/>
    <n v="8173677"/>
    <n v="4"/>
    <n v="12"/>
    <n v="174"/>
    <n v="92761175"/>
    <n v="555048"/>
    <s v="Large"/>
    <s v="Hybrid"/>
    <n v="6"/>
    <n v="98.78"/>
    <n v="161376"/>
    <n v="1"/>
  </r>
  <r>
    <s v="Startup_184"/>
    <x v="5"/>
    <n v="9"/>
    <n v="31306721"/>
    <n v="4"/>
    <n v="29"/>
    <n v="954"/>
    <n v="41704492"/>
    <n v="280122"/>
    <s v="Medium"/>
    <s v="B2C"/>
    <n v="5"/>
    <n v="21.15"/>
    <n v="599554"/>
    <n v="1"/>
  </r>
  <r>
    <s v="Startup_185"/>
    <x v="2"/>
    <n v="14"/>
    <n v="24639927"/>
    <n v="4"/>
    <n v="29"/>
    <n v="992"/>
    <n v="73937999"/>
    <n v="900549"/>
    <s v="Large"/>
    <s v="B2C"/>
    <n v="4"/>
    <n v="68.569999999999993"/>
    <n v="438832"/>
    <n v="1"/>
  </r>
  <r>
    <s v="Startup_186"/>
    <x v="2"/>
    <n v="4"/>
    <n v="22277197"/>
    <n v="1"/>
    <n v="18"/>
    <n v="640"/>
    <n v="1405153"/>
    <n v="178738"/>
    <s v="Large"/>
    <s v="B2C"/>
    <n v="2"/>
    <n v="24.69"/>
    <n v="12148"/>
    <n v="1"/>
  </r>
  <r>
    <s v="Startup_187"/>
    <x v="6"/>
    <n v="7"/>
    <n v="46567175"/>
    <n v="3"/>
    <n v="5"/>
    <n v="157"/>
    <n v="82211719"/>
    <n v="907190"/>
    <s v="Large"/>
    <s v="B2B"/>
    <n v="7"/>
    <n v="96.16"/>
    <n v="277176"/>
    <n v="1"/>
  </r>
  <r>
    <s v="Startup_188"/>
    <x v="6"/>
    <n v="1"/>
    <n v="26267248"/>
    <n v="1"/>
    <n v="22"/>
    <n v="647"/>
    <n v="95769729"/>
    <n v="900961"/>
    <s v="Small"/>
    <s v="B2B"/>
    <n v="8"/>
    <n v="46.88"/>
    <n v="108079"/>
    <n v="1"/>
  </r>
  <r>
    <s v="Startup_189"/>
    <x v="1"/>
    <n v="10"/>
    <n v="33627366"/>
    <n v="4"/>
    <n v="14"/>
    <n v="780"/>
    <n v="60548371"/>
    <n v="406753"/>
    <s v="Medium"/>
    <s v="B2C"/>
    <n v="6"/>
    <n v="46.37"/>
    <n v="703308"/>
    <n v="1"/>
  </r>
  <r>
    <s v="Startup_190"/>
    <x v="5"/>
    <n v="2"/>
    <n v="45105602"/>
    <n v="4"/>
    <n v="17"/>
    <n v="830"/>
    <n v="14889863"/>
    <n v="136334"/>
    <s v="Small"/>
    <s v="Hybrid"/>
    <n v="4"/>
    <n v="99.68"/>
    <n v="92248"/>
    <n v="1"/>
  </r>
  <r>
    <s v="Startup_191"/>
    <x v="5"/>
    <n v="4"/>
    <n v="47389015"/>
    <n v="3"/>
    <n v="5"/>
    <n v="681"/>
    <n v="63045859"/>
    <n v="83035"/>
    <s v="Small"/>
    <s v="B2C"/>
    <n v="4"/>
    <n v="91.41"/>
    <n v="562357"/>
    <n v="1"/>
  </r>
  <r>
    <s v="Startup_192"/>
    <x v="1"/>
    <n v="9"/>
    <n v="36637291"/>
    <n v="2"/>
    <n v="10"/>
    <n v="11"/>
    <n v="58085014"/>
    <n v="478356"/>
    <s v="Large"/>
    <s v="B2B"/>
    <n v="1"/>
    <n v="40.78"/>
    <n v="355949"/>
    <n v="1"/>
  </r>
  <r>
    <s v="Startup_193"/>
    <x v="0"/>
    <n v="2"/>
    <n v="2151779"/>
    <n v="3"/>
    <n v="11"/>
    <n v="701"/>
    <n v="57287958"/>
    <n v="674545"/>
    <s v="Large"/>
    <s v="B2C"/>
    <n v="3"/>
    <n v="4.4400000000000004"/>
    <n v="997857"/>
    <n v="1"/>
  </r>
  <r>
    <s v="Startup_194"/>
    <x v="1"/>
    <n v="14"/>
    <n v="35564367"/>
    <n v="3"/>
    <n v="6"/>
    <n v="129"/>
    <n v="4186186"/>
    <n v="484091"/>
    <s v="Small"/>
    <s v="B2B"/>
    <n v="2"/>
    <n v="82.7"/>
    <n v="629025"/>
    <n v="1"/>
  </r>
  <r>
    <s v="Startup_195"/>
    <x v="6"/>
    <n v="5"/>
    <n v="33382463"/>
    <n v="2"/>
    <n v="27"/>
    <n v="363"/>
    <n v="94373017"/>
    <n v="899713"/>
    <s v="Medium"/>
    <s v="Hybrid"/>
    <n v="1"/>
    <n v="40.25"/>
    <n v="160111"/>
    <n v="1"/>
  </r>
  <r>
    <s v="Startup_196"/>
    <x v="0"/>
    <n v="11"/>
    <n v="29875660"/>
    <n v="2"/>
    <n v="27"/>
    <n v="967"/>
    <n v="59785675"/>
    <n v="867722"/>
    <s v="Large"/>
    <s v="Hybrid"/>
    <n v="3"/>
    <n v="6.71"/>
    <n v="865382"/>
    <n v="1"/>
  </r>
  <r>
    <s v="Startup_197"/>
    <x v="2"/>
    <n v="2"/>
    <n v="18991542"/>
    <n v="1"/>
    <n v="23"/>
    <n v="885"/>
    <n v="67618925"/>
    <n v="842497"/>
    <s v="Small"/>
    <s v="B2B"/>
    <n v="8"/>
    <n v="10.9"/>
    <n v="189214"/>
    <n v="1"/>
  </r>
  <r>
    <s v="Startup_198"/>
    <x v="5"/>
    <n v="5"/>
    <n v="30676453"/>
    <n v="3"/>
    <n v="19"/>
    <n v="725"/>
    <n v="60952591"/>
    <n v="307471"/>
    <s v="Large"/>
    <s v="B2C"/>
    <n v="4"/>
    <n v="53.39"/>
    <n v="27676"/>
    <n v="1"/>
  </r>
  <r>
    <s v="Startup_199"/>
    <x v="3"/>
    <n v="8"/>
    <n v="33565953"/>
    <n v="1"/>
    <n v="1"/>
    <n v="927"/>
    <n v="121464"/>
    <n v="23993"/>
    <s v="Medium"/>
    <s v="Hybrid"/>
    <n v="4"/>
    <n v="51.03"/>
    <n v="830208"/>
    <n v="1"/>
  </r>
  <r>
    <s v="Startup_200"/>
    <x v="1"/>
    <n v="4"/>
    <n v="46973089"/>
    <n v="2"/>
    <n v="18"/>
    <n v="9"/>
    <n v="88946759"/>
    <n v="777187"/>
    <s v="Large"/>
    <s v="B2B"/>
    <n v="8"/>
    <n v="65.569999999999993"/>
    <n v="393788"/>
    <n v="1"/>
  </r>
  <r>
    <s v="Startup_201"/>
    <x v="2"/>
    <n v="14"/>
    <n v="13650778"/>
    <n v="1"/>
    <n v="26"/>
    <n v="722"/>
    <n v="26903312"/>
    <n v="182154"/>
    <s v="Large"/>
    <s v="B2B"/>
    <n v="3"/>
    <n v="55"/>
    <n v="405998"/>
    <n v="1"/>
  </r>
  <r>
    <s v="Startup_202"/>
    <x v="1"/>
    <n v="14"/>
    <n v="698867"/>
    <n v="4"/>
    <n v="26"/>
    <n v="983"/>
    <n v="65596624"/>
    <n v="793587"/>
    <s v="Medium"/>
    <s v="Hybrid"/>
    <n v="7"/>
    <n v="30.14"/>
    <n v="189578"/>
    <n v="1"/>
  </r>
  <r>
    <s v="Startup_203"/>
    <x v="2"/>
    <n v="14"/>
    <n v="27462605"/>
    <n v="3"/>
    <n v="24"/>
    <n v="633"/>
    <n v="66410258"/>
    <n v="699380"/>
    <s v="Medium"/>
    <s v="B2B"/>
    <n v="6"/>
    <n v="90.9"/>
    <n v="768814"/>
    <n v="1"/>
  </r>
  <r>
    <s v="Startup_204"/>
    <x v="3"/>
    <n v="11"/>
    <n v="4857625"/>
    <n v="1"/>
    <n v="13"/>
    <n v="967"/>
    <n v="75080855"/>
    <n v="638894"/>
    <s v="Small"/>
    <s v="B2B"/>
    <n v="6"/>
    <n v="52.66"/>
    <n v="555635"/>
    <n v="1"/>
  </r>
  <r>
    <s v="Startup_205"/>
    <x v="2"/>
    <n v="3"/>
    <n v="9823010"/>
    <n v="2"/>
    <n v="26"/>
    <n v="711"/>
    <n v="27841925"/>
    <n v="370863"/>
    <s v="Small"/>
    <s v="B2B"/>
    <n v="1"/>
    <n v="33.08"/>
    <n v="825836"/>
    <n v="1"/>
  </r>
  <r>
    <s v="Startup_206"/>
    <x v="1"/>
    <n v="6"/>
    <n v="20655267"/>
    <n v="3"/>
    <n v="19"/>
    <n v="372"/>
    <n v="18749552"/>
    <n v="431973"/>
    <s v="Large"/>
    <s v="B2B"/>
    <n v="4"/>
    <n v="47.57"/>
    <n v="499653"/>
    <n v="1"/>
  </r>
  <r>
    <s v="Startup_207"/>
    <x v="2"/>
    <n v="11"/>
    <n v="8076745"/>
    <n v="3"/>
    <n v="14"/>
    <n v="227"/>
    <n v="47812494"/>
    <n v="272239"/>
    <s v="Medium"/>
    <s v="B2C"/>
    <n v="6"/>
    <n v="99.5"/>
    <n v="657928"/>
    <n v="1"/>
  </r>
  <r>
    <s v="Startup_208"/>
    <x v="1"/>
    <n v="5"/>
    <n v="48914606"/>
    <n v="2"/>
    <n v="16"/>
    <n v="997"/>
    <n v="60549013"/>
    <n v="935044"/>
    <s v="Large"/>
    <s v="Hybrid"/>
    <n v="7"/>
    <n v="45.51"/>
    <n v="34340"/>
    <n v="1"/>
  </r>
  <r>
    <s v="Startup_209"/>
    <x v="1"/>
    <n v="0"/>
    <n v="34757853"/>
    <n v="1"/>
    <n v="2"/>
    <n v="585"/>
    <n v="25113085"/>
    <n v="801305"/>
    <s v="Medium"/>
    <s v="Hybrid"/>
    <n v="1"/>
    <n v="13.6"/>
    <n v="418616"/>
    <n v="1"/>
  </r>
  <r>
    <s v="Startup_210"/>
    <x v="4"/>
    <n v="0"/>
    <n v="41274352"/>
    <n v="4"/>
    <n v="16"/>
    <n v="45"/>
    <n v="99031696"/>
    <n v="357675"/>
    <s v="Large"/>
    <s v="B2B"/>
    <n v="8"/>
    <n v="11.41"/>
    <n v="931981"/>
    <n v="1"/>
  </r>
  <r>
    <s v="Startup_211"/>
    <x v="6"/>
    <n v="14"/>
    <n v="21198100"/>
    <n v="4"/>
    <n v="13"/>
    <n v="454"/>
    <n v="84272800"/>
    <n v="394630"/>
    <s v="Small"/>
    <s v="Hybrid"/>
    <n v="4"/>
    <n v="69.19"/>
    <n v="747188"/>
    <n v="1"/>
  </r>
  <r>
    <s v="Startup_212"/>
    <x v="4"/>
    <n v="9"/>
    <n v="49049614"/>
    <n v="1"/>
    <n v="5"/>
    <n v="869"/>
    <n v="27966023"/>
    <n v="958001"/>
    <s v="Large"/>
    <s v="B2B"/>
    <n v="8"/>
    <n v="26.11"/>
    <n v="610152"/>
    <n v="1"/>
  </r>
  <r>
    <s v="Startup_213"/>
    <x v="0"/>
    <n v="1"/>
    <n v="31998840"/>
    <n v="4"/>
    <n v="12"/>
    <n v="118"/>
    <n v="66481804"/>
    <n v="415935"/>
    <s v="Large"/>
    <s v="Hybrid"/>
    <n v="9"/>
    <n v="34.65"/>
    <n v="123458"/>
    <n v="1"/>
  </r>
  <r>
    <s v="Startup_214"/>
    <x v="2"/>
    <n v="10"/>
    <n v="33552639"/>
    <n v="4"/>
    <n v="14"/>
    <n v="634"/>
    <n v="6946619"/>
    <n v="922722"/>
    <s v="Medium"/>
    <s v="Hybrid"/>
    <n v="7"/>
    <n v="97.94"/>
    <n v="198163"/>
    <n v="1"/>
  </r>
  <r>
    <s v="Startup_215"/>
    <x v="4"/>
    <n v="0"/>
    <n v="27465103"/>
    <n v="4"/>
    <n v="26"/>
    <n v="296"/>
    <n v="7254930"/>
    <n v="905591"/>
    <s v="Medium"/>
    <s v="B2C"/>
    <n v="8"/>
    <n v="68.69"/>
    <n v="75686"/>
    <n v="1"/>
  </r>
  <r>
    <s v="Startup_216"/>
    <x v="5"/>
    <n v="1"/>
    <n v="41883199"/>
    <n v="2"/>
    <n v="27"/>
    <n v="251"/>
    <n v="5585792"/>
    <n v="242300"/>
    <s v="Large"/>
    <s v="Hybrid"/>
    <n v="2"/>
    <n v="35.82"/>
    <n v="848041"/>
    <n v="1"/>
  </r>
  <r>
    <s v="Startup_217"/>
    <x v="1"/>
    <n v="7"/>
    <n v="24138094"/>
    <n v="1"/>
    <n v="21"/>
    <n v="34"/>
    <n v="21159969"/>
    <n v="334361"/>
    <s v="Medium"/>
    <s v="B2B"/>
    <n v="1"/>
    <n v="1.92"/>
    <n v="832012"/>
    <n v="1"/>
  </r>
  <r>
    <s v="Startup_218"/>
    <x v="2"/>
    <n v="9"/>
    <n v="12752963"/>
    <n v="2"/>
    <n v="3"/>
    <n v="320"/>
    <n v="55503088"/>
    <n v="758379"/>
    <s v="Medium"/>
    <s v="B2B"/>
    <n v="1"/>
    <n v="1.1599999999999999"/>
    <n v="94805"/>
    <n v="1"/>
  </r>
  <r>
    <s v="Startup_219"/>
    <x v="2"/>
    <n v="12"/>
    <n v="39084866"/>
    <n v="2"/>
    <n v="13"/>
    <n v="574"/>
    <n v="37822990"/>
    <n v="713717"/>
    <s v="Medium"/>
    <s v="Hybrid"/>
    <n v="2"/>
    <n v="25.98"/>
    <n v="505920"/>
    <n v="1"/>
  </r>
  <r>
    <s v="Startup_220"/>
    <x v="0"/>
    <n v="5"/>
    <n v="17416652"/>
    <n v="3"/>
    <n v="22"/>
    <n v="920"/>
    <n v="61964621"/>
    <n v="394251"/>
    <s v="Small"/>
    <s v="Hybrid"/>
    <n v="1"/>
    <n v="59.44"/>
    <n v="397418"/>
    <n v="1"/>
  </r>
  <r>
    <s v="Startup_221"/>
    <x v="3"/>
    <n v="2"/>
    <n v="46011770"/>
    <n v="2"/>
    <n v="23"/>
    <n v="83"/>
    <n v="67700769"/>
    <n v="612323"/>
    <s v="Large"/>
    <s v="B2C"/>
    <n v="5"/>
    <n v="9.56"/>
    <n v="232467"/>
    <n v="1"/>
  </r>
  <r>
    <s v="Startup_222"/>
    <x v="0"/>
    <n v="0"/>
    <n v="28500107"/>
    <n v="3"/>
    <n v="14"/>
    <n v="650"/>
    <n v="24612061"/>
    <n v="778205"/>
    <s v="Large"/>
    <s v="Hybrid"/>
    <n v="8"/>
    <n v="10.119999999999999"/>
    <n v="17599"/>
    <n v="1"/>
  </r>
  <r>
    <s v="Startup_223"/>
    <x v="6"/>
    <n v="5"/>
    <n v="48957620"/>
    <n v="4"/>
    <n v="25"/>
    <n v="788"/>
    <n v="95520526"/>
    <n v="419494"/>
    <s v="Small"/>
    <s v="Hybrid"/>
    <n v="3"/>
    <n v="0.83"/>
    <n v="241067"/>
    <n v="1"/>
  </r>
  <r>
    <s v="Startup_224"/>
    <x v="5"/>
    <n v="14"/>
    <n v="30428965"/>
    <n v="4"/>
    <n v="17"/>
    <n v="951"/>
    <n v="66900954"/>
    <n v="225409"/>
    <s v="Large"/>
    <s v="Hybrid"/>
    <n v="9"/>
    <n v="53.83"/>
    <n v="508463"/>
    <n v="1"/>
  </r>
  <r>
    <s v="Startup_225"/>
    <x v="1"/>
    <n v="6"/>
    <n v="26005379"/>
    <n v="3"/>
    <n v="4"/>
    <n v="983"/>
    <n v="40981559"/>
    <n v="527888"/>
    <s v="Small"/>
    <s v="Hybrid"/>
    <n v="9"/>
    <n v="80.3"/>
    <n v="25298"/>
    <n v="1"/>
  </r>
  <r>
    <s v="Startup_226"/>
    <x v="3"/>
    <n v="0"/>
    <n v="38524061"/>
    <n v="4"/>
    <n v="14"/>
    <n v="644"/>
    <n v="52167897"/>
    <n v="578522"/>
    <s v="Large"/>
    <s v="Hybrid"/>
    <n v="4"/>
    <n v="45.19"/>
    <n v="827026"/>
    <n v="1"/>
  </r>
  <r>
    <s v="Startup_227"/>
    <x v="0"/>
    <n v="10"/>
    <n v="10810487"/>
    <n v="4"/>
    <n v="1"/>
    <n v="397"/>
    <n v="65388259"/>
    <n v="275523"/>
    <s v="Small"/>
    <s v="Hybrid"/>
    <n v="9"/>
    <n v="19.850000000000001"/>
    <n v="445731"/>
    <n v="1"/>
  </r>
  <r>
    <s v="Startup_228"/>
    <x v="2"/>
    <n v="4"/>
    <n v="26942692"/>
    <n v="2"/>
    <n v="28"/>
    <n v="244"/>
    <n v="96446864"/>
    <n v="792237"/>
    <s v="Small"/>
    <s v="B2B"/>
    <n v="3"/>
    <n v="30.41"/>
    <n v="479297"/>
    <n v="1"/>
  </r>
  <r>
    <s v="Startup_229"/>
    <x v="4"/>
    <n v="2"/>
    <n v="34281051"/>
    <n v="4"/>
    <n v="28"/>
    <n v="475"/>
    <n v="14719306"/>
    <n v="919088"/>
    <s v="Small"/>
    <s v="Hybrid"/>
    <n v="6"/>
    <n v="33.54"/>
    <n v="611250"/>
    <n v="1"/>
  </r>
  <r>
    <s v="Startup_230"/>
    <x v="0"/>
    <n v="14"/>
    <n v="49385172"/>
    <n v="1"/>
    <n v="28"/>
    <n v="306"/>
    <n v="96239264"/>
    <n v="450482"/>
    <s v="Large"/>
    <s v="B2B"/>
    <n v="8"/>
    <n v="28.96"/>
    <n v="92215"/>
    <n v="1"/>
  </r>
  <r>
    <s v="Startup_231"/>
    <x v="1"/>
    <n v="13"/>
    <n v="11005271"/>
    <n v="1"/>
    <n v="5"/>
    <n v="995"/>
    <n v="25664947"/>
    <n v="889823"/>
    <s v="Medium"/>
    <s v="Hybrid"/>
    <n v="3"/>
    <n v="93.04"/>
    <n v="711594"/>
    <n v="1"/>
  </r>
  <r>
    <s v="Startup_232"/>
    <x v="4"/>
    <n v="11"/>
    <n v="2330274"/>
    <n v="3"/>
    <n v="24"/>
    <n v="499"/>
    <n v="29791346"/>
    <n v="349078"/>
    <s v="Small"/>
    <s v="Hybrid"/>
    <n v="2"/>
    <n v="26.91"/>
    <n v="972595"/>
    <n v="1"/>
  </r>
  <r>
    <s v="Startup_233"/>
    <x v="4"/>
    <n v="11"/>
    <n v="11801254"/>
    <n v="2"/>
    <n v="19"/>
    <n v="671"/>
    <n v="55499048"/>
    <n v="293264"/>
    <s v="Medium"/>
    <s v="B2C"/>
    <n v="9"/>
    <n v="49.58"/>
    <n v="688917"/>
    <n v="1"/>
  </r>
  <r>
    <s v="Startup_234"/>
    <x v="4"/>
    <n v="13"/>
    <n v="4395831"/>
    <n v="2"/>
    <n v="19"/>
    <n v="924"/>
    <n v="21415602"/>
    <n v="157762"/>
    <s v="Small"/>
    <s v="B2C"/>
    <n v="4"/>
    <n v="79"/>
    <n v="794901"/>
    <n v="1"/>
  </r>
  <r>
    <s v="Startup_235"/>
    <x v="2"/>
    <n v="8"/>
    <n v="19643207"/>
    <n v="4"/>
    <n v="1"/>
    <n v="461"/>
    <n v="83609872"/>
    <n v="93594"/>
    <s v="Small"/>
    <s v="Hybrid"/>
    <n v="5"/>
    <n v="77.010000000000005"/>
    <n v="635536"/>
    <n v="1"/>
  </r>
  <r>
    <s v="Startup_236"/>
    <x v="2"/>
    <n v="0"/>
    <n v="35792765"/>
    <n v="3"/>
    <n v="10"/>
    <n v="206"/>
    <n v="90005638"/>
    <n v="874054"/>
    <s v="Medium"/>
    <s v="B2B"/>
    <n v="2"/>
    <n v="55.36"/>
    <n v="660898"/>
    <n v="1"/>
  </r>
  <r>
    <s v="Startup_237"/>
    <x v="6"/>
    <n v="10"/>
    <n v="24320397"/>
    <n v="1"/>
    <n v="10"/>
    <n v="739"/>
    <n v="7585921"/>
    <n v="818098"/>
    <s v="Small"/>
    <s v="B2B"/>
    <n v="6"/>
    <n v="43.86"/>
    <n v="746387"/>
    <n v="1"/>
  </r>
  <r>
    <s v="Startup_238"/>
    <x v="6"/>
    <n v="5"/>
    <n v="3681714"/>
    <n v="3"/>
    <n v="26"/>
    <n v="910"/>
    <n v="44467017"/>
    <n v="758267"/>
    <s v="Large"/>
    <s v="Hybrid"/>
    <n v="6"/>
    <n v="79"/>
    <n v="726711"/>
    <n v="1"/>
  </r>
  <r>
    <s v="Startup_239"/>
    <x v="2"/>
    <n v="11"/>
    <n v="39654760"/>
    <n v="2"/>
    <n v="4"/>
    <n v="661"/>
    <n v="75681810"/>
    <n v="850959"/>
    <s v="Medium"/>
    <s v="B2C"/>
    <n v="2"/>
    <n v="88.87"/>
    <n v="62030"/>
    <n v="1"/>
  </r>
  <r>
    <s v="Startup_240"/>
    <x v="2"/>
    <n v="7"/>
    <n v="42284697"/>
    <n v="2"/>
    <n v="17"/>
    <n v="105"/>
    <n v="36242854"/>
    <n v="164150"/>
    <s v="Medium"/>
    <s v="Hybrid"/>
    <n v="7"/>
    <n v="93.76"/>
    <n v="562439"/>
    <n v="1"/>
  </r>
  <r>
    <s v="Startup_241"/>
    <x v="6"/>
    <n v="1"/>
    <n v="48138061"/>
    <n v="2"/>
    <n v="17"/>
    <n v="942"/>
    <n v="83409201"/>
    <n v="787488"/>
    <s v="Large"/>
    <s v="B2B"/>
    <n v="3"/>
    <n v="16.260000000000002"/>
    <n v="643886"/>
    <n v="1"/>
  </r>
  <r>
    <s v="Startup_242"/>
    <x v="6"/>
    <n v="6"/>
    <n v="9546504"/>
    <n v="1"/>
    <n v="1"/>
    <n v="10"/>
    <n v="36362179"/>
    <n v="612271"/>
    <s v="Large"/>
    <s v="B2B"/>
    <n v="1"/>
    <n v="60.77"/>
    <n v="371547"/>
    <n v="1"/>
  </r>
  <r>
    <s v="Startup_243"/>
    <x v="5"/>
    <n v="8"/>
    <n v="42483790"/>
    <n v="1"/>
    <n v="5"/>
    <n v="747"/>
    <n v="29016965"/>
    <n v="460756"/>
    <s v="Small"/>
    <s v="B2C"/>
    <n v="4"/>
    <n v="57.52"/>
    <n v="179795"/>
    <n v="1"/>
  </r>
  <r>
    <s v="Startup_244"/>
    <x v="3"/>
    <n v="0"/>
    <n v="32037141"/>
    <n v="3"/>
    <n v="23"/>
    <n v="969"/>
    <n v="18263048"/>
    <n v="931008"/>
    <s v="Large"/>
    <s v="B2C"/>
    <n v="8"/>
    <n v="4.3"/>
    <n v="941901"/>
    <n v="1"/>
  </r>
  <r>
    <s v="Startup_245"/>
    <x v="1"/>
    <n v="10"/>
    <n v="1202899"/>
    <n v="4"/>
    <n v="20"/>
    <n v="715"/>
    <n v="54065514"/>
    <n v="737805"/>
    <s v="Large"/>
    <s v="B2B"/>
    <n v="3"/>
    <n v="17.82"/>
    <n v="24484"/>
    <n v="1"/>
  </r>
  <r>
    <s v="Startup_246"/>
    <x v="2"/>
    <n v="0"/>
    <n v="36022415"/>
    <n v="3"/>
    <n v="14"/>
    <n v="485"/>
    <n v="69702034"/>
    <n v="692048"/>
    <s v="Medium"/>
    <s v="Hybrid"/>
    <n v="4"/>
    <n v="69.62"/>
    <n v="285769"/>
    <n v="1"/>
  </r>
  <r>
    <s v="Startup_247"/>
    <x v="1"/>
    <n v="4"/>
    <n v="37756863"/>
    <n v="4"/>
    <n v="21"/>
    <n v="111"/>
    <n v="27423037"/>
    <n v="147000"/>
    <s v="Small"/>
    <s v="Hybrid"/>
    <n v="5"/>
    <n v="14.38"/>
    <n v="977608"/>
    <n v="1"/>
  </r>
  <r>
    <s v="Startup_248"/>
    <x v="5"/>
    <n v="7"/>
    <n v="37326792"/>
    <n v="2"/>
    <n v="8"/>
    <n v="626"/>
    <n v="89169176"/>
    <n v="808307"/>
    <s v="Medium"/>
    <s v="Hybrid"/>
    <n v="5"/>
    <n v="27.96"/>
    <n v="724172"/>
    <n v="1"/>
  </r>
  <r>
    <s v="Startup_249"/>
    <x v="6"/>
    <n v="7"/>
    <n v="7929108"/>
    <n v="3"/>
    <n v="5"/>
    <n v="268"/>
    <n v="90118173"/>
    <n v="603678"/>
    <s v="Large"/>
    <s v="Hybrid"/>
    <n v="5"/>
    <n v="88.44"/>
    <n v="835847"/>
    <n v="1"/>
  </r>
  <r>
    <s v="Startup_250"/>
    <x v="5"/>
    <n v="1"/>
    <n v="46364043"/>
    <n v="2"/>
    <n v="15"/>
    <n v="98"/>
    <n v="88335059"/>
    <n v="620815"/>
    <s v="Medium"/>
    <s v="Hybrid"/>
    <n v="2"/>
    <n v="41.41"/>
    <n v="383280"/>
    <n v="1"/>
  </r>
  <r>
    <s v="Startup_251"/>
    <x v="6"/>
    <n v="12"/>
    <n v="47143041"/>
    <n v="4"/>
    <n v="6"/>
    <n v="665"/>
    <n v="11263313"/>
    <n v="36576"/>
    <s v="Small"/>
    <s v="Hybrid"/>
    <n v="7"/>
    <n v="11.48"/>
    <n v="782205"/>
    <n v="1"/>
  </r>
  <r>
    <s v="Startup_252"/>
    <x v="4"/>
    <n v="3"/>
    <n v="45940958"/>
    <n v="1"/>
    <n v="3"/>
    <n v="856"/>
    <n v="27973647"/>
    <n v="160774"/>
    <s v="Large"/>
    <s v="Hybrid"/>
    <n v="9"/>
    <n v="22.24"/>
    <n v="435519"/>
    <n v="1"/>
  </r>
  <r>
    <s v="Startup_253"/>
    <x v="6"/>
    <n v="5"/>
    <n v="32396868"/>
    <n v="1"/>
    <n v="15"/>
    <n v="853"/>
    <n v="54380646"/>
    <n v="664919"/>
    <s v="Medium"/>
    <s v="B2C"/>
    <n v="4"/>
    <n v="57.17"/>
    <n v="783487"/>
    <n v="1"/>
  </r>
  <r>
    <s v="Startup_254"/>
    <x v="4"/>
    <n v="10"/>
    <n v="27648196"/>
    <n v="1"/>
    <n v="13"/>
    <n v="384"/>
    <n v="9326710"/>
    <n v="285436"/>
    <s v="Large"/>
    <s v="Hybrid"/>
    <n v="4"/>
    <n v="0.53"/>
    <n v="787459"/>
    <n v="1"/>
  </r>
  <r>
    <s v="Startup_255"/>
    <x v="2"/>
    <n v="8"/>
    <n v="17515832"/>
    <n v="2"/>
    <n v="17"/>
    <n v="843"/>
    <n v="39961649"/>
    <n v="440364"/>
    <s v="Large"/>
    <s v="B2B"/>
    <n v="2"/>
    <n v="69.27"/>
    <n v="115145"/>
    <n v="1"/>
  </r>
  <r>
    <s v="Startup_256"/>
    <x v="3"/>
    <n v="6"/>
    <n v="10421945"/>
    <n v="3"/>
    <n v="25"/>
    <n v="946"/>
    <n v="84699134"/>
    <n v="161163"/>
    <s v="Small"/>
    <s v="B2B"/>
    <n v="3"/>
    <n v="65.150000000000006"/>
    <n v="110785"/>
    <n v="1"/>
  </r>
  <r>
    <s v="Startup_257"/>
    <x v="4"/>
    <n v="10"/>
    <n v="28428034"/>
    <n v="4"/>
    <n v="2"/>
    <n v="223"/>
    <n v="44050476"/>
    <n v="41078"/>
    <s v="Large"/>
    <s v="B2B"/>
    <n v="3"/>
    <n v="52.41"/>
    <n v="45393"/>
    <n v="1"/>
  </r>
  <r>
    <s v="Startup_258"/>
    <x v="3"/>
    <n v="3"/>
    <n v="11955086"/>
    <n v="1"/>
    <n v="15"/>
    <n v="488"/>
    <n v="37627227"/>
    <n v="830274"/>
    <s v="Large"/>
    <s v="B2C"/>
    <n v="6"/>
    <n v="53.27"/>
    <n v="733411"/>
    <n v="1"/>
  </r>
  <r>
    <s v="Startup_259"/>
    <x v="3"/>
    <n v="9"/>
    <n v="2249268"/>
    <n v="2"/>
    <n v="20"/>
    <n v="151"/>
    <n v="18647852"/>
    <n v="127420"/>
    <s v="Medium"/>
    <s v="B2B"/>
    <n v="9"/>
    <n v="87.2"/>
    <n v="170888"/>
    <n v="1"/>
  </r>
  <r>
    <s v="Startup_260"/>
    <x v="4"/>
    <n v="10"/>
    <n v="22599420"/>
    <n v="3"/>
    <n v="12"/>
    <n v="83"/>
    <n v="22043619"/>
    <n v="803275"/>
    <s v="Large"/>
    <s v="Hybrid"/>
    <n v="2"/>
    <n v="75.040000000000006"/>
    <n v="453989"/>
    <n v="1"/>
  </r>
  <r>
    <s v="Startup_261"/>
    <x v="5"/>
    <n v="6"/>
    <n v="36093965"/>
    <n v="1"/>
    <n v="24"/>
    <n v="612"/>
    <n v="69571542"/>
    <n v="502733"/>
    <s v="Medium"/>
    <s v="Hybrid"/>
    <n v="4"/>
    <n v="26.08"/>
    <n v="141383"/>
    <n v="1"/>
  </r>
  <r>
    <s v="Startup_262"/>
    <x v="0"/>
    <n v="8"/>
    <n v="49511090"/>
    <n v="3"/>
    <n v="26"/>
    <n v="61"/>
    <n v="50083150"/>
    <n v="888083"/>
    <s v="Medium"/>
    <s v="B2C"/>
    <n v="8"/>
    <n v="89.95"/>
    <n v="937824"/>
    <n v="1"/>
  </r>
  <r>
    <s v="Startup_263"/>
    <x v="3"/>
    <n v="4"/>
    <n v="43108157"/>
    <n v="1"/>
    <n v="5"/>
    <n v="889"/>
    <n v="25634748"/>
    <n v="569297"/>
    <s v="Medium"/>
    <s v="B2B"/>
    <n v="6"/>
    <n v="38.46"/>
    <n v="394072"/>
    <n v="1"/>
  </r>
  <r>
    <s v="Startup_264"/>
    <x v="4"/>
    <n v="2"/>
    <n v="10890089"/>
    <n v="1"/>
    <n v="13"/>
    <n v="979"/>
    <n v="24954270"/>
    <n v="77616"/>
    <s v="Medium"/>
    <s v="Hybrid"/>
    <n v="4"/>
    <n v="39.119999999999997"/>
    <n v="121849"/>
    <n v="1"/>
  </r>
  <r>
    <s v="Startup_265"/>
    <x v="2"/>
    <n v="11"/>
    <n v="20898797"/>
    <n v="2"/>
    <n v="27"/>
    <n v="749"/>
    <n v="49420583"/>
    <n v="723428"/>
    <s v="Small"/>
    <s v="B2C"/>
    <n v="2"/>
    <n v="47.85"/>
    <n v="56118"/>
    <n v="1"/>
  </r>
  <r>
    <s v="Startup_266"/>
    <x v="5"/>
    <n v="14"/>
    <n v="29692987"/>
    <n v="1"/>
    <n v="6"/>
    <n v="263"/>
    <n v="82223994"/>
    <n v="610537"/>
    <s v="Large"/>
    <s v="B2C"/>
    <n v="7"/>
    <n v="62.58"/>
    <n v="935340"/>
    <n v="1"/>
  </r>
  <r>
    <s v="Startup_267"/>
    <x v="6"/>
    <n v="0"/>
    <n v="43350220"/>
    <n v="4"/>
    <n v="21"/>
    <n v="305"/>
    <n v="52400114"/>
    <n v="246806"/>
    <s v="Large"/>
    <s v="B2C"/>
    <n v="4"/>
    <n v="7.93"/>
    <n v="147846"/>
    <n v="1"/>
  </r>
  <r>
    <s v="Startup_268"/>
    <x v="3"/>
    <n v="12"/>
    <n v="1557115"/>
    <n v="3"/>
    <n v="28"/>
    <n v="301"/>
    <n v="15251144"/>
    <n v="739670"/>
    <s v="Large"/>
    <s v="B2C"/>
    <n v="8"/>
    <n v="51.92"/>
    <n v="99381"/>
    <n v="1"/>
  </r>
  <r>
    <s v="Startup_269"/>
    <x v="2"/>
    <n v="4"/>
    <n v="10488410"/>
    <n v="3"/>
    <n v="4"/>
    <n v="534"/>
    <n v="73802518"/>
    <n v="186053"/>
    <s v="Small"/>
    <s v="B2B"/>
    <n v="6"/>
    <n v="21.88"/>
    <n v="433561"/>
    <n v="1"/>
  </r>
  <r>
    <s v="Startup_270"/>
    <x v="1"/>
    <n v="11"/>
    <n v="41018318"/>
    <n v="4"/>
    <n v="18"/>
    <n v="794"/>
    <n v="11710727"/>
    <n v="363545"/>
    <s v="Small"/>
    <s v="B2C"/>
    <n v="9"/>
    <n v="37.450000000000003"/>
    <n v="576748"/>
    <n v="1"/>
  </r>
  <r>
    <s v="Startup_271"/>
    <x v="0"/>
    <n v="5"/>
    <n v="38986839"/>
    <n v="1"/>
    <n v="21"/>
    <n v="203"/>
    <n v="79681209"/>
    <n v="936602"/>
    <s v="Large"/>
    <s v="B2B"/>
    <n v="7"/>
    <n v="78.239999999999995"/>
    <n v="94021"/>
    <n v="1"/>
  </r>
  <r>
    <s v="Startup_272"/>
    <x v="0"/>
    <n v="2"/>
    <n v="28572577"/>
    <n v="1"/>
    <n v="24"/>
    <n v="361"/>
    <n v="99265058"/>
    <n v="109007"/>
    <s v="Small"/>
    <s v="B2C"/>
    <n v="9"/>
    <n v="18.88"/>
    <n v="424815"/>
    <n v="1"/>
  </r>
  <r>
    <s v="Startup_273"/>
    <x v="2"/>
    <n v="7"/>
    <n v="24496222"/>
    <n v="1"/>
    <n v="3"/>
    <n v="885"/>
    <n v="51148878"/>
    <n v="45619"/>
    <s v="Medium"/>
    <s v="B2C"/>
    <n v="4"/>
    <n v="76.459999999999994"/>
    <n v="724427"/>
    <n v="1"/>
  </r>
  <r>
    <s v="Startup_274"/>
    <x v="6"/>
    <n v="7"/>
    <n v="20705803"/>
    <n v="1"/>
    <n v="8"/>
    <n v="913"/>
    <n v="98701691"/>
    <n v="352205"/>
    <s v="Medium"/>
    <s v="B2B"/>
    <n v="1"/>
    <n v="59.42"/>
    <n v="362954"/>
    <n v="1"/>
  </r>
  <r>
    <s v="Startup_275"/>
    <x v="0"/>
    <n v="0"/>
    <n v="5250303"/>
    <n v="4"/>
    <n v="11"/>
    <n v="688"/>
    <n v="87254029"/>
    <n v="976937"/>
    <s v="Large"/>
    <s v="Hybrid"/>
    <n v="5"/>
    <n v="46.48"/>
    <n v="744039"/>
    <n v="1"/>
  </r>
  <r>
    <s v="Startup_276"/>
    <x v="1"/>
    <n v="1"/>
    <n v="22878206"/>
    <n v="2"/>
    <n v="13"/>
    <n v="756"/>
    <n v="50783509"/>
    <n v="921881"/>
    <s v="Medium"/>
    <s v="Hybrid"/>
    <n v="6"/>
    <n v="46.88"/>
    <n v="60913"/>
    <n v="1"/>
  </r>
  <r>
    <s v="Startup_277"/>
    <x v="4"/>
    <n v="3"/>
    <n v="41951430"/>
    <n v="2"/>
    <n v="1"/>
    <n v="722"/>
    <n v="64173610"/>
    <n v="714558"/>
    <s v="Large"/>
    <s v="B2B"/>
    <n v="1"/>
    <n v="40.07"/>
    <n v="647595"/>
    <n v="1"/>
  </r>
  <r>
    <s v="Startup_278"/>
    <x v="3"/>
    <n v="1"/>
    <n v="9362528"/>
    <n v="1"/>
    <n v="8"/>
    <n v="666"/>
    <n v="76511048"/>
    <n v="194631"/>
    <s v="Medium"/>
    <s v="Hybrid"/>
    <n v="9"/>
    <n v="47.43"/>
    <n v="302597"/>
    <n v="1"/>
  </r>
  <r>
    <s v="Startup_279"/>
    <x v="2"/>
    <n v="6"/>
    <n v="17297456"/>
    <n v="3"/>
    <n v="24"/>
    <n v="146"/>
    <n v="10335285"/>
    <n v="515646"/>
    <s v="Large"/>
    <s v="B2B"/>
    <n v="3"/>
    <n v="73.540000000000006"/>
    <n v="130107"/>
    <n v="1"/>
  </r>
  <r>
    <s v="Startup_280"/>
    <x v="1"/>
    <n v="6"/>
    <n v="5300564"/>
    <n v="4"/>
    <n v="1"/>
    <n v="459"/>
    <n v="61679231"/>
    <n v="701360"/>
    <s v="Large"/>
    <s v="Hybrid"/>
    <n v="5"/>
    <n v="44.53"/>
    <n v="562017"/>
    <n v="1"/>
  </r>
  <r>
    <s v="Startup_281"/>
    <x v="1"/>
    <n v="0"/>
    <n v="49245562"/>
    <n v="3"/>
    <n v="0"/>
    <n v="867"/>
    <n v="44855861"/>
    <n v="236021"/>
    <s v="Medium"/>
    <s v="Hybrid"/>
    <n v="6"/>
    <n v="34.86"/>
    <n v="868336"/>
    <n v="1"/>
  </r>
  <r>
    <s v="Startup_282"/>
    <x v="2"/>
    <n v="3"/>
    <n v="27754407"/>
    <n v="1"/>
    <n v="24"/>
    <n v="471"/>
    <n v="92343884"/>
    <n v="937064"/>
    <s v="Medium"/>
    <s v="B2C"/>
    <n v="5"/>
    <n v="84.53"/>
    <n v="964918"/>
    <n v="1"/>
  </r>
  <r>
    <s v="Startup_283"/>
    <x v="0"/>
    <n v="11"/>
    <n v="441456"/>
    <n v="3"/>
    <n v="23"/>
    <n v="569"/>
    <n v="71805815"/>
    <n v="684436"/>
    <s v="Small"/>
    <s v="Hybrid"/>
    <n v="8"/>
    <n v="43.09"/>
    <n v="375463"/>
    <n v="1"/>
  </r>
  <r>
    <s v="Startup_284"/>
    <x v="6"/>
    <n v="0"/>
    <n v="44331498"/>
    <n v="1"/>
    <n v="7"/>
    <n v="183"/>
    <n v="32931755"/>
    <n v="49877"/>
    <s v="Medium"/>
    <s v="Hybrid"/>
    <n v="4"/>
    <n v="83.79"/>
    <n v="470762"/>
    <n v="1"/>
  </r>
  <r>
    <s v="Startup_285"/>
    <x v="0"/>
    <n v="4"/>
    <n v="45140956"/>
    <n v="4"/>
    <n v="7"/>
    <n v="659"/>
    <n v="89570877"/>
    <n v="874728"/>
    <s v="Large"/>
    <s v="B2B"/>
    <n v="2"/>
    <n v="10.050000000000001"/>
    <n v="252582"/>
    <n v="1"/>
  </r>
  <r>
    <s v="Startup_286"/>
    <x v="6"/>
    <n v="4"/>
    <n v="42349515"/>
    <n v="4"/>
    <n v="15"/>
    <n v="317"/>
    <n v="88346782"/>
    <n v="861526"/>
    <s v="Medium"/>
    <s v="Hybrid"/>
    <n v="2"/>
    <n v="78.55"/>
    <n v="546081"/>
    <n v="1"/>
  </r>
  <r>
    <s v="Startup_287"/>
    <x v="3"/>
    <n v="6"/>
    <n v="10196160"/>
    <n v="3"/>
    <n v="22"/>
    <n v="858"/>
    <n v="376547"/>
    <n v="849945"/>
    <s v="Medium"/>
    <s v="B2B"/>
    <n v="1"/>
    <n v="25.09"/>
    <n v="530735"/>
    <n v="1"/>
  </r>
  <r>
    <s v="Startup_288"/>
    <x v="0"/>
    <n v="1"/>
    <n v="35747751"/>
    <n v="2"/>
    <n v="17"/>
    <n v="791"/>
    <n v="63548169"/>
    <n v="661719"/>
    <s v="Small"/>
    <s v="Hybrid"/>
    <n v="7"/>
    <n v="33.14"/>
    <n v="123482"/>
    <n v="1"/>
  </r>
  <r>
    <s v="Startup_289"/>
    <x v="1"/>
    <n v="12"/>
    <n v="15717429"/>
    <n v="1"/>
    <n v="6"/>
    <n v="738"/>
    <n v="23492530"/>
    <n v="444834"/>
    <s v="Large"/>
    <s v="B2B"/>
    <n v="9"/>
    <n v="73.489999999999995"/>
    <n v="244875"/>
    <n v="1"/>
  </r>
  <r>
    <s v="Startup_290"/>
    <x v="4"/>
    <n v="10"/>
    <n v="45433600"/>
    <n v="3"/>
    <n v="13"/>
    <n v="837"/>
    <n v="78781621"/>
    <n v="212414"/>
    <s v="Large"/>
    <s v="Hybrid"/>
    <n v="1"/>
    <n v="94.3"/>
    <n v="398053"/>
    <n v="1"/>
  </r>
  <r>
    <s v="Startup_291"/>
    <x v="3"/>
    <n v="3"/>
    <n v="9663119"/>
    <n v="3"/>
    <n v="10"/>
    <n v="895"/>
    <n v="44023049"/>
    <n v="384981"/>
    <s v="Large"/>
    <s v="Hybrid"/>
    <n v="9"/>
    <n v="31.26"/>
    <n v="992813"/>
    <n v="1"/>
  </r>
  <r>
    <s v="Startup_292"/>
    <x v="2"/>
    <n v="0"/>
    <n v="23354187"/>
    <n v="1"/>
    <n v="16"/>
    <n v="687"/>
    <n v="25924721"/>
    <n v="232908"/>
    <s v="Medium"/>
    <s v="B2C"/>
    <n v="2"/>
    <n v="5.82"/>
    <n v="830846"/>
    <n v="1"/>
  </r>
  <r>
    <s v="Startup_293"/>
    <x v="5"/>
    <n v="10"/>
    <n v="46702361"/>
    <n v="1"/>
    <n v="29"/>
    <n v="452"/>
    <n v="37548023"/>
    <n v="674325"/>
    <s v="Medium"/>
    <s v="Hybrid"/>
    <n v="9"/>
    <n v="30.84"/>
    <n v="380692"/>
    <n v="1"/>
  </r>
  <r>
    <s v="Startup_294"/>
    <x v="0"/>
    <n v="2"/>
    <n v="43211296"/>
    <n v="1"/>
    <n v="10"/>
    <n v="978"/>
    <n v="95649600"/>
    <n v="74961"/>
    <s v="Small"/>
    <s v="B2C"/>
    <n v="2"/>
    <n v="29.72"/>
    <n v="684287"/>
    <n v="1"/>
  </r>
  <r>
    <s v="Startup_295"/>
    <x v="3"/>
    <n v="6"/>
    <n v="14516435"/>
    <n v="4"/>
    <n v="3"/>
    <n v="666"/>
    <n v="77433254"/>
    <n v="139431"/>
    <s v="Medium"/>
    <s v="Hybrid"/>
    <n v="7"/>
    <n v="7.08"/>
    <n v="346715"/>
    <n v="1"/>
  </r>
  <r>
    <s v="Startup_296"/>
    <x v="1"/>
    <n v="6"/>
    <n v="48574640"/>
    <n v="2"/>
    <n v="10"/>
    <n v="134"/>
    <n v="83877827"/>
    <n v="979099"/>
    <s v="Medium"/>
    <s v="B2C"/>
    <n v="5"/>
    <n v="48.13"/>
    <n v="181170"/>
    <n v="1"/>
  </r>
  <r>
    <s v="Startup_297"/>
    <x v="3"/>
    <n v="3"/>
    <n v="22918684"/>
    <n v="1"/>
    <n v="2"/>
    <n v="333"/>
    <n v="78298918"/>
    <n v="456164"/>
    <s v="Small"/>
    <s v="B2B"/>
    <n v="6"/>
    <n v="38.67"/>
    <n v="916796"/>
    <n v="1"/>
  </r>
  <r>
    <s v="Startup_298"/>
    <x v="6"/>
    <n v="7"/>
    <n v="47520877"/>
    <n v="2"/>
    <n v="4"/>
    <n v="876"/>
    <n v="75327655"/>
    <n v="583754"/>
    <s v="Medium"/>
    <s v="Hybrid"/>
    <n v="9"/>
    <n v="25.19"/>
    <n v="799209"/>
    <n v="1"/>
  </r>
  <r>
    <s v="Startup_299"/>
    <x v="2"/>
    <n v="0"/>
    <n v="575240"/>
    <n v="1"/>
    <n v="4"/>
    <n v="873"/>
    <n v="32826085"/>
    <n v="274754"/>
    <s v="Small"/>
    <s v="Hybrid"/>
    <n v="3"/>
    <n v="30.57"/>
    <n v="394252"/>
    <n v="1"/>
  </r>
  <r>
    <s v="Startup_300"/>
    <x v="1"/>
    <n v="3"/>
    <n v="26517619"/>
    <n v="1"/>
    <n v="8"/>
    <n v="985"/>
    <n v="80357552"/>
    <n v="343590"/>
    <s v="Small"/>
    <s v="B2B"/>
    <n v="8"/>
    <n v="66.17"/>
    <n v="44691"/>
    <n v="1"/>
  </r>
  <r>
    <s v="Startup_301"/>
    <x v="4"/>
    <n v="0"/>
    <n v="30742040"/>
    <n v="1"/>
    <n v="6"/>
    <n v="831"/>
    <n v="91886186"/>
    <n v="400733"/>
    <s v="Medium"/>
    <s v="Hybrid"/>
    <n v="2"/>
    <n v="94.84"/>
    <n v="691818"/>
    <n v="1"/>
  </r>
  <r>
    <s v="Startup_302"/>
    <x v="3"/>
    <n v="14"/>
    <n v="47070384"/>
    <n v="1"/>
    <n v="28"/>
    <n v="277"/>
    <n v="86182193"/>
    <n v="475281"/>
    <s v="Medium"/>
    <s v="B2C"/>
    <n v="7"/>
    <n v="54.74"/>
    <n v="262300"/>
    <n v="1"/>
  </r>
  <r>
    <s v="Startup_303"/>
    <x v="2"/>
    <n v="5"/>
    <n v="20713128"/>
    <n v="3"/>
    <n v="6"/>
    <n v="618"/>
    <n v="30422033"/>
    <n v="350847"/>
    <s v="Small"/>
    <s v="B2C"/>
    <n v="3"/>
    <n v="48.81"/>
    <n v="519616"/>
    <n v="1"/>
  </r>
  <r>
    <s v="Startup_304"/>
    <x v="6"/>
    <n v="3"/>
    <n v="38122703"/>
    <n v="1"/>
    <n v="16"/>
    <n v="554"/>
    <n v="93859454"/>
    <n v="576937"/>
    <s v="Medium"/>
    <s v="Hybrid"/>
    <n v="5"/>
    <n v="99.34"/>
    <n v="347490"/>
    <n v="1"/>
  </r>
  <r>
    <s v="Startup_305"/>
    <x v="2"/>
    <n v="9"/>
    <n v="16756129"/>
    <n v="4"/>
    <n v="2"/>
    <n v="179"/>
    <n v="73979275"/>
    <n v="823648"/>
    <s v="Small"/>
    <s v="Hybrid"/>
    <n v="4"/>
    <n v="64.8"/>
    <n v="736536"/>
    <n v="1"/>
  </r>
  <r>
    <s v="Startup_306"/>
    <x v="0"/>
    <n v="11"/>
    <n v="13768303"/>
    <n v="4"/>
    <n v="11"/>
    <n v="688"/>
    <n v="625424"/>
    <n v="236590"/>
    <s v="Large"/>
    <s v="B2C"/>
    <n v="2"/>
    <n v="50.3"/>
    <n v="613774"/>
    <n v="1"/>
  </r>
  <r>
    <s v="Startup_307"/>
    <x v="6"/>
    <n v="0"/>
    <n v="31110510"/>
    <n v="4"/>
    <n v="22"/>
    <n v="464"/>
    <n v="93918199"/>
    <n v="584296"/>
    <s v="Small"/>
    <s v="B2B"/>
    <n v="2"/>
    <n v="76.64"/>
    <n v="974226"/>
    <n v="1"/>
  </r>
  <r>
    <s v="Startup_308"/>
    <x v="1"/>
    <n v="4"/>
    <n v="47626871"/>
    <n v="3"/>
    <n v="18"/>
    <n v="99"/>
    <n v="30049182"/>
    <n v="282502"/>
    <s v="Small"/>
    <s v="Hybrid"/>
    <n v="1"/>
    <n v="77.22"/>
    <n v="253409"/>
    <n v="1"/>
  </r>
  <r>
    <s v="Startup_309"/>
    <x v="4"/>
    <n v="4"/>
    <n v="13570275"/>
    <n v="1"/>
    <n v="8"/>
    <n v="800"/>
    <n v="51827599"/>
    <n v="966207"/>
    <s v="Large"/>
    <s v="Hybrid"/>
    <n v="5"/>
    <n v="20.66"/>
    <n v="530846"/>
    <n v="1"/>
  </r>
  <r>
    <s v="Startup_310"/>
    <x v="3"/>
    <n v="2"/>
    <n v="47774010"/>
    <n v="2"/>
    <n v="27"/>
    <n v="70"/>
    <n v="42642637"/>
    <n v="56177"/>
    <s v="Small"/>
    <s v="B2B"/>
    <n v="6"/>
    <n v="30.63"/>
    <n v="359495"/>
    <n v="1"/>
  </r>
  <r>
    <s v="Startup_311"/>
    <x v="2"/>
    <n v="6"/>
    <n v="13022679"/>
    <n v="1"/>
    <n v="12"/>
    <n v="877"/>
    <n v="26341935"/>
    <n v="14356"/>
    <s v="Large"/>
    <s v="Hybrid"/>
    <n v="8"/>
    <n v="15.11"/>
    <n v="883307"/>
    <n v="1"/>
  </r>
  <r>
    <s v="Startup_312"/>
    <x v="4"/>
    <n v="8"/>
    <n v="17129387"/>
    <n v="3"/>
    <n v="25"/>
    <n v="905"/>
    <n v="99620096"/>
    <n v="906502"/>
    <s v="Medium"/>
    <s v="B2C"/>
    <n v="4"/>
    <n v="20.58"/>
    <n v="112443"/>
    <n v="1"/>
  </r>
  <r>
    <s v="Startup_313"/>
    <x v="4"/>
    <n v="10"/>
    <n v="2935267"/>
    <n v="3"/>
    <n v="14"/>
    <n v="896"/>
    <n v="74264262"/>
    <n v="972275"/>
    <s v="Medium"/>
    <s v="B2C"/>
    <n v="4"/>
    <n v="15.25"/>
    <n v="784073"/>
    <n v="1"/>
  </r>
  <r>
    <s v="Startup_314"/>
    <x v="1"/>
    <n v="7"/>
    <n v="46514644"/>
    <n v="4"/>
    <n v="19"/>
    <n v="955"/>
    <n v="74784799"/>
    <n v="971282"/>
    <s v="Large"/>
    <s v="B2B"/>
    <n v="3"/>
    <n v="66.97"/>
    <n v="304169"/>
    <n v="1"/>
  </r>
  <r>
    <s v="Startup_315"/>
    <x v="0"/>
    <n v="6"/>
    <n v="29792125"/>
    <n v="3"/>
    <n v="12"/>
    <n v="259"/>
    <n v="11555331"/>
    <n v="757915"/>
    <s v="Large"/>
    <s v="Hybrid"/>
    <n v="9"/>
    <n v="88.73"/>
    <n v="390592"/>
    <n v="1"/>
  </r>
  <r>
    <s v="Startup_316"/>
    <x v="2"/>
    <n v="13"/>
    <n v="15478785"/>
    <n v="3"/>
    <n v="24"/>
    <n v="321"/>
    <n v="43960490"/>
    <n v="894908"/>
    <s v="Medium"/>
    <s v="Hybrid"/>
    <n v="1"/>
    <n v="18.95"/>
    <n v="935750"/>
    <n v="1"/>
  </r>
  <r>
    <s v="Startup_317"/>
    <x v="1"/>
    <n v="7"/>
    <n v="34536149"/>
    <n v="1"/>
    <n v="4"/>
    <n v="18"/>
    <n v="31567059"/>
    <n v="658833"/>
    <s v="Large"/>
    <s v="Hybrid"/>
    <n v="6"/>
    <n v="36.31"/>
    <n v="989448"/>
    <n v="1"/>
  </r>
  <r>
    <s v="Startup_318"/>
    <x v="5"/>
    <n v="6"/>
    <n v="21847919"/>
    <n v="4"/>
    <n v="24"/>
    <n v="140"/>
    <n v="20053905"/>
    <n v="165236"/>
    <s v="Small"/>
    <s v="B2B"/>
    <n v="1"/>
    <n v="25.31"/>
    <n v="80809"/>
    <n v="1"/>
  </r>
  <r>
    <s v="Startup_319"/>
    <x v="5"/>
    <n v="7"/>
    <n v="37057980"/>
    <n v="4"/>
    <n v="9"/>
    <n v="89"/>
    <n v="8860821"/>
    <n v="937117"/>
    <s v="Medium"/>
    <s v="Hybrid"/>
    <n v="3"/>
    <n v="31.03"/>
    <n v="923272"/>
    <n v="1"/>
  </r>
  <r>
    <s v="Startup_320"/>
    <x v="5"/>
    <n v="8"/>
    <n v="14590782"/>
    <n v="3"/>
    <n v="11"/>
    <n v="51"/>
    <n v="17712932"/>
    <n v="177027"/>
    <s v="Small"/>
    <s v="Hybrid"/>
    <n v="3"/>
    <n v="60.9"/>
    <n v="384890"/>
    <n v="1"/>
  </r>
  <r>
    <s v="Startup_321"/>
    <x v="5"/>
    <n v="1"/>
    <n v="12547233"/>
    <n v="4"/>
    <n v="24"/>
    <n v="17"/>
    <n v="38232023"/>
    <n v="531787"/>
    <s v="Small"/>
    <s v="Hybrid"/>
    <n v="6"/>
    <n v="46.88"/>
    <n v="18009"/>
    <n v="1"/>
  </r>
  <r>
    <s v="Startup_322"/>
    <x v="1"/>
    <n v="3"/>
    <n v="33620032"/>
    <n v="1"/>
    <n v="15"/>
    <n v="865"/>
    <n v="56845481"/>
    <n v="874682"/>
    <s v="Small"/>
    <s v="B2B"/>
    <n v="6"/>
    <n v="53.16"/>
    <n v="823158"/>
    <n v="1"/>
  </r>
  <r>
    <s v="Startup_323"/>
    <x v="0"/>
    <n v="9"/>
    <n v="40314355"/>
    <n v="4"/>
    <n v="11"/>
    <n v="482"/>
    <n v="5907224"/>
    <n v="590891"/>
    <s v="Large"/>
    <s v="B2B"/>
    <n v="5"/>
    <n v="33.47"/>
    <n v="77042"/>
    <n v="1"/>
  </r>
  <r>
    <s v="Startup_324"/>
    <x v="2"/>
    <n v="9"/>
    <n v="48075736"/>
    <n v="2"/>
    <n v="0"/>
    <n v="672"/>
    <n v="25309352"/>
    <n v="438528"/>
    <s v="Large"/>
    <s v="B2B"/>
    <n v="5"/>
    <n v="55.71"/>
    <n v="853564"/>
    <n v="1"/>
  </r>
  <r>
    <s v="Startup_325"/>
    <x v="6"/>
    <n v="6"/>
    <n v="18892744"/>
    <n v="3"/>
    <n v="0"/>
    <n v="767"/>
    <n v="59241755"/>
    <n v="836450"/>
    <s v="Large"/>
    <s v="B2B"/>
    <n v="3"/>
    <n v="53.96"/>
    <n v="832625"/>
    <n v="1"/>
  </r>
  <r>
    <s v="Startup_326"/>
    <x v="3"/>
    <n v="7"/>
    <n v="23916533"/>
    <n v="3"/>
    <n v="2"/>
    <n v="349"/>
    <n v="8393807"/>
    <n v="327362"/>
    <s v="Large"/>
    <s v="B2B"/>
    <n v="8"/>
    <n v="35.369999999999997"/>
    <n v="303575"/>
    <n v="1"/>
  </r>
  <r>
    <s v="Startup_327"/>
    <x v="1"/>
    <n v="13"/>
    <n v="48600841"/>
    <n v="3"/>
    <n v="16"/>
    <n v="306"/>
    <n v="27692992"/>
    <n v="358589"/>
    <s v="Medium"/>
    <s v="B2B"/>
    <n v="3"/>
    <n v="31.24"/>
    <n v="419920"/>
    <n v="1"/>
  </r>
  <r>
    <s v="Startup_328"/>
    <x v="3"/>
    <n v="12"/>
    <n v="49642222"/>
    <n v="3"/>
    <n v="17"/>
    <n v="90"/>
    <n v="13617313"/>
    <n v="948138"/>
    <s v="Medium"/>
    <s v="B2B"/>
    <n v="3"/>
    <n v="84.6"/>
    <n v="551355"/>
    <n v="1"/>
  </r>
  <r>
    <s v="Startup_329"/>
    <x v="5"/>
    <n v="10"/>
    <n v="34703567"/>
    <n v="4"/>
    <n v="8"/>
    <n v="318"/>
    <n v="79319183"/>
    <n v="306971"/>
    <s v="Large"/>
    <s v="B2C"/>
    <n v="7"/>
    <n v="92.51"/>
    <n v="878960"/>
    <n v="1"/>
  </r>
  <r>
    <s v="Startup_330"/>
    <x v="5"/>
    <n v="5"/>
    <n v="40815661"/>
    <n v="4"/>
    <n v="26"/>
    <n v="357"/>
    <n v="37220802"/>
    <n v="78193"/>
    <s v="Small"/>
    <s v="B2B"/>
    <n v="5"/>
    <n v="81"/>
    <n v="539710"/>
    <n v="1"/>
  </r>
  <r>
    <s v="Startup_331"/>
    <x v="6"/>
    <n v="2"/>
    <n v="33009161"/>
    <n v="1"/>
    <n v="18"/>
    <n v="353"/>
    <n v="75615762"/>
    <n v="6447"/>
    <s v="Small"/>
    <s v="B2B"/>
    <n v="6"/>
    <n v="22.7"/>
    <n v="159625"/>
    <n v="1"/>
  </r>
  <r>
    <s v="Startup_332"/>
    <x v="6"/>
    <n v="2"/>
    <n v="10209910"/>
    <n v="3"/>
    <n v="29"/>
    <n v="280"/>
    <n v="36610520"/>
    <n v="149460"/>
    <s v="Medium"/>
    <s v="Hybrid"/>
    <n v="2"/>
    <n v="60.42"/>
    <n v="478391"/>
    <n v="1"/>
  </r>
  <r>
    <s v="Startup_333"/>
    <x v="1"/>
    <n v="13"/>
    <n v="23878105"/>
    <n v="3"/>
    <n v="26"/>
    <n v="833"/>
    <n v="22512986"/>
    <n v="665480"/>
    <s v="Large"/>
    <s v="Hybrid"/>
    <n v="1"/>
    <n v="43.45"/>
    <n v="811288"/>
    <n v="1"/>
  </r>
  <r>
    <s v="Startup_334"/>
    <x v="3"/>
    <n v="0"/>
    <n v="31604581"/>
    <n v="3"/>
    <n v="23"/>
    <n v="707"/>
    <n v="58932360"/>
    <n v="743060"/>
    <s v="Large"/>
    <s v="Hybrid"/>
    <n v="3"/>
    <n v="57.02"/>
    <n v="557129"/>
    <n v="1"/>
  </r>
  <r>
    <s v="Startup_335"/>
    <x v="0"/>
    <n v="9"/>
    <n v="38245336"/>
    <n v="1"/>
    <n v="6"/>
    <n v="754"/>
    <n v="39147925"/>
    <n v="310399"/>
    <s v="Large"/>
    <s v="B2C"/>
    <n v="4"/>
    <n v="20.57"/>
    <n v="361132"/>
    <n v="1"/>
  </r>
  <r>
    <s v="Startup_336"/>
    <x v="3"/>
    <n v="5"/>
    <n v="37386617"/>
    <n v="3"/>
    <n v="10"/>
    <n v="392"/>
    <n v="7365766"/>
    <n v="375240"/>
    <s v="Large"/>
    <s v="Hybrid"/>
    <n v="8"/>
    <n v="20.78"/>
    <n v="758515"/>
    <n v="1"/>
  </r>
  <r>
    <s v="Startup_337"/>
    <x v="3"/>
    <n v="2"/>
    <n v="27137690"/>
    <n v="2"/>
    <n v="28"/>
    <n v="890"/>
    <n v="20902573"/>
    <n v="790819"/>
    <s v="Large"/>
    <s v="Hybrid"/>
    <n v="8"/>
    <n v="23.3"/>
    <n v="523051"/>
    <n v="1"/>
  </r>
  <r>
    <s v="Startup_338"/>
    <x v="2"/>
    <n v="2"/>
    <n v="6881261"/>
    <n v="3"/>
    <n v="2"/>
    <n v="757"/>
    <n v="27303688"/>
    <n v="895303"/>
    <s v="Large"/>
    <s v="B2B"/>
    <n v="5"/>
    <n v="73.92"/>
    <n v="344193"/>
    <n v="1"/>
  </r>
  <r>
    <s v="Startup_339"/>
    <x v="5"/>
    <n v="8"/>
    <n v="28015152"/>
    <n v="1"/>
    <n v="9"/>
    <n v="586"/>
    <n v="48155549"/>
    <n v="328807"/>
    <s v="Medium"/>
    <s v="Hybrid"/>
    <n v="8"/>
    <n v="64.099999999999994"/>
    <n v="376939"/>
    <n v="1"/>
  </r>
  <r>
    <s v="Startup_340"/>
    <x v="6"/>
    <n v="3"/>
    <n v="11108096"/>
    <n v="4"/>
    <n v="11"/>
    <n v="685"/>
    <n v="46866449"/>
    <n v="538644"/>
    <s v="Medium"/>
    <s v="B2B"/>
    <n v="3"/>
    <n v="90.46"/>
    <n v="703254"/>
    <n v="1"/>
  </r>
  <r>
    <s v="Startup_341"/>
    <x v="1"/>
    <n v="4"/>
    <n v="12617757"/>
    <n v="4"/>
    <n v="0"/>
    <n v="561"/>
    <n v="85228052"/>
    <n v="78853"/>
    <s v="Small"/>
    <s v="Hybrid"/>
    <n v="3"/>
    <n v="32.96"/>
    <n v="785768"/>
    <n v="1"/>
  </r>
  <r>
    <s v="Startup_342"/>
    <x v="5"/>
    <n v="2"/>
    <n v="3603042"/>
    <n v="4"/>
    <n v="7"/>
    <n v="650"/>
    <n v="6572954"/>
    <n v="248043"/>
    <s v="Large"/>
    <s v="B2C"/>
    <n v="9"/>
    <n v="19.77"/>
    <n v="411287"/>
    <n v="1"/>
  </r>
  <r>
    <s v="Startup_343"/>
    <x v="3"/>
    <n v="10"/>
    <n v="30947011"/>
    <n v="1"/>
    <n v="29"/>
    <n v="182"/>
    <n v="83107384"/>
    <n v="94468"/>
    <s v="Medium"/>
    <s v="Hybrid"/>
    <n v="6"/>
    <n v="71.25"/>
    <n v="967460"/>
    <n v="1"/>
  </r>
  <r>
    <s v="Startup_344"/>
    <x v="2"/>
    <n v="14"/>
    <n v="26962491"/>
    <n v="4"/>
    <n v="15"/>
    <n v="414"/>
    <n v="7212754"/>
    <n v="80158"/>
    <s v="Small"/>
    <s v="Hybrid"/>
    <n v="6"/>
    <n v="20.14"/>
    <n v="104275"/>
    <n v="1"/>
  </r>
  <r>
    <s v="Startup_345"/>
    <x v="4"/>
    <n v="7"/>
    <n v="4228455"/>
    <n v="3"/>
    <n v="14"/>
    <n v="638"/>
    <n v="38507265"/>
    <n v="851861"/>
    <s v="Large"/>
    <s v="B2C"/>
    <n v="2"/>
    <n v="62.28"/>
    <n v="466838"/>
    <n v="1"/>
  </r>
  <r>
    <s v="Startup_346"/>
    <x v="1"/>
    <n v="12"/>
    <n v="27304821"/>
    <n v="2"/>
    <n v="0"/>
    <n v="678"/>
    <n v="38381571"/>
    <n v="688508"/>
    <s v="Small"/>
    <s v="B2C"/>
    <n v="8"/>
    <n v="4.92"/>
    <n v="696111"/>
    <n v="1"/>
  </r>
  <r>
    <s v="Startup_347"/>
    <x v="0"/>
    <n v="6"/>
    <n v="40034081"/>
    <n v="1"/>
    <n v="23"/>
    <n v="112"/>
    <n v="78110360"/>
    <n v="637398"/>
    <s v="Small"/>
    <s v="B2C"/>
    <n v="3"/>
    <n v="26.1"/>
    <n v="904667"/>
    <n v="1"/>
  </r>
  <r>
    <s v="Startup_348"/>
    <x v="5"/>
    <n v="4"/>
    <n v="28740723"/>
    <n v="2"/>
    <n v="11"/>
    <n v="582"/>
    <n v="51246695"/>
    <n v="607029"/>
    <s v="Small"/>
    <s v="Hybrid"/>
    <n v="2"/>
    <n v="90.81"/>
    <n v="343778"/>
    <n v="1"/>
  </r>
  <r>
    <s v="Startup_349"/>
    <x v="6"/>
    <n v="13"/>
    <n v="37733431"/>
    <n v="3"/>
    <n v="25"/>
    <n v="564"/>
    <n v="31165326"/>
    <n v="404125"/>
    <s v="Large"/>
    <s v="B2C"/>
    <n v="4"/>
    <n v="83.01"/>
    <n v="382261"/>
    <n v="1"/>
  </r>
  <r>
    <s v="Startup_350"/>
    <x v="0"/>
    <n v="8"/>
    <n v="41994750"/>
    <n v="3"/>
    <n v="18"/>
    <n v="561"/>
    <n v="49816652"/>
    <n v="478148"/>
    <s v="Large"/>
    <s v="Hybrid"/>
    <n v="4"/>
    <n v="14.37"/>
    <n v="187533"/>
    <n v="1"/>
  </r>
  <r>
    <s v="Startup_351"/>
    <x v="4"/>
    <n v="5"/>
    <n v="7936610"/>
    <n v="3"/>
    <n v="4"/>
    <n v="404"/>
    <n v="93208447"/>
    <n v="757172"/>
    <s v="Small"/>
    <s v="B2C"/>
    <n v="9"/>
    <n v="14.4"/>
    <n v="337007"/>
    <n v="1"/>
  </r>
  <r>
    <s v="Startup_352"/>
    <x v="4"/>
    <n v="12"/>
    <n v="2725750"/>
    <n v="4"/>
    <n v="13"/>
    <n v="98"/>
    <n v="65047110"/>
    <n v="782931"/>
    <s v="Large"/>
    <s v="Hybrid"/>
    <n v="2"/>
    <n v="50.07"/>
    <n v="823234"/>
    <n v="1"/>
  </r>
  <r>
    <s v="Startup_353"/>
    <x v="5"/>
    <n v="1"/>
    <n v="21977571"/>
    <n v="3"/>
    <n v="6"/>
    <n v="558"/>
    <n v="5349429"/>
    <n v="59740"/>
    <s v="Large"/>
    <s v="B2C"/>
    <n v="5"/>
    <n v="89.46"/>
    <n v="635803"/>
    <n v="1"/>
  </r>
  <r>
    <s v="Startup_354"/>
    <x v="3"/>
    <n v="4"/>
    <n v="35129729"/>
    <n v="3"/>
    <n v="3"/>
    <n v="194"/>
    <n v="11864114"/>
    <n v="213527"/>
    <s v="Large"/>
    <s v="B2C"/>
    <n v="2"/>
    <n v="18.600000000000001"/>
    <n v="306261"/>
    <n v="1"/>
  </r>
  <r>
    <s v="Startup_355"/>
    <x v="0"/>
    <n v="14"/>
    <n v="12836216"/>
    <n v="2"/>
    <n v="15"/>
    <n v="271"/>
    <n v="19907008"/>
    <n v="606241"/>
    <s v="Large"/>
    <s v="Hybrid"/>
    <n v="3"/>
    <n v="77.09"/>
    <n v="424616"/>
    <n v="1"/>
  </r>
  <r>
    <s v="Startup_356"/>
    <x v="0"/>
    <n v="14"/>
    <n v="34960572"/>
    <n v="3"/>
    <n v="24"/>
    <n v="327"/>
    <n v="5042950"/>
    <n v="480825"/>
    <s v="Medium"/>
    <s v="B2C"/>
    <n v="4"/>
    <n v="93.62"/>
    <n v="33493"/>
    <n v="1"/>
  </r>
  <r>
    <s v="Startup_357"/>
    <x v="1"/>
    <n v="0"/>
    <n v="2999574"/>
    <n v="1"/>
    <n v="5"/>
    <n v="387"/>
    <n v="67690912"/>
    <n v="489099"/>
    <s v="Large"/>
    <s v="B2C"/>
    <n v="6"/>
    <n v="33.130000000000003"/>
    <n v="179042"/>
    <n v="1"/>
  </r>
  <r>
    <s v="Startup_358"/>
    <x v="4"/>
    <n v="2"/>
    <n v="21027042"/>
    <n v="4"/>
    <n v="16"/>
    <n v="265"/>
    <n v="53065066"/>
    <n v="393291"/>
    <s v="Medium"/>
    <s v="Hybrid"/>
    <n v="8"/>
    <n v="37.450000000000003"/>
    <n v="359743"/>
    <n v="1"/>
  </r>
  <r>
    <s v="Startup_359"/>
    <x v="5"/>
    <n v="0"/>
    <n v="14822484"/>
    <n v="1"/>
    <n v="23"/>
    <n v="97"/>
    <n v="11879773"/>
    <n v="993617"/>
    <s v="Medium"/>
    <s v="B2C"/>
    <n v="9"/>
    <n v="9.52"/>
    <n v="421025"/>
    <n v="1"/>
  </r>
  <r>
    <s v="Startup_360"/>
    <x v="4"/>
    <n v="8"/>
    <n v="194088"/>
    <n v="1"/>
    <n v="0"/>
    <n v="113"/>
    <n v="2663521"/>
    <n v="166819"/>
    <s v="Small"/>
    <s v="B2B"/>
    <n v="5"/>
    <n v="47.85"/>
    <n v="656248"/>
    <n v="1"/>
  </r>
  <r>
    <s v="Startup_361"/>
    <x v="0"/>
    <n v="9"/>
    <n v="17236689"/>
    <n v="1"/>
    <n v="22"/>
    <n v="315"/>
    <n v="31056966"/>
    <n v="734132"/>
    <s v="Medium"/>
    <s v="B2B"/>
    <n v="1"/>
    <n v="94.15"/>
    <n v="804262"/>
    <n v="1"/>
  </r>
  <r>
    <s v="Startup_362"/>
    <x v="2"/>
    <n v="9"/>
    <n v="39217356"/>
    <n v="1"/>
    <n v="13"/>
    <n v="822"/>
    <n v="84985345"/>
    <n v="758966"/>
    <s v="Medium"/>
    <s v="B2C"/>
    <n v="7"/>
    <n v="75.599999999999994"/>
    <n v="786836"/>
    <n v="1"/>
  </r>
  <r>
    <s v="Startup_363"/>
    <x v="5"/>
    <n v="4"/>
    <n v="2087323"/>
    <n v="3"/>
    <n v="12"/>
    <n v="544"/>
    <n v="25331190"/>
    <n v="894555"/>
    <s v="Medium"/>
    <s v="B2C"/>
    <n v="7"/>
    <n v="2.78"/>
    <n v="523161"/>
    <n v="1"/>
  </r>
  <r>
    <s v="Startup_364"/>
    <x v="5"/>
    <n v="14"/>
    <n v="47086683"/>
    <n v="2"/>
    <n v="21"/>
    <n v="330"/>
    <n v="51959700"/>
    <n v="667038"/>
    <s v="Medium"/>
    <s v="Hybrid"/>
    <n v="8"/>
    <n v="9.67"/>
    <n v="157704"/>
    <n v="1"/>
  </r>
  <r>
    <s v="Startup_365"/>
    <x v="5"/>
    <n v="11"/>
    <n v="45635334"/>
    <n v="4"/>
    <n v="16"/>
    <n v="744"/>
    <n v="29797660"/>
    <n v="815760"/>
    <s v="Large"/>
    <s v="B2B"/>
    <n v="8"/>
    <n v="51.42"/>
    <n v="657366"/>
    <n v="1"/>
  </r>
  <r>
    <s v="Startup_366"/>
    <x v="1"/>
    <n v="1"/>
    <n v="26593156"/>
    <n v="3"/>
    <n v="29"/>
    <n v="954"/>
    <n v="99598002"/>
    <n v="249093"/>
    <s v="Medium"/>
    <s v="B2B"/>
    <n v="4"/>
    <n v="79.23"/>
    <n v="918761"/>
    <n v="1"/>
  </r>
  <r>
    <s v="Startup_367"/>
    <x v="4"/>
    <n v="13"/>
    <n v="43369395"/>
    <n v="4"/>
    <n v="4"/>
    <n v="667"/>
    <n v="39682730"/>
    <n v="664820"/>
    <s v="Small"/>
    <s v="B2C"/>
    <n v="2"/>
    <n v="49.48"/>
    <n v="439724"/>
    <n v="1"/>
  </r>
  <r>
    <s v="Startup_368"/>
    <x v="1"/>
    <n v="2"/>
    <n v="43211269"/>
    <n v="3"/>
    <n v="10"/>
    <n v="293"/>
    <n v="93275300"/>
    <n v="898101"/>
    <s v="Medium"/>
    <s v="Hybrid"/>
    <n v="3"/>
    <n v="6.81"/>
    <n v="803894"/>
    <n v="1"/>
  </r>
  <r>
    <s v="Startup_369"/>
    <x v="2"/>
    <n v="3"/>
    <n v="10790878"/>
    <n v="4"/>
    <n v="29"/>
    <n v="428"/>
    <n v="45540167"/>
    <n v="610515"/>
    <s v="Large"/>
    <s v="B2B"/>
    <n v="1"/>
    <n v="43.36"/>
    <n v="188662"/>
    <n v="1"/>
  </r>
  <r>
    <s v="Startup_370"/>
    <x v="1"/>
    <n v="13"/>
    <n v="29473344"/>
    <n v="2"/>
    <n v="4"/>
    <n v="201"/>
    <n v="55753939"/>
    <n v="879851"/>
    <s v="Large"/>
    <s v="Hybrid"/>
    <n v="2"/>
    <n v="56.11"/>
    <n v="444409"/>
    <n v="1"/>
  </r>
  <r>
    <s v="Startup_371"/>
    <x v="1"/>
    <n v="10"/>
    <n v="48202325"/>
    <n v="4"/>
    <n v="4"/>
    <n v="805"/>
    <n v="57797008"/>
    <n v="499293"/>
    <s v="Small"/>
    <s v="B2C"/>
    <n v="2"/>
    <n v="24.6"/>
    <n v="707428"/>
    <n v="1"/>
  </r>
  <r>
    <s v="Startup_372"/>
    <x v="2"/>
    <n v="13"/>
    <n v="4031657"/>
    <n v="3"/>
    <n v="22"/>
    <n v="318"/>
    <n v="37691447"/>
    <n v="790045"/>
    <s v="Large"/>
    <s v="Hybrid"/>
    <n v="6"/>
    <n v="46.27"/>
    <n v="302860"/>
    <n v="1"/>
  </r>
  <r>
    <s v="Startup_373"/>
    <x v="1"/>
    <n v="12"/>
    <n v="31842739"/>
    <n v="1"/>
    <n v="5"/>
    <n v="107"/>
    <n v="2755138"/>
    <n v="135252"/>
    <s v="Large"/>
    <s v="Hybrid"/>
    <n v="4"/>
    <n v="97.2"/>
    <n v="176043"/>
    <n v="1"/>
  </r>
  <r>
    <s v="Startup_374"/>
    <x v="0"/>
    <n v="5"/>
    <n v="18287223"/>
    <n v="3"/>
    <n v="2"/>
    <n v="587"/>
    <n v="13866493"/>
    <n v="389527"/>
    <s v="Large"/>
    <s v="B2B"/>
    <n v="4"/>
    <n v="26.8"/>
    <n v="435411"/>
    <n v="1"/>
  </r>
  <r>
    <s v="Startup_375"/>
    <x v="1"/>
    <n v="3"/>
    <n v="26952139"/>
    <n v="1"/>
    <n v="1"/>
    <n v="931"/>
    <n v="92818952"/>
    <n v="753740"/>
    <s v="Large"/>
    <s v="B2C"/>
    <n v="1"/>
    <n v="52.46"/>
    <n v="14575"/>
    <n v="1"/>
  </r>
  <r>
    <s v="Startup_376"/>
    <x v="1"/>
    <n v="6"/>
    <n v="30621611"/>
    <n v="4"/>
    <n v="5"/>
    <n v="601"/>
    <n v="63892672"/>
    <n v="294572"/>
    <s v="Medium"/>
    <s v="B2B"/>
    <n v="6"/>
    <n v="20.18"/>
    <n v="971963"/>
    <n v="1"/>
  </r>
  <r>
    <s v="Startup_377"/>
    <x v="2"/>
    <n v="13"/>
    <n v="17028671"/>
    <n v="4"/>
    <n v="7"/>
    <n v="581"/>
    <n v="86885130"/>
    <n v="863777"/>
    <s v="Medium"/>
    <s v="Hybrid"/>
    <n v="4"/>
    <n v="94.02"/>
    <n v="244071"/>
    <n v="1"/>
  </r>
  <r>
    <s v="Startup_378"/>
    <x v="1"/>
    <n v="4"/>
    <n v="26443199"/>
    <n v="4"/>
    <n v="26"/>
    <n v="979"/>
    <n v="33725502"/>
    <n v="608810"/>
    <s v="Small"/>
    <s v="B2C"/>
    <n v="1"/>
    <n v="2.83"/>
    <n v="41853"/>
    <n v="1"/>
  </r>
  <r>
    <s v="Startup_379"/>
    <x v="6"/>
    <n v="11"/>
    <n v="27721226"/>
    <n v="1"/>
    <n v="22"/>
    <n v="134"/>
    <n v="59603427"/>
    <n v="160645"/>
    <s v="Large"/>
    <s v="Hybrid"/>
    <n v="1"/>
    <n v="82.46"/>
    <n v="428430"/>
    <n v="1"/>
  </r>
  <r>
    <s v="Startup_380"/>
    <x v="0"/>
    <n v="8"/>
    <n v="23456280"/>
    <n v="3"/>
    <n v="16"/>
    <n v="883"/>
    <n v="65401812"/>
    <n v="35620"/>
    <s v="Small"/>
    <s v="B2B"/>
    <n v="8"/>
    <n v="9.83"/>
    <n v="982446"/>
    <n v="1"/>
  </r>
  <r>
    <s v="Startup_381"/>
    <x v="1"/>
    <n v="11"/>
    <n v="6106969"/>
    <n v="2"/>
    <n v="4"/>
    <n v="899"/>
    <n v="8845162"/>
    <n v="697980"/>
    <s v="Small"/>
    <s v="Hybrid"/>
    <n v="8"/>
    <n v="5.42"/>
    <n v="637970"/>
    <n v="1"/>
  </r>
  <r>
    <s v="Startup_382"/>
    <x v="3"/>
    <n v="4"/>
    <n v="20297055"/>
    <n v="2"/>
    <n v="7"/>
    <n v="597"/>
    <n v="50163380"/>
    <n v="986685"/>
    <s v="Large"/>
    <s v="B2B"/>
    <n v="5"/>
    <n v="80.08"/>
    <n v="978365"/>
    <n v="1"/>
  </r>
  <r>
    <s v="Startup_383"/>
    <x v="6"/>
    <n v="4"/>
    <n v="29194652"/>
    <n v="4"/>
    <n v="26"/>
    <n v="613"/>
    <n v="62263752"/>
    <n v="667970"/>
    <s v="Small"/>
    <s v="B2B"/>
    <n v="2"/>
    <n v="56.97"/>
    <n v="347550"/>
    <n v="1"/>
  </r>
  <r>
    <s v="Startup_384"/>
    <x v="1"/>
    <n v="9"/>
    <n v="32398780"/>
    <n v="3"/>
    <n v="9"/>
    <n v="889"/>
    <n v="10993235"/>
    <n v="670792"/>
    <s v="Medium"/>
    <s v="B2B"/>
    <n v="9"/>
    <n v="58.63"/>
    <n v="927009"/>
    <n v="1"/>
  </r>
  <r>
    <s v="Startup_385"/>
    <x v="1"/>
    <n v="6"/>
    <n v="36507168"/>
    <n v="2"/>
    <n v="25"/>
    <n v="886"/>
    <n v="15026232"/>
    <n v="525938"/>
    <s v="Medium"/>
    <s v="Hybrid"/>
    <n v="9"/>
    <n v="31.77"/>
    <n v="536729"/>
    <n v="1"/>
  </r>
  <r>
    <s v="Startup_386"/>
    <x v="3"/>
    <n v="4"/>
    <n v="10383920"/>
    <n v="3"/>
    <n v="15"/>
    <n v="731"/>
    <n v="15686634"/>
    <n v="925319"/>
    <s v="Large"/>
    <s v="B2B"/>
    <n v="2"/>
    <n v="70.2"/>
    <n v="298637"/>
    <n v="1"/>
  </r>
  <r>
    <s v="Startup_387"/>
    <x v="0"/>
    <n v="12"/>
    <n v="27074473"/>
    <n v="4"/>
    <n v="26"/>
    <n v="584"/>
    <n v="72989140"/>
    <n v="106295"/>
    <s v="Small"/>
    <s v="B2C"/>
    <n v="5"/>
    <n v="46.29"/>
    <n v="45085"/>
    <n v="1"/>
  </r>
  <r>
    <s v="Startup_388"/>
    <x v="2"/>
    <n v="14"/>
    <n v="43922039"/>
    <n v="3"/>
    <n v="22"/>
    <n v="654"/>
    <n v="15542479"/>
    <n v="375642"/>
    <s v="Large"/>
    <s v="B2B"/>
    <n v="6"/>
    <n v="79.09"/>
    <n v="775742"/>
    <n v="1"/>
  </r>
  <r>
    <s v="Startup_389"/>
    <x v="5"/>
    <n v="5"/>
    <n v="17148207"/>
    <n v="3"/>
    <n v="2"/>
    <n v="667"/>
    <n v="44620869"/>
    <n v="462523"/>
    <s v="Medium"/>
    <s v="B2C"/>
    <n v="5"/>
    <n v="22.59"/>
    <n v="887541"/>
    <n v="1"/>
  </r>
  <r>
    <s v="Startup_390"/>
    <x v="6"/>
    <n v="0"/>
    <n v="4591239"/>
    <n v="4"/>
    <n v="22"/>
    <n v="582"/>
    <n v="10180346"/>
    <n v="100406"/>
    <s v="Large"/>
    <s v="B2B"/>
    <n v="2"/>
    <n v="72.59"/>
    <n v="134608"/>
    <n v="1"/>
  </r>
  <r>
    <s v="Startup_391"/>
    <x v="5"/>
    <n v="6"/>
    <n v="33916472"/>
    <n v="4"/>
    <n v="21"/>
    <n v="178"/>
    <n v="12200071"/>
    <n v="28643"/>
    <s v="Small"/>
    <s v="Hybrid"/>
    <n v="9"/>
    <n v="80.36"/>
    <n v="515181"/>
    <n v="1"/>
  </r>
  <r>
    <s v="Startup_392"/>
    <x v="3"/>
    <n v="14"/>
    <n v="18932021"/>
    <n v="3"/>
    <n v="25"/>
    <n v="52"/>
    <n v="21426274"/>
    <n v="618720"/>
    <s v="Large"/>
    <s v="B2B"/>
    <n v="7"/>
    <n v="22.8"/>
    <n v="851292"/>
    <n v="1"/>
  </r>
  <r>
    <s v="Startup_393"/>
    <x v="1"/>
    <n v="13"/>
    <n v="20777457"/>
    <n v="2"/>
    <n v="1"/>
    <n v="208"/>
    <n v="68958706"/>
    <n v="8797"/>
    <s v="Large"/>
    <s v="Hybrid"/>
    <n v="7"/>
    <n v="57.28"/>
    <n v="487863"/>
    <n v="1"/>
  </r>
  <r>
    <s v="Startup_394"/>
    <x v="4"/>
    <n v="6"/>
    <n v="15375000"/>
    <n v="2"/>
    <n v="25"/>
    <n v="225"/>
    <n v="21394930"/>
    <n v="852678"/>
    <s v="Large"/>
    <s v="B2B"/>
    <n v="7"/>
    <n v="67.540000000000006"/>
    <n v="381446"/>
    <n v="1"/>
  </r>
  <r>
    <s v="Startup_395"/>
    <x v="5"/>
    <n v="7"/>
    <n v="6738842"/>
    <n v="3"/>
    <n v="11"/>
    <n v="263"/>
    <n v="26615249"/>
    <n v="228635"/>
    <s v="Medium"/>
    <s v="B2B"/>
    <n v="9"/>
    <n v="19.23"/>
    <n v="708827"/>
    <n v="1"/>
  </r>
  <r>
    <s v="Startup_396"/>
    <x v="0"/>
    <n v="7"/>
    <n v="26357488"/>
    <n v="2"/>
    <n v="19"/>
    <n v="371"/>
    <n v="54724878"/>
    <n v="558198"/>
    <s v="Large"/>
    <s v="Hybrid"/>
    <n v="6"/>
    <n v="50.63"/>
    <n v="751609"/>
    <n v="1"/>
  </r>
  <r>
    <s v="Startup_397"/>
    <x v="2"/>
    <n v="11"/>
    <n v="7204820"/>
    <n v="3"/>
    <n v="17"/>
    <n v="924"/>
    <n v="59083451"/>
    <n v="873854"/>
    <s v="Small"/>
    <s v="B2B"/>
    <n v="9"/>
    <n v="95.28"/>
    <n v="753933"/>
    <n v="1"/>
  </r>
  <r>
    <s v="Startup_398"/>
    <x v="2"/>
    <n v="3"/>
    <n v="28235730"/>
    <n v="3"/>
    <n v="21"/>
    <n v="82"/>
    <n v="55815902"/>
    <n v="836036"/>
    <s v="Small"/>
    <s v="B2B"/>
    <n v="6"/>
    <n v="55.45"/>
    <n v="381874"/>
    <n v="1"/>
  </r>
  <r>
    <s v="Startup_399"/>
    <x v="6"/>
    <n v="1"/>
    <n v="27126623"/>
    <n v="1"/>
    <n v="21"/>
    <n v="435"/>
    <n v="69456877"/>
    <n v="294207"/>
    <s v="Large"/>
    <s v="B2C"/>
    <n v="8"/>
    <n v="50.68"/>
    <n v="165949"/>
    <n v="1"/>
  </r>
  <r>
    <s v="Startup_400"/>
    <x v="4"/>
    <n v="14"/>
    <n v="29290667"/>
    <n v="2"/>
    <n v="0"/>
    <n v="283"/>
    <n v="42919437"/>
    <n v="552434"/>
    <s v="Large"/>
    <s v="B2B"/>
    <n v="2"/>
    <n v="88.13"/>
    <n v="261285"/>
    <n v="1"/>
  </r>
  <r>
    <s v="Startup_401"/>
    <x v="2"/>
    <n v="6"/>
    <n v="3108073"/>
    <n v="4"/>
    <n v="11"/>
    <n v="607"/>
    <n v="69715255"/>
    <n v="274931"/>
    <s v="Large"/>
    <s v="B2B"/>
    <n v="8"/>
    <n v="98.84"/>
    <n v="83286"/>
    <n v="1"/>
  </r>
  <r>
    <s v="Startup_402"/>
    <x v="0"/>
    <n v="6"/>
    <n v="42765395"/>
    <n v="1"/>
    <n v="27"/>
    <n v="720"/>
    <n v="60883894"/>
    <n v="891778"/>
    <s v="Large"/>
    <s v="B2C"/>
    <n v="3"/>
    <n v="92.2"/>
    <n v="417394"/>
    <n v="1"/>
  </r>
  <r>
    <s v="Startup_403"/>
    <x v="6"/>
    <n v="8"/>
    <n v="3224212"/>
    <n v="3"/>
    <n v="12"/>
    <n v="379"/>
    <n v="70714507"/>
    <n v="16867"/>
    <s v="Large"/>
    <s v="B2B"/>
    <n v="1"/>
    <n v="38.06"/>
    <n v="249838"/>
    <n v="1"/>
  </r>
  <r>
    <s v="Startup_404"/>
    <x v="1"/>
    <n v="2"/>
    <n v="36045615"/>
    <n v="2"/>
    <n v="18"/>
    <n v="717"/>
    <n v="5256308"/>
    <n v="142063"/>
    <s v="Medium"/>
    <s v="B2C"/>
    <n v="4"/>
    <n v="5.72"/>
    <n v="519806"/>
    <n v="1"/>
  </r>
  <r>
    <s v="Startup_405"/>
    <x v="2"/>
    <n v="1"/>
    <n v="24333753"/>
    <n v="1"/>
    <n v="2"/>
    <n v="244"/>
    <n v="56930755"/>
    <n v="509634"/>
    <s v="Medium"/>
    <s v="Hybrid"/>
    <n v="3"/>
    <n v="69.7"/>
    <n v="628615"/>
    <n v="1"/>
  </r>
  <r>
    <s v="Startup_406"/>
    <x v="1"/>
    <n v="5"/>
    <n v="17871256"/>
    <n v="1"/>
    <n v="26"/>
    <n v="669"/>
    <n v="73449585"/>
    <n v="412477"/>
    <s v="Large"/>
    <s v="B2C"/>
    <n v="2"/>
    <n v="59.81"/>
    <n v="680263"/>
    <n v="1"/>
  </r>
  <r>
    <s v="Startup_407"/>
    <x v="0"/>
    <n v="3"/>
    <n v="17864516"/>
    <n v="3"/>
    <n v="4"/>
    <n v="310"/>
    <n v="83589293"/>
    <n v="868808"/>
    <s v="Large"/>
    <s v="B2C"/>
    <n v="8"/>
    <n v="71.33"/>
    <n v="561393"/>
    <n v="1"/>
  </r>
  <r>
    <s v="Startup_408"/>
    <x v="2"/>
    <n v="6"/>
    <n v="22502157"/>
    <n v="2"/>
    <n v="1"/>
    <n v="815"/>
    <n v="65065098"/>
    <n v="463800"/>
    <s v="Large"/>
    <s v="B2B"/>
    <n v="2"/>
    <n v="47.78"/>
    <n v="545468"/>
    <n v="1"/>
  </r>
  <r>
    <s v="Startup_409"/>
    <x v="1"/>
    <n v="10"/>
    <n v="9159580"/>
    <n v="4"/>
    <n v="11"/>
    <n v="707"/>
    <n v="65140718"/>
    <n v="602705"/>
    <s v="Large"/>
    <s v="B2B"/>
    <n v="4"/>
    <n v="25.54"/>
    <n v="856149"/>
    <n v="1"/>
  </r>
  <r>
    <s v="Startup_410"/>
    <x v="0"/>
    <n v="9"/>
    <n v="19892734"/>
    <n v="3"/>
    <n v="13"/>
    <n v="299"/>
    <n v="42710691"/>
    <n v="468948"/>
    <s v="Large"/>
    <s v="Hybrid"/>
    <n v="3"/>
    <n v="94.72"/>
    <n v="928449"/>
    <n v="1"/>
  </r>
  <r>
    <s v="Startup_411"/>
    <x v="6"/>
    <n v="6"/>
    <n v="9336444"/>
    <n v="3"/>
    <n v="26"/>
    <n v="768"/>
    <n v="64468649"/>
    <n v="220613"/>
    <s v="Large"/>
    <s v="B2B"/>
    <n v="2"/>
    <n v="35.049999999999997"/>
    <n v="909833"/>
    <n v="1"/>
  </r>
  <r>
    <s v="Startup_412"/>
    <x v="0"/>
    <n v="7"/>
    <n v="286950"/>
    <n v="2"/>
    <n v="16"/>
    <n v="64"/>
    <n v="24028228"/>
    <n v="699862"/>
    <s v="Large"/>
    <s v="B2C"/>
    <n v="9"/>
    <n v="26.43"/>
    <n v="321082"/>
    <n v="1"/>
  </r>
  <r>
    <s v="Startup_413"/>
    <x v="3"/>
    <n v="0"/>
    <n v="15138462"/>
    <n v="2"/>
    <n v="27"/>
    <n v="608"/>
    <n v="54897589"/>
    <n v="676420"/>
    <s v="Medium"/>
    <s v="Hybrid"/>
    <n v="7"/>
    <n v="19.62"/>
    <n v="426043"/>
    <n v="1"/>
  </r>
  <r>
    <s v="Startup_414"/>
    <x v="3"/>
    <n v="1"/>
    <n v="49511592"/>
    <n v="4"/>
    <n v="1"/>
    <n v="26"/>
    <n v="34398534"/>
    <n v="726006"/>
    <s v="Small"/>
    <s v="B2C"/>
    <n v="7"/>
    <n v="78.150000000000006"/>
    <n v="256930"/>
    <n v="1"/>
  </r>
  <r>
    <s v="Startup_415"/>
    <x v="3"/>
    <n v="1"/>
    <n v="34077147"/>
    <n v="4"/>
    <n v="19"/>
    <n v="907"/>
    <n v="97479315"/>
    <n v="916223"/>
    <s v="Large"/>
    <s v="B2B"/>
    <n v="3"/>
    <n v="2.91"/>
    <n v="923293"/>
    <n v="1"/>
  </r>
  <r>
    <s v="Startup_416"/>
    <x v="0"/>
    <n v="11"/>
    <n v="2883220"/>
    <n v="1"/>
    <n v="14"/>
    <n v="533"/>
    <n v="47231126"/>
    <n v="665307"/>
    <s v="Large"/>
    <s v="Hybrid"/>
    <n v="4"/>
    <n v="55.64"/>
    <n v="416516"/>
    <n v="1"/>
  </r>
  <r>
    <s v="Startup_417"/>
    <x v="2"/>
    <n v="10"/>
    <n v="39813558"/>
    <n v="4"/>
    <n v="8"/>
    <n v="593"/>
    <n v="17862623"/>
    <n v="320001"/>
    <s v="Small"/>
    <s v="B2B"/>
    <n v="3"/>
    <n v="29.98"/>
    <n v="998333"/>
    <n v="1"/>
  </r>
  <r>
    <s v="Startup_418"/>
    <x v="3"/>
    <n v="4"/>
    <n v="39679362"/>
    <n v="2"/>
    <n v="24"/>
    <n v="399"/>
    <n v="42037873"/>
    <n v="324670"/>
    <s v="Small"/>
    <s v="B2B"/>
    <n v="3"/>
    <n v="41.33"/>
    <n v="210313"/>
    <n v="1"/>
  </r>
  <r>
    <s v="Startup_419"/>
    <x v="6"/>
    <n v="14"/>
    <n v="15886509"/>
    <n v="3"/>
    <n v="26"/>
    <n v="198"/>
    <n v="60724690"/>
    <n v="454938"/>
    <s v="Medium"/>
    <s v="Hybrid"/>
    <n v="1"/>
    <n v="16.02"/>
    <n v="805761"/>
    <n v="1"/>
  </r>
  <r>
    <s v="Startup_420"/>
    <x v="1"/>
    <n v="9"/>
    <n v="12922988"/>
    <n v="3"/>
    <n v="4"/>
    <n v="132"/>
    <n v="41689714"/>
    <n v="179615"/>
    <s v="Large"/>
    <s v="B2C"/>
    <n v="5"/>
    <n v="60.33"/>
    <n v="523083"/>
    <n v="1"/>
  </r>
  <r>
    <s v="Startup_421"/>
    <x v="0"/>
    <n v="8"/>
    <n v="16780480"/>
    <n v="1"/>
    <n v="16"/>
    <n v="362"/>
    <n v="29428664"/>
    <n v="362230"/>
    <s v="Small"/>
    <s v="B2B"/>
    <n v="3"/>
    <n v="83.82"/>
    <n v="279090"/>
    <n v="1"/>
  </r>
  <r>
    <s v="Startup_422"/>
    <x v="1"/>
    <n v="4"/>
    <n v="22176235"/>
    <n v="2"/>
    <n v="15"/>
    <n v="923"/>
    <n v="40804853"/>
    <n v="679906"/>
    <s v="Medium"/>
    <s v="Hybrid"/>
    <n v="9"/>
    <n v="62.21"/>
    <n v="100696"/>
    <n v="1"/>
  </r>
  <r>
    <s v="Startup_423"/>
    <x v="1"/>
    <n v="7"/>
    <n v="36099585"/>
    <n v="1"/>
    <n v="6"/>
    <n v="970"/>
    <n v="36159641"/>
    <n v="802284"/>
    <s v="Medium"/>
    <s v="B2B"/>
    <n v="3"/>
    <n v="32.33"/>
    <n v="657726"/>
    <n v="1"/>
  </r>
  <r>
    <s v="Startup_424"/>
    <x v="5"/>
    <n v="7"/>
    <n v="18783143"/>
    <n v="2"/>
    <n v="23"/>
    <n v="180"/>
    <n v="71405015"/>
    <n v="335359"/>
    <s v="Medium"/>
    <s v="B2B"/>
    <n v="6"/>
    <n v="98.03"/>
    <n v="742251"/>
    <n v="1"/>
  </r>
  <r>
    <s v="Startup_425"/>
    <x v="1"/>
    <n v="13"/>
    <n v="40980373"/>
    <n v="2"/>
    <n v="21"/>
    <n v="69"/>
    <n v="49257650"/>
    <n v="981632"/>
    <s v="Large"/>
    <s v="B2C"/>
    <n v="8"/>
    <n v="20.03"/>
    <n v="657448"/>
    <n v="1"/>
  </r>
  <r>
    <s v="Startup_426"/>
    <x v="3"/>
    <n v="8"/>
    <n v="6954238"/>
    <n v="4"/>
    <n v="3"/>
    <n v="95"/>
    <n v="92974587"/>
    <n v="543858"/>
    <s v="Medium"/>
    <s v="Hybrid"/>
    <n v="8"/>
    <n v="98.95"/>
    <n v="942218"/>
    <n v="1"/>
  </r>
  <r>
    <s v="Startup_427"/>
    <x v="2"/>
    <n v="0"/>
    <n v="21878024"/>
    <n v="1"/>
    <n v="11"/>
    <n v="363"/>
    <n v="10333987"/>
    <n v="685939"/>
    <s v="Large"/>
    <s v="Hybrid"/>
    <n v="4"/>
    <n v="18.41"/>
    <n v="142247"/>
    <n v="1"/>
  </r>
  <r>
    <s v="Startup_428"/>
    <x v="0"/>
    <n v="0"/>
    <n v="2374444"/>
    <n v="4"/>
    <n v="23"/>
    <n v="53"/>
    <n v="97246770"/>
    <n v="50145"/>
    <s v="Small"/>
    <s v="Hybrid"/>
    <n v="2"/>
    <n v="59.52"/>
    <n v="30525"/>
    <n v="1"/>
  </r>
  <r>
    <s v="Startup_429"/>
    <x v="6"/>
    <n v="6"/>
    <n v="19779817"/>
    <n v="2"/>
    <n v="23"/>
    <n v="419"/>
    <n v="4637038"/>
    <n v="986842"/>
    <s v="Small"/>
    <s v="B2C"/>
    <n v="5"/>
    <n v="26.3"/>
    <n v="497430"/>
    <n v="1"/>
  </r>
  <r>
    <s v="Startup_430"/>
    <x v="4"/>
    <n v="6"/>
    <n v="32283723"/>
    <n v="1"/>
    <n v="28"/>
    <n v="515"/>
    <n v="44762976"/>
    <n v="78664"/>
    <s v="Medium"/>
    <s v="Hybrid"/>
    <n v="9"/>
    <n v="82.62"/>
    <n v="809771"/>
    <n v="1"/>
  </r>
  <r>
    <s v="Startup_431"/>
    <x v="1"/>
    <n v="9"/>
    <n v="28174248"/>
    <n v="3"/>
    <n v="20"/>
    <n v="778"/>
    <n v="44676055"/>
    <n v="111927"/>
    <s v="Small"/>
    <s v="B2B"/>
    <n v="8"/>
    <n v="95.51"/>
    <n v="274072"/>
    <n v="1"/>
  </r>
  <r>
    <s v="Startup_432"/>
    <x v="4"/>
    <n v="1"/>
    <n v="28178112"/>
    <n v="2"/>
    <n v="7"/>
    <n v="191"/>
    <n v="5606839"/>
    <n v="465249"/>
    <s v="Large"/>
    <s v="B2C"/>
    <n v="5"/>
    <n v="79.59"/>
    <n v="147616"/>
    <n v="1"/>
  </r>
  <r>
    <s v="Startup_433"/>
    <x v="6"/>
    <n v="9"/>
    <n v="23766362"/>
    <n v="4"/>
    <n v="18"/>
    <n v="544"/>
    <n v="28962423"/>
    <n v="462164"/>
    <s v="Large"/>
    <s v="B2C"/>
    <n v="6"/>
    <n v="57.39"/>
    <n v="547857"/>
    <n v="1"/>
  </r>
  <r>
    <s v="Startup_434"/>
    <x v="2"/>
    <n v="0"/>
    <n v="217627"/>
    <n v="3"/>
    <n v="29"/>
    <n v="927"/>
    <n v="6320469"/>
    <n v="590741"/>
    <s v="Small"/>
    <s v="B2C"/>
    <n v="3"/>
    <n v="8.5500000000000007"/>
    <n v="989944"/>
    <n v="1"/>
  </r>
  <r>
    <s v="Startup_435"/>
    <x v="1"/>
    <n v="1"/>
    <n v="12873724"/>
    <n v="3"/>
    <n v="25"/>
    <n v="319"/>
    <n v="12015025"/>
    <n v="852784"/>
    <s v="Small"/>
    <s v="B2B"/>
    <n v="3"/>
    <n v="4.47"/>
    <n v="106052"/>
    <n v="1"/>
  </r>
  <r>
    <s v="Startup_436"/>
    <x v="0"/>
    <n v="12"/>
    <n v="14125031"/>
    <n v="4"/>
    <n v="20"/>
    <n v="362"/>
    <n v="81349291"/>
    <n v="489910"/>
    <s v="Medium"/>
    <s v="Hybrid"/>
    <n v="9"/>
    <n v="57.95"/>
    <n v="735069"/>
    <n v="1"/>
  </r>
  <r>
    <s v="Startup_437"/>
    <x v="6"/>
    <n v="3"/>
    <n v="32505036"/>
    <n v="2"/>
    <n v="0"/>
    <n v="929"/>
    <n v="16262472"/>
    <n v="128879"/>
    <s v="Large"/>
    <s v="Hybrid"/>
    <n v="4"/>
    <n v="26.77"/>
    <n v="347853"/>
    <n v="1"/>
  </r>
  <r>
    <s v="Startup_438"/>
    <x v="0"/>
    <n v="5"/>
    <n v="17067439"/>
    <n v="1"/>
    <n v="20"/>
    <n v="411"/>
    <n v="4149782"/>
    <n v="616604"/>
    <s v="Large"/>
    <s v="Hybrid"/>
    <n v="2"/>
    <n v="19.23"/>
    <n v="76804"/>
    <n v="1"/>
  </r>
  <r>
    <s v="Startup_439"/>
    <x v="1"/>
    <n v="2"/>
    <n v="37295747"/>
    <n v="3"/>
    <n v="5"/>
    <n v="95"/>
    <n v="29513783"/>
    <n v="825674"/>
    <s v="Medium"/>
    <s v="B2C"/>
    <n v="6"/>
    <n v="87.59"/>
    <n v="710285"/>
    <n v="1"/>
  </r>
  <r>
    <s v="Startup_440"/>
    <x v="6"/>
    <n v="9"/>
    <n v="14807253"/>
    <n v="2"/>
    <n v="22"/>
    <n v="85"/>
    <n v="3160864"/>
    <n v="890775"/>
    <s v="Small"/>
    <s v="B2B"/>
    <n v="8"/>
    <n v="25.98"/>
    <n v="774903"/>
    <n v="1"/>
  </r>
  <r>
    <s v="Startup_441"/>
    <x v="6"/>
    <n v="14"/>
    <n v="16264605"/>
    <n v="4"/>
    <n v="20"/>
    <n v="523"/>
    <n v="20518479"/>
    <n v="923312"/>
    <s v="Small"/>
    <s v="B2B"/>
    <n v="6"/>
    <n v="23.06"/>
    <n v="840839"/>
    <n v="1"/>
  </r>
  <r>
    <s v="Startup_442"/>
    <x v="2"/>
    <n v="3"/>
    <n v="12505963"/>
    <n v="1"/>
    <n v="18"/>
    <n v="20"/>
    <n v="95423012"/>
    <n v="628076"/>
    <s v="Large"/>
    <s v="B2B"/>
    <n v="6"/>
    <n v="81.88"/>
    <n v="423209"/>
    <n v="1"/>
  </r>
  <r>
    <s v="Startup_443"/>
    <x v="5"/>
    <n v="12"/>
    <n v="12226377"/>
    <n v="1"/>
    <n v="13"/>
    <n v="519"/>
    <n v="64202900"/>
    <n v="202238"/>
    <s v="Large"/>
    <s v="B2B"/>
    <n v="7"/>
    <n v="73.41"/>
    <n v="377994"/>
    <n v="1"/>
  </r>
  <r>
    <s v="Startup_444"/>
    <x v="1"/>
    <n v="5"/>
    <n v="779406"/>
    <n v="4"/>
    <n v="11"/>
    <n v="507"/>
    <n v="10930954"/>
    <n v="230033"/>
    <s v="Small"/>
    <s v="Hybrid"/>
    <n v="5"/>
    <n v="83.3"/>
    <n v="15958"/>
    <n v="1"/>
  </r>
  <r>
    <s v="Startup_445"/>
    <x v="3"/>
    <n v="10"/>
    <n v="1725818"/>
    <n v="1"/>
    <n v="12"/>
    <n v="679"/>
    <n v="37903752"/>
    <n v="736672"/>
    <s v="Large"/>
    <s v="Hybrid"/>
    <n v="3"/>
    <n v="93.7"/>
    <n v="442229"/>
    <n v="1"/>
  </r>
  <r>
    <s v="Startup_446"/>
    <x v="6"/>
    <n v="12"/>
    <n v="6372091"/>
    <n v="2"/>
    <n v="4"/>
    <n v="205"/>
    <n v="29383839"/>
    <n v="884912"/>
    <s v="Small"/>
    <s v="B2C"/>
    <n v="8"/>
    <n v="34.6"/>
    <n v="276446"/>
    <n v="1"/>
  </r>
  <r>
    <s v="Startup_447"/>
    <x v="6"/>
    <n v="3"/>
    <n v="36756768"/>
    <n v="3"/>
    <n v="19"/>
    <n v="55"/>
    <n v="40242676"/>
    <n v="151942"/>
    <s v="Medium"/>
    <s v="Hybrid"/>
    <n v="2"/>
    <n v="72.959999999999994"/>
    <n v="578786"/>
    <n v="1"/>
  </r>
  <r>
    <s v="Startup_448"/>
    <x v="4"/>
    <n v="5"/>
    <n v="34306359"/>
    <n v="3"/>
    <n v="21"/>
    <n v="254"/>
    <n v="95117725"/>
    <n v="11215"/>
    <s v="Large"/>
    <s v="Hybrid"/>
    <n v="1"/>
    <n v="73.14"/>
    <n v="675112"/>
    <n v="1"/>
  </r>
  <r>
    <s v="Startup_449"/>
    <x v="6"/>
    <n v="4"/>
    <n v="21526299"/>
    <n v="3"/>
    <n v="12"/>
    <n v="157"/>
    <n v="8458412"/>
    <n v="135016"/>
    <s v="Medium"/>
    <s v="Hybrid"/>
    <n v="6"/>
    <n v="64.13"/>
    <n v="51164"/>
    <n v="1"/>
  </r>
  <r>
    <s v="Startup_450"/>
    <x v="4"/>
    <n v="1"/>
    <n v="30426285"/>
    <n v="3"/>
    <n v="16"/>
    <n v="551"/>
    <n v="38438332"/>
    <n v="786690"/>
    <s v="Small"/>
    <s v="B2C"/>
    <n v="4"/>
    <n v="49.77"/>
    <n v="384573"/>
    <n v="1"/>
  </r>
  <r>
    <s v="Startup_451"/>
    <x v="3"/>
    <n v="2"/>
    <n v="40128786"/>
    <n v="3"/>
    <n v="4"/>
    <n v="531"/>
    <n v="31821402"/>
    <n v="6412"/>
    <s v="Large"/>
    <s v="Hybrid"/>
    <n v="6"/>
    <n v="1.9"/>
    <n v="887764"/>
    <n v="1"/>
  </r>
  <r>
    <s v="Startup_452"/>
    <x v="1"/>
    <n v="14"/>
    <n v="227269"/>
    <n v="3"/>
    <n v="12"/>
    <n v="313"/>
    <n v="38045222"/>
    <n v="34097"/>
    <s v="Medium"/>
    <s v="B2C"/>
    <n v="8"/>
    <n v="46.44"/>
    <n v="842773"/>
    <n v="1"/>
  </r>
  <r>
    <s v="Startup_453"/>
    <x v="5"/>
    <n v="6"/>
    <n v="19539351"/>
    <n v="4"/>
    <n v="10"/>
    <n v="929"/>
    <n v="63356423"/>
    <n v="452171"/>
    <s v="Large"/>
    <s v="B2C"/>
    <n v="5"/>
    <n v="57.97"/>
    <n v="129810"/>
    <n v="1"/>
  </r>
  <r>
    <s v="Startup_454"/>
    <x v="2"/>
    <n v="0"/>
    <n v="12288007"/>
    <n v="3"/>
    <n v="23"/>
    <n v="249"/>
    <n v="40857281"/>
    <n v="37340"/>
    <s v="Medium"/>
    <s v="B2C"/>
    <n v="8"/>
    <n v="67.099999999999994"/>
    <n v="211417"/>
    <n v="1"/>
  </r>
  <r>
    <s v="Startup_455"/>
    <x v="5"/>
    <n v="3"/>
    <n v="47766293"/>
    <n v="3"/>
    <n v="23"/>
    <n v="884"/>
    <n v="65460226"/>
    <n v="567995"/>
    <s v="Small"/>
    <s v="B2B"/>
    <n v="7"/>
    <n v="22.13"/>
    <n v="791066"/>
    <n v="1"/>
  </r>
  <r>
    <s v="Startup_456"/>
    <x v="1"/>
    <n v="7"/>
    <n v="25038219"/>
    <n v="3"/>
    <n v="10"/>
    <n v="963"/>
    <n v="31850013"/>
    <n v="12121"/>
    <s v="Large"/>
    <s v="B2C"/>
    <n v="8"/>
    <n v="30.85"/>
    <n v="94282"/>
    <n v="1"/>
  </r>
  <r>
    <s v="Startup_457"/>
    <x v="4"/>
    <n v="8"/>
    <n v="7688507"/>
    <n v="4"/>
    <n v="15"/>
    <n v="714"/>
    <n v="1358072"/>
    <n v="662216"/>
    <s v="Medium"/>
    <s v="B2B"/>
    <n v="4"/>
    <n v="82.1"/>
    <n v="495419"/>
    <n v="1"/>
  </r>
  <r>
    <s v="Startup_458"/>
    <x v="1"/>
    <n v="4"/>
    <n v="36494702"/>
    <n v="4"/>
    <n v="14"/>
    <n v="141"/>
    <n v="37742303"/>
    <n v="303629"/>
    <s v="Large"/>
    <s v="B2B"/>
    <n v="4"/>
    <n v="94.95"/>
    <n v="142238"/>
    <n v="1"/>
  </r>
  <r>
    <s v="Startup_459"/>
    <x v="3"/>
    <n v="1"/>
    <n v="37386372"/>
    <n v="3"/>
    <n v="6"/>
    <n v="623"/>
    <n v="57725563"/>
    <n v="180670"/>
    <s v="Small"/>
    <s v="Hybrid"/>
    <n v="3"/>
    <n v="89.09"/>
    <n v="16521"/>
    <n v="1"/>
  </r>
  <r>
    <s v="Startup_460"/>
    <x v="0"/>
    <n v="9"/>
    <n v="2303295"/>
    <n v="1"/>
    <n v="25"/>
    <n v="775"/>
    <n v="22813573"/>
    <n v="252378"/>
    <s v="Medium"/>
    <s v="B2B"/>
    <n v="7"/>
    <n v="63.91"/>
    <n v="917307"/>
    <n v="1"/>
  </r>
  <r>
    <s v="Startup_461"/>
    <x v="5"/>
    <n v="2"/>
    <n v="48041843"/>
    <n v="2"/>
    <n v="15"/>
    <n v="97"/>
    <n v="82129689"/>
    <n v="699851"/>
    <s v="Medium"/>
    <s v="B2B"/>
    <n v="2"/>
    <n v="78.88"/>
    <n v="304198"/>
    <n v="1"/>
  </r>
  <r>
    <s v="Startup_462"/>
    <x v="1"/>
    <n v="13"/>
    <n v="31903715"/>
    <n v="2"/>
    <n v="10"/>
    <n v="156"/>
    <n v="49660005"/>
    <n v="344532"/>
    <s v="Medium"/>
    <s v="B2B"/>
    <n v="4"/>
    <n v="86.52"/>
    <n v="416446"/>
    <n v="1"/>
  </r>
  <r>
    <s v="Startup_463"/>
    <x v="1"/>
    <n v="14"/>
    <n v="1495644"/>
    <n v="1"/>
    <n v="27"/>
    <n v="583"/>
    <n v="59871426"/>
    <n v="411608"/>
    <s v="Medium"/>
    <s v="B2B"/>
    <n v="6"/>
    <n v="60.83"/>
    <n v="196931"/>
    <n v="1"/>
  </r>
  <r>
    <s v="Startup_464"/>
    <x v="5"/>
    <n v="5"/>
    <n v="34955865"/>
    <n v="1"/>
    <n v="28"/>
    <n v="444"/>
    <n v="100342"/>
    <n v="197230"/>
    <s v="Large"/>
    <s v="B2C"/>
    <n v="9"/>
    <n v="94.76"/>
    <n v="980611"/>
    <n v="1"/>
  </r>
  <r>
    <s v="Startup_465"/>
    <x v="6"/>
    <n v="13"/>
    <n v="27946420"/>
    <n v="4"/>
    <n v="15"/>
    <n v="240"/>
    <n v="24303392"/>
    <n v="708551"/>
    <s v="Large"/>
    <s v="B2B"/>
    <n v="2"/>
    <n v="66.03"/>
    <n v="489999"/>
    <n v="1"/>
  </r>
  <r>
    <s v="Startup_466"/>
    <x v="0"/>
    <n v="4"/>
    <n v="45535034"/>
    <n v="2"/>
    <n v="0"/>
    <n v="731"/>
    <n v="56393920"/>
    <n v="943051"/>
    <s v="Medium"/>
    <s v="Hybrid"/>
    <n v="9"/>
    <n v="62.33"/>
    <n v="781385"/>
    <n v="1"/>
  </r>
  <r>
    <s v="Startup_467"/>
    <x v="4"/>
    <n v="14"/>
    <n v="14016220"/>
    <n v="3"/>
    <n v="15"/>
    <n v="686"/>
    <n v="84042269"/>
    <n v="496383"/>
    <s v="Small"/>
    <s v="Hybrid"/>
    <n v="2"/>
    <n v="22.33"/>
    <n v="324647"/>
    <n v="1"/>
  </r>
  <r>
    <s v="Startup_468"/>
    <x v="6"/>
    <n v="11"/>
    <n v="5718820"/>
    <n v="2"/>
    <n v="4"/>
    <n v="273"/>
    <n v="28251327"/>
    <n v="14676"/>
    <s v="Small"/>
    <s v="B2B"/>
    <n v="9"/>
    <n v="40.04"/>
    <n v="71067"/>
    <n v="1"/>
  </r>
  <r>
    <s v="Startup_469"/>
    <x v="0"/>
    <n v="2"/>
    <n v="46171973"/>
    <n v="1"/>
    <n v="13"/>
    <n v="282"/>
    <n v="75211969"/>
    <n v="334965"/>
    <s v="Small"/>
    <s v="B2C"/>
    <n v="5"/>
    <n v="37.86"/>
    <n v="365111"/>
    <n v="1"/>
  </r>
  <r>
    <s v="Startup_470"/>
    <x v="0"/>
    <n v="1"/>
    <n v="8190369"/>
    <n v="2"/>
    <n v="21"/>
    <n v="969"/>
    <n v="64005975"/>
    <n v="194589"/>
    <s v="Small"/>
    <s v="B2C"/>
    <n v="2"/>
    <n v="4.79"/>
    <n v="356243"/>
    <n v="1"/>
  </r>
  <r>
    <s v="Startup_471"/>
    <x v="5"/>
    <n v="0"/>
    <n v="15355432"/>
    <n v="4"/>
    <n v="21"/>
    <n v="820"/>
    <n v="42936879"/>
    <n v="959087"/>
    <s v="Large"/>
    <s v="Hybrid"/>
    <n v="4"/>
    <n v="44.21"/>
    <n v="614557"/>
    <n v="1"/>
  </r>
  <r>
    <s v="Startup_472"/>
    <x v="2"/>
    <n v="12"/>
    <n v="38310064"/>
    <n v="2"/>
    <n v="13"/>
    <n v="23"/>
    <n v="2063252"/>
    <n v="103626"/>
    <s v="Large"/>
    <s v="B2C"/>
    <n v="5"/>
    <n v="46.33"/>
    <n v="145955"/>
    <n v="1"/>
  </r>
  <r>
    <s v="Startup_473"/>
    <x v="4"/>
    <n v="12"/>
    <n v="5440175"/>
    <n v="4"/>
    <n v="12"/>
    <n v="278"/>
    <n v="39030027"/>
    <n v="851890"/>
    <s v="Small"/>
    <s v="B2B"/>
    <n v="1"/>
    <n v="66.59"/>
    <n v="164378"/>
    <n v="1"/>
  </r>
  <r>
    <s v="Startup_474"/>
    <x v="1"/>
    <n v="2"/>
    <n v="41034640"/>
    <n v="2"/>
    <n v="8"/>
    <n v="473"/>
    <n v="90377338"/>
    <n v="251934"/>
    <s v="Medium"/>
    <s v="Hybrid"/>
    <n v="4"/>
    <n v="37.96"/>
    <n v="57533"/>
    <n v="1"/>
  </r>
  <r>
    <s v="Startup_475"/>
    <x v="1"/>
    <n v="5"/>
    <n v="39131396"/>
    <n v="1"/>
    <n v="26"/>
    <n v="210"/>
    <n v="3096558"/>
    <n v="129459"/>
    <s v="Small"/>
    <s v="B2B"/>
    <n v="9"/>
    <n v="66.680000000000007"/>
    <n v="657313"/>
    <n v="1"/>
  </r>
  <r>
    <s v="Startup_476"/>
    <x v="1"/>
    <n v="11"/>
    <n v="15942322"/>
    <n v="4"/>
    <n v="10"/>
    <n v="61"/>
    <n v="4556617"/>
    <n v="222808"/>
    <s v="Medium"/>
    <s v="B2B"/>
    <n v="9"/>
    <n v="18.54"/>
    <n v="765932"/>
    <n v="1"/>
  </r>
  <r>
    <s v="Startup_477"/>
    <x v="5"/>
    <n v="6"/>
    <n v="15775211"/>
    <n v="2"/>
    <n v="11"/>
    <n v="601"/>
    <n v="52832920"/>
    <n v="942193"/>
    <s v="Large"/>
    <s v="Hybrid"/>
    <n v="7"/>
    <n v="3.02"/>
    <n v="734652"/>
    <n v="1"/>
  </r>
  <r>
    <s v="Startup_478"/>
    <x v="2"/>
    <n v="3"/>
    <n v="27346785"/>
    <n v="4"/>
    <n v="0"/>
    <n v="119"/>
    <n v="50894440"/>
    <n v="299337"/>
    <s v="Small"/>
    <s v="B2C"/>
    <n v="7"/>
    <n v="55.64"/>
    <n v="856540"/>
    <n v="1"/>
  </r>
  <r>
    <s v="Startup_479"/>
    <x v="1"/>
    <n v="13"/>
    <n v="14528761"/>
    <n v="2"/>
    <n v="8"/>
    <n v="484"/>
    <n v="11838616"/>
    <n v="864649"/>
    <s v="Large"/>
    <s v="B2B"/>
    <n v="2"/>
    <n v="26.32"/>
    <n v="852802"/>
    <n v="1"/>
  </r>
  <r>
    <s v="Startup_480"/>
    <x v="0"/>
    <n v="0"/>
    <n v="40984556"/>
    <n v="4"/>
    <n v="24"/>
    <n v="944"/>
    <n v="15916057"/>
    <n v="50940"/>
    <s v="Medium"/>
    <s v="B2C"/>
    <n v="5"/>
    <n v="16.100000000000001"/>
    <n v="329782"/>
    <n v="1"/>
  </r>
  <r>
    <s v="Startup_481"/>
    <x v="0"/>
    <n v="7"/>
    <n v="46876195"/>
    <n v="1"/>
    <n v="17"/>
    <n v="551"/>
    <n v="39037198"/>
    <n v="995214"/>
    <s v="Small"/>
    <s v="B2C"/>
    <n v="7"/>
    <n v="71.31"/>
    <n v="177322"/>
    <n v="1"/>
  </r>
  <r>
    <s v="Startup_482"/>
    <x v="5"/>
    <n v="3"/>
    <n v="39452297"/>
    <n v="2"/>
    <n v="12"/>
    <n v="448"/>
    <n v="90102646"/>
    <n v="607237"/>
    <s v="Medium"/>
    <s v="B2B"/>
    <n v="7"/>
    <n v="94.85"/>
    <n v="778454"/>
    <n v="1"/>
  </r>
  <r>
    <s v="Startup_483"/>
    <x v="0"/>
    <n v="4"/>
    <n v="47385846"/>
    <n v="4"/>
    <n v="14"/>
    <n v="29"/>
    <n v="80358377"/>
    <n v="300903"/>
    <s v="Small"/>
    <s v="Hybrid"/>
    <n v="1"/>
    <n v="68.69"/>
    <n v="694122"/>
    <n v="1"/>
  </r>
  <r>
    <s v="Startup_484"/>
    <x v="3"/>
    <n v="4"/>
    <n v="41250851"/>
    <n v="3"/>
    <n v="1"/>
    <n v="732"/>
    <n v="18300794"/>
    <n v="764347"/>
    <s v="Medium"/>
    <s v="B2C"/>
    <n v="8"/>
    <n v="83.46"/>
    <n v="9178"/>
    <n v="1"/>
  </r>
  <r>
    <s v="Startup_485"/>
    <x v="4"/>
    <n v="6"/>
    <n v="15072059"/>
    <n v="4"/>
    <n v="28"/>
    <n v="834"/>
    <n v="13807379"/>
    <n v="970001"/>
    <s v="Large"/>
    <s v="B2C"/>
    <n v="1"/>
    <n v="98.78"/>
    <n v="185825"/>
    <n v="1"/>
  </r>
  <r>
    <s v="Startup_486"/>
    <x v="6"/>
    <n v="3"/>
    <n v="33337858"/>
    <n v="3"/>
    <n v="28"/>
    <n v="539"/>
    <n v="22091463"/>
    <n v="882003"/>
    <s v="Large"/>
    <s v="B2B"/>
    <n v="9"/>
    <n v="49.82"/>
    <n v="212520"/>
    <n v="1"/>
  </r>
  <r>
    <s v="Startup_487"/>
    <x v="3"/>
    <n v="12"/>
    <n v="925047"/>
    <n v="2"/>
    <n v="26"/>
    <n v="468"/>
    <n v="75037699"/>
    <n v="893496"/>
    <s v="Large"/>
    <s v="B2B"/>
    <n v="7"/>
    <n v="51.87"/>
    <n v="753178"/>
    <n v="1"/>
  </r>
  <r>
    <s v="Startup_488"/>
    <x v="0"/>
    <n v="12"/>
    <n v="15356016"/>
    <n v="4"/>
    <n v="16"/>
    <n v="686"/>
    <n v="2515346"/>
    <n v="824699"/>
    <s v="Medium"/>
    <s v="Hybrid"/>
    <n v="8"/>
    <n v="25.39"/>
    <n v="802391"/>
    <n v="1"/>
  </r>
  <r>
    <s v="Startup_489"/>
    <x v="1"/>
    <n v="12"/>
    <n v="33351772"/>
    <n v="4"/>
    <n v="0"/>
    <n v="142"/>
    <n v="9978107"/>
    <n v="864214"/>
    <s v="Large"/>
    <s v="B2C"/>
    <n v="7"/>
    <n v="61.06"/>
    <n v="375183"/>
    <n v="1"/>
  </r>
  <r>
    <s v="Startup_490"/>
    <x v="6"/>
    <n v="0"/>
    <n v="8360449"/>
    <n v="2"/>
    <n v="5"/>
    <n v="338"/>
    <n v="96264683"/>
    <n v="751018"/>
    <s v="Small"/>
    <s v="B2B"/>
    <n v="1"/>
    <n v="78.599999999999994"/>
    <n v="575392"/>
    <n v="1"/>
  </r>
  <r>
    <s v="Startup_491"/>
    <x v="1"/>
    <n v="8"/>
    <n v="30251016"/>
    <n v="1"/>
    <n v="8"/>
    <n v="191"/>
    <n v="6528942"/>
    <n v="157988"/>
    <s v="Large"/>
    <s v="B2C"/>
    <n v="1"/>
    <n v="29.73"/>
    <n v="664048"/>
    <n v="1"/>
  </r>
  <r>
    <s v="Startup_492"/>
    <x v="2"/>
    <n v="14"/>
    <n v="11893394"/>
    <n v="2"/>
    <n v="7"/>
    <n v="38"/>
    <n v="26301385"/>
    <n v="628938"/>
    <s v="Small"/>
    <s v="B2B"/>
    <n v="9"/>
    <n v="30.66"/>
    <n v="285510"/>
    <n v="1"/>
  </r>
  <r>
    <s v="Startup_493"/>
    <x v="6"/>
    <n v="0"/>
    <n v="7588160"/>
    <n v="3"/>
    <n v="22"/>
    <n v="125"/>
    <n v="78289363"/>
    <n v="760409"/>
    <s v="Small"/>
    <s v="Hybrid"/>
    <n v="8"/>
    <n v="68.31"/>
    <n v="82638"/>
    <n v="1"/>
  </r>
  <r>
    <s v="Startup_494"/>
    <x v="1"/>
    <n v="2"/>
    <n v="34815743"/>
    <n v="1"/>
    <n v="26"/>
    <n v="720"/>
    <n v="85807067"/>
    <n v="549114"/>
    <s v="Small"/>
    <s v="B2B"/>
    <n v="3"/>
    <n v="93.23"/>
    <n v="222056"/>
    <n v="1"/>
  </r>
  <r>
    <s v="Startup_495"/>
    <x v="5"/>
    <n v="6"/>
    <n v="19250469"/>
    <n v="1"/>
    <n v="15"/>
    <n v="939"/>
    <n v="61465094"/>
    <n v="778847"/>
    <s v="Large"/>
    <s v="Hybrid"/>
    <n v="8"/>
    <n v="77.290000000000006"/>
    <n v="436836"/>
    <n v="1"/>
  </r>
  <r>
    <s v="Startup_496"/>
    <x v="2"/>
    <n v="0"/>
    <n v="7165114"/>
    <n v="4"/>
    <n v="0"/>
    <n v="184"/>
    <n v="68895381"/>
    <n v="410595"/>
    <s v="Medium"/>
    <s v="B2B"/>
    <n v="5"/>
    <n v="96.32"/>
    <n v="363920"/>
    <n v="1"/>
  </r>
  <r>
    <s v="Startup_497"/>
    <x v="3"/>
    <n v="2"/>
    <n v="6364465"/>
    <n v="1"/>
    <n v="22"/>
    <n v="481"/>
    <n v="72219720"/>
    <n v="235658"/>
    <s v="Medium"/>
    <s v="B2B"/>
    <n v="7"/>
    <n v="49.43"/>
    <n v="464880"/>
    <n v="1"/>
  </r>
  <r>
    <s v="Startup_498"/>
    <x v="2"/>
    <n v="11"/>
    <n v="19781697"/>
    <n v="2"/>
    <n v="19"/>
    <n v="326"/>
    <n v="14747247"/>
    <n v="491856"/>
    <s v="Medium"/>
    <s v="B2C"/>
    <n v="8"/>
    <n v="27.23"/>
    <n v="699396"/>
    <n v="1"/>
  </r>
  <r>
    <s v="Startup_499"/>
    <x v="6"/>
    <n v="0"/>
    <n v="12169952"/>
    <n v="3"/>
    <n v="29"/>
    <n v="44"/>
    <n v="66503815"/>
    <n v="562742"/>
    <s v="Small"/>
    <s v="B2C"/>
    <n v="1"/>
    <n v="59.56"/>
    <n v="172649"/>
    <n v="1"/>
  </r>
  <r>
    <s v="Startup_500"/>
    <x v="6"/>
    <n v="10"/>
    <n v="16029770"/>
    <n v="4"/>
    <n v="5"/>
    <n v="761"/>
    <n v="46657047"/>
    <n v="637955"/>
    <s v="Large"/>
    <s v="B2C"/>
    <n v="7"/>
    <n v="99.07"/>
    <n v="470470"/>
    <n v="1"/>
  </r>
  <r>
    <s v="Startup_501"/>
    <x v="2"/>
    <n v="0"/>
    <n v="16617913"/>
    <n v="1"/>
    <n v="0"/>
    <n v="103"/>
    <n v="39463810"/>
    <n v="664410"/>
    <s v="Large"/>
    <s v="Hybrid"/>
    <n v="1"/>
    <n v="82.74"/>
    <n v="792742"/>
    <n v="1"/>
  </r>
  <r>
    <s v="Startup_502"/>
    <x v="1"/>
    <n v="13"/>
    <n v="30872857"/>
    <n v="1"/>
    <n v="11"/>
    <n v="280"/>
    <n v="52331659"/>
    <n v="121630"/>
    <s v="Large"/>
    <s v="B2B"/>
    <n v="6"/>
    <n v="54.47"/>
    <n v="518780"/>
    <n v="1"/>
  </r>
  <r>
    <s v="Startup_503"/>
    <x v="4"/>
    <n v="11"/>
    <n v="46303372"/>
    <n v="3"/>
    <n v="8"/>
    <n v="715"/>
    <n v="99222813"/>
    <n v="920927"/>
    <s v="Small"/>
    <s v="B2B"/>
    <n v="3"/>
    <n v="94.91"/>
    <n v="278854"/>
    <n v="1"/>
  </r>
  <r>
    <s v="Startup_504"/>
    <x v="2"/>
    <n v="2"/>
    <n v="9964373"/>
    <n v="1"/>
    <n v="11"/>
    <n v="403"/>
    <n v="45373949"/>
    <n v="348265"/>
    <s v="Large"/>
    <s v="B2B"/>
    <n v="8"/>
    <n v="23.75"/>
    <n v="81601"/>
    <n v="1"/>
  </r>
  <r>
    <s v="Startup_505"/>
    <x v="1"/>
    <n v="2"/>
    <n v="21709176"/>
    <n v="4"/>
    <n v="23"/>
    <n v="982"/>
    <n v="81241330"/>
    <n v="531385"/>
    <s v="Small"/>
    <s v="B2B"/>
    <n v="4"/>
    <n v="80.37"/>
    <n v="976961"/>
    <n v="1"/>
  </r>
  <r>
    <s v="Startup_506"/>
    <x v="1"/>
    <n v="13"/>
    <n v="47257584"/>
    <n v="1"/>
    <n v="26"/>
    <n v="472"/>
    <n v="17690091"/>
    <n v="186601"/>
    <s v="Large"/>
    <s v="B2C"/>
    <n v="7"/>
    <n v="45.16"/>
    <n v="63391"/>
    <n v="1"/>
  </r>
  <r>
    <s v="Startup_507"/>
    <x v="4"/>
    <n v="9"/>
    <n v="46816578"/>
    <n v="4"/>
    <n v="6"/>
    <n v="142"/>
    <n v="35524976"/>
    <n v="538750"/>
    <s v="Small"/>
    <s v="B2B"/>
    <n v="7"/>
    <n v="95.67"/>
    <n v="130377"/>
    <n v="1"/>
  </r>
  <r>
    <s v="Startup_508"/>
    <x v="6"/>
    <n v="3"/>
    <n v="8230900"/>
    <n v="3"/>
    <n v="2"/>
    <n v="823"/>
    <n v="8146548"/>
    <n v="628108"/>
    <s v="Large"/>
    <s v="B2B"/>
    <n v="8"/>
    <n v="8.8699999999999992"/>
    <n v="920123"/>
    <n v="1"/>
  </r>
  <r>
    <s v="Startup_509"/>
    <x v="0"/>
    <n v="2"/>
    <n v="18159290"/>
    <n v="1"/>
    <n v="11"/>
    <n v="412"/>
    <n v="99908534"/>
    <n v="425912"/>
    <s v="Small"/>
    <s v="B2B"/>
    <n v="2"/>
    <n v="77.06"/>
    <n v="237168"/>
    <n v="1"/>
  </r>
  <r>
    <s v="Startup_510"/>
    <x v="0"/>
    <n v="1"/>
    <n v="24111761"/>
    <n v="1"/>
    <n v="8"/>
    <n v="359"/>
    <n v="45223695"/>
    <n v="845195"/>
    <s v="Large"/>
    <s v="B2C"/>
    <n v="5"/>
    <n v="97.48"/>
    <n v="685133"/>
    <n v="1"/>
  </r>
  <r>
    <s v="Startup_511"/>
    <x v="4"/>
    <n v="13"/>
    <n v="26985881"/>
    <n v="2"/>
    <n v="20"/>
    <n v="950"/>
    <n v="64031592"/>
    <n v="634803"/>
    <s v="Large"/>
    <s v="B2B"/>
    <n v="6"/>
    <n v="12.69"/>
    <n v="548978"/>
    <n v="1"/>
  </r>
  <r>
    <s v="Startup_512"/>
    <x v="3"/>
    <n v="12"/>
    <n v="42713409"/>
    <n v="4"/>
    <n v="4"/>
    <n v="945"/>
    <n v="52786767"/>
    <n v="480418"/>
    <s v="Medium"/>
    <s v="Hybrid"/>
    <n v="1"/>
    <n v="91.63"/>
    <n v="645633"/>
    <n v="1"/>
  </r>
  <r>
    <s v="Startup_513"/>
    <x v="6"/>
    <n v="6"/>
    <n v="41648428"/>
    <n v="1"/>
    <n v="29"/>
    <n v="283"/>
    <n v="21518790"/>
    <n v="453262"/>
    <s v="Small"/>
    <s v="Hybrid"/>
    <n v="1"/>
    <n v="11.08"/>
    <n v="419426"/>
    <n v="1"/>
  </r>
  <r>
    <s v="Startup_514"/>
    <x v="1"/>
    <n v="5"/>
    <n v="1348494"/>
    <n v="1"/>
    <n v="20"/>
    <n v="5"/>
    <n v="47289080"/>
    <n v="983838"/>
    <s v="Medium"/>
    <s v="B2B"/>
    <n v="8"/>
    <n v="39.33"/>
    <n v="974688"/>
    <n v="1"/>
  </r>
  <r>
    <s v="Startup_515"/>
    <x v="1"/>
    <n v="10"/>
    <n v="18191937"/>
    <n v="1"/>
    <n v="11"/>
    <n v="757"/>
    <n v="36849222"/>
    <n v="999116"/>
    <s v="Small"/>
    <s v="B2C"/>
    <n v="9"/>
    <n v="58.04"/>
    <n v="679949"/>
    <n v="1"/>
  </r>
  <r>
    <s v="Startup_516"/>
    <x v="4"/>
    <n v="5"/>
    <n v="20482139"/>
    <n v="1"/>
    <n v="9"/>
    <n v="563"/>
    <n v="82223831"/>
    <n v="187774"/>
    <s v="Large"/>
    <s v="B2B"/>
    <n v="4"/>
    <n v="24.74"/>
    <n v="879455"/>
    <n v="1"/>
  </r>
  <r>
    <s v="Startup_517"/>
    <x v="3"/>
    <n v="11"/>
    <n v="10811641"/>
    <n v="3"/>
    <n v="19"/>
    <n v="363"/>
    <n v="20808535"/>
    <n v="900809"/>
    <s v="Medium"/>
    <s v="B2B"/>
    <n v="5"/>
    <n v="85.52"/>
    <n v="135745"/>
    <n v="1"/>
  </r>
  <r>
    <s v="Startup_518"/>
    <x v="3"/>
    <n v="3"/>
    <n v="46340289"/>
    <n v="1"/>
    <n v="21"/>
    <n v="848"/>
    <n v="20965939"/>
    <n v="573803"/>
    <s v="Medium"/>
    <s v="B2B"/>
    <n v="3"/>
    <n v="46.28"/>
    <n v="24157"/>
    <n v="1"/>
  </r>
  <r>
    <s v="Startup_519"/>
    <x v="4"/>
    <n v="2"/>
    <n v="25657106"/>
    <n v="1"/>
    <n v="2"/>
    <n v="341"/>
    <n v="38638994"/>
    <n v="313652"/>
    <s v="Small"/>
    <s v="Hybrid"/>
    <n v="7"/>
    <n v="66.58"/>
    <n v="677641"/>
    <n v="1"/>
  </r>
  <r>
    <s v="Startup_520"/>
    <x v="2"/>
    <n v="10"/>
    <n v="8116777"/>
    <n v="1"/>
    <n v="24"/>
    <n v="604"/>
    <n v="34750422"/>
    <n v="809545"/>
    <s v="Large"/>
    <s v="B2B"/>
    <n v="7"/>
    <n v="33.71"/>
    <n v="747017"/>
    <n v="1"/>
  </r>
  <r>
    <s v="Startup_521"/>
    <x v="6"/>
    <n v="14"/>
    <n v="48276994"/>
    <n v="2"/>
    <n v="3"/>
    <n v="470"/>
    <n v="38205819"/>
    <n v="128303"/>
    <s v="Medium"/>
    <s v="B2C"/>
    <n v="4"/>
    <n v="2.69"/>
    <n v="209824"/>
    <n v="1"/>
  </r>
  <r>
    <s v="Startup_522"/>
    <x v="2"/>
    <n v="3"/>
    <n v="33840621"/>
    <n v="1"/>
    <n v="27"/>
    <n v="69"/>
    <n v="96357041"/>
    <n v="463118"/>
    <s v="Small"/>
    <s v="Hybrid"/>
    <n v="8"/>
    <n v="21.81"/>
    <n v="147917"/>
    <n v="1"/>
  </r>
  <r>
    <s v="Startup_523"/>
    <x v="1"/>
    <n v="9"/>
    <n v="23862481"/>
    <n v="1"/>
    <n v="11"/>
    <n v="199"/>
    <n v="28249296"/>
    <n v="274253"/>
    <s v="Large"/>
    <s v="B2B"/>
    <n v="9"/>
    <n v="80.709999999999994"/>
    <n v="561196"/>
    <n v="1"/>
  </r>
  <r>
    <s v="Startup_524"/>
    <x v="3"/>
    <n v="1"/>
    <n v="45373955"/>
    <n v="1"/>
    <n v="6"/>
    <n v="981"/>
    <n v="80590686"/>
    <n v="543676"/>
    <s v="Large"/>
    <s v="B2B"/>
    <n v="8"/>
    <n v="66.25"/>
    <n v="803085"/>
    <n v="1"/>
  </r>
  <r>
    <s v="Startup_525"/>
    <x v="1"/>
    <n v="7"/>
    <n v="39632662"/>
    <n v="2"/>
    <n v="6"/>
    <n v="261"/>
    <n v="71546465"/>
    <n v="748566"/>
    <s v="Medium"/>
    <s v="B2B"/>
    <n v="7"/>
    <n v="45.75"/>
    <n v="173353"/>
    <n v="1"/>
  </r>
  <r>
    <s v="Startup_526"/>
    <x v="3"/>
    <n v="13"/>
    <n v="10750806"/>
    <n v="4"/>
    <n v="15"/>
    <n v="700"/>
    <n v="30836823"/>
    <n v="498834"/>
    <s v="Medium"/>
    <s v="B2B"/>
    <n v="2"/>
    <n v="91.44"/>
    <n v="182693"/>
    <n v="1"/>
  </r>
  <r>
    <s v="Startup_527"/>
    <x v="6"/>
    <n v="14"/>
    <n v="5185329"/>
    <n v="4"/>
    <n v="25"/>
    <n v="593"/>
    <n v="50562508"/>
    <n v="929905"/>
    <s v="Large"/>
    <s v="B2B"/>
    <n v="9"/>
    <n v="33.61"/>
    <n v="850874"/>
    <n v="1"/>
  </r>
  <r>
    <s v="Startup_528"/>
    <x v="5"/>
    <n v="13"/>
    <n v="347686"/>
    <n v="2"/>
    <n v="27"/>
    <n v="636"/>
    <n v="61857007"/>
    <n v="625465"/>
    <s v="Small"/>
    <s v="Hybrid"/>
    <n v="1"/>
    <n v="65.66"/>
    <n v="181826"/>
    <n v="1"/>
  </r>
  <r>
    <s v="Startup_529"/>
    <x v="6"/>
    <n v="0"/>
    <n v="10315970"/>
    <n v="2"/>
    <n v="24"/>
    <n v="649"/>
    <n v="11727769"/>
    <n v="265854"/>
    <s v="Small"/>
    <s v="Hybrid"/>
    <n v="5"/>
    <n v="39.979999999999997"/>
    <n v="245464"/>
    <n v="1"/>
  </r>
  <r>
    <s v="Startup_530"/>
    <x v="3"/>
    <n v="13"/>
    <n v="38676385"/>
    <n v="3"/>
    <n v="0"/>
    <n v="543"/>
    <n v="34749034"/>
    <n v="421553"/>
    <s v="Large"/>
    <s v="B2C"/>
    <n v="3"/>
    <n v="54.92"/>
    <n v="522018"/>
    <n v="1"/>
  </r>
  <r>
    <s v="Startup_531"/>
    <x v="3"/>
    <n v="14"/>
    <n v="42788660"/>
    <n v="2"/>
    <n v="26"/>
    <n v="15"/>
    <n v="78293880"/>
    <n v="256631"/>
    <s v="Large"/>
    <s v="B2B"/>
    <n v="6"/>
    <n v="0.2"/>
    <n v="623396"/>
    <n v="1"/>
  </r>
  <r>
    <s v="Startup_532"/>
    <x v="4"/>
    <n v="8"/>
    <n v="5450131"/>
    <n v="2"/>
    <n v="16"/>
    <n v="322"/>
    <n v="83128040"/>
    <n v="351445"/>
    <s v="Large"/>
    <s v="B2C"/>
    <n v="3"/>
    <n v="19.760000000000002"/>
    <n v="894130"/>
    <n v="1"/>
  </r>
  <r>
    <s v="Startup_533"/>
    <x v="3"/>
    <n v="10"/>
    <n v="5080069"/>
    <n v="1"/>
    <n v="24"/>
    <n v="739"/>
    <n v="81009685"/>
    <n v="493412"/>
    <s v="Medium"/>
    <s v="B2C"/>
    <n v="7"/>
    <n v="32.869999999999997"/>
    <n v="535084"/>
    <n v="1"/>
  </r>
  <r>
    <s v="Startup_534"/>
    <x v="5"/>
    <n v="6"/>
    <n v="34811310"/>
    <n v="1"/>
    <n v="8"/>
    <n v="426"/>
    <n v="30692371"/>
    <n v="473713"/>
    <s v="Small"/>
    <s v="Hybrid"/>
    <n v="2"/>
    <n v="58.12"/>
    <n v="257436"/>
    <n v="1"/>
  </r>
  <r>
    <s v="Startup_535"/>
    <x v="3"/>
    <n v="2"/>
    <n v="6066679"/>
    <n v="2"/>
    <n v="19"/>
    <n v="653"/>
    <n v="87286197"/>
    <n v="977287"/>
    <s v="Small"/>
    <s v="Hybrid"/>
    <n v="1"/>
    <n v="31.5"/>
    <n v="132255"/>
    <n v="1"/>
  </r>
  <r>
    <s v="Startup_536"/>
    <x v="5"/>
    <n v="12"/>
    <n v="25436602"/>
    <n v="2"/>
    <n v="20"/>
    <n v="447"/>
    <n v="52790364"/>
    <n v="328386"/>
    <s v="Small"/>
    <s v="B2C"/>
    <n v="7"/>
    <n v="7.42"/>
    <n v="796968"/>
    <n v="1"/>
  </r>
  <r>
    <s v="Startup_537"/>
    <x v="0"/>
    <n v="4"/>
    <n v="27055291"/>
    <n v="2"/>
    <n v="8"/>
    <n v="312"/>
    <n v="78742496"/>
    <n v="989470"/>
    <s v="Small"/>
    <s v="B2B"/>
    <n v="3"/>
    <n v="88.59"/>
    <n v="390321"/>
    <n v="1"/>
  </r>
  <r>
    <s v="Startup_538"/>
    <x v="2"/>
    <n v="0"/>
    <n v="17213484"/>
    <n v="3"/>
    <n v="28"/>
    <n v="979"/>
    <n v="9684327"/>
    <n v="547594"/>
    <s v="Small"/>
    <s v="B2B"/>
    <n v="2"/>
    <n v="51.33"/>
    <n v="625380"/>
    <n v="1"/>
  </r>
  <r>
    <s v="Startup_539"/>
    <x v="1"/>
    <n v="8"/>
    <n v="5259672"/>
    <n v="1"/>
    <n v="7"/>
    <n v="154"/>
    <n v="20013324"/>
    <n v="860979"/>
    <s v="Medium"/>
    <s v="B2B"/>
    <n v="1"/>
    <n v="67.55"/>
    <n v="855304"/>
    <n v="1"/>
  </r>
  <r>
    <s v="Startup_540"/>
    <x v="2"/>
    <n v="13"/>
    <n v="17977269"/>
    <n v="1"/>
    <n v="13"/>
    <n v="920"/>
    <n v="45977792"/>
    <n v="471568"/>
    <s v="Large"/>
    <s v="B2B"/>
    <n v="1"/>
    <n v="83.96"/>
    <n v="412222"/>
    <n v="1"/>
  </r>
  <r>
    <s v="Startup_541"/>
    <x v="4"/>
    <n v="2"/>
    <n v="1768583"/>
    <n v="2"/>
    <n v="8"/>
    <n v="35"/>
    <n v="45415159"/>
    <n v="189787"/>
    <s v="Small"/>
    <s v="B2C"/>
    <n v="2"/>
    <n v="46.1"/>
    <n v="727998"/>
    <n v="1"/>
  </r>
  <r>
    <s v="Startup_542"/>
    <x v="4"/>
    <n v="13"/>
    <n v="20651325"/>
    <n v="1"/>
    <n v="25"/>
    <n v="484"/>
    <n v="93825125"/>
    <n v="644747"/>
    <s v="Large"/>
    <s v="B2B"/>
    <n v="3"/>
    <n v="72.569999999999993"/>
    <n v="146022"/>
    <n v="1"/>
  </r>
  <r>
    <s v="Startup_543"/>
    <x v="6"/>
    <n v="14"/>
    <n v="12607499"/>
    <n v="4"/>
    <n v="12"/>
    <n v="472"/>
    <n v="72246673"/>
    <n v="900839"/>
    <s v="Medium"/>
    <s v="Hybrid"/>
    <n v="1"/>
    <n v="34.36"/>
    <n v="410313"/>
    <n v="1"/>
  </r>
  <r>
    <s v="Startup_544"/>
    <x v="4"/>
    <n v="1"/>
    <n v="370164"/>
    <n v="3"/>
    <n v="3"/>
    <n v="817"/>
    <n v="81199896"/>
    <n v="987081"/>
    <s v="Small"/>
    <s v="B2B"/>
    <n v="2"/>
    <n v="20.43"/>
    <n v="169281"/>
    <n v="1"/>
  </r>
  <r>
    <s v="Startup_545"/>
    <x v="1"/>
    <n v="13"/>
    <n v="29430971"/>
    <n v="4"/>
    <n v="25"/>
    <n v="412"/>
    <n v="78273321"/>
    <n v="871572"/>
    <s v="Small"/>
    <s v="Hybrid"/>
    <n v="3"/>
    <n v="98.39"/>
    <n v="928843"/>
    <n v="1"/>
  </r>
  <r>
    <s v="Startup_546"/>
    <x v="2"/>
    <n v="1"/>
    <n v="47667002"/>
    <n v="1"/>
    <n v="23"/>
    <n v="457"/>
    <n v="75624652"/>
    <n v="83782"/>
    <s v="Small"/>
    <s v="B2B"/>
    <n v="3"/>
    <n v="61.25"/>
    <n v="789656"/>
    <n v="1"/>
  </r>
  <r>
    <s v="Startup_547"/>
    <x v="5"/>
    <n v="12"/>
    <n v="31054538"/>
    <n v="2"/>
    <n v="1"/>
    <n v="717"/>
    <n v="13983555"/>
    <n v="635046"/>
    <s v="Medium"/>
    <s v="Hybrid"/>
    <n v="2"/>
    <n v="29.16"/>
    <n v="163710"/>
    <n v="1"/>
  </r>
  <r>
    <s v="Startup_548"/>
    <x v="1"/>
    <n v="9"/>
    <n v="15523896"/>
    <n v="2"/>
    <n v="22"/>
    <n v="29"/>
    <n v="45995518"/>
    <n v="973378"/>
    <s v="Large"/>
    <s v="B2C"/>
    <n v="3"/>
    <n v="67.099999999999994"/>
    <n v="975995"/>
    <n v="1"/>
  </r>
  <r>
    <s v="Startup_549"/>
    <x v="3"/>
    <n v="1"/>
    <n v="2697010"/>
    <n v="4"/>
    <n v="3"/>
    <n v="658"/>
    <n v="17999078"/>
    <n v="835824"/>
    <s v="Large"/>
    <s v="Hybrid"/>
    <n v="4"/>
    <n v="29.24"/>
    <n v="349836"/>
    <n v="1"/>
  </r>
  <r>
    <s v="Startup_550"/>
    <x v="1"/>
    <n v="12"/>
    <n v="12044473"/>
    <n v="1"/>
    <n v="1"/>
    <n v="926"/>
    <n v="86259569"/>
    <n v="996969"/>
    <s v="Medium"/>
    <s v="Hybrid"/>
    <n v="9"/>
    <n v="99.31"/>
    <n v="568390"/>
    <n v="1"/>
  </r>
  <r>
    <s v="Startup_551"/>
    <x v="4"/>
    <n v="0"/>
    <n v="39342908"/>
    <n v="4"/>
    <n v="1"/>
    <n v="903"/>
    <n v="49945869"/>
    <n v="740818"/>
    <s v="Medium"/>
    <s v="B2C"/>
    <n v="9"/>
    <n v="51.58"/>
    <n v="664796"/>
    <n v="1"/>
  </r>
  <r>
    <s v="Startup_552"/>
    <x v="2"/>
    <n v="5"/>
    <n v="47990142"/>
    <n v="2"/>
    <n v="9"/>
    <n v="992"/>
    <n v="94235825"/>
    <n v="313628"/>
    <s v="Large"/>
    <s v="B2B"/>
    <n v="9"/>
    <n v="62.91"/>
    <n v="79884"/>
    <n v="1"/>
  </r>
  <r>
    <s v="Startup_553"/>
    <x v="6"/>
    <n v="7"/>
    <n v="23565586"/>
    <n v="3"/>
    <n v="23"/>
    <n v="765"/>
    <n v="15661906"/>
    <n v="812081"/>
    <s v="Medium"/>
    <s v="Hybrid"/>
    <n v="7"/>
    <n v="64.58"/>
    <n v="903013"/>
    <n v="1"/>
  </r>
  <r>
    <s v="Startup_554"/>
    <x v="5"/>
    <n v="11"/>
    <n v="23233021"/>
    <n v="2"/>
    <n v="6"/>
    <n v="329"/>
    <n v="20075930"/>
    <n v="100958"/>
    <s v="Small"/>
    <s v="B2C"/>
    <n v="9"/>
    <n v="98.52"/>
    <n v="951496"/>
    <n v="1"/>
  </r>
  <r>
    <s v="Startup_555"/>
    <x v="0"/>
    <n v="11"/>
    <n v="17907341"/>
    <n v="3"/>
    <n v="22"/>
    <n v="318"/>
    <n v="97221093"/>
    <n v="673272"/>
    <s v="Large"/>
    <s v="B2B"/>
    <n v="1"/>
    <n v="57.98"/>
    <n v="133362"/>
    <n v="1"/>
  </r>
  <r>
    <s v="Startup_556"/>
    <x v="1"/>
    <n v="7"/>
    <n v="15992631"/>
    <n v="4"/>
    <n v="14"/>
    <n v="905"/>
    <n v="88393636"/>
    <n v="545890"/>
    <s v="Medium"/>
    <s v="Hybrid"/>
    <n v="6"/>
    <n v="83.3"/>
    <n v="547536"/>
    <n v="1"/>
  </r>
  <r>
    <s v="Startup_557"/>
    <x v="3"/>
    <n v="8"/>
    <n v="18781425"/>
    <n v="2"/>
    <n v="19"/>
    <n v="164"/>
    <n v="99036437"/>
    <n v="360924"/>
    <s v="Large"/>
    <s v="B2C"/>
    <n v="6"/>
    <n v="39.49"/>
    <n v="448500"/>
    <n v="1"/>
  </r>
  <r>
    <s v="Startup_558"/>
    <x v="2"/>
    <n v="7"/>
    <n v="36213088"/>
    <n v="3"/>
    <n v="13"/>
    <n v="777"/>
    <n v="76647048"/>
    <n v="493304"/>
    <s v="Small"/>
    <s v="B2C"/>
    <n v="5"/>
    <n v="45.61"/>
    <n v="835114"/>
    <n v="1"/>
  </r>
  <r>
    <s v="Startup_559"/>
    <x v="2"/>
    <n v="10"/>
    <n v="22605194"/>
    <n v="1"/>
    <n v="10"/>
    <n v="174"/>
    <n v="82669868"/>
    <n v="521793"/>
    <s v="Large"/>
    <s v="B2C"/>
    <n v="8"/>
    <n v="62.15"/>
    <n v="258191"/>
    <n v="1"/>
  </r>
  <r>
    <s v="Startup_560"/>
    <x v="5"/>
    <n v="11"/>
    <n v="11343351"/>
    <n v="3"/>
    <n v="4"/>
    <n v="343"/>
    <n v="23853725"/>
    <n v="414512"/>
    <s v="Medium"/>
    <s v="B2B"/>
    <n v="5"/>
    <n v="1.27"/>
    <n v="582372"/>
    <n v="1"/>
  </r>
  <r>
    <s v="Startup_561"/>
    <x v="4"/>
    <n v="10"/>
    <n v="32986105"/>
    <n v="2"/>
    <n v="8"/>
    <n v="71"/>
    <n v="49175010"/>
    <n v="509924"/>
    <s v="Small"/>
    <s v="Hybrid"/>
    <n v="2"/>
    <n v="27.08"/>
    <n v="788805"/>
    <n v="1"/>
  </r>
  <r>
    <s v="Startup_562"/>
    <x v="1"/>
    <n v="14"/>
    <n v="45581814"/>
    <n v="2"/>
    <n v="22"/>
    <n v="288"/>
    <n v="81259324"/>
    <n v="713509"/>
    <s v="Large"/>
    <s v="Hybrid"/>
    <n v="4"/>
    <n v="29.27"/>
    <n v="739468"/>
    <n v="1"/>
  </r>
  <r>
    <s v="Startup_563"/>
    <x v="1"/>
    <n v="8"/>
    <n v="10034318"/>
    <n v="2"/>
    <n v="27"/>
    <n v="835"/>
    <n v="30864191"/>
    <n v="863992"/>
    <s v="Medium"/>
    <s v="Hybrid"/>
    <n v="3"/>
    <n v="36.67"/>
    <n v="476797"/>
    <n v="1"/>
  </r>
  <r>
    <s v="Startup_564"/>
    <x v="0"/>
    <n v="12"/>
    <n v="16159485"/>
    <n v="2"/>
    <n v="25"/>
    <n v="65"/>
    <n v="79648486"/>
    <n v="35117"/>
    <s v="Medium"/>
    <s v="Hybrid"/>
    <n v="8"/>
    <n v="70.27"/>
    <n v="779807"/>
    <n v="1"/>
  </r>
  <r>
    <s v="Startup_565"/>
    <x v="4"/>
    <n v="5"/>
    <n v="18754239"/>
    <n v="4"/>
    <n v="0"/>
    <n v="986"/>
    <n v="40397138"/>
    <n v="619845"/>
    <s v="Small"/>
    <s v="B2C"/>
    <n v="9"/>
    <n v="35.4"/>
    <n v="932075"/>
    <n v="1"/>
  </r>
  <r>
    <s v="Startup_566"/>
    <x v="1"/>
    <n v="8"/>
    <n v="14566300"/>
    <n v="1"/>
    <n v="18"/>
    <n v="715"/>
    <n v="75555799"/>
    <n v="944958"/>
    <s v="Medium"/>
    <s v="Hybrid"/>
    <n v="3"/>
    <n v="36.89"/>
    <n v="394592"/>
    <n v="1"/>
  </r>
  <r>
    <s v="Startup_567"/>
    <x v="3"/>
    <n v="11"/>
    <n v="31990656"/>
    <n v="2"/>
    <n v="29"/>
    <n v="166"/>
    <n v="74155867"/>
    <n v="179975"/>
    <s v="Medium"/>
    <s v="Hybrid"/>
    <n v="2"/>
    <n v="9.02"/>
    <n v="140748"/>
    <n v="1"/>
  </r>
  <r>
    <s v="Startup_568"/>
    <x v="4"/>
    <n v="14"/>
    <n v="15182694"/>
    <n v="4"/>
    <n v="21"/>
    <n v="891"/>
    <n v="78260469"/>
    <n v="324592"/>
    <s v="Large"/>
    <s v="Hybrid"/>
    <n v="3"/>
    <n v="68.73"/>
    <n v="564019"/>
    <n v="1"/>
  </r>
  <r>
    <s v="Startup_569"/>
    <x v="3"/>
    <n v="10"/>
    <n v="10412028"/>
    <n v="2"/>
    <n v="22"/>
    <n v="379"/>
    <n v="3924508"/>
    <n v="499208"/>
    <s v="Small"/>
    <s v="Hybrid"/>
    <n v="1"/>
    <n v="88.37"/>
    <n v="315115"/>
    <n v="1"/>
  </r>
  <r>
    <s v="Startup_570"/>
    <x v="6"/>
    <n v="8"/>
    <n v="9423255"/>
    <n v="2"/>
    <n v="2"/>
    <n v="712"/>
    <n v="10361607"/>
    <n v="880013"/>
    <s v="Small"/>
    <s v="Hybrid"/>
    <n v="5"/>
    <n v="45.36"/>
    <n v="983933"/>
    <n v="1"/>
  </r>
  <r>
    <s v="Startup_571"/>
    <x v="5"/>
    <n v="1"/>
    <n v="47562969"/>
    <n v="3"/>
    <n v="2"/>
    <n v="457"/>
    <n v="57625151"/>
    <n v="216080"/>
    <s v="Medium"/>
    <s v="B2C"/>
    <n v="5"/>
    <n v="73.25"/>
    <n v="199933"/>
    <n v="1"/>
  </r>
  <r>
    <s v="Startup_572"/>
    <x v="6"/>
    <n v="8"/>
    <n v="1519308"/>
    <n v="1"/>
    <n v="3"/>
    <n v="85"/>
    <n v="79734629"/>
    <n v="539968"/>
    <s v="Medium"/>
    <s v="Hybrid"/>
    <n v="1"/>
    <n v="1.6"/>
    <n v="929118"/>
    <n v="1"/>
  </r>
  <r>
    <s v="Startup_573"/>
    <x v="2"/>
    <n v="6"/>
    <n v="7578887"/>
    <n v="1"/>
    <n v="24"/>
    <n v="376"/>
    <n v="73717285"/>
    <n v="247263"/>
    <s v="Medium"/>
    <s v="B2B"/>
    <n v="1"/>
    <n v="50.69"/>
    <n v="982048"/>
    <n v="1"/>
  </r>
  <r>
    <s v="Startup_574"/>
    <x v="2"/>
    <n v="0"/>
    <n v="7544102"/>
    <n v="4"/>
    <n v="15"/>
    <n v="976"/>
    <n v="15103596"/>
    <n v="304158"/>
    <s v="Large"/>
    <s v="B2B"/>
    <n v="5"/>
    <n v="70.41"/>
    <n v="505781"/>
    <n v="1"/>
  </r>
  <r>
    <s v="Startup_575"/>
    <x v="3"/>
    <n v="3"/>
    <n v="37732666"/>
    <n v="3"/>
    <n v="18"/>
    <n v="833"/>
    <n v="23665028"/>
    <n v="642914"/>
    <s v="Medium"/>
    <s v="B2C"/>
    <n v="7"/>
    <n v="84.37"/>
    <n v="425068"/>
    <n v="1"/>
  </r>
  <r>
    <s v="Startup_576"/>
    <x v="5"/>
    <n v="14"/>
    <n v="35030586"/>
    <n v="4"/>
    <n v="7"/>
    <n v="669"/>
    <n v="31299758"/>
    <n v="901592"/>
    <s v="Large"/>
    <s v="B2C"/>
    <n v="3"/>
    <n v="46.35"/>
    <n v="373037"/>
    <n v="1"/>
  </r>
  <r>
    <s v="Startup_577"/>
    <x v="2"/>
    <n v="9"/>
    <n v="6267630"/>
    <n v="2"/>
    <n v="17"/>
    <n v="692"/>
    <n v="46916358"/>
    <n v="319443"/>
    <s v="Small"/>
    <s v="B2B"/>
    <n v="2"/>
    <n v="49.36"/>
    <n v="222147"/>
    <n v="1"/>
  </r>
  <r>
    <s v="Startup_578"/>
    <x v="3"/>
    <n v="10"/>
    <n v="28303933"/>
    <n v="4"/>
    <n v="24"/>
    <n v="799"/>
    <n v="83304556"/>
    <n v="843847"/>
    <s v="Medium"/>
    <s v="Hybrid"/>
    <n v="6"/>
    <n v="5.99"/>
    <n v="573304"/>
    <n v="1"/>
  </r>
  <r>
    <s v="Startup_579"/>
    <x v="3"/>
    <n v="9"/>
    <n v="26202008"/>
    <n v="1"/>
    <n v="24"/>
    <n v="603"/>
    <n v="50129790"/>
    <n v="446183"/>
    <s v="Medium"/>
    <s v="B2B"/>
    <n v="4"/>
    <n v="12.38"/>
    <n v="378011"/>
    <n v="1"/>
  </r>
  <r>
    <s v="Startup_580"/>
    <x v="6"/>
    <n v="9"/>
    <n v="23043632"/>
    <n v="4"/>
    <n v="22"/>
    <n v="989"/>
    <n v="38611914"/>
    <n v="27009"/>
    <s v="Large"/>
    <s v="Hybrid"/>
    <n v="7"/>
    <n v="6.12"/>
    <n v="308794"/>
    <n v="1"/>
  </r>
  <r>
    <s v="Startup_581"/>
    <x v="3"/>
    <n v="14"/>
    <n v="8732599"/>
    <n v="4"/>
    <n v="5"/>
    <n v="730"/>
    <n v="35449133"/>
    <n v="642113"/>
    <s v="Large"/>
    <s v="B2B"/>
    <n v="9"/>
    <n v="64.27"/>
    <n v="674603"/>
    <n v="1"/>
  </r>
  <r>
    <s v="Startup_582"/>
    <x v="0"/>
    <n v="9"/>
    <n v="39479718"/>
    <n v="3"/>
    <n v="20"/>
    <n v="616"/>
    <n v="30835454"/>
    <n v="28592"/>
    <s v="Large"/>
    <s v="B2B"/>
    <n v="5"/>
    <n v="19.61"/>
    <n v="939079"/>
    <n v="1"/>
  </r>
  <r>
    <s v="Startup_583"/>
    <x v="3"/>
    <n v="9"/>
    <n v="22111716"/>
    <n v="3"/>
    <n v="20"/>
    <n v="934"/>
    <n v="37346168"/>
    <n v="455935"/>
    <s v="Small"/>
    <s v="Hybrid"/>
    <n v="2"/>
    <n v="4.55"/>
    <n v="252916"/>
    <n v="1"/>
  </r>
  <r>
    <s v="Startup_584"/>
    <x v="5"/>
    <n v="5"/>
    <n v="16554017"/>
    <n v="3"/>
    <n v="1"/>
    <n v="397"/>
    <n v="48599450"/>
    <n v="362323"/>
    <s v="Medium"/>
    <s v="Hybrid"/>
    <n v="8"/>
    <n v="20.39"/>
    <n v="794493"/>
    <n v="1"/>
  </r>
  <r>
    <s v="Startup_585"/>
    <x v="6"/>
    <n v="4"/>
    <n v="48109274"/>
    <n v="1"/>
    <n v="20"/>
    <n v="684"/>
    <n v="7579201"/>
    <n v="153634"/>
    <s v="Medium"/>
    <s v="Hybrid"/>
    <n v="7"/>
    <n v="31.68"/>
    <n v="524858"/>
    <n v="1"/>
  </r>
  <r>
    <s v="Startup_586"/>
    <x v="3"/>
    <n v="10"/>
    <n v="42182339"/>
    <n v="1"/>
    <n v="3"/>
    <n v="794"/>
    <n v="26163992"/>
    <n v="389147"/>
    <s v="Medium"/>
    <s v="B2B"/>
    <n v="8"/>
    <n v="9.76"/>
    <n v="103407"/>
    <n v="1"/>
  </r>
  <r>
    <s v="Startup_587"/>
    <x v="0"/>
    <n v="5"/>
    <n v="5563031"/>
    <n v="1"/>
    <n v="19"/>
    <n v="894"/>
    <n v="80708049"/>
    <n v="978452"/>
    <s v="Small"/>
    <s v="Hybrid"/>
    <n v="4"/>
    <n v="71.209999999999994"/>
    <n v="24840"/>
    <n v="1"/>
  </r>
  <r>
    <s v="Startup_588"/>
    <x v="0"/>
    <n v="9"/>
    <n v="23254012"/>
    <n v="2"/>
    <n v="16"/>
    <n v="198"/>
    <n v="74286154"/>
    <n v="29145"/>
    <s v="Medium"/>
    <s v="B2B"/>
    <n v="8"/>
    <n v="93.25"/>
    <n v="569086"/>
    <n v="1"/>
  </r>
  <r>
    <s v="Startup_589"/>
    <x v="4"/>
    <n v="14"/>
    <n v="9663503"/>
    <n v="2"/>
    <n v="19"/>
    <n v="839"/>
    <n v="38119112"/>
    <n v="74013"/>
    <s v="Medium"/>
    <s v="B2B"/>
    <n v="5"/>
    <n v="59.82"/>
    <n v="256037"/>
    <n v="1"/>
  </r>
  <r>
    <s v="Startup_590"/>
    <x v="2"/>
    <n v="11"/>
    <n v="31313096"/>
    <n v="2"/>
    <n v="29"/>
    <n v="156"/>
    <n v="97179056"/>
    <n v="652745"/>
    <s v="Medium"/>
    <s v="B2C"/>
    <n v="7"/>
    <n v="78.61"/>
    <n v="962282"/>
    <n v="1"/>
  </r>
  <r>
    <s v="Startup_591"/>
    <x v="1"/>
    <n v="3"/>
    <n v="31178913"/>
    <n v="2"/>
    <n v="13"/>
    <n v="989"/>
    <n v="10418509"/>
    <n v="589594"/>
    <s v="Medium"/>
    <s v="Hybrid"/>
    <n v="5"/>
    <n v="62.39"/>
    <n v="987997"/>
    <n v="1"/>
  </r>
  <r>
    <s v="Startup_592"/>
    <x v="0"/>
    <n v="12"/>
    <n v="23702055"/>
    <n v="1"/>
    <n v="8"/>
    <n v="190"/>
    <n v="81671136"/>
    <n v="994720"/>
    <s v="Small"/>
    <s v="Hybrid"/>
    <n v="1"/>
    <n v="42.76"/>
    <n v="17405"/>
    <n v="1"/>
  </r>
  <r>
    <s v="Startup_593"/>
    <x v="4"/>
    <n v="12"/>
    <n v="28519906"/>
    <n v="1"/>
    <n v="21"/>
    <n v="638"/>
    <n v="10966783"/>
    <n v="698721"/>
    <s v="Medium"/>
    <s v="Hybrid"/>
    <n v="9"/>
    <n v="15.97"/>
    <n v="558214"/>
    <n v="1"/>
  </r>
  <r>
    <s v="Startup_594"/>
    <x v="0"/>
    <n v="10"/>
    <n v="46731106"/>
    <n v="3"/>
    <n v="21"/>
    <n v="77"/>
    <n v="80503560"/>
    <n v="31575"/>
    <s v="Large"/>
    <s v="Hybrid"/>
    <n v="6"/>
    <n v="0.85"/>
    <n v="178344"/>
    <n v="1"/>
  </r>
  <r>
    <s v="Startup_595"/>
    <x v="0"/>
    <n v="8"/>
    <n v="3067501"/>
    <n v="4"/>
    <n v="8"/>
    <n v="208"/>
    <n v="45192422"/>
    <n v="674152"/>
    <s v="Medium"/>
    <s v="Hybrid"/>
    <n v="7"/>
    <n v="23.17"/>
    <n v="824174"/>
    <n v="1"/>
  </r>
  <r>
    <s v="Startup_596"/>
    <x v="6"/>
    <n v="1"/>
    <n v="37102894"/>
    <n v="1"/>
    <n v="26"/>
    <n v="122"/>
    <n v="22225366"/>
    <n v="800668"/>
    <s v="Large"/>
    <s v="B2B"/>
    <n v="8"/>
    <n v="53.12"/>
    <n v="77208"/>
    <n v="1"/>
  </r>
  <r>
    <s v="Startup_597"/>
    <x v="2"/>
    <n v="14"/>
    <n v="10131237"/>
    <n v="4"/>
    <n v="25"/>
    <n v="179"/>
    <n v="52018776"/>
    <n v="540963"/>
    <s v="Medium"/>
    <s v="B2C"/>
    <n v="8"/>
    <n v="20.37"/>
    <n v="95731"/>
    <n v="1"/>
  </r>
  <r>
    <s v="Startup_598"/>
    <x v="4"/>
    <n v="10"/>
    <n v="34750643"/>
    <n v="4"/>
    <n v="22"/>
    <n v="483"/>
    <n v="34967620"/>
    <n v="186773"/>
    <s v="Large"/>
    <s v="Hybrid"/>
    <n v="1"/>
    <n v="27.4"/>
    <n v="831499"/>
    <n v="1"/>
  </r>
  <r>
    <s v="Startup_599"/>
    <x v="2"/>
    <n v="6"/>
    <n v="33261133"/>
    <n v="4"/>
    <n v="17"/>
    <n v="738"/>
    <n v="81675557"/>
    <n v="570485"/>
    <s v="Large"/>
    <s v="Hybrid"/>
    <n v="9"/>
    <n v="81"/>
    <n v="176964"/>
    <n v="1"/>
  </r>
  <r>
    <s v="Startup_600"/>
    <x v="0"/>
    <n v="8"/>
    <n v="46707000"/>
    <n v="4"/>
    <n v="12"/>
    <n v="516"/>
    <n v="6054049"/>
    <n v="188285"/>
    <s v="Large"/>
    <s v="B2B"/>
    <n v="3"/>
    <n v="99.45"/>
    <n v="918540"/>
    <n v="1"/>
  </r>
  <r>
    <s v="Startup_601"/>
    <x v="0"/>
    <n v="13"/>
    <n v="10841279"/>
    <n v="4"/>
    <n v="14"/>
    <n v="144"/>
    <n v="68983925"/>
    <n v="601330"/>
    <s v="Medium"/>
    <s v="B2B"/>
    <n v="7"/>
    <n v="28.33"/>
    <n v="683165"/>
    <n v="1"/>
  </r>
  <r>
    <s v="Startup_602"/>
    <x v="2"/>
    <n v="1"/>
    <n v="33053939"/>
    <n v="1"/>
    <n v="9"/>
    <n v="759"/>
    <n v="36565425"/>
    <n v="886481"/>
    <s v="Large"/>
    <s v="Hybrid"/>
    <n v="9"/>
    <n v="29.25"/>
    <n v="619316"/>
    <n v="1"/>
  </r>
  <r>
    <s v="Startup_603"/>
    <x v="6"/>
    <n v="12"/>
    <n v="5673921"/>
    <n v="2"/>
    <n v="16"/>
    <n v="81"/>
    <n v="75335394"/>
    <n v="476440"/>
    <s v="Medium"/>
    <s v="B2C"/>
    <n v="8"/>
    <n v="2.57"/>
    <n v="299972"/>
    <n v="1"/>
  </r>
  <r>
    <s v="Startup_604"/>
    <x v="3"/>
    <n v="2"/>
    <n v="37732010"/>
    <n v="1"/>
    <n v="13"/>
    <n v="654"/>
    <n v="63047877"/>
    <n v="842906"/>
    <s v="Large"/>
    <s v="B2C"/>
    <n v="4"/>
    <n v="60.72"/>
    <n v="344648"/>
    <n v="1"/>
  </r>
  <r>
    <s v="Startup_605"/>
    <x v="3"/>
    <n v="8"/>
    <n v="46960954"/>
    <n v="4"/>
    <n v="16"/>
    <n v="580"/>
    <n v="99238638"/>
    <n v="641189"/>
    <s v="Small"/>
    <s v="Hybrid"/>
    <n v="7"/>
    <n v="51.04"/>
    <n v="753705"/>
    <n v="1"/>
  </r>
  <r>
    <s v="Startup_606"/>
    <x v="0"/>
    <n v="4"/>
    <n v="10741106"/>
    <n v="1"/>
    <n v="18"/>
    <n v="913"/>
    <n v="36634859"/>
    <n v="195886"/>
    <s v="Small"/>
    <s v="B2B"/>
    <n v="3"/>
    <n v="49.76"/>
    <n v="13539"/>
    <n v="1"/>
  </r>
  <r>
    <s v="Startup_607"/>
    <x v="1"/>
    <n v="11"/>
    <n v="185258"/>
    <n v="1"/>
    <n v="11"/>
    <n v="720"/>
    <n v="79223308"/>
    <n v="624152"/>
    <s v="Medium"/>
    <s v="B2B"/>
    <n v="9"/>
    <n v="5.07"/>
    <n v="400588"/>
    <n v="1"/>
  </r>
  <r>
    <s v="Startup_608"/>
    <x v="1"/>
    <n v="11"/>
    <n v="10828898"/>
    <n v="2"/>
    <n v="3"/>
    <n v="684"/>
    <n v="86282437"/>
    <n v="767068"/>
    <s v="Large"/>
    <s v="B2C"/>
    <n v="2"/>
    <n v="53.52"/>
    <n v="824876"/>
    <n v="1"/>
  </r>
  <r>
    <s v="Startup_609"/>
    <x v="0"/>
    <n v="12"/>
    <n v="5812600"/>
    <n v="3"/>
    <n v="24"/>
    <n v="293"/>
    <n v="63462465"/>
    <n v="657524"/>
    <s v="Large"/>
    <s v="B2B"/>
    <n v="3"/>
    <n v="34.46"/>
    <n v="736503"/>
    <n v="1"/>
  </r>
  <r>
    <s v="Startup_610"/>
    <x v="6"/>
    <n v="11"/>
    <n v="3313261"/>
    <n v="2"/>
    <n v="18"/>
    <n v="374"/>
    <n v="22016914"/>
    <n v="868208"/>
    <s v="Medium"/>
    <s v="B2B"/>
    <n v="3"/>
    <n v="68.63"/>
    <n v="16064"/>
    <n v="1"/>
  </r>
  <r>
    <s v="Startup_611"/>
    <x v="5"/>
    <n v="0"/>
    <n v="39744471"/>
    <n v="3"/>
    <n v="15"/>
    <n v="756"/>
    <n v="96283019"/>
    <n v="964759"/>
    <s v="Large"/>
    <s v="B2C"/>
    <n v="3"/>
    <n v="13.22"/>
    <n v="953879"/>
    <n v="1"/>
  </r>
  <r>
    <s v="Startup_612"/>
    <x v="2"/>
    <n v="11"/>
    <n v="14673264"/>
    <n v="1"/>
    <n v="5"/>
    <n v="855"/>
    <n v="84182231"/>
    <n v="327229"/>
    <s v="Large"/>
    <s v="Hybrid"/>
    <n v="4"/>
    <n v="14.08"/>
    <n v="308299"/>
    <n v="1"/>
  </r>
  <r>
    <s v="Startup_613"/>
    <x v="2"/>
    <n v="12"/>
    <n v="46045785"/>
    <n v="2"/>
    <n v="22"/>
    <n v="958"/>
    <n v="58889158"/>
    <n v="176687"/>
    <s v="Medium"/>
    <s v="B2C"/>
    <n v="4"/>
    <n v="56.8"/>
    <n v="463594"/>
    <n v="1"/>
  </r>
  <r>
    <s v="Startup_614"/>
    <x v="1"/>
    <n v="14"/>
    <n v="14634572"/>
    <n v="3"/>
    <n v="15"/>
    <n v="985"/>
    <n v="33568483"/>
    <n v="194656"/>
    <s v="Medium"/>
    <s v="Hybrid"/>
    <n v="9"/>
    <n v="64.010000000000005"/>
    <n v="583207"/>
    <n v="1"/>
  </r>
  <r>
    <s v="Startup_615"/>
    <x v="5"/>
    <n v="7"/>
    <n v="19309372"/>
    <n v="1"/>
    <n v="19"/>
    <n v="805"/>
    <n v="3670836"/>
    <n v="520960"/>
    <s v="Large"/>
    <s v="B2C"/>
    <n v="7"/>
    <n v="59.34"/>
    <n v="6801"/>
    <n v="1"/>
  </r>
  <r>
    <s v="Startup_616"/>
    <x v="6"/>
    <n v="5"/>
    <n v="33371496"/>
    <n v="3"/>
    <n v="2"/>
    <n v="350"/>
    <n v="98726217"/>
    <n v="783481"/>
    <s v="Medium"/>
    <s v="Hybrid"/>
    <n v="6"/>
    <n v="60.15"/>
    <n v="296681"/>
    <n v="1"/>
  </r>
  <r>
    <s v="Startup_617"/>
    <x v="5"/>
    <n v="14"/>
    <n v="30435417"/>
    <n v="1"/>
    <n v="2"/>
    <n v="336"/>
    <n v="71817044"/>
    <n v="112617"/>
    <s v="Small"/>
    <s v="B2B"/>
    <n v="8"/>
    <n v="98.98"/>
    <n v="967320"/>
    <n v="1"/>
  </r>
  <r>
    <s v="Startup_618"/>
    <x v="4"/>
    <n v="13"/>
    <n v="33045581"/>
    <n v="3"/>
    <n v="22"/>
    <n v="720"/>
    <n v="92292621"/>
    <n v="594766"/>
    <s v="Medium"/>
    <s v="Hybrid"/>
    <n v="8"/>
    <n v="83.57"/>
    <n v="923784"/>
    <n v="1"/>
  </r>
  <r>
    <s v="Startup_619"/>
    <x v="1"/>
    <n v="1"/>
    <n v="22367538"/>
    <n v="1"/>
    <n v="17"/>
    <n v="570"/>
    <n v="25100631"/>
    <n v="262785"/>
    <s v="Small"/>
    <s v="B2C"/>
    <n v="4"/>
    <n v="59.17"/>
    <n v="681886"/>
    <n v="1"/>
  </r>
  <r>
    <s v="Startup_620"/>
    <x v="0"/>
    <n v="3"/>
    <n v="676748"/>
    <n v="1"/>
    <n v="3"/>
    <n v="471"/>
    <n v="79174188"/>
    <n v="311250"/>
    <s v="Small"/>
    <s v="Hybrid"/>
    <n v="7"/>
    <n v="6.49"/>
    <n v="990896"/>
    <n v="1"/>
  </r>
  <r>
    <s v="Startup_621"/>
    <x v="4"/>
    <n v="0"/>
    <n v="46079858"/>
    <n v="2"/>
    <n v="15"/>
    <n v="687"/>
    <n v="27903711"/>
    <n v="137721"/>
    <s v="Large"/>
    <s v="B2B"/>
    <n v="9"/>
    <n v="33.869999999999997"/>
    <n v="93465"/>
    <n v="1"/>
  </r>
  <r>
    <s v="Startup_622"/>
    <x v="5"/>
    <n v="12"/>
    <n v="5086924"/>
    <n v="1"/>
    <n v="25"/>
    <n v="308"/>
    <n v="13898212"/>
    <n v="872593"/>
    <s v="Large"/>
    <s v="Hybrid"/>
    <n v="6"/>
    <n v="41.75"/>
    <n v="97670"/>
    <n v="1"/>
  </r>
  <r>
    <s v="Startup_623"/>
    <x v="5"/>
    <n v="12"/>
    <n v="17161162"/>
    <n v="3"/>
    <n v="19"/>
    <n v="588"/>
    <n v="96125202"/>
    <n v="985095"/>
    <s v="Medium"/>
    <s v="B2B"/>
    <n v="5"/>
    <n v="59.65"/>
    <n v="426356"/>
    <n v="1"/>
  </r>
  <r>
    <s v="Startup_624"/>
    <x v="0"/>
    <n v="8"/>
    <n v="7758305"/>
    <n v="3"/>
    <n v="24"/>
    <n v="34"/>
    <n v="36719786"/>
    <n v="169775"/>
    <s v="Medium"/>
    <s v="B2C"/>
    <n v="5"/>
    <n v="93.77"/>
    <n v="514898"/>
    <n v="1"/>
  </r>
  <r>
    <s v="Startup_625"/>
    <x v="5"/>
    <n v="12"/>
    <n v="34023652"/>
    <n v="4"/>
    <n v="7"/>
    <n v="37"/>
    <n v="35067955"/>
    <n v="623474"/>
    <s v="Large"/>
    <s v="Hybrid"/>
    <n v="8"/>
    <n v="70.77"/>
    <n v="738426"/>
    <n v="1"/>
  </r>
  <r>
    <s v="Startup_626"/>
    <x v="4"/>
    <n v="11"/>
    <n v="44219317"/>
    <n v="3"/>
    <n v="26"/>
    <n v="914"/>
    <n v="47013648"/>
    <n v="503829"/>
    <s v="Small"/>
    <s v="B2C"/>
    <n v="1"/>
    <n v="65.62"/>
    <n v="987178"/>
    <n v="1"/>
  </r>
  <r>
    <s v="Startup_627"/>
    <x v="5"/>
    <n v="12"/>
    <n v="46698685"/>
    <n v="2"/>
    <n v="17"/>
    <n v="75"/>
    <n v="91295260"/>
    <n v="590307"/>
    <s v="Medium"/>
    <s v="Hybrid"/>
    <n v="9"/>
    <n v="10.82"/>
    <n v="835909"/>
    <n v="1"/>
  </r>
  <r>
    <s v="Startup_628"/>
    <x v="0"/>
    <n v="2"/>
    <n v="17953576"/>
    <n v="4"/>
    <n v="5"/>
    <n v="174"/>
    <n v="49085132"/>
    <n v="648339"/>
    <s v="Large"/>
    <s v="B2C"/>
    <n v="2"/>
    <n v="48.91"/>
    <n v="970698"/>
    <n v="1"/>
  </r>
  <r>
    <s v="Startup_629"/>
    <x v="6"/>
    <n v="13"/>
    <n v="28781778"/>
    <n v="2"/>
    <n v="3"/>
    <n v="977"/>
    <n v="55921907"/>
    <n v="114847"/>
    <s v="Medium"/>
    <s v="B2C"/>
    <n v="8"/>
    <n v="59.4"/>
    <n v="314278"/>
    <n v="1"/>
  </r>
  <r>
    <s v="Startup_630"/>
    <x v="5"/>
    <n v="7"/>
    <n v="15900770"/>
    <n v="3"/>
    <n v="19"/>
    <n v="912"/>
    <n v="53292051"/>
    <n v="990931"/>
    <s v="Small"/>
    <s v="B2C"/>
    <n v="6"/>
    <n v="85.71"/>
    <n v="168065"/>
    <n v="1"/>
  </r>
  <r>
    <s v="Startup_631"/>
    <x v="0"/>
    <n v="11"/>
    <n v="180617"/>
    <n v="2"/>
    <n v="18"/>
    <n v="911"/>
    <n v="99266128"/>
    <n v="869700"/>
    <s v="Small"/>
    <s v="B2C"/>
    <n v="7"/>
    <n v="89.95"/>
    <n v="769850"/>
    <n v="1"/>
  </r>
  <r>
    <s v="Startup_632"/>
    <x v="1"/>
    <n v="9"/>
    <n v="22941994"/>
    <n v="2"/>
    <n v="19"/>
    <n v="644"/>
    <n v="86808182"/>
    <n v="61254"/>
    <s v="Small"/>
    <s v="Hybrid"/>
    <n v="9"/>
    <n v="74.540000000000006"/>
    <n v="345572"/>
    <n v="1"/>
  </r>
  <r>
    <s v="Startup_633"/>
    <x v="3"/>
    <n v="3"/>
    <n v="37210752"/>
    <n v="2"/>
    <n v="8"/>
    <n v="763"/>
    <n v="89316340"/>
    <n v="85142"/>
    <s v="Medium"/>
    <s v="B2C"/>
    <n v="5"/>
    <n v="39.57"/>
    <n v="795559"/>
    <n v="1"/>
  </r>
  <r>
    <s v="Startup_634"/>
    <x v="2"/>
    <n v="5"/>
    <n v="43744027"/>
    <n v="3"/>
    <n v="0"/>
    <n v="120"/>
    <n v="91276704"/>
    <n v="907552"/>
    <s v="Large"/>
    <s v="B2B"/>
    <n v="9"/>
    <n v="76.3"/>
    <n v="960136"/>
    <n v="1"/>
  </r>
  <r>
    <s v="Startup_635"/>
    <x v="0"/>
    <n v="1"/>
    <n v="6544482"/>
    <n v="1"/>
    <n v="20"/>
    <n v="541"/>
    <n v="2462732"/>
    <n v="993653"/>
    <s v="Medium"/>
    <s v="B2C"/>
    <n v="4"/>
    <n v="71.12"/>
    <n v="605485"/>
    <n v="1"/>
  </r>
  <r>
    <s v="Startup_636"/>
    <x v="5"/>
    <n v="8"/>
    <n v="209456"/>
    <n v="4"/>
    <n v="6"/>
    <n v="57"/>
    <n v="64281484"/>
    <n v="563110"/>
    <s v="Large"/>
    <s v="B2B"/>
    <n v="7"/>
    <n v="49.13"/>
    <n v="601405"/>
    <n v="1"/>
  </r>
  <r>
    <s v="Startup_637"/>
    <x v="4"/>
    <n v="1"/>
    <n v="48916021"/>
    <n v="3"/>
    <n v="23"/>
    <n v="242"/>
    <n v="25937984"/>
    <n v="560889"/>
    <s v="Large"/>
    <s v="B2C"/>
    <n v="1"/>
    <n v="99.05"/>
    <n v="351345"/>
    <n v="1"/>
  </r>
  <r>
    <s v="Startup_638"/>
    <x v="4"/>
    <n v="1"/>
    <n v="731521"/>
    <n v="3"/>
    <n v="2"/>
    <n v="850"/>
    <n v="94055291"/>
    <n v="99854"/>
    <s v="Medium"/>
    <s v="B2B"/>
    <n v="5"/>
    <n v="54.91"/>
    <n v="594191"/>
    <n v="1"/>
  </r>
  <r>
    <s v="Startup_639"/>
    <x v="2"/>
    <n v="0"/>
    <n v="32410758"/>
    <n v="3"/>
    <n v="17"/>
    <n v="121"/>
    <n v="51334713"/>
    <n v="714288"/>
    <s v="Small"/>
    <s v="B2C"/>
    <n v="7"/>
    <n v="2.79"/>
    <n v="716903"/>
    <n v="1"/>
  </r>
  <r>
    <s v="Startup_640"/>
    <x v="4"/>
    <n v="14"/>
    <n v="30856445"/>
    <n v="3"/>
    <n v="19"/>
    <n v="734"/>
    <n v="46622269"/>
    <n v="42989"/>
    <s v="Medium"/>
    <s v="Hybrid"/>
    <n v="3"/>
    <n v="14.97"/>
    <n v="684473"/>
    <n v="1"/>
  </r>
  <r>
    <s v="Startup_641"/>
    <x v="6"/>
    <n v="11"/>
    <n v="39194155"/>
    <n v="4"/>
    <n v="14"/>
    <n v="655"/>
    <n v="81310715"/>
    <n v="760403"/>
    <s v="Large"/>
    <s v="Hybrid"/>
    <n v="7"/>
    <n v="23.53"/>
    <n v="892632"/>
    <n v="1"/>
  </r>
  <r>
    <s v="Startup_642"/>
    <x v="4"/>
    <n v="4"/>
    <n v="8342158"/>
    <n v="1"/>
    <n v="24"/>
    <n v="926"/>
    <n v="366741"/>
    <n v="545777"/>
    <s v="Medium"/>
    <s v="Hybrid"/>
    <n v="9"/>
    <n v="77.569999999999993"/>
    <n v="736823"/>
    <n v="1"/>
  </r>
  <r>
    <s v="Startup_643"/>
    <x v="0"/>
    <n v="5"/>
    <n v="10030536"/>
    <n v="2"/>
    <n v="10"/>
    <n v="452"/>
    <n v="67653320"/>
    <n v="63866"/>
    <s v="Small"/>
    <s v="B2B"/>
    <n v="9"/>
    <n v="34.630000000000003"/>
    <n v="645479"/>
    <n v="1"/>
  </r>
  <r>
    <s v="Startup_644"/>
    <x v="1"/>
    <n v="3"/>
    <n v="15631034"/>
    <n v="4"/>
    <n v="22"/>
    <n v="608"/>
    <n v="433558"/>
    <n v="823743"/>
    <s v="Small"/>
    <s v="Hybrid"/>
    <n v="3"/>
    <n v="25.17"/>
    <n v="232821"/>
    <n v="1"/>
  </r>
  <r>
    <s v="Startup_645"/>
    <x v="4"/>
    <n v="7"/>
    <n v="5240413"/>
    <n v="3"/>
    <n v="1"/>
    <n v="103"/>
    <n v="21908893"/>
    <n v="693732"/>
    <s v="Small"/>
    <s v="B2B"/>
    <n v="1"/>
    <n v="33.57"/>
    <n v="963306"/>
    <n v="1"/>
  </r>
  <r>
    <s v="Startup_646"/>
    <x v="2"/>
    <n v="14"/>
    <n v="3698031"/>
    <n v="2"/>
    <n v="20"/>
    <n v="784"/>
    <n v="76451080"/>
    <n v="407365"/>
    <s v="Large"/>
    <s v="B2C"/>
    <n v="8"/>
    <n v="52.62"/>
    <n v="884615"/>
    <n v="1"/>
  </r>
  <r>
    <s v="Startup_647"/>
    <x v="4"/>
    <n v="2"/>
    <n v="14536339"/>
    <n v="3"/>
    <n v="24"/>
    <n v="249"/>
    <n v="99732239"/>
    <n v="421164"/>
    <s v="Large"/>
    <s v="Hybrid"/>
    <n v="2"/>
    <n v="12.36"/>
    <n v="764416"/>
    <n v="1"/>
  </r>
  <r>
    <s v="Startup_648"/>
    <x v="0"/>
    <n v="6"/>
    <n v="48783926"/>
    <n v="3"/>
    <n v="13"/>
    <n v="26"/>
    <n v="19628954"/>
    <n v="792077"/>
    <s v="Large"/>
    <s v="B2C"/>
    <n v="9"/>
    <n v="26.08"/>
    <n v="12447"/>
    <n v="1"/>
  </r>
  <r>
    <s v="Startup_649"/>
    <x v="1"/>
    <n v="5"/>
    <n v="27666233"/>
    <n v="2"/>
    <n v="12"/>
    <n v="881"/>
    <n v="91133960"/>
    <n v="827966"/>
    <s v="Small"/>
    <s v="Hybrid"/>
    <n v="5"/>
    <n v="1.45"/>
    <n v="696796"/>
    <n v="1"/>
  </r>
  <r>
    <s v="Startup_650"/>
    <x v="5"/>
    <n v="12"/>
    <n v="45215826"/>
    <n v="3"/>
    <n v="26"/>
    <n v="558"/>
    <n v="61880161"/>
    <n v="155421"/>
    <s v="Large"/>
    <s v="B2C"/>
    <n v="6"/>
    <n v="45.01"/>
    <n v="945426"/>
    <n v="1"/>
  </r>
  <r>
    <s v="Startup_651"/>
    <x v="3"/>
    <n v="7"/>
    <n v="2606788"/>
    <n v="2"/>
    <n v="17"/>
    <n v="806"/>
    <n v="62293798"/>
    <n v="51728"/>
    <s v="Large"/>
    <s v="B2C"/>
    <n v="6"/>
    <n v="93.25"/>
    <n v="912543"/>
    <n v="1"/>
  </r>
  <r>
    <s v="Startup_652"/>
    <x v="3"/>
    <n v="11"/>
    <n v="35840205"/>
    <n v="3"/>
    <n v="22"/>
    <n v="552"/>
    <n v="50967011"/>
    <n v="588469"/>
    <s v="Medium"/>
    <s v="B2C"/>
    <n v="2"/>
    <n v="54.25"/>
    <n v="464853"/>
    <n v="1"/>
  </r>
  <r>
    <s v="Startup_653"/>
    <x v="2"/>
    <n v="14"/>
    <n v="43749505"/>
    <n v="2"/>
    <n v="23"/>
    <n v="947"/>
    <n v="6827147"/>
    <n v="820864"/>
    <s v="Medium"/>
    <s v="Hybrid"/>
    <n v="7"/>
    <n v="77.91"/>
    <n v="119372"/>
    <n v="1"/>
  </r>
  <r>
    <s v="Startup_654"/>
    <x v="2"/>
    <n v="4"/>
    <n v="38198816"/>
    <n v="1"/>
    <n v="12"/>
    <n v="875"/>
    <n v="66902934"/>
    <n v="651957"/>
    <s v="Large"/>
    <s v="B2B"/>
    <n v="3"/>
    <n v="8.86"/>
    <n v="976953"/>
    <n v="1"/>
  </r>
  <r>
    <s v="Startup_655"/>
    <x v="5"/>
    <n v="3"/>
    <n v="32179743"/>
    <n v="4"/>
    <n v="26"/>
    <n v="692"/>
    <n v="54795248"/>
    <n v="568284"/>
    <s v="Small"/>
    <s v="B2C"/>
    <n v="4"/>
    <n v="90.54"/>
    <n v="845238"/>
    <n v="1"/>
  </r>
  <r>
    <s v="Startup_656"/>
    <x v="0"/>
    <n v="1"/>
    <n v="22071944"/>
    <n v="2"/>
    <n v="26"/>
    <n v="599"/>
    <n v="18509598"/>
    <n v="28350"/>
    <s v="Medium"/>
    <s v="Hybrid"/>
    <n v="5"/>
    <n v="77.39"/>
    <n v="431647"/>
    <n v="1"/>
  </r>
  <r>
    <s v="Startup_657"/>
    <x v="4"/>
    <n v="2"/>
    <n v="11461860"/>
    <n v="3"/>
    <n v="26"/>
    <n v="120"/>
    <n v="19250662"/>
    <n v="571139"/>
    <s v="Small"/>
    <s v="B2C"/>
    <n v="1"/>
    <n v="91.2"/>
    <n v="946943"/>
    <n v="1"/>
  </r>
  <r>
    <s v="Startup_658"/>
    <x v="2"/>
    <n v="8"/>
    <n v="35990377"/>
    <n v="2"/>
    <n v="9"/>
    <n v="759"/>
    <n v="37400223"/>
    <n v="71416"/>
    <s v="Medium"/>
    <s v="B2C"/>
    <n v="9"/>
    <n v="94.49"/>
    <n v="625799"/>
    <n v="1"/>
  </r>
  <r>
    <s v="Startup_659"/>
    <x v="0"/>
    <n v="10"/>
    <n v="32877651"/>
    <n v="4"/>
    <n v="2"/>
    <n v="162"/>
    <n v="48382009"/>
    <n v="47973"/>
    <s v="Large"/>
    <s v="B2C"/>
    <n v="8"/>
    <n v="23.83"/>
    <n v="473093"/>
    <n v="1"/>
  </r>
  <r>
    <s v="Startup_660"/>
    <x v="4"/>
    <n v="1"/>
    <n v="22864047"/>
    <n v="4"/>
    <n v="8"/>
    <n v="274"/>
    <n v="95418946"/>
    <n v="641929"/>
    <s v="Large"/>
    <s v="B2B"/>
    <n v="2"/>
    <n v="62.84"/>
    <n v="316766"/>
    <n v="1"/>
  </r>
  <r>
    <s v="Startup_661"/>
    <x v="6"/>
    <n v="8"/>
    <n v="46535900"/>
    <n v="3"/>
    <n v="23"/>
    <n v="344"/>
    <n v="78801323"/>
    <n v="228112"/>
    <s v="Small"/>
    <s v="Hybrid"/>
    <n v="9"/>
    <n v="79.23"/>
    <n v="796313"/>
    <n v="1"/>
  </r>
  <r>
    <s v="Startup_662"/>
    <x v="4"/>
    <n v="2"/>
    <n v="47630990"/>
    <n v="3"/>
    <n v="17"/>
    <n v="526"/>
    <n v="14190392"/>
    <n v="587116"/>
    <s v="Medium"/>
    <s v="B2C"/>
    <n v="8"/>
    <n v="99.33"/>
    <n v="934190"/>
    <n v="1"/>
  </r>
  <r>
    <s v="Startup_663"/>
    <x v="0"/>
    <n v="7"/>
    <n v="10107777"/>
    <n v="3"/>
    <n v="21"/>
    <n v="552"/>
    <n v="63465637"/>
    <n v="304056"/>
    <s v="Medium"/>
    <s v="B2C"/>
    <n v="1"/>
    <n v="84.57"/>
    <n v="569021"/>
    <n v="1"/>
  </r>
  <r>
    <s v="Startup_664"/>
    <x v="1"/>
    <n v="7"/>
    <n v="1143860"/>
    <n v="4"/>
    <n v="1"/>
    <n v="468"/>
    <n v="57964340"/>
    <n v="590465"/>
    <s v="Small"/>
    <s v="B2C"/>
    <n v="4"/>
    <n v="92.46"/>
    <n v="976236"/>
    <n v="1"/>
  </r>
  <r>
    <s v="Startup_665"/>
    <x v="6"/>
    <n v="3"/>
    <n v="41516044"/>
    <n v="3"/>
    <n v="23"/>
    <n v="810"/>
    <n v="82802203"/>
    <n v="427657"/>
    <s v="Medium"/>
    <s v="Hybrid"/>
    <n v="9"/>
    <n v="96.88"/>
    <n v="556302"/>
    <n v="1"/>
  </r>
  <r>
    <s v="Startup_666"/>
    <x v="1"/>
    <n v="5"/>
    <n v="21384047"/>
    <n v="2"/>
    <n v="29"/>
    <n v="827"/>
    <n v="90650813"/>
    <n v="726874"/>
    <s v="Small"/>
    <s v="B2B"/>
    <n v="6"/>
    <n v="60.95"/>
    <n v="234668"/>
    <n v="1"/>
  </r>
  <r>
    <s v="Startup_667"/>
    <x v="0"/>
    <n v="11"/>
    <n v="21157514"/>
    <n v="1"/>
    <n v="11"/>
    <n v="423"/>
    <n v="85400948"/>
    <n v="683362"/>
    <s v="Small"/>
    <s v="B2B"/>
    <n v="2"/>
    <n v="40.090000000000003"/>
    <n v="49279"/>
    <n v="1"/>
  </r>
  <r>
    <s v="Startup_668"/>
    <x v="5"/>
    <n v="0"/>
    <n v="29593021"/>
    <n v="2"/>
    <n v="8"/>
    <n v="662"/>
    <n v="49171733"/>
    <n v="775014"/>
    <s v="Large"/>
    <s v="B2C"/>
    <n v="5"/>
    <n v="56.51"/>
    <n v="365425"/>
    <n v="1"/>
  </r>
  <r>
    <s v="Startup_669"/>
    <x v="0"/>
    <n v="14"/>
    <n v="41515930"/>
    <n v="3"/>
    <n v="16"/>
    <n v="9"/>
    <n v="67463268"/>
    <n v="357446"/>
    <s v="Large"/>
    <s v="B2C"/>
    <n v="8"/>
    <n v="45.49"/>
    <n v="319330"/>
    <n v="1"/>
  </r>
  <r>
    <s v="Startup_670"/>
    <x v="6"/>
    <n v="10"/>
    <n v="16612535"/>
    <n v="3"/>
    <n v="15"/>
    <n v="929"/>
    <n v="69546853"/>
    <n v="274715"/>
    <s v="Small"/>
    <s v="Hybrid"/>
    <n v="9"/>
    <n v="4.33"/>
    <n v="257723"/>
    <n v="1"/>
  </r>
  <r>
    <s v="Startup_671"/>
    <x v="3"/>
    <n v="6"/>
    <n v="46217753"/>
    <n v="3"/>
    <n v="3"/>
    <n v="909"/>
    <n v="50469724"/>
    <n v="165746"/>
    <s v="Small"/>
    <s v="Hybrid"/>
    <n v="2"/>
    <n v="42.45"/>
    <n v="657901"/>
    <n v="1"/>
  </r>
  <r>
    <s v="Startup_672"/>
    <x v="2"/>
    <n v="14"/>
    <n v="2780436"/>
    <n v="3"/>
    <n v="9"/>
    <n v="653"/>
    <n v="64224850"/>
    <n v="634899"/>
    <s v="Medium"/>
    <s v="B2B"/>
    <n v="3"/>
    <n v="21.56"/>
    <n v="266887"/>
    <n v="1"/>
  </r>
  <r>
    <s v="Startup_673"/>
    <x v="6"/>
    <n v="3"/>
    <n v="43013086"/>
    <n v="1"/>
    <n v="5"/>
    <n v="521"/>
    <n v="84507286"/>
    <n v="5734"/>
    <s v="Large"/>
    <s v="B2B"/>
    <n v="5"/>
    <n v="64.260000000000005"/>
    <n v="671791"/>
    <n v="1"/>
  </r>
  <r>
    <s v="Startup_674"/>
    <x v="2"/>
    <n v="3"/>
    <n v="2441591"/>
    <n v="2"/>
    <n v="1"/>
    <n v="515"/>
    <n v="21478485"/>
    <n v="413998"/>
    <s v="Small"/>
    <s v="B2B"/>
    <n v="3"/>
    <n v="50.68"/>
    <n v="764916"/>
    <n v="1"/>
  </r>
  <r>
    <s v="Startup_675"/>
    <x v="4"/>
    <n v="1"/>
    <n v="26873009"/>
    <n v="4"/>
    <n v="4"/>
    <n v="396"/>
    <n v="77421502"/>
    <n v="394752"/>
    <s v="Small"/>
    <s v="B2B"/>
    <n v="6"/>
    <n v="1.93"/>
    <n v="927614"/>
    <n v="1"/>
  </r>
  <r>
    <s v="Startup_676"/>
    <x v="6"/>
    <n v="4"/>
    <n v="25444455"/>
    <n v="4"/>
    <n v="2"/>
    <n v="546"/>
    <n v="33046620"/>
    <n v="237844"/>
    <s v="Small"/>
    <s v="B2C"/>
    <n v="9"/>
    <n v="13.91"/>
    <n v="104358"/>
    <n v="1"/>
  </r>
  <r>
    <s v="Startup_677"/>
    <x v="2"/>
    <n v="13"/>
    <n v="3343288"/>
    <n v="1"/>
    <n v="19"/>
    <n v="123"/>
    <n v="36499152"/>
    <n v="672189"/>
    <s v="Medium"/>
    <s v="Hybrid"/>
    <n v="2"/>
    <n v="82.34"/>
    <n v="483771"/>
    <n v="1"/>
  </r>
  <r>
    <s v="Startup_678"/>
    <x v="0"/>
    <n v="4"/>
    <n v="3630641"/>
    <n v="4"/>
    <n v="18"/>
    <n v="956"/>
    <n v="38853596"/>
    <n v="334759"/>
    <s v="Large"/>
    <s v="Hybrid"/>
    <n v="9"/>
    <n v="38.340000000000003"/>
    <n v="663300"/>
    <n v="1"/>
  </r>
  <r>
    <s v="Startup_679"/>
    <x v="2"/>
    <n v="4"/>
    <n v="13213916"/>
    <n v="4"/>
    <n v="29"/>
    <n v="301"/>
    <n v="469145"/>
    <n v="457988"/>
    <s v="Large"/>
    <s v="Hybrid"/>
    <n v="6"/>
    <n v="25.57"/>
    <n v="772475"/>
    <n v="1"/>
  </r>
  <r>
    <s v="Startup_680"/>
    <x v="3"/>
    <n v="14"/>
    <n v="49691643"/>
    <n v="4"/>
    <n v="9"/>
    <n v="994"/>
    <n v="67803149"/>
    <n v="588045"/>
    <s v="Medium"/>
    <s v="Hybrid"/>
    <n v="1"/>
    <n v="88.01"/>
    <n v="367597"/>
    <n v="1"/>
  </r>
  <r>
    <s v="Startup_681"/>
    <x v="6"/>
    <n v="3"/>
    <n v="27788724"/>
    <n v="4"/>
    <n v="4"/>
    <n v="671"/>
    <n v="60499519"/>
    <n v="612155"/>
    <s v="Large"/>
    <s v="B2C"/>
    <n v="6"/>
    <n v="20.420000000000002"/>
    <n v="629122"/>
    <n v="1"/>
  </r>
  <r>
    <s v="Startup_682"/>
    <x v="2"/>
    <n v="0"/>
    <n v="26839420"/>
    <n v="1"/>
    <n v="7"/>
    <n v="510"/>
    <n v="72621482"/>
    <n v="605787"/>
    <s v="Medium"/>
    <s v="B2B"/>
    <n v="4"/>
    <n v="90.53"/>
    <n v="19340"/>
    <n v="1"/>
  </r>
  <r>
    <s v="Startup_683"/>
    <x v="5"/>
    <n v="0"/>
    <n v="12913173"/>
    <n v="4"/>
    <n v="21"/>
    <n v="621"/>
    <n v="12086278"/>
    <n v="500599"/>
    <s v="Large"/>
    <s v="B2C"/>
    <n v="3"/>
    <n v="65.36"/>
    <n v="707258"/>
    <n v="1"/>
  </r>
  <r>
    <s v="Startup_684"/>
    <x v="4"/>
    <n v="12"/>
    <n v="28224910"/>
    <n v="2"/>
    <n v="11"/>
    <n v="724"/>
    <n v="71079635"/>
    <n v="871923"/>
    <s v="Medium"/>
    <s v="Hybrid"/>
    <n v="3"/>
    <n v="1.96"/>
    <n v="477580"/>
    <n v="1"/>
  </r>
  <r>
    <s v="Startup_685"/>
    <x v="1"/>
    <n v="9"/>
    <n v="3265996"/>
    <n v="1"/>
    <n v="28"/>
    <n v="356"/>
    <n v="78704294"/>
    <n v="841672"/>
    <s v="Small"/>
    <s v="B2B"/>
    <n v="3"/>
    <n v="95.71"/>
    <n v="268628"/>
    <n v="1"/>
  </r>
  <r>
    <s v="Startup_686"/>
    <x v="4"/>
    <n v="1"/>
    <n v="27544916"/>
    <n v="2"/>
    <n v="7"/>
    <n v="735"/>
    <n v="64793440"/>
    <n v="351497"/>
    <s v="Small"/>
    <s v="B2B"/>
    <n v="4"/>
    <n v="43.5"/>
    <n v="422068"/>
    <n v="1"/>
  </r>
  <r>
    <s v="Startup_687"/>
    <x v="3"/>
    <n v="5"/>
    <n v="46035409"/>
    <n v="1"/>
    <n v="16"/>
    <n v="208"/>
    <n v="43640964"/>
    <n v="508587"/>
    <s v="Small"/>
    <s v="B2B"/>
    <n v="6"/>
    <n v="67.03"/>
    <n v="857448"/>
    <n v="1"/>
  </r>
  <r>
    <s v="Startup_688"/>
    <x v="0"/>
    <n v="14"/>
    <n v="4023123"/>
    <n v="3"/>
    <n v="19"/>
    <n v="706"/>
    <n v="69936557"/>
    <n v="732575"/>
    <s v="Medium"/>
    <s v="B2B"/>
    <n v="7"/>
    <n v="34.9"/>
    <n v="269407"/>
    <n v="1"/>
  </r>
  <r>
    <s v="Startup_689"/>
    <x v="5"/>
    <n v="8"/>
    <n v="35838845"/>
    <n v="3"/>
    <n v="7"/>
    <n v="543"/>
    <n v="39013655"/>
    <n v="140248"/>
    <s v="Small"/>
    <s v="B2B"/>
    <n v="5"/>
    <n v="21.28"/>
    <n v="858505"/>
    <n v="1"/>
  </r>
  <r>
    <s v="Startup_690"/>
    <x v="1"/>
    <n v="14"/>
    <n v="33827746"/>
    <n v="3"/>
    <n v="7"/>
    <n v="768"/>
    <n v="31407984"/>
    <n v="895446"/>
    <s v="Large"/>
    <s v="B2B"/>
    <n v="7"/>
    <n v="57.13"/>
    <n v="563465"/>
    <n v="1"/>
  </r>
  <r>
    <s v="Startup_691"/>
    <x v="6"/>
    <n v="13"/>
    <n v="27663364"/>
    <n v="2"/>
    <n v="24"/>
    <n v="704"/>
    <n v="46497685"/>
    <n v="753004"/>
    <s v="Medium"/>
    <s v="Hybrid"/>
    <n v="3"/>
    <n v="1.37"/>
    <n v="360776"/>
    <n v="1"/>
  </r>
  <r>
    <s v="Startup_692"/>
    <x v="6"/>
    <n v="12"/>
    <n v="15827155"/>
    <n v="4"/>
    <n v="21"/>
    <n v="856"/>
    <n v="18731937"/>
    <n v="260197"/>
    <s v="Large"/>
    <s v="Hybrid"/>
    <n v="8"/>
    <n v="60.28"/>
    <n v="719058"/>
    <n v="1"/>
  </r>
  <r>
    <s v="Startup_693"/>
    <x v="4"/>
    <n v="1"/>
    <n v="41514701"/>
    <n v="2"/>
    <n v="11"/>
    <n v="976"/>
    <n v="56170954"/>
    <n v="96570"/>
    <s v="Large"/>
    <s v="Hybrid"/>
    <n v="1"/>
    <n v="14.41"/>
    <n v="302654"/>
    <n v="1"/>
  </r>
  <r>
    <s v="Startup_694"/>
    <x v="3"/>
    <n v="3"/>
    <n v="38884465"/>
    <n v="4"/>
    <n v="16"/>
    <n v="155"/>
    <n v="64397638"/>
    <n v="434946"/>
    <s v="Medium"/>
    <s v="B2C"/>
    <n v="9"/>
    <n v="47.63"/>
    <n v="153142"/>
    <n v="1"/>
  </r>
  <r>
    <s v="Startup_695"/>
    <x v="6"/>
    <n v="5"/>
    <n v="32308825"/>
    <n v="3"/>
    <n v="6"/>
    <n v="783"/>
    <n v="85240630"/>
    <n v="102060"/>
    <s v="Medium"/>
    <s v="B2C"/>
    <n v="4"/>
    <n v="25.66"/>
    <n v="10186"/>
    <n v="1"/>
  </r>
  <r>
    <s v="Startup_696"/>
    <x v="2"/>
    <n v="3"/>
    <n v="13547874"/>
    <n v="2"/>
    <n v="26"/>
    <n v="992"/>
    <n v="89756507"/>
    <n v="563677"/>
    <s v="Small"/>
    <s v="B2C"/>
    <n v="4"/>
    <n v="5.82"/>
    <n v="671439"/>
    <n v="1"/>
  </r>
  <r>
    <s v="Startup_697"/>
    <x v="6"/>
    <n v="12"/>
    <n v="26659555"/>
    <n v="1"/>
    <n v="3"/>
    <n v="588"/>
    <n v="75963765"/>
    <n v="838664"/>
    <s v="Medium"/>
    <s v="B2C"/>
    <n v="2"/>
    <n v="60.48"/>
    <n v="700330"/>
    <n v="1"/>
  </r>
  <r>
    <s v="Startup_698"/>
    <x v="6"/>
    <n v="0"/>
    <n v="20437191"/>
    <n v="2"/>
    <n v="27"/>
    <n v="91"/>
    <n v="40269078"/>
    <n v="806531"/>
    <s v="Large"/>
    <s v="Hybrid"/>
    <n v="6"/>
    <n v="60.29"/>
    <n v="190949"/>
    <n v="1"/>
  </r>
  <r>
    <s v="Startup_699"/>
    <x v="6"/>
    <n v="14"/>
    <n v="10517933"/>
    <n v="2"/>
    <n v="14"/>
    <n v="824"/>
    <n v="90920777"/>
    <n v="792197"/>
    <s v="Large"/>
    <s v="B2B"/>
    <n v="5"/>
    <n v="45.25"/>
    <n v="326824"/>
    <n v="1"/>
  </r>
  <r>
    <s v="Startup_700"/>
    <x v="2"/>
    <n v="9"/>
    <n v="25454105"/>
    <n v="3"/>
    <n v="20"/>
    <n v="354"/>
    <n v="66678558"/>
    <n v="22946"/>
    <s v="Medium"/>
    <s v="Hybrid"/>
    <n v="8"/>
    <n v="3.26"/>
    <n v="222433"/>
    <n v="1"/>
  </r>
  <r>
    <s v="Startup_701"/>
    <x v="2"/>
    <n v="12"/>
    <n v="32026133"/>
    <n v="1"/>
    <n v="29"/>
    <n v="208"/>
    <n v="84801880"/>
    <n v="919073"/>
    <s v="Large"/>
    <s v="B2B"/>
    <n v="1"/>
    <n v="18.649999999999999"/>
    <n v="921037"/>
    <n v="1"/>
  </r>
  <r>
    <s v="Startup_702"/>
    <x v="6"/>
    <n v="10"/>
    <n v="5286993"/>
    <n v="3"/>
    <n v="29"/>
    <n v="330"/>
    <n v="95210816"/>
    <n v="23987"/>
    <s v="Large"/>
    <s v="Hybrid"/>
    <n v="2"/>
    <n v="22.65"/>
    <n v="621253"/>
    <n v="1"/>
  </r>
  <r>
    <s v="Startup_703"/>
    <x v="0"/>
    <n v="7"/>
    <n v="1129390"/>
    <n v="1"/>
    <n v="17"/>
    <n v="323"/>
    <n v="73905736"/>
    <n v="426395"/>
    <s v="Small"/>
    <s v="B2B"/>
    <n v="2"/>
    <n v="38.06"/>
    <n v="653007"/>
    <n v="1"/>
  </r>
  <r>
    <s v="Startup_704"/>
    <x v="4"/>
    <n v="5"/>
    <n v="4931112"/>
    <n v="3"/>
    <n v="26"/>
    <n v="580"/>
    <n v="86256018"/>
    <n v="566321"/>
    <s v="Medium"/>
    <s v="B2C"/>
    <n v="4"/>
    <n v="52.8"/>
    <n v="585324"/>
    <n v="1"/>
  </r>
  <r>
    <s v="Startup_705"/>
    <x v="3"/>
    <n v="10"/>
    <n v="39392736"/>
    <n v="4"/>
    <n v="26"/>
    <n v="491"/>
    <n v="28250312"/>
    <n v="272959"/>
    <s v="Large"/>
    <s v="B2C"/>
    <n v="9"/>
    <n v="68.290000000000006"/>
    <n v="218657"/>
    <n v="1"/>
  </r>
  <r>
    <s v="Startup_706"/>
    <x v="0"/>
    <n v="3"/>
    <n v="49790743"/>
    <n v="3"/>
    <n v="21"/>
    <n v="43"/>
    <n v="53550304"/>
    <n v="725016"/>
    <s v="Small"/>
    <s v="B2C"/>
    <n v="6"/>
    <n v="1.9"/>
    <n v="459330"/>
    <n v="1"/>
  </r>
  <r>
    <s v="Startup_707"/>
    <x v="3"/>
    <n v="2"/>
    <n v="28503767"/>
    <n v="3"/>
    <n v="10"/>
    <n v="16"/>
    <n v="6014769"/>
    <n v="836345"/>
    <s v="Medium"/>
    <s v="B2B"/>
    <n v="9"/>
    <n v="7.44"/>
    <n v="762140"/>
    <n v="1"/>
  </r>
  <r>
    <s v="Startup_708"/>
    <x v="0"/>
    <n v="10"/>
    <n v="31010453"/>
    <n v="2"/>
    <n v="25"/>
    <n v="370"/>
    <n v="52278163"/>
    <n v="337429"/>
    <s v="Large"/>
    <s v="Hybrid"/>
    <n v="4"/>
    <n v="72.040000000000006"/>
    <n v="857440"/>
    <n v="1"/>
  </r>
  <r>
    <s v="Startup_709"/>
    <x v="3"/>
    <n v="9"/>
    <n v="8944978"/>
    <n v="1"/>
    <n v="4"/>
    <n v="343"/>
    <n v="59940490"/>
    <n v="407498"/>
    <s v="Small"/>
    <s v="Hybrid"/>
    <n v="3"/>
    <n v="51.79"/>
    <n v="878571"/>
    <n v="1"/>
  </r>
  <r>
    <s v="Startup_710"/>
    <x v="1"/>
    <n v="12"/>
    <n v="43922449"/>
    <n v="2"/>
    <n v="23"/>
    <n v="92"/>
    <n v="87789235"/>
    <n v="739768"/>
    <s v="Small"/>
    <s v="B2B"/>
    <n v="2"/>
    <n v="10.58"/>
    <n v="51419"/>
    <n v="1"/>
  </r>
  <r>
    <s v="Startup_711"/>
    <x v="2"/>
    <n v="6"/>
    <n v="16849351"/>
    <n v="1"/>
    <n v="2"/>
    <n v="417"/>
    <n v="87569598"/>
    <n v="938424"/>
    <s v="Small"/>
    <s v="B2C"/>
    <n v="7"/>
    <n v="59.46"/>
    <n v="814620"/>
    <n v="1"/>
  </r>
  <r>
    <s v="Startup_712"/>
    <x v="1"/>
    <n v="12"/>
    <n v="30438534"/>
    <n v="3"/>
    <n v="4"/>
    <n v="930"/>
    <n v="55250568"/>
    <n v="196494"/>
    <s v="Small"/>
    <s v="B2C"/>
    <n v="5"/>
    <n v="73.209999999999994"/>
    <n v="668460"/>
    <n v="1"/>
  </r>
  <r>
    <s v="Startup_713"/>
    <x v="5"/>
    <n v="14"/>
    <n v="44757743"/>
    <n v="3"/>
    <n v="24"/>
    <n v="454"/>
    <n v="53417162"/>
    <n v="785543"/>
    <s v="Medium"/>
    <s v="B2B"/>
    <n v="2"/>
    <n v="21.42"/>
    <n v="59433"/>
    <n v="1"/>
  </r>
  <r>
    <s v="Startup_714"/>
    <x v="3"/>
    <n v="7"/>
    <n v="44964484"/>
    <n v="2"/>
    <n v="5"/>
    <n v="853"/>
    <n v="62030058"/>
    <n v="170557"/>
    <s v="Large"/>
    <s v="B2B"/>
    <n v="7"/>
    <n v="8.2100000000000009"/>
    <n v="987488"/>
    <n v="1"/>
  </r>
  <r>
    <s v="Startup_715"/>
    <x v="4"/>
    <n v="2"/>
    <n v="25362458"/>
    <n v="4"/>
    <n v="2"/>
    <n v="21"/>
    <n v="55467059"/>
    <n v="361230"/>
    <s v="Small"/>
    <s v="B2C"/>
    <n v="7"/>
    <n v="46.47"/>
    <n v="952738"/>
    <n v="1"/>
  </r>
  <r>
    <s v="Startup_716"/>
    <x v="3"/>
    <n v="4"/>
    <n v="19938180"/>
    <n v="1"/>
    <n v="19"/>
    <n v="370"/>
    <n v="15210331"/>
    <n v="642100"/>
    <s v="Medium"/>
    <s v="B2B"/>
    <n v="4"/>
    <n v="28.9"/>
    <n v="818071"/>
    <n v="1"/>
  </r>
  <r>
    <s v="Startup_717"/>
    <x v="3"/>
    <n v="8"/>
    <n v="30945134"/>
    <n v="2"/>
    <n v="5"/>
    <n v="690"/>
    <n v="62760069"/>
    <n v="401975"/>
    <s v="Large"/>
    <s v="Hybrid"/>
    <n v="6"/>
    <n v="83.78"/>
    <n v="286864"/>
    <n v="1"/>
  </r>
  <r>
    <s v="Startup_718"/>
    <x v="3"/>
    <n v="6"/>
    <n v="25323610"/>
    <n v="1"/>
    <n v="14"/>
    <n v="139"/>
    <n v="3652175"/>
    <n v="944525"/>
    <s v="Small"/>
    <s v="B2C"/>
    <n v="5"/>
    <n v="44.35"/>
    <n v="966163"/>
    <n v="1"/>
  </r>
  <r>
    <s v="Startup_719"/>
    <x v="1"/>
    <n v="9"/>
    <n v="7284058"/>
    <n v="2"/>
    <n v="2"/>
    <n v="629"/>
    <n v="77819036"/>
    <n v="332967"/>
    <s v="Medium"/>
    <s v="Hybrid"/>
    <n v="3"/>
    <n v="24.71"/>
    <n v="20543"/>
    <n v="1"/>
  </r>
  <r>
    <s v="Startup_720"/>
    <x v="2"/>
    <n v="12"/>
    <n v="10163585"/>
    <n v="2"/>
    <n v="11"/>
    <n v="410"/>
    <n v="46777414"/>
    <n v="37879"/>
    <s v="Large"/>
    <s v="B2C"/>
    <n v="1"/>
    <n v="50.54"/>
    <n v="813369"/>
    <n v="1"/>
  </r>
  <r>
    <s v="Startup_721"/>
    <x v="2"/>
    <n v="2"/>
    <n v="49862360"/>
    <n v="4"/>
    <n v="6"/>
    <n v="198"/>
    <n v="4912603"/>
    <n v="483415"/>
    <s v="Medium"/>
    <s v="B2C"/>
    <n v="3"/>
    <n v="41.32"/>
    <n v="920947"/>
    <n v="1"/>
  </r>
  <r>
    <s v="Startup_722"/>
    <x v="2"/>
    <n v="3"/>
    <n v="38673154"/>
    <n v="2"/>
    <n v="24"/>
    <n v="763"/>
    <n v="54058076"/>
    <n v="938131"/>
    <s v="Medium"/>
    <s v="B2C"/>
    <n v="5"/>
    <n v="44.54"/>
    <n v="45325"/>
    <n v="1"/>
  </r>
  <r>
    <s v="Startup_723"/>
    <x v="6"/>
    <n v="1"/>
    <n v="5034815"/>
    <n v="4"/>
    <n v="29"/>
    <n v="959"/>
    <n v="76485037"/>
    <n v="411140"/>
    <s v="Large"/>
    <s v="B2C"/>
    <n v="9"/>
    <n v="82.46"/>
    <n v="477550"/>
    <n v="1"/>
  </r>
  <r>
    <s v="Startup_724"/>
    <x v="0"/>
    <n v="11"/>
    <n v="27005979"/>
    <n v="2"/>
    <n v="26"/>
    <n v="296"/>
    <n v="53382786"/>
    <n v="905321"/>
    <s v="Small"/>
    <s v="B2C"/>
    <n v="6"/>
    <n v="16.05"/>
    <n v="391366"/>
    <n v="1"/>
  </r>
  <r>
    <s v="Startup_725"/>
    <x v="6"/>
    <n v="6"/>
    <n v="39971513"/>
    <n v="4"/>
    <n v="10"/>
    <n v="133"/>
    <n v="66683450"/>
    <n v="257931"/>
    <s v="Small"/>
    <s v="B2B"/>
    <n v="1"/>
    <n v="83.9"/>
    <n v="629524"/>
    <n v="1"/>
  </r>
  <r>
    <s v="Startup_726"/>
    <x v="6"/>
    <n v="14"/>
    <n v="37268639"/>
    <n v="1"/>
    <n v="21"/>
    <n v="716"/>
    <n v="420865"/>
    <n v="240759"/>
    <s v="Large"/>
    <s v="Hybrid"/>
    <n v="3"/>
    <n v="65.42"/>
    <n v="777771"/>
    <n v="1"/>
  </r>
  <r>
    <s v="Startup_727"/>
    <x v="0"/>
    <n v="3"/>
    <n v="19702687"/>
    <n v="4"/>
    <n v="9"/>
    <n v="19"/>
    <n v="98989915"/>
    <n v="703310"/>
    <s v="Large"/>
    <s v="Hybrid"/>
    <n v="8"/>
    <n v="68.25"/>
    <n v="8387"/>
    <n v="1"/>
  </r>
  <r>
    <s v="Startup_728"/>
    <x v="6"/>
    <n v="8"/>
    <n v="29630552"/>
    <n v="2"/>
    <n v="27"/>
    <n v="607"/>
    <n v="24981300"/>
    <n v="673845"/>
    <s v="Large"/>
    <s v="B2B"/>
    <n v="1"/>
    <n v="16.440000000000001"/>
    <n v="348568"/>
    <n v="1"/>
  </r>
  <r>
    <s v="Startup_729"/>
    <x v="0"/>
    <n v="7"/>
    <n v="21776526"/>
    <n v="2"/>
    <n v="11"/>
    <n v="860"/>
    <n v="75359555"/>
    <n v="392631"/>
    <s v="Large"/>
    <s v="B2B"/>
    <n v="3"/>
    <n v="74.41"/>
    <n v="714694"/>
    <n v="1"/>
  </r>
  <r>
    <s v="Startup_730"/>
    <x v="4"/>
    <n v="0"/>
    <n v="27926101"/>
    <n v="4"/>
    <n v="22"/>
    <n v="416"/>
    <n v="68401611"/>
    <n v="460372"/>
    <s v="Small"/>
    <s v="Hybrid"/>
    <n v="7"/>
    <n v="3"/>
    <n v="40726"/>
    <n v="1"/>
  </r>
  <r>
    <s v="Startup_731"/>
    <x v="6"/>
    <n v="13"/>
    <n v="23255559"/>
    <n v="3"/>
    <n v="8"/>
    <n v="623"/>
    <n v="86551798"/>
    <n v="774457"/>
    <s v="Medium"/>
    <s v="B2B"/>
    <n v="7"/>
    <n v="63.64"/>
    <n v="329497"/>
    <n v="1"/>
  </r>
  <r>
    <s v="Startup_732"/>
    <x v="0"/>
    <n v="6"/>
    <n v="42913037"/>
    <n v="4"/>
    <n v="23"/>
    <n v="622"/>
    <n v="6212165"/>
    <n v="157147"/>
    <s v="Small"/>
    <s v="B2C"/>
    <n v="1"/>
    <n v="24.61"/>
    <n v="689516"/>
    <n v="1"/>
  </r>
  <r>
    <s v="Startup_733"/>
    <x v="3"/>
    <n v="14"/>
    <n v="5337857"/>
    <n v="4"/>
    <n v="16"/>
    <n v="738"/>
    <n v="23195944"/>
    <n v="527179"/>
    <s v="Small"/>
    <s v="B2C"/>
    <n v="8"/>
    <n v="20.079999999999998"/>
    <n v="429108"/>
    <n v="1"/>
  </r>
  <r>
    <s v="Startup_734"/>
    <x v="6"/>
    <n v="14"/>
    <n v="40078496"/>
    <n v="1"/>
    <n v="10"/>
    <n v="783"/>
    <n v="54992028"/>
    <n v="614171"/>
    <s v="Medium"/>
    <s v="B2C"/>
    <n v="2"/>
    <n v="30.62"/>
    <n v="900819"/>
    <n v="1"/>
  </r>
  <r>
    <s v="Startup_735"/>
    <x v="1"/>
    <n v="8"/>
    <n v="30222330"/>
    <n v="4"/>
    <n v="12"/>
    <n v="506"/>
    <n v="9857837"/>
    <n v="208911"/>
    <s v="Small"/>
    <s v="Hybrid"/>
    <n v="1"/>
    <n v="96.1"/>
    <n v="59367"/>
    <n v="1"/>
  </r>
  <r>
    <s v="Startup_736"/>
    <x v="4"/>
    <n v="10"/>
    <n v="30660008"/>
    <n v="2"/>
    <n v="29"/>
    <n v="443"/>
    <n v="15629658"/>
    <n v="908475"/>
    <s v="Small"/>
    <s v="B2C"/>
    <n v="5"/>
    <n v="40.75"/>
    <n v="104725"/>
    <n v="1"/>
  </r>
  <r>
    <s v="Startup_737"/>
    <x v="0"/>
    <n v="5"/>
    <n v="28273348"/>
    <n v="4"/>
    <n v="9"/>
    <n v="304"/>
    <n v="45897822"/>
    <n v="50015"/>
    <s v="Small"/>
    <s v="B2B"/>
    <n v="3"/>
    <n v="55.96"/>
    <n v="841454"/>
    <n v="1"/>
  </r>
  <r>
    <s v="Startup_738"/>
    <x v="5"/>
    <n v="6"/>
    <n v="30120271"/>
    <n v="4"/>
    <n v="16"/>
    <n v="896"/>
    <n v="24087280"/>
    <n v="835947"/>
    <s v="Large"/>
    <s v="Hybrid"/>
    <n v="4"/>
    <n v="73.14"/>
    <n v="16677"/>
    <n v="1"/>
  </r>
  <r>
    <s v="Startup_739"/>
    <x v="0"/>
    <n v="9"/>
    <n v="45823159"/>
    <n v="1"/>
    <n v="23"/>
    <n v="75"/>
    <n v="86736691"/>
    <n v="90641"/>
    <s v="Large"/>
    <s v="Hybrid"/>
    <n v="7"/>
    <n v="84.04"/>
    <n v="594482"/>
    <n v="1"/>
  </r>
  <r>
    <s v="Startup_740"/>
    <x v="3"/>
    <n v="6"/>
    <n v="27491245"/>
    <n v="1"/>
    <n v="19"/>
    <n v="754"/>
    <n v="96355976"/>
    <n v="275127"/>
    <s v="Medium"/>
    <s v="B2B"/>
    <n v="8"/>
    <n v="21.41"/>
    <n v="135676"/>
    <n v="1"/>
  </r>
  <r>
    <s v="Startup_741"/>
    <x v="1"/>
    <n v="10"/>
    <n v="35030280"/>
    <n v="3"/>
    <n v="15"/>
    <n v="16"/>
    <n v="56544778"/>
    <n v="454604"/>
    <s v="Small"/>
    <s v="Hybrid"/>
    <n v="3"/>
    <n v="33.659999999999997"/>
    <n v="550735"/>
    <n v="1"/>
  </r>
  <r>
    <s v="Startup_742"/>
    <x v="4"/>
    <n v="5"/>
    <n v="49597198"/>
    <n v="2"/>
    <n v="15"/>
    <n v="70"/>
    <n v="33192"/>
    <n v="226619"/>
    <s v="Large"/>
    <s v="B2B"/>
    <n v="5"/>
    <n v="79.2"/>
    <n v="37271"/>
    <n v="1"/>
  </r>
  <r>
    <s v="Startup_743"/>
    <x v="5"/>
    <n v="1"/>
    <n v="32872000"/>
    <n v="1"/>
    <n v="16"/>
    <n v="436"/>
    <n v="35235616"/>
    <n v="21480"/>
    <s v="Large"/>
    <s v="B2C"/>
    <n v="2"/>
    <n v="10.16"/>
    <n v="127040"/>
    <n v="1"/>
  </r>
  <r>
    <s v="Startup_744"/>
    <x v="3"/>
    <n v="9"/>
    <n v="38668737"/>
    <n v="4"/>
    <n v="7"/>
    <n v="815"/>
    <n v="98611441"/>
    <n v="854434"/>
    <s v="Medium"/>
    <s v="Hybrid"/>
    <n v="6"/>
    <n v="61.54"/>
    <n v="409362"/>
    <n v="1"/>
  </r>
  <r>
    <s v="Startup_745"/>
    <x v="1"/>
    <n v="1"/>
    <n v="21318706"/>
    <n v="2"/>
    <n v="21"/>
    <n v="289"/>
    <n v="68972360"/>
    <n v="301631"/>
    <s v="Large"/>
    <s v="B2C"/>
    <n v="1"/>
    <n v="94.55"/>
    <n v="952192"/>
    <n v="1"/>
  </r>
  <r>
    <s v="Startup_746"/>
    <x v="1"/>
    <n v="9"/>
    <n v="29855231"/>
    <n v="2"/>
    <n v="23"/>
    <n v="189"/>
    <n v="14597662"/>
    <n v="774218"/>
    <s v="Large"/>
    <s v="B2C"/>
    <n v="2"/>
    <n v="68.12"/>
    <n v="183985"/>
    <n v="1"/>
  </r>
  <r>
    <s v="Startup_747"/>
    <x v="4"/>
    <n v="14"/>
    <n v="42119851"/>
    <n v="2"/>
    <n v="10"/>
    <n v="427"/>
    <n v="71289325"/>
    <n v="87891"/>
    <s v="Large"/>
    <s v="B2C"/>
    <n v="1"/>
    <n v="8.3000000000000007"/>
    <n v="382064"/>
    <n v="1"/>
  </r>
  <r>
    <s v="Startup_748"/>
    <x v="5"/>
    <n v="6"/>
    <n v="47033470"/>
    <n v="1"/>
    <n v="4"/>
    <n v="386"/>
    <n v="64745875"/>
    <n v="682893"/>
    <s v="Large"/>
    <s v="B2B"/>
    <n v="6"/>
    <n v="10.199999999999999"/>
    <n v="254896"/>
    <n v="1"/>
  </r>
  <r>
    <s v="Startup_749"/>
    <x v="6"/>
    <n v="9"/>
    <n v="25006963"/>
    <n v="3"/>
    <n v="28"/>
    <n v="831"/>
    <n v="22276545"/>
    <n v="466659"/>
    <s v="Medium"/>
    <s v="B2B"/>
    <n v="6"/>
    <n v="29.15"/>
    <n v="81914"/>
    <n v="1"/>
  </r>
  <r>
    <s v="Startup_750"/>
    <x v="2"/>
    <n v="14"/>
    <n v="16011058"/>
    <n v="1"/>
    <n v="24"/>
    <n v="745"/>
    <n v="1808693"/>
    <n v="860885"/>
    <s v="Small"/>
    <s v="B2C"/>
    <n v="4"/>
    <n v="95.07"/>
    <n v="346404"/>
    <n v="1"/>
  </r>
  <r>
    <s v="Startup_751"/>
    <x v="4"/>
    <n v="12"/>
    <n v="19448955"/>
    <n v="1"/>
    <n v="25"/>
    <n v="182"/>
    <n v="48165331"/>
    <n v="177309"/>
    <s v="Small"/>
    <s v="Hybrid"/>
    <n v="6"/>
    <n v="6.75"/>
    <n v="466558"/>
    <n v="1"/>
  </r>
  <r>
    <s v="Startup_752"/>
    <x v="5"/>
    <n v="12"/>
    <n v="16725790"/>
    <n v="2"/>
    <n v="11"/>
    <n v="273"/>
    <n v="61136383"/>
    <n v="656002"/>
    <s v="Large"/>
    <s v="Hybrid"/>
    <n v="9"/>
    <n v="66.86"/>
    <n v="822255"/>
    <n v="1"/>
  </r>
  <r>
    <s v="Startup_753"/>
    <x v="1"/>
    <n v="7"/>
    <n v="35135711"/>
    <n v="4"/>
    <n v="13"/>
    <n v="145"/>
    <n v="92725936"/>
    <n v="18298"/>
    <s v="Large"/>
    <s v="Hybrid"/>
    <n v="8"/>
    <n v="69.28"/>
    <n v="347659"/>
    <n v="1"/>
  </r>
  <r>
    <s v="Startup_754"/>
    <x v="4"/>
    <n v="5"/>
    <n v="566671"/>
    <n v="2"/>
    <n v="21"/>
    <n v="708"/>
    <n v="39666198"/>
    <n v="695397"/>
    <s v="Small"/>
    <s v="Hybrid"/>
    <n v="1"/>
    <n v="87.97"/>
    <n v="332006"/>
    <n v="1"/>
  </r>
  <r>
    <s v="Startup_755"/>
    <x v="3"/>
    <n v="13"/>
    <n v="9580307"/>
    <n v="4"/>
    <n v="22"/>
    <n v="182"/>
    <n v="96924301"/>
    <n v="759348"/>
    <s v="Large"/>
    <s v="B2B"/>
    <n v="5"/>
    <n v="11.39"/>
    <n v="378635"/>
    <n v="1"/>
  </r>
  <r>
    <s v="Startup_756"/>
    <x v="2"/>
    <n v="12"/>
    <n v="25027094"/>
    <n v="1"/>
    <n v="10"/>
    <n v="96"/>
    <n v="89540813"/>
    <n v="25283"/>
    <s v="Large"/>
    <s v="B2C"/>
    <n v="3"/>
    <n v="11.52"/>
    <n v="267123"/>
    <n v="1"/>
  </r>
  <r>
    <s v="Startup_757"/>
    <x v="2"/>
    <n v="2"/>
    <n v="14453702"/>
    <n v="2"/>
    <n v="20"/>
    <n v="752"/>
    <n v="60041095"/>
    <n v="202076"/>
    <s v="Small"/>
    <s v="B2C"/>
    <n v="3"/>
    <n v="66.400000000000006"/>
    <n v="694740"/>
    <n v="1"/>
  </r>
  <r>
    <s v="Startup_758"/>
    <x v="2"/>
    <n v="11"/>
    <n v="21962429"/>
    <n v="4"/>
    <n v="0"/>
    <n v="675"/>
    <n v="38864398"/>
    <n v="250626"/>
    <s v="Medium"/>
    <s v="B2C"/>
    <n v="9"/>
    <n v="76.650000000000006"/>
    <n v="419388"/>
    <n v="1"/>
  </r>
  <r>
    <s v="Startup_759"/>
    <x v="0"/>
    <n v="1"/>
    <n v="4479884"/>
    <n v="3"/>
    <n v="8"/>
    <n v="946"/>
    <n v="5324142"/>
    <n v="848248"/>
    <s v="Large"/>
    <s v="B2C"/>
    <n v="9"/>
    <n v="91.12"/>
    <n v="175329"/>
    <n v="1"/>
  </r>
  <r>
    <s v="Startup_760"/>
    <x v="3"/>
    <n v="5"/>
    <n v="15728624"/>
    <n v="1"/>
    <n v="15"/>
    <n v="88"/>
    <n v="70095471"/>
    <n v="340544"/>
    <s v="Small"/>
    <s v="B2B"/>
    <n v="7"/>
    <n v="66.28"/>
    <n v="462249"/>
    <n v="1"/>
  </r>
  <r>
    <s v="Startup_761"/>
    <x v="2"/>
    <n v="12"/>
    <n v="27665167"/>
    <n v="1"/>
    <n v="20"/>
    <n v="843"/>
    <n v="58690625"/>
    <n v="389342"/>
    <s v="Small"/>
    <s v="B2C"/>
    <n v="9"/>
    <n v="76.989999999999995"/>
    <n v="33697"/>
    <n v="1"/>
  </r>
  <r>
    <s v="Startup_762"/>
    <x v="3"/>
    <n v="6"/>
    <n v="30071753"/>
    <n v="2"/>
    <n v="25"/>
    <n v="560"/>
    <n v="32809772"/>
    <n v="618476"/>
    <s v="Medium"/>
    <s v="B2B"/>
    <n v="6"/>
    <n v="92.97"/>
    <n v="537015"/>
    <n v="1"/>
  </r>
  <r>
    <s v="Startup_763"/>
    <x v="1"/>
    <n v="3"/>
    <n v="17652641"/>
    <n v="3"/>
    <n v="28"/>
    <n v="21"/>
    <n v="64591214"/>
    <n v="695522"/>
    <s v="Medium"/>
    <s v="Hybrid"/>
    <n v="3"/>
    <n v="46.2"/>
    <n v="392402"/>
    <n v="1"/>
  </r>
  <r>
    <s v="Startup_764"/>
    <x v="1"/>
    <n v="13"/>
    <n v="34582730"/>
    <n v="3"/>
    <n v="2"/>
    <n v="784"/>
    <n v="99003441"/>
    <n v="6537"/>
    <s v="Small"/>
    <s v="B2C"/>
    <n v="3"/>
    <n v="63.28"/>
    <n v="196489"/>
    <n v="1"/>
  </r>
  <r>
    <s v="Startup_765"/>
    <x v="3"/>
    <n v="13"/>
    <n v="37881031"/>
    <n v="1"/>
    <n v="16"/>
    <n v="696"/>
    <n v="97406227"/>
    <n v="731639"/>
    <s v="Large"/>
    <s v="Hybrid"/>
    <n v="5"/>
    <n v="76.42"/>
    <n v="243396"/>
    <n v="1"/>
  </r>
  <r>
    <s v="Startup_766"/>
    <x v="2"/>
    <n v="0"/>
    <n v="19833561"/>
    <n v="1"/>
    <n v="11"/>
    <n v="101"/>
    <n v="53513793"/>
    <n v="930763"/>
    <s v="Small"/>
    <s v="B2B"/>
    <n v="5"/>
    <n v="12.36"/>
    <n v="392696"/>
    <n v="1"/>
  </r>
  <r>
    <s v="Startup_767"/>
    <x v="1"/>
    <n v="6"/>
    <n v="17986313"/>
    <n v="2"/>
    <n v="2"/>
    <n v="274"/>
    <n v="4263335"/>
    <n v="89986"/>
    <s v="Large"/>
    <s v="B2B"/>
    <n v="3"/>
    <n v="91.93"/>
    <n v="339183"/>
    <n v="1"/>
  </r>
  <r>
    <s v="Startup_768"/>
    <x v="6"/>
    <n v="13"/>
    <n v="38237003"/>
    <n v="2"/>
    <n v="26"/>
    <n v="646"/>
    <n v="39291791"/>
    <n v="671033"/>
    <s v="Large"/>
    <s v="B2C"/>
    <n v="6"/>
    <n v="45.03"/>
    <n v="174767"/>
    <n v="1"/>
  </r>
  <r>
    <s v="Startup_769"/>
    <x v="5"/>
    <n v="12"/>
    <n v="16462163"/>
    <n v="4"/>
    <n v="17"/>
    <n v="366"/>
    <n v="79837068"/>
    <n v="826904"/>
    <s v="Medium"/>
    <s v="B2B"/>
    <n v="9"/>
    <n v="12.02"/>
    <n v="881152"/>
    <n v="1"/>
  </r>
  <r>
    <s v="Startup_770"/>
    <x v="3"/>
    <n v="4"/>
    <n v="28066119"/>
    <n v="1"/>
    <n v="27"/>
    <n v="400"/>
    <n v="98294155"/>
    <n v="938189"/>
    <s v="Small"/>
    <s v="B2B"/>
    <n v="3"/>
    <n v="99.91"/>
    <n v="952738"/>
    <n v="1"/>
  </r>
  <r>
    <s v="Startup_771"/>
    <x v="5"/>
    <n v="11"/>
    <n v="39158202"/>
    <n v="4"/>
    <n v="13"/>
    <n v="128"/>
    <n v="35046701"/>
    <n v="337907"/>
    <s v="Small"/>
    <s v="Hybrid"/>
    <n v="9"/>
    <n v="30.71"/>
    <n v="686892"/>
    <n v="1"/>
  </r>
  <r>
    <s v="Startup_772"/>
    <x v="6"/>
    <n v="13"/>
    <n v="5042018"/>
    <n v="2"/>
    <n v="19"/>
    <n v="756"/>
    <n v="12016217"/>
    <n v="210175"/>
    <s v="Small"/>
    <s v="B2B"/>
    <n v="9"/>
    <n v="63"/>
    <n v="86414"/>
    <n v="1"/>
  </r>
  <r>
    <s v="Startup_773"/>
    <x v="5"/>
    <n v="0"/>
    <n v="47390642"/>
    <n v="1"/>
    <n v="23"/>
    <n v="41"/>
    <n v="26188527"/>
    <n v="735762"/>
    <s v="Small"/>
    <s v="B2C"/>
    <n v="5"/>
    <n v="63.81"/>
    <n v="62778"/>
    <n v="1"/>
  </r>
  <r>
    <s v="Startup_774"/>
    <x v="4"/>
    <n v="11"/>
    <n v="30274059"/>
    <n v="2"/>
    <n v="0"/>
    <n v="231"/>
    <n v="50638649"/>
    <n v="881280"/>
    <s v="Large"/>
    <s v="B2C"/>
    <n v="2"/>
    <n v="34.159999999999997"/>
    <n v="983636"/>
    <n v="1"/>
  </r>
  <r>
    <s v="Startup_775"/>
    <x v="2"/>
    <n v="8"/>
    <n v="20667257"/>
    <n v="3"/>
    <n v="24"/>
    <n v="679"/>
    <n v="45180378"/>
    <n v="70809"/>
    <s v="Large"/>
    <s v="B2B"/>
    <n v="9"/>
    <n v="37.79"/>
    <n v="468241"/>
    <n v="1"/>
  </r>
  <r>
    <s v="Startup_776"/>
    <x v="2"/>
    <n v="0"/>
    <n v="523627"/>
    <n v="4"/>
    <n v="29"/>
    <n v="463"/>
    <n v="70583460"/>
    <n v="182807"/>
    <s v="Large"/>
    <s v="B2B"/>
    <n v="2"/>
    <n v="17.989999999999998"/>
    <n v="641006"/>
    <n v="1"/>
  </r>
  <r>
    <s v="Startup_777"/>
    <x v="1"/>
    <n v="0"/>
    <n v="40587568"/>
    <n v="3"/>
    <n v="24"/>
    <n v="319"/>
    <n v="18190057"/>
    <n v="166265"/>
    <s v="Small"/>
    <s v="B2C"/>
    <n v="7"/>
    <n v="43.89"/>
    <n v="172173"/>
    <n v="1"/>
  </r>
  <r>
    <s v="Startup_778"/>
    <x v="5"/>
    <n v="4"/>
    <n v="21205194"/>
    <n v="1"/>
    <n v="23"/>
    <n v="29"/>
    <n v="88637950"/>
    <n v="206172"/>
    <s v="Large"/>
    <s v="Hybrid"/>
    <n v="4"/>
    <n v="53.58"/>
    <n v="401410"/>
    <n v="1"/>
  </r>
  <r>
    <s v="Startup_779"/>
    <x v="3"/>
    <n v="6"/>
    <n v="31871970"/>
    <n v="1"/>
    <n v="11"/>
    <n v="890"/>
    <n v="31163332"/>
    <n v="477273"/>
    <s v="Medium"/>
    <s v="B2C"/>
    <n v="2"/>
    <n v="86.09"/>
    <n v="467350"/>
    <n v="1"/>
  </r>
  <r>
    <s v="Startup_780"/>
    <x v="0"/>
    <n v="11"/>
    <n v="11225631"/>
    <n v="1"/>
    <n v="16"/>
    <n v="540"/>
    <n v="13735209"/>
    <n v="652029"/>
    <s v="Medium"/>
    <s v="B2B"/>
    <n v="3"/>
    <n v="63.36"/>
    <n v="852710"/>
    <n v="1"/>
  </r>
  <r>
    <s v="Startup_781"/>
    <x v="4"/>
    <n v="5"/>
    <n v="17319277"/>
    <n v="2"/>
    <n v="7"/>
    <n v="811"/>
    <n v="95635696"/>
    <n v="108622"/>
    <s v="Medium"/>
    <s v="Hybrid"/>
    <n v="6"/>
    <n v="99.31"/>
    <n v="65129"/>
    <n v="1"/>
  </r>
  <r>
    <s v="Startup_782"/>
    <x v="5"/>
    <n v="6"/>
    <n v="45861036"/>
    <n v="2"/>
    <n v="8"/>
    <n v="826"/>
    <n v="75655464"/>
    <n v="118946"/>
    <s v="Medium"/>
    <s v="B2C"/>
    <n v="1"/>
    <n v="49.43"/>
    <n v="125137"/>
    <n v="1"/>
  </r>
  <r>
    <s v="Startup_783"/>
    <x v="5"/>
    <n v="12"/>
    <n v="28800538"/>
    <n v="4"/>
    <n v="15"/>
    <n v="161"/>
    <n v="89194154"/>
    <n v="131402"/>
    <s v="Medium"/>
    <s v="Hybrid"/>
    <n v="7"/>
    <n v="50.81"/>
    <n v="256375"/>
    <n v="1"/>
  </r>
  <r>
    <s v="Startup_784"/>
    <x v="0"/>
    <n v="9"/>
    <n v="6723507"/>
    <n v="4"/>
    <n v="14"/>
    <n v="78"/>
    <n v="86042321"/>
    <n v="412705"/>
    <s v="Medium"/>
    <s v="Hybrid"/>
    <n v="1"/>
    <n v="15.46"/>
    <n v="970483"/>
    <n v="1"/>
  </r>
  <r>
    <s v="Startup_785"/>
    <x v="1"/>
    <n v="9"/>
    <n v="22534324"/>
    <n v="3"/>
    <n v="8"/>
    <n v="608"/>
    <n v="86583971"/>
    <n v="61002"/>
    <s v="Medium"/>
    <s v="Hybrid"/>
    <n v="1"/>
    <n v="71.5"/>
    <n v="128938"/>
    <n v="1"/>
  </r>
  <r>
    <s v="Startup_786"/>
    <x v="5"/>
    <n v="12"/>
    <n v="28120402"/>
    <n v="1"/>
    <n v="22"/>
    <n v="606"/>
    <n v="42902538"/>
    <n v="458430"/>
    <s v="Small"/>
    <s v="Hybrid"/>
    <n v="9"/>
    <n v="81.73"/>
    <n v="41405"/>
    <n v="1"/>
  </r>
  <r>
    <s v="Startup_787"/>
    <x v="6"/>
    <n v="9"/>
    <n v="25045103"/>
    <n v="3"/>
    <n v="8"/>
    <n v="690"/>
    <n v="69706032"/>
    <n v="364339"/>
    <s v="Medium"/>
    <s v="B2C"/>
    <n v="7"/>
    <n v="80.87"/>
    <n v="850769"/>
    <n v="1"/>
  </r>
  <r>
    <s v="Startup_788"/>
    <x v="2"/>
    <n v="12"/>
    <n v="32436601"/>
    <n v="2"/>
    <n v="23"/>
    <n v="296"/>
    <n v="4495891"/>
    <n v="755912"/>
    <s v="Small"/>
    <s v="Hybrid"/>
    <n v="2"/>
    <n v="76.66"/>
    <n v="280113"/>
    <n v="1"/>
  </r>
  <r>
    <s v="Startup_789"/>
    <x v="3"/>
    <n v="8"/>
    <n v="39947317"/>
    <n v="3"/>
    <n v="29"/>
    <n v="108"/>
    <n v="72183325"/>
    <n v="347366"/>
    <s v="Small"/>
    <s v="B2C"/>
    <n v="7"/>
    <n v="20.51"/>
    <n v="224641"/>
    <n v="1"/>
  </r>
  <r>
    <s v="Startup_790"/>
    <x v="6"/>
    <n v="5"/>
    <n v="8952911"/>
    <n v="1"/>
    <n v="14"/>
    <n v="178"/>
    <n v="51121327"/>
    <n v="658620"/>
    <s v="Large"/>
    <s v="B2B"/>
    <n v="3"/>
    <n v="56.87"/>
    <n v="761273"/>
    <n v="1"/>
  </r>
  <r>
    <s v="Startup_791"/>
    <x v="2"/>
    <n v="5"/>
    <n v="19107130"/>
    <n v="4"/>
    <n v="3"/>
    <n v="799"/>
    <n v="86539900"/>
    <n v="833045"/>
    <s v="Medium"/>
    <s v="B2B"/>
    <n v="6"/>
    <n v="29.43"/>
    <n v="178356"/>
    <n v="1"/>
  </r>
  <r>
    <s v="Startup_792"/>
    <x v="5"/>
    <n v="8"/>
    <n v="5508412"/>
    <n v="4"/>
    <n v="26"/>
    <n v="467"/>
    <n v="3084032"/>
    <n v="81501"/>
    <s v="Large"/>
    <s v="B2B"/>
    <n v="8"/>
    <n v="99.76"/>
    <n v="629238"/>
    <n v="1"/>
  </r>
  <r>
    <s v="Startup_793"/>
    <x v="6"/>
    <n v="13"/>
    <n v="8966374"/>
    <n v="1"/>
    <n v="1"/>
    <n v="254"/>
    <n v="16115129"/>
    <n v="710715"/>
    <s v="Large"/>
    <s v="B2B"/>
    <n v="9"/>
    <n v="45.27"/>
    <n v="163280"/>
    <n v="1"/>
  </r>
  <r>
    <s v="Startup_794"/>
    <x v="5"/>
    <n v="8"/>
    <n v="35856922"/>
    <n v="4"/>
    <n v="15"/>
    <n v="422"/>
    <n v="20396138"/>
    <n v="631244"/>
    <s v="Medium"/>
    <s v="B2B"/>
    <n v="6"/>
    <n v="10.74"/>
    <n v="885123"/>
    <n v="1"/>
  </r>
  <r>
    <s v="Startup_795"/>
    <x v="2"/>
    <n v="14"/>
    <n v="42543221"/>
    <n v="1"/>
    <n v="13"/>
    <n v="451"/>
    <n v="25492893"/>
    <n v="728314"/>
    <s v="Small"/>
    <s v="B2C"/>
    <n v="1"/>
    <n v="61.68"/>
    <n v="786213"/>
    <n v="1"/>
  </r>
  <r>
    <s v="Startup_796"/>
    <x v="6"/>
    <n v="2"/>
    <n v="4681036"/>
    <n v="2"/>
    <n v="18"/>
    <n v="309"/>
    <n v="89981279"/>
    <n v="77396"/>
    <s v="Small"/>
    <s v="B2C"/>
    <n v="9"/>
    <n v="72.34"/>
    <n v="373068"/>
    <n v="1"/>
  </r>
  <r>
    <s v="Startup_797"/>
    <x v="2"/>
    <n v="13"/>
    <n v="10493000"/>
    <n v="4"/>
    <n v="3"/>
    <n v="12"/>
    <n v="2858149"/>
    <n v="640551"/>
    <s v="Small"/>
    <s v="B2C"/>
    <n v="6"/>
    <n v="55.54"/>
    <n v="697134"/>
    <n v="1"/>
  </r>
  <r>
    <s v="Startup_798"/>
    <x v="0"/>
    <n v="13"/>
    <n v="8000804"/>
    <n v="1"/>
    <n v="6"/>
    <n v="450"/>
    <n v="69756862"/>
    <n v="156202"/>
    <s v="Medium"/>
    <s v="B2C"/>
    <n v="8"/>
    <n v="57.94"/>
    <n v="504805"/>
    <n v="1"/>
  </r>
  <r>
    <s v="Startup_799"/>
    <x v="0"/>
    <n v="5"/>
    <n v="14505736"/>
    <n v="3"/>
    <n v="10"/>
    <n v="587"/>
    <n v="87590212"/>
    <n v="238813"/>
    <s v="Small"/>
    <s v="B2B"/>
    <n v="9"/>
    <n v="20.98"/>
    <n v="68707"/>
    <n v="1"/>
  </r>
  <r>
    <s v="Startup_800"/>
    <x v="1"/>
    <n v="0"/>
    <n v="36905714"/>
    <n v="2"/>
    <n v="17"/>
    <n v="922"/>
    <n v="74292157"/>
    <n v="724778"/>
    <s v="Large"/>
    <s v="Hybrid"/>
    <n v="7"/>
    <n v="28.15"/>
    <n v="946197"/>
    <n v="1"/>
  </r>
  <r>
    <s v="Startup_801"/>
    <x v="3"/>
    <n v="14"/>
    <n v="47329549"/>
    <n v="1"/>
    <n v="1"/>
    <n v="235"/>
    <n v="31769637"/>
    <n v="129002"/>
    <s v="Medium"/>
    <s v="B2B"/>
    <n v="3"/>
    <n v="41.67"/>
    <n v="901802"/>
    <n v="1"/>
  </r>
  <r>
    <s v="Startup_802"/>
    <x v="2"/>
    <n v="5"/>
    <n v="172924"/>
    <n v="4"/>
    <n v="16"/>
    <n v="768"/>
    <n v="62913844"/>
    <n v="720192"/>
    <s v="Medium"/>
    <s v="B2C"/>
    <n v="2"/>
    <n v="46.96"/>
    <n v="675895"/>
    <n v="1"/>
  </r>
  <r>
    <s v="Startup_803"/>
    <x v="5"/>
    <n v="8"/>
    <n v="6645009"/>
    <n v="1"/>
    <n v="16"/>
    <n v="452"/>
    <n v="2377832"/>
    <n v="770385"/>
    <s v="Large"/>
    <s v="B2C"/>
    <n v="4"/>
    <n v="15.01"/>
    <n v="963378"/>
    <n v="1"/>
  </r>
  <r>
    <s v="Startup_804"/>
    <x v="0"/>
    <n v="10"/>
    <n v="37615668"/>
    <n v="1"/>
    <n v="13"/>
    <n v="983"/>
    <n v="68072702"/>
    <n v="302872"/>
    <s v="Small"/>
    <s v="B2C"/>
    <n v="2"/>
    <n v="3.72"/>
    <n v="216968"/>
    <n v="1"/>
  </r>
  <r>
    <s v="Startup_805"/>
    <x v="2"/>
    <n v="2"/>
    <n v="11365171"/>
    <n v="3"/>
    <n v="21"/>
    <n v="892"/>
    <n v="64401085"/>
    <n v="335615"/>
    <s v="Medium"/>
    <s v="B2B"/>
    <n v="5"/>
    <n v="81.150000000000006"/>
    <n v="362233"/>
    <n v="1"/>
  </r>
  <r>
    <s v="Startup_806"/>
    <x v="0"/>
    <n v="0"/>
    <n v="20533646"/>
    <n v="3"/>
    <n v="27"/>
    <n v="723"/>
    <n v="62741083"/>
    <n v="670510"/>
    <s v="Medium"/>
    <s v="Hybrid"/>
    <n v="6"/>
    <n v="96.66"/>
    <n v="868081"/>
    <n v="1"/>
  </r>
  <r>
    <s v="Startup_807"/>
    <x v="4"/>
    <n v="6"/>
    <n v="48447046"/>
    <n v="2"/>
    <n v="21"/>
    <n v="375"/>
    <n v="69552225"/>
    <n v="34996"/>
    <s v="Small"/>
    <s v="B2B"/>
    <n v="6"/>
    <n v="67.02"/>
    <n v="896820"/>
    <n v="1"/>
  </r>
  <r>
    <s v="Startup_808"/>
    <x v="4"/>
    <n v="3"/>
    <n v="1241139"/>
    <n v="3"/>
    <n v="8"/>
    <n v="852"/>
    <n v="83199583"/>
    <n v="845136"/>
    <s v="Small"/>
    <s v="B2B"/>
    <n v="9"/>
    <n v="69.27"/>
    <n v="530901"/>
    <n v="1"/>
  </r>
  <r>
    <s v="Startup_809"/>
    <x v="0"/>
    <n v="3"/>
    <n v="5755052"/>
    <n v="2"/>
    <n v="18"/>
    <n v="88"/>
    <n v="97066346"/>
    <n v="999398"/>
    <s v="Medium"/>
    <s v="B2B"/>
    <n v="3"/>
    <n v="13.53"/>
    <n v="977036"/>
    <n v="1"/>
  </r>
  <r>
    <s v="Startup_810"/>
    <x v="6"/>
    <n v="13"/>
    <n v="16441755"/>
    <n v="3"/>
    <n v="18"/>
    <n v="123"/>
    <n v="35856946"/>
    <n v="877243"/>
    <s v="Large"/>
    <s v="B2C"/>
    <n v="2"/>
    <n v="11.01"/>
    <n v="552388"/>
    <n v="1"/>
  </r>
  <r>
    <s v="Startup_811"/>
    <x v="4"/>
    <n v="12"/>
    <n v="16588103"/>
    <n v="2"/>
    <n v="17"/>
    <n v="669"/>
    <n v="56418957"/>
    <n v="617001"/>
    <s v="Medium"/>
    <s v="B2C"/>
    <n v="4"/>
    <n v="5.61"/>
    <n v="728693"/>
    <n v="1"/>
  </r>
  <r>
    <s v="Startup_812"/>
    <x v="6"/>
    <n v="8"/>
    <n v="15306525"/>
    <n v="1"/>
    <n v="20"/>
    <n v="814"/>
    <n v="40125853"/>
    <n v="296300"/>
    <s v="Large"/>
    <s v="B2B"/>
    <n v="2"/>
    <n v="68.81"/>
    <n v="719792"/>
    <n v="1"/>
  </r>
  <r>
    <s v="Startup_813"/>
    <x v="4"/>
    <n v="2"/>
    <n v="45243396"/>
    <n v="1"/>
    <n v="28"/>
    <n v="995"/>
    <n v="11152487"/>
    <n v="262463"/>
    <s v="Small"/>
    <s v="Hybrid"/>
    <n v="2"/>
    <n v="54.01"/>
    <n v="697764"/>
    <n v="1"/>
  </r>
  <r>
    <s v="Startup_814"/>
    <x v="5"/>
    <n v="4"/>
    <n v="13166717"/>
    <n v="1"/>
    <n v="10"/>
    <n v="151"/>
    <n v="8569148"/>
    <n v="858907"/>
    <s v="Medium"/>
    <s v="B2C"/>
    <n v="8"/>
    <n v="65.98"/>
    <n v="425894"/>
    <n v="1"/>
  </r>
  <r>
    <s v="Startup_815"/>
    <x v="4"/>
    <n v="12"/>
    <n v="48304128"/>
    <n v="1"/>
    <n v="27"/>
    <n v="109"/>
    <n v="70988462"/>
    <n v="87045"/>
    <s v="Small"/>
    <s v="Hybrid"/>
    <n v="7"/>
    <n v="36.630000000000003"/>
    <n v="999344"/>
    <n v="1"/>
  </r>
  <r>
    <s v="Startup_816"/>
    <x v="1"/>
    <n v="1"/>
    <n v="886448"/>
    <n v="1"/>
    <n v="2"/>
    <n v="477"/>
    <n v="81903897"/>
    <n v="504015"/>
    <s v="Medium"/>
    <s v="B2B"/>
    <n v="5"/>
    <n v="58.04"/>
    <n v="801516"/>
    <n v="1"/>
  </r>
  <r>
    <s v="Startup_817"/>
    <x v="1"/>
    <n v="9"/>
    <n v="26487773"/>
    <n v="4"/>
    <n v="29"/>
    <n v="678"/>
    <n v="84439665"/>
    <n v="222257"/>
    <s v="Large"/>
    <s v="B2B"/>
    <n v="4"/>
    <n v="20.6"/>
    <n v="322260"/>
    <n v="1"/>
  </r>
  <r>
    <s v="Startup_818"/>
    <x v="6"/>
    <n v="7"/>
    <n v="14162777"/>
    <n v="3"/>
    <n v="23"/>
    <n v="744"/>
    <n v="4499336"/>
    <n v="86890"/>
    <s v="Small"/>
    <s v="B2C"/>
    <n v="7"/>
    <n v="44.48"/>
    <n v="66133"/>
    <n v="1"/>
  </r>
  <r>
    <s v="Startup_819"/>
    <x v="1"/>
    <n v="12"/>
    <n v="21572000"/>
    <n v="2"/>
    <n v="13"/>
    <n v="257"/>
    <n v="99292267"/>
    <n v="513582"/>
    <s v="Small"/>
    <s v="B2C"/>
    <n v="6"/>
    <n v="60.19"/>
    <n v="955732"/>
    <n v="1"/>
  </r>
  <r>
    <s v="Startup_820"/>
    <x v="4"/>
    <n v="10"/>
    <n v="19285666"/>
    <n v="2"/>
    <n v="26"/>
    <n v="346"/>
    <n v="89835496"/>
    <n v="827431"/>
    <s v="Small"/>
    <s v="B2B"/>
    <n v="2"/>
    <n v="36.909999999999997"/>
    <n v="70362"/>
    <n v="1"/>
  </r>
  <r>
    <s v="Startup_821"/>
    <x v="0"/>
    <n v="3"/>
    <n v="33395321"/>
    <n v="3"/>
    <n v="7"/>
    <n v="659"/>
    <n v="46168870"/>
    <n v="434853"/>
    <s v="Large"/>
    <s v="B2C"/>
    <n v="2"/>
    <n v="55.27"/>
    <n v="870248"/>
    <n v="1"/>
  </r>
  <r>
    <s v="Startup_822"/>
    <x v="2"/>
    <n v="3"/>
    <n v="23577855"/>
    <n v="1"/>
    <n v="27"/>
    <n v="122"/>
    <n v="22859568"/>
    <n v="152495"/>
    <s v="Small"/>
    <s v="B2C"/>
    <n v="2"/>
    <n v="1.34"/>
    <n v="890771"/>
    <n v="1"/>
  </r>
  <r>
    <s v="Startup_823"/>
    <x v="4"/>
    <n v="8"/>
    <n v="10308331"/>
    <n v="1"/>
    <n v="27"/>
    <n v="130"/>
    <n v="49990919"/>
    <n v="512807"/>
    <s v="Small"/>
    <s v="Hybrid"/>
    <n v="3"/>
    <n v="25.44"/>
    <n v="583174"/>
    <n v="1"/>
  </r>
  <r>
    <s v="Startup_824"/>
    <x v="5"/>
    <n v="3"/>
    <n v="44548713"/>
    <n v="3"/>
    <n v="22"/>
    <n v="15"/>
    <n v="93375058"/>
    <n v="17020"/>
    <s v="Medium"/>
    <s v="B2B"/>
    <n v="1"/>
    <n v="29.78"/>
    <n v="774294"/>
    <n v="1"/>
  </r>
  <r>
    <s v="Startup_825"/>
    <x v="1"/>
    <n v="13"/>
    <n v="41663755"/>
    <n v="3"/>
    <n v="22"/>
    <n v="870"/>
    <n v="49700577"/>
    <n v="603905"/>
    <s v="Medium"/>
    <s v="Hybrid"/>
    <n v="3"/>
    <n v="41.58"/>
    <n v="782117"/>
    <n v="1"/>
  </r>
  <r>
    <s v="Startup_826"/>
    <x v="2"/>
    <n v="8"/>
    <n v="7518192"/>
    <n v="3"/>
    <n v="20"/>
    <n v="916"/>
    <n v="91073633"/>
    <n v="205495"/>
    <s v="Small"/>
    <s v="Hybrid"/>
    <n v="1"/>
    <n v="80.959999999999994"/>
    <n v="622501"/>
    <n v="1"/>
  </r>
  <r>
    <s v="Startup_827"/>
    <x v="1"/>
    <n v="6"/>
    <n v="48110189"/>
    <n v="2"/>
    <n v="23"/>
    <n v="162"/>
    <n v="97376684"/>
    <n v="282445"/>
    <s v="Large"/>
    <s v="B2B"/>
    <n v="8"/>
    <n v="62.96"/>
    <n v="525177"/>
    <n v="1"/>
  </r>
  <r>
    <s v="Startup_828"/>
    <x v="2"/>
    <n v="0"/>
    <n v="29359569"/>
    <n v="4"/>
    <n v="13"/>
    <n v="30"/>
    <n v="27573297"/>
    <n v="561843"/>
    <s v="Medium"/>
    <s v="Hybrid"/>
    <n v="3"/>
    <n v="85.86"/>
    <n v="137293"/>
    <n v="1"/>
  </r>
  <r>
    <s v="Startup_829"/>
    <x v="0"/>
    <n v="13"/>
    <n v="27777025"/>
    <n v="1"/>
    <n v="26"/>
    <n v="348"/>
    <n v="29028839"/>
    <n v="851683"/>
    <s v="Medium"/>
    <s v="Hybrid"/>
    <n v="8"/>
    <n v="34.18"/>
    <n v="486087"/>
    <n v="1"/>
  </r>
  <r>
    <s v="Startup_830"/>
    <x v="6"/>
    <n v="9"/>
    <n v="26545055"/>
    <n v="2"/>
    <n v="6"/>
    <n v="386"/>
    <n v="96615858"/>
    <n v="889642"/>
    <s v="Small"/>
    <s v="B2B"/>
    <n v="3"/>
    <n v="22.98"/>
    <n v="927174"/>
    <n v="1"/>
  </r>
  <r>
    <s v="Startup_831"/>
    <x v="6"/>
    <n v="7"/>
    <n v="21765814"/>
    <n v="2"/>
    <n v="9"/>
    <n v="805"/>
    <n v="32074753"/>
    <n v="586900"/>
    <s v="Large"/>
    <s v="B2C"/>
    <n v="8"/>
    <n v="88.26"/>
    <n v="631849"/>
    <n v="1"/>
  </r>
  <r>
    <s v="Startup_832"/>
    <x v="5"/>
    <n v="11"/>
    <n v="16931555"/>
    <n v="4"/>
    <n v="19"/>
    <n v="576"/>
    <n v="26324798"/>
    <n v="621658"/>
    <s v="Small"/>
    <s v="Hybrid"/>
    <n v="4"/>
    <n v="59.07"/>
    <n v="346809"/>
    <n v="1"/>
  </r>
  <r>
    <s v="Startup_833"/>
    <x v="2"/>
    <n v="3"/>
    <n v="26026196"/>
    <n v="2"/>
    <n v="24"/>
    <n v="863"/>
    <n v="55072285"/>
    <n v="440969"/>
    <s v="Small"/>
    <s v="B2B"/>
    <n v="1"/>
    <n v="21.94"/>
    <n v="553540"/>
    <n v="1"/>
  </r>
  <r>
    <s v="Startup_834"/>
    <x v="6"/>
    <n v="7"/>
    <n v="23553819"/>
    <n v="4"/>
    <n v="11"/>
    <n v="649"/>
    <n v="6860541"/>
    <n v="999550"/>
    <s v="Medium"/>
    <s v="Hybrid"/>
    <n v="2"/>
    <n v="3.68"/>
    <n v="660172"/>
    <n v="1"/>
  </r>
  <r>
    <s v="Startup_835"/>
    <x v="1"/>
    <n v="3"/>
    <n v="33922125"/>
    <n v="3"/>
    <n v="28"/>
    <n v="762"/>
    <n v="88707260"/>
    <n v="534957"/>
    <s v="Small"/>
    <s v="Hybrid"/>
    <n v="1"/>
    <n v="53.86"/>
    <n v="286049"/>
    <n v="1"/>
  </r>
  <r>
    <s v="Startup_836"/>
    <x v="2"/>
    <n v="9"/>
    <n v="39571945"/>
    <n v="1"/>
    <n v="7"/>
    <n v="277"/>
    <n v="19595850"/>
    <n v="619442"/>
    <s v="Small"/>
    <s v="B2B"/>
    <n v="6"/>
    <n v="55.22"/>
    <n v="495207"/>
    <n v="1"/>
  </r>
  <r>
    <s v="Startup_837"/>
    <x v="6"/>
    <n v="2"/>
    <n v="45900015"/>
    <n v="4"/>
    <n v="14"/>
    <n v="860"/>
    <n v="5912444"/>
    <n v="106111"/>
    <s v="Medium"/>
    <s v="Hybrid"/>
    <n v="4"/>
    <n v="73.89"/>
    <n v="110376"/>
    <n v="1"/>
  </r>
  <r>
    <s v="Startup_838"/>
    <x v="4"/>
    <n v="13"/>
    <n v="17043456"/>
    <n v="4"/>
    <n v="18"/>
    <n v="939"/>
    <n v="56842981"/>
    <n v="129209"/>
    <s v="Small"/>
    <s v="Hybrid"/>
    <n v="6"/>
    <n v="11.26"/>
    <n v="741264"/>
    <n v="1"/>
  </r>
  <r>
    <s v="Startup_839"/>
    <x v="3"/>
    <n v="5"/>
    <n v="49265407"/>
    <n v="4"/>
    <n v="5"/>
    <n v="36"/>
    <n v="65889639"/>
    <n v="188712"/>
    <s v="Small"/>
    <s v="B2B"/>
    <n v="9"/>
    <n v="13.73"/>
    <n v="664681"/>
    <n v="1"/>
  </r>
  <r>
    <s v="Startup_840"/>
    <x v="6"/>
    <n v="3"/>
    <n v="2793886"/>
    <n v="1"/>
    <n v="7"/>
    <n v="493"/>
    <n v="14104145"/>
    <n v="343150"/>
    <s v="Large"/>
    <s v="B2C"/>
    <n v="4"/>
    <n v="65.39"/>
    <n v="771778"/>
    <n v="1"/>
  </r>
  <r>
    <s v="Startup_841"/>
    <x v="1"/>
    <n v="14"/>
    <n v="39622980"/>
    <n v="4"/>
    <n v="20"/>
    <n v="832"/>
    <n v="64848889"/>
    <n v="503136"/>
    <s v="Small"/>
    <s v="B2C"/>
    <n v="3"/>
    <n v="67.849999999999994"/>
    <n v="851457"/>
    <n v="1"/>
  </r>
  <r>
    <s v="Startup_842"/>
    <x v="0"/>
    <n v="7"/>
    <n v="18497776"/>
    <n v="2"/>
    <n v="14"/>
    <n v="76"/>
    <n v="25125095"/>
    <n v="496745"/>
    <s v="Small"/>
    <s v="Hybrid"/>
    <n v="9"/>
    <n v="34.409999999999997"/>
    <n v="647161"/>
    <n v="1"/>
  </r>
  <r>
    <s v="Startup_843"/>
    <x v="0"/>
    <n v="6"/>
    <n v="32558960"/>
    <n v="2"/>
    <n v="28"/>
    <n v="19"/>
    <n v="18858267"/>
    <n v="143626"/>
    <s v="Large"/>
    <s v="Hybrid"/>
    <n v="3"/>
    <n v="82.67"/>
    <n v="197014"/>
    <n v="1"/>
  </r>
  <r>
    <s v="Startup_844"/>
    <x v="3"/>
    <n v="9"/>
    <n v="9656703"/>
    <n v="4"/>
    <n v="14"/>
    <n v="885"/>
    <n v="82757882"/>
    <n v="289866"/>
    <s v="Large"/>
    <s v="B2C"/>
    <n v="3"/>
    <n v="6.22"/>
    <n v="222698"/>
    <n v="1"/>
  </r>
  <r>
    <s v="Startup_845"/>
    <x v="2"/>
    <n v="10"/>
    <n v="47273420"/>
    <n v="1"/>
    <n v="11"/>
    <n v="59"/>
    <n v="83169551"/>
    <n v="939991"/>
    <s v="Small"/>
    <s v="B2B"/>
    <n v="5"/>
    <n v="60.79"/>
    <n v="474656"/>
    <n v="1"/>
  </r>
  <r>
    <s v="Startup_846"/>
    <x v="4"/>
    <n v="5"/>
    <n v="40083822"/>
    <n v="2"/>
    <n v="0"/>
    <n v="535"/>
    <n v="62099728"/>
    <n v="803945"/>
    <s v="Medium"/>
    <s v="B2B"/>
    <n v="4"/>
    <n v="62.18"/>
    <n v="650584"/>
    <n v="1"/>
  </r>
  <r>
    <s v="Startup_847"/>
    <x v="2"/>
    <n v="6"/>
    <n v="34200558"/>
    <n v="3"/>
    <n v="9"/>
    <n v="125"/>
    <n v="68008314"/>
    <n v="874945"/>
    <s v="Large"/>
    <s v="Hybrid"/>
    <n v="2"/>
    <n v="90.65"/>
    <n v="83852"/>
    <n v="1"/>
  </r>
  <r>
    <s v="Startup_848"/>
    <x v="3"/>
    <n v="7"/>
    <n v="36121118"/>
    <n v="3"/>
    <n v="29"/>
    <n v="774"/>
    <n v="43255159"/>
    <n v="765977"/>
    <s v="Small"/>
    <s v="B2B"/>
    <n v="3"/>
    <n v="35.35"/>
    <n v="384605"/>
    <n v="1"/>
  </r>
  <r>
    <s v="Startup_849"/>
    <x v="0"/>
    <n v="6"/>
    <n v="25904417"/>
    <n v="1"/>
    <n v="4"/>
    <n v="539"/>
    <n v="11901036"/>
    <n v="820360"/>
    <s v="Small"/>
    <s v="B2B"/>
    <n v="1"/>
    <n v="26.63"/>
    <n v="990263"/>
    <n v="1"/>
  </r>
  <r>
    <s v="Startup_850"/>
    <x v="1"/>
    <n v="11"/>
    <n v="32515511"/>
    <n v="2"/>
    <n v="3"/>
    <n v="512"/>
    <n v="64431227"/>
    <n v="561576"/>
    <s v="Small"/>
    <s v="Hybrid"/>
    <n v="2"/>
    <n v="18.73"/>
    <n v="327715"/>
    <n v="1"/>
  </r>
  <r>
    <s v="Startup_851"/>
    <x v="5"/>
    <n v="14"/>
    <n v="36642377"/>
    <n v="2"/>
    <n v="20"/>
    <n v="431"/>
    <n v="5850705"/>
    <n v="970313"/>
    <s v="Small"/>
    <s v="B2B"/>
    <n v="5"/>
    <n v="94.25"/>
    <n v="951953"/>
    <n v="1"/>
  </r>
  <r>
    <s v="Startup_852"/>
    <x v="6"/>
    <n v="6"/>
    <n v="36388385"/>
    <n v="1"/>
    <n v="0"/>
    <n v="963"/>
    <n v="8553480"/>
    <n v="533868"/>
    <s v="Medium"/>
    <s v="Hybrid"/>
    <n v="9"/>
    <n v="94.94"/>
    <n v="519887"/>
    <n v="1"/>
  </r>
  <r>
    <s v="Startup_853"/>
    <x v="3"/>
    <n v="6"/>
    <n v="18979887"/>
    <n v="1"/>
    <n v="8"/>
    <n v="311"/>
    <n v="79624667"/>
    <n v="81693"/>
    <s v="Small"/>
    <s v="Hybrid"/>
    <n v="5"/>
    <n v="76.349999999999994"/>
    <n v="32678"/>
    <n v="1"/>
  </r>
  <r>
    <s v="Startup_854"/>
    <x v="4"/>
    <n v="2"/>
    <n v="10141764"/>
    <n v="2"/>
    <n v="0"/>
    <n v="86"/>
    <n v="46248294"/>
    <n v="123910"/>
    <s v="Large"/>
    <s v="B2B"/>
    <n v="9"/>
    <n v="49.57"/>
    <n v="982015"/>
    <n v="1"/>
  </r>
  <r>
    <s v="Startup_855"/>
    <x v="1"/>
    <n v="6"/>
    <n v="49738077"/>
    <n v="1"/>
    <n v="25"/>
    <n v="566"/>
    <n v="47222039"/>
    <n v="177025"/>
    <s v="Large"/>
    <s v="B2C"/>
    <n v="6"/>
    <n v="85.73"/>
    <n v="156089"/>
    <n v="1"/>
  </r>
  <r>
    <s v="Startup_856"/>
    <x v="2"/>
    <n v="6"/>
    <n v="35099612"/>
    <n v="2"/>
    <n v="10"/>
    <n v="699"/>
    <n v="56784700"/>
    <n v="298290"/>
    <s v="Medium"/>
    <s v="B2C"/>
    <n v="8"/>
    <n v="5"/>
    <n v="811834"/>
    <n v="1"/>
  </r>
  <r>
    <s v="Startup_857"/>
    <x v="6"/>
    <n v="6"/>
    <n v="20034336"/>
    <n v="1"/>
    <n v="22"/>
    <n v="714"/>
    <n v="13149953"/>
    <n v="48935"/>
    <s v="Medium"/>
    <s v="B2B"/>
    <n v="1"/>
    <n v="78.569999999999993"/>
    <n v="562715"/>
    <n v="1"/>
  </r>
  <r>
    <s v="Startup_858"/>
    <x v="6"/>
    <n v="14"/>
    <n v="23391002"/>
    <n v="2"/>
    <n v="24"/>
    <n v="358"/>
    <n v="40993457"/>
    <n v="109400"/>
    <s v="Small"/>
    <s v="B2B"/>
    <n v="4"/>
    <n v="71.5"/>
    <n v="935222"/>
    <n v="1"/>
  </r>
  <r>
    <s v="Startup_859"/>
    <x v="3"/>
    <n v="8"/>
    <n v="14135162"/>
    <n v="3"/>
    <n v="9"/>
    <n v="643"/>
    <n v="42175725"/>
    <n v="858728"/>
    <s v="Small"/>
    <s v="B2C"/>
    <n v="2"/>
    <n v="49"/>
    <n v="582291"/>
    <n v="1"/>
  </r>
  <r>
    <s v="Startup_860"/>
    <x v="1"/>
    <n v="0"/>
    <n v="11030172"/>
    <n v="1"/>
    <n v="14"/>
    <n v="209"/>
    <n v="24954929"/>
    <n v="664715"/>
    <s v="Small"/>
    <s v="Hybrid"/>
    <n v="7"/>
    <n v="88.77"/>
    <n v="393219"/>
    <n v="1"/>
  </r>
  <r>
    <s v="Startup_861"/>
    <x v="2"/>
    <n v="3"/>
    <n v="30173923"/>
    <n v="2"/>
    <n v="18"/>
    <n v="289"/>
    <n v="41873813"/>
    <n v="234436"/>
    <s v="Large"/>
    <s v="B2B"/>
    <n v="6"/>
    <n v="40.64"/>
    <n v="425449"/>
    <n v="1"/>
  </r>
  <r>
    <s v="Startup_862"/>
    <x v="6"/>
    <n v="4"/>
    <n v="44005713"/>
    <n v="1"/>
    <n v="15"/>
    <n v="913"/>
    <n v="21724478"/>
    <n v="43500"/>
    <s v="Large"/>
    <s v="B2B"/>
    <n v="1"/>
    <n v="67.41"/>
    <n v="794238"/>
    <n v="1"/>
  </r>
  <r>
    <s v="Startup_863"/>
    <x v="4"/>
    <n v="1"/>
    <n v="8980800"/>
    <n v="3"/>
    <n v="10"/>
    <n v="462"/>
    <n v="10414378"/>
    <n v="513979"/>
    <s v="Small"/>
    <s v="Hybrid"/>
    <n v="1"/>
    <n v="53.89"/>
    <n v="465563"/>
    <n v="1"/>
  </r>
  <r>
    <s v="Startup_864"/>
    <x v="5"/>
    <n v="6"/>
    <n v="31344314"/>
    <n v="4"/>
    <n v="27"/>
    <n v="973"/>
    <n v="99457580"/>
    <n v="456561"/>
    <s v="Medium"/>
    <s v="B2C"/>
    <n v="2"/>
    <n v="99.5"/>
    <n v="321444"/>
    <n v="1"/>
  </r>
  <r>
    <s v="Startup_865"/>
    <x v="0"/>
    <n v="14"/>
    <n v="436466"/>
    <n v="1"/>
    <n v="27"/>
    <n v="572"/>
    <n v="38283031"/>
    <n v="387708"/>
    <s v="Medium"/>
    <s v="B2C"/>
    <n v="9"/>
    <n v="23.58"/>
    <n v="845900"/>
    <n v="1"/>
  </r>
  <r>
    <s v="Startup_866"/>
    <x v="2"/>
    <n v="11"/>
    <n v="43526096"/>
    <n v="3"/>
    <n v="14"/>
    <n v="221"/>
    <n v="16169547"/>
    <n v="762168"/>
    <s v="Medium"/>
    <s v="Hybrid"/>
    <n v="4"/>
    <n v="98.76"/>
    <n v="748614"/>
    <n v="1"/>
  </r>
  <r>
    <s v="Startup_867"/>
    <x v="5"/>
    <n v="6"/>
    <n v="9986767"/>
    <n v="1"/>
    <n v="15"/>
    <n v="231"/>
    <n v="54323379"/>
    <n v="600410"/>
    <s v="Large"/>
    <s v="B2C"/>
    <n v="4"/>
    <n v="97.57"/>
    <n v="328693"/>
    <n v="1"/>
  </r>
  <r>
    <s v="Startup_868"/>
    <x v="1"/>
    <n v="10"/>
    <n v="22134430"/>
    <n v="1"/>
    <n v="15"/>
    <n v="14"/>
    <n v="85124108"/>
    <n v="532476"/>
    <s v="Medium"/>
    <s v="B2B"/>
    <n v="3"/>
    <n v="67.89"/>
    <n v="665581"/>
    <n v="1"/>
  </r>
  <r>
    <s v="Startup_869"/>
    <x v="2"/>
    <n v="2"/>
    <n v="26731881"/>
    <n v="4"/>
    <n v="27"/>
    <n v="136"/>
    <n v="52795331"/>
    <n v="618847"/>
    <s v="Medium"/>
    <s v="B2C"/>
    <n v="7"/>
    <n v="68.81"/>
    <n v="301129"/>
    <n v="1"/>
  </r>
  <r>
    <s v="Startup_870"/>
    <x v="0"/>
    <n v="13"/>
    <n v="49009515"/>
    <n v="1"/>
    <n v="5"/>
    <n v="926"/>
    <n v="41307381"/>
    <n v="92378"/>
    <s v="Large"/>
    <s v="B2C"/>
    <n v="3"/>
    <n v="56.9"/>
    <n v="880160"/>
    <n v="1"/>
  </r>
  <r>
    <s v="Startup_871"/>
    <x v="2"/>
    <n v="2"/>
    <n v="26868577"/>
    <n v="3"/>
    <n v="8"/>
    <n v="504"/>
    <n v="59968026"/>
    <n v="770229"/>
    <s v="Large"/>
    <s v="Hybrid"/>
    <n v="8"/>
    <n v="14.47"/>
    <n v="802349"/>
    <n v="1"/>
  </r>
  <r>
    <s v="Startup_872"/>
    <x v="3"/>
    <n v="2"/>
    <n v="38148157"/>
    <n v="4"/>
    <n v="20"/>
    <n v="868"/>
    <n v="66803671"/>
    <n v="824258"/>
    <s v="Small"/>
    <s v="B2C"/>
    <n v="9"/>
    <n v="70.17"/>
    <n v="668032"/>
    <n v="1"/>
  </r>
  <r>
    <s v="Startup_873"/>
    <x v="1"/>
    <n v="7"/>
    <n v="38970166"/>
    <n v="2"/>
    <n v="11"/>
    <n v="871"/>
    <n v="49371706"/>
    <n v="953416"/>
    <s v="Medium"/>
    <s v="Hybrid"/>
    <n v="1"/>
    <n v="18.850000000000001"/>
    <n v="842435"/>
    <n v="1"/>
  </r>
  <r>
    <s v="Startup_874"/>
    <x v="0"/>
    <n v="2"/>
    <n v="20951090"/>
    <n v="3"/>
    <n v="29"/>
    <n v="460"/>
    <n v="31786529"/>
    <n v="922055"/>
    <s v="Medium"/>
    <s v="B2C"/>
    <n v="3"/>
    <n v="81.92"/>
    <n v="754769"/>
    <n v="1"/>
  </r>
  <r>
    <s v="Startup_875"/>
    <x v="6"/>
    <n v="5"/>
    <n v="40210986"/>
    <n v="3"/>
    <n v="9"/>
    <n v="474"/>
    <n v="58252792"/>
    <n v="827497"/>
    <s v="Large"/>
    <s v="B2B"/>
    <n v="6"/>
    <n v="71.67"/>
    <n v="262244"/>
    <n v="1"/>
  </r>
  <r>
    <s v="Startup_876"/>
    <x v="5"/>
    <n v="2"/>
    <n v="18814471"/>
    <n v="3"/>
    <n v="20"/>
    <n v="234"/>
    <n v="14835668"/>
    <n v="429027"/>
    <s v="Medium"/>
    <s v="B2C"/>
    <n v="2"/>
    <n v="60.8"/>
    <n v="799119"/>
    <n v="1"/>
  </r>
  <r>
    <s v="Startup_877"/>
    <x v="4"/>
    <n v="0"/>
    <n v="22827206"/>
    <n v="3"/>
    <n v="29"/>
    <n v="80"/>
    <n v="87168471"/>
    <n v="297193"/>
    <s v="Small"/>
    <s v="B2B"/>
    <n v="5"/>
    <n v="75.97"/>
    <n v="440692"/>
    <n v="1"/>
  </r>
  <r>
    <s v="Startup_878"/>
    <x v="6"/>
    <n v="9"/>
    <n v="7019896"/>
    <n v="4"/>
    <n v="3"/>
    <n v="203"/>
    <n v="52512210"/>
    <n v="573488"/>
    <s v="Large"/>
    <s v="B2C"/>
    <n v="9"/>
    <n v="58.91"/>
    <n v="325852"/>
    <n v="1"/>
  </r>
  <r>
    <s v="Startup_879"/>
    <x v="4"/>
    <n v="12"/>
    <n v="49295622"/>
    <n v="3"/>
    <n v="9"/>
    <n v="3"/>
    <n v="39968320"/>
    <n v="394744"/>
    <s v="Large"/>
    <s v="B2C"/>
    <n v="8"/>
    <n v="13.36"/>
    <n v="283580"/>
    <n v="1"/>
  </r>
  <r>
    <s v="Startup_880"/>
    <x v="5"/>
    <n v="11"/>
    <n v="38522747"/>
    <n v="3"/>
    <n v="11"/>
    <n v="542"/>
    <n v="73353336"/>
    <n v="864537"/>
    <s v="Large"/>
    <s v="B2B"/>
    <n v="3"/>
    <n v="84.83"/>
    <n v="891299"/>
    <n v="1"/>
  </r>
  <r>
    <s v="Startup_881"/>
    <x v="1"/>
    <n v="8"/>
    <n v="49175480"/>
    <n v="2"/>
    <n v="14"/>
    <n v="631"/>
    <n v="59688310"/>
    <n v="544557"/>
    <s v="Medium"/>
    <s v="Hybrid"/>
    <n v="5"/>
    <n v="94.47"/>
    <n v="334743"/>
    <n v="1"/>
  </r>
  <r>
    <s v="Startup_882"/>
    <x v="6"/>
    <n v="10"/>
    <n v="49495626"/>
    <n v="2"/>
    <n v="9"/>
    <n v="927"/>
    <n v="8158994"/>
    <n v="350419"/>
    <s v="Large"/>
    <s v="B2C"/>
    <n v="5"/>
    <n v="89.07"/>
    <n v="47685"/>
    <n v="1"/>
  </r>
  <r>
    <s v="Startup_883"/>
    <x v="6"/>
    <n v="5"/>
    <n v="40161756"/>
    <n v="4"/>
    <n v="27"/>
    <n v="409"/>
    <n v="20594735"/>
    <n v="530467"/>
    <s v="Medium"/>
    <s v="B2C"/>
    <n v="9"/>
    <n v="23.99"/>
    <n v="188867"/>
    <n v="1"/>
  </r>
  <r>
    <s v="Startup_884"/>
    <x v="0"/>
    <n v="8"/>
    <n v="27312071"/>
    <n v="1"/>
    <n v="29"/>
    <n v="90"/>
    <n v="54581428"/>
    <n v="790182"/>
    <s v="Medium"/>
    <s v="B2C"/>
    <n v="3"/>
    <n v="54.28"/>
    <n v="214924"/>
    <n v="1"/>
  </r>
  <r>
    <s v="Startup_885"/>
    <x v="1"/>
    <n v="2"/>
    <n v="19141290"/>
    <n v="4"/>
    <n v="13"/>
    <n v="495"/>
    <n v="56858551"/>
    <n v="244471"/>
    <s v="Small"/>
    <s v="B2B"/>
    <n v="9"/>
    <n v="2.1"/>
    <n v="9329"/>
    <n v="1"/>
  </r>
  <r>
    <s v="Startup_886"/>
    <x v="5"/>
    <n v="8"/>
    <n v="22330144"/>
    <n v="4"/>
    <n v="28"/>
    <n v="562"/>
    <n v="18377274"/>
    <n v="357305"/>
    <s v="Small"/>
    <s v="Hybrid"/>
    <n v="7"/>
    <n v="38.18"/>
    <n v="477229"/>
    <n v="1"/>
  </r>
  <r>
    <s v="Startup_887"/>
    <x v="4"/>
    <n v="14"/>
    <n v="27879086"/>
    <n v="3"/>
    <n v="2"/>
    <n v="687"/>
    <n v="54970810"/>
    <n v="680115"/>
    <s v="Medium"/>
    <s v="B2B"/>
    <n v="9"/>
    <n v="90.11"/>
    <n v="365335"/>
    <n v="1"/>
  </r>
  <r>
    <s v="Startup_888"/>
    <x v="5"/>
    <n v="1"/>
    <n v="38399860"/>
    <n v="4"/>
    <n v="16"/>
    <n v="231"/>
    <n v="32416364"/>
    <n v="42807"/>
    <s v="Small"/>
    <s v="Hybrid"/>
    <n v="3"/>
    <n v="79.02"/>
    <n v="703776"/>
    <n v="1"/>
  </r>
  <r>
    <s v="Startup_889"/>
    <x v="6"/>
    <n v="6"/>
    <n v="24412274"/>
    <n v="1"/>
    <n v="29"/>
    <n v="658"/>
    <n v="30624748"/>
    <n v="629769"/>
    <s v="Medium"/>
    <s v="Hybrid"/>
    <n v="1"/>
    <n v="71.61"/>
    <n v="626369"/>
    <n v="1"/>
  </r>
  <r>
    <s v="Startup_890"/>
    <x v="5"/>
    <n v="10"/>
    <n v="43583368"/>
    <n v="2"/>
    <n v="18"/>
    <n v="317"/>
    <n v="31567248"/>
    <n v="291451"/>
    <s v="Medium"/>
    <s v="Hybrid"/>
    <n v="2"/>
    <n v="8.11"/>
    <n v="240761"/>
    <n v="1"/>
  </r>
  <r>
    <s v="Startup_891"/>
    <x v="0"/>
    <n v="0"/>
    <n v="11701392"/>
    <n v="1"/>
    <n v="24"/>
    <n v="340"/>
    <n v="26075934"/>
    <n v="276534"/>
    <s v="Small"/>
    <s v="B2C"/>
    <n v="7"/>
    <n v="58.34"/>
    <n v="947078"/>
    <n v="1"/>
  </r>
  <r>
    <s v="Startup_892"/>
    <x v="6"/>
    <n v="5"/>
    <n v="26413937"/>
    <n v="4"/>
    <n v="15"/>
    <n v="731"/>
    <n v="33342291"/>
    <n v="854405"/>
    <s v="Small"/>
    <s v="B2B"/>
    <n v="1"/>
    <n v="51.61"/>
    <n v="386607"/>
    <n v="1"/>
  </r>
  <r>
    <s v="Startup_893"/>
    <x v="2"/>
    <n v="8"/>
    <n v="9315111"/>
    <n v="4"/>
    <n v="12"/>
    <n v="281"/>
    <n v="89715556"/>
    <n v="213720"/>
    <s v="Medium"/>
    <s v="B2B"/>
    <n v="8"/>
    <n v="92.7"/>
    <n v="282359"/>
    <n v="1"/>
  </r>
  <r>
    <s v="Startup_894"/>
    <x v="3"/>
    <n v="2"/>
    <n v="19572425"/>
    <n v="1"/>
    <n v="23"/>
    <n v="626"/>
    <n v="15748077"/>
    <n v="175759"/>
    <s v="Medium"/>
    <s v="B2C"/>
    <n v="3"/>
    <n v="85.1"/>
    <n v="910392"/>
    <n v="1"/>
  </r>
  <r>
    <s v="Startup_895"/>
    <x v="2"/>
    <n v="12"/>
    <n v="2763108"/>
    <n v="3"/>
    <n v="0"/>
    <n v="688"/>
    <n v="56382497"/>
    <n v="475518"/>
    <s v="Medium"/>
    <s v="B2C"/>
    <n v="3"/>
    <n v="27.72"/>
    <n v="360697"/>
    <n v="1"/>
  </r>
  <r>
    <s v="Startup_896"/>
    <x v="5"/>
    <n v="2"/>
    <n v="21913071"/>
    <n v="3"/>
    <n v="24"/>
    <n v="996"/>
    <n v="26013124"/>
    <n v="166617"/>
    <s v="Medium"/>
    <s v="B2B"/>
    <n v="8"/>
    <n v="81.39"/>
    <n v="437647"/>
    <n v="1"/>
  </r>
  <r>
    <s v="Startup_897"/>
    <x v="0"/>
    <n v="7"/>
    <n v="16668503"/>
    <n v="1"/>
    <n v="8"/>
    <n v="346"/>
    <n v="16196843"/>
    <n v="665973"/>
    <s v="Large"/>
    <s v="B2C"/>
    <n v="4"/>
    <n v="97.07"/>
    <n v="739372"/>
    <n v="1"/>
  </r>
  <r>
    <s v="Startup_898"/>
    <x v="1"/>
    <n v="13"/>
    <n v="21410864"/>
    <n v="4"/>
    <n v="18"/>
    <n v="59"/>
    <n v="73121501"/>
    <n v="248841"/>
    <s v="Medium"/>
    <s v="Hybrid"/>
    <n v="5"/>
    <n v="65.25"/>
    <n v="880544"/>
    <n v="1"/>
  </r>
  <r>
    <s v="Startup_899"/>
    <x v="3"/>
    <n v="2"/>
    <n v="37694321"/>
    <n v="3"/>
    <n v="26"/>
    <n v="46"/>
    <n v="64276855"/>
    <n v="253831"/>
    <s v="Large"/>
    <s v="Hybrid"/>
    <n v="1"/>
    <n v="76.5"/>
    <n v="90394"/>
    <n v="1"/>
  </r>
  <r>
    <s v="Startup_900"/>
    <x v="6"/>
    <n v="14"/>
    <n v="6111490"/>
    <n v="4"/>
    <n v="29"/>
    <n v="279"/>
    <n v="81407913"/>
    <n v="561724"/>
    <s v="Medium"/>
    <s v="B2B"/>
    <n v="2"/>
    <n v="80.88"/>
    <n v="289290"/>
    <n v="1"/>
  </r>
  <r>
    <s v="Startup_901"/>
    <x v="2"/>
    <n v="5"/>
    <n v="39418912"/>
    <n v="1"/>
    <n v="9"/>
    <n v="747"/>
    <n v="13382362"/>
    <n v="976601"/>
    <s v="Small"/>
    <s v="B2C"/>
    <n v="7"/>
    <n v="33.9"/>
    <n v="950567"/>
    <n v="1"/>
  </r>
  <r>
    <s v="Startup_902"/>
    <x v="6"/>
    <n v="8"/>
    <n v="34319449"/>
    <n v="4"/>
    <n v="29"/>
    <n v="410"/>
    <n v="10701231"/>
    <n v="836482"/>
    <s v="Medium"/>
    <s v="B2C"/>
    <n v="3"/>
    <n v="98.49"/>
    <n v="71614"/>
    <n v="1"/>
  </r>
  <r>
    <s v="Startup_903"/>
    <x v="0"/>
    <n v="3"/>
    <n v="507667"/>
    <n v="2"/>
    <n v="10"/>
    <n v="785"/>
    <n v="11900985"/>
    <n v="475379"/>
    <s v="Medium"/>
    <s v="B2B"/>
    <n v="1"/>
    <n v="61.57"/>
    <n v="374161"/>
    <n v="1"/>
  </r>
  <r>
    <s v="Startup_904"/>
    <x v="2"/>
    <n v="2"/>
    <n v="15409906"/>
    <n v="2"/>
    <n v="25"/>
    <n v="841"/>
    <n v="14340664"/>
    <n v="179262"/>
    <s v="Small"/>
    <s v="B2C"/>
    <n v="7"/>
    <n v="69.2"/>
    <n v="490543"/>
    <n v="1"/>
  </r>
  <r>
    <s v="Startup_905"/>
    <x v="3"/>
    <n v="6"/>
    <n v="31190212"/>
    <n v="4"/>
    <n v="10"/>
    <n v="255"/>
    <n v="8622539"/>
    <n v="319551"/>
    <s v="Small"/>
    <s v="Hybrid"/>
    <n v="4"/>
    <n v="80.84"/>
    <n v="438607"/>
    <n v="1"/>
  </r>
  <r>
    <s v="Startup_906"/>
    <x v="1"/>
    <n v="9"/>
    <n v="15568620"/>
    <n v="2"/>
    <n v="19"/>
    <n v="209"/>
    <n v="49603946"/>
    <n v="88263"/>
    <s v="Small"/>
    <s v="B2B"/>
    <n v="1"/>
    <n v="69.540000000000006"/>
    <n v="652332"/>
    <n v="1"/>
  </r>
  <r>
    <s v="Startup_907"/>
    <x v="2"/>
    <n v="12"/>
    <n v="30142662"/>
    <n v="3"/>
    <n v="7"/>
    <n v="704"/>
    <n v="97679492"/>
    <n v="846973"/>
    <s v="Small"/>
    <s v="B2C"/>
    <n v="2"/>
    <n v="1.97"/>
    <n v="260633"/>
    <n v="1"/>
  </r>
  <r>
    <s v="Startup_908"/>
    <x v="6"/>
    <n v="13"/>
    <n v="31887194"/>
    <n v="3"/>
    <n v="19"/>
    <n v="83"/>
    <n v="23566573"/>
    <n v="333137"/>
    <s v="Medium"/>
    <s v="B2B"/>
    <n v="7"/>
    <n v="59.5"/>
    <n v="679226"/>
    <n v="1"/>
  </r>
  <r>
    <s v="Startup_909"/>
    <x v="3"/>
    <n v="14"/>
    <n v="40449950"/>
    <n v="3"/>
    <n v="19"/>
    <n v="444"/>
    <n v="98983962"/>
    <n v="617758"/>
    <s v="Large"/>
    <s v="B2C"/>
    <n v="2"/>
    <n v="93.77"/>
    <n v="682754"/>
    <n v="1"/>
  </r>
  <r>
    <s v="Startup_910"/>
    <x v="6"/>
    <n v="8"/>
    <n v="17423607"/>
    <n v="1"/>
    <n v="4"/>
    <n v="421"/>
    <n v="13477045"/>
    <n v="862711"/>
    <s v="Large"/>
    <s v="Hybrid"/>
    <n v="8"/>
    <n v="39.06"/>
    <n v="624956"/>
    <n v="1"/>
  </r>
  <r>
    <s v="Startup_911"/>
    <x v="1"/>
    <n v="1"/>
    <n v="17982763"/>
    <n v="4"/>
    <n v="26"/>
    <n v="487"/>
    <n v="47340981"/>
    <n v="876946"/>
    <s v="Small"/>
    <s v="B2B"/>
    <n v="3"/>
    <n v="80.989999999999995"/>
    <n v="758016"/>
    <n v="1"/>
  </r>
  <r>
    <s v="Startup_912"/>
    <x v="4"/>
    <n v="10"/>
    <n v="10058469"/>
    <n v="4"/>
    <n v="23"/>
    <n v="511"/>
    <n v="95229252"/>
    <n v="775612"/>
    <s v="Small"/>
    <s v="Hybrid"/>
    <n v="7"/>
    <n v="72.28"/>
    <n v="896699"/>
    <n v="1"/>
  </r>
  <r>
    <s v="Startup_913"/>
    <x v="2"/>
    <n v="5"/>
    <n v="34544489"/>
    <n v="2"/>
    <n v="11"/>
    <n v="552"/>
    <n v="6361907"/>
    <n v="237879"/>
    <s v="Medium"/>
    <s v="Hybrid"/>
    <n v="6"/>
    <n v="36.090000000000003"/>
    <n v="763575"/>
    <n v="1"/>
  </r>
  <r>
    <s v="Startup_914"/>
    <x v="1"/>
    <n v="5"/>
    <n v="38315422"/>
    <n v="2"/>
    <n v="25"/>
    <n v="555"/>
    <n v="16201307"/>
    <n v="364232"/>
    <s v="Medium"/>
    <s v="B2B"/>
    <n v="8"/>
    <n v="82.62"/>
    <n v="283036"/>
    <n v="1"/>
  </r>
  <r>
    <s v="Startup_915"/>
    <x v="5"/>
    <n v="10"/>
    <n v="9637376"/>
    <n v="2"/>
    <n v="6"/>
    <n v="757"/>
    <n v="44078687"/>
    <n v="140288"/>
    <s v="Small"/>
    <s v="B2C"/>
    <n v="9"/>
    <n v="9.85"/>
    <n v="897929"/>
    <n v="1"/>
  </r>
  <r>
    <s v="Startup_916"/>
    <x v="6"/>
    <n v="5"/>
    <n v="10277831"/>
    <n v="4"/>
    <n v="4"/>
    <n v="139"/>
    <n v="9396187"/>
    <n v="133203"/>
    <s v="Small"/>
    <s v="B2B"/>
    <n v="1"/>
    <n v="96.52"/>
    <n v="541624"/>
    <n v="1"/>
  </r>
  <r>
    <s v="Startup_917"/>
    <x v="3"/>
    <n v="1"/>
    <n v="40095469"/>
    <n v="1"/>
    <n v="28"/>
    <n v="560"/>
    <n v="87331181"/>
    <n v="224740"/>
    <s v="Large"/>
    <s v="B2C"/>
    <n v="9"/>
    <n v="43.01"/>
    <n v="970665"/>
    <n v="1"/>
  </r>
  <r>
    <s v="Startup_918"/>
    <x v="4"/>
    <n v="13"/>
    <n v="40541787"/>
    <n v="1"/>
    <n v="25"/>
    <n v="623"/>
    <n v="15087865"/>
    <n v="600923"/>
    <s v="Medium"/>
    <s v="Hybrid"/>
    <n v="4"/>
    <n v="14.06"/>
    <n v="858946"/>
    <n v="1"/>
  </r>
  <r>
    <s v="Startup_919"/>
    <x v="0"/>
    <n v="3"/>
    <n v="3051314"/>
    <n v="4"/>
    <n v="16"/>
    <n v="269"/>
    <n v="83080493"/>
    <n v="63347"/>
    <s v="Large"/>
    <s v="B2B"/>
    <n v="5"/>
    <n v="82.86"/>
    <n v="711255"/>
    <n v="1"/>
  </r>
  <r>
    <s v="Startup_920"/>
    <x v="3"/>
    <n v="14"/>
    <n v="12965842"/>
    <n v="3"/>
    <n v="7"/>
    <n v="220"/>
    <n v="84424585"/>
    <n v="370241"/>
    <s v="Large"/>
    <s v="Hybrid"/>
    <n v="3"/>
    <n v="61.68"/>
    <n v="13623"/>
    <n v="1"/>
  </r>
  <r>
    <s v="Startup_921"/>
    <x v="4"/>
    <n v="10"/>
    <n v="16561468"/>
    <n v="3"/>
    <n v="22"/>
    <n v="266"/>
    <n v="69299756"/>
    <n v="402186"/>
    <s v="Large"/>
    <s v="B2C"/>
    <n v="5"/>
    <n v="18.96"/>
    <n v="91703"/>
    <n v="1"/>
  </r>
  <r>
    <s v="Startup_922"/>
    <x v="2"/>
    <n v="6"/>
    <n v="9433017"/>
    <n v="2"/>
    <n v="0"/>
    <n v="748"/>
    <n v="68789020"/>
    <n v="506303"/>
    <s v="Large"/>
    <s v="B2C"/>
    <n v="1"/>
    <n v="26"/>
    <n v="571173"/>
    <n v="1"/>
  </r>
  <r>
    <s v="Startup_923"/>
    <x v="2"/>
    <n v="6"/>
    <n v="45576918"/>
    <n v="1"/>
    <n v="6"/>
    <n v="599"/>
    <n v="93495177"/>
    <n v="188772"/>
    <s v="Medium"/>
    <s v="Hybrid"/>
    <n v="3"/>
    <n v="39.53"/>
    <n v="976305"/>
    <n v="1"/>
  </r>
  <r>
    <s v="Startup_924"/>
    <x v="1"/>
    <n v="12"/>
    <n v="40427754"/>
    <n v="2"/>
    <n v="6"/>
    <n v="671"/>
    <n v="49982347"/>
    <n v="659168"/>
    <s v="Small"/>
    <s v="B2B"/>
    <n v="5"/>
    <n v="94.91"/>
    <n v="313133"/>
    <n v="1"/>
  </r>
  <r>
    <s v="Startup_925"/>
    <x v="6"/>
    <n v="11"/>
    <n v="47600024"/>
    <n v="4"/>
    <n v="22"/>
    <n v="358"/>
    <n v="7873826"/>
    <n v="159926"/>
    <s v="Small"/>
    <s v="B2C"/>
    <n v="7"/>
    <n v="62.75"/>
    <n v="259766"/>
    <n v="1"/>
  </r>
  <r>
    <s v="Startup_926"/>
    <x v="6"/>
    <n v="9"/>
    <n v="48609608"/>
    <n v="2"/>
    <n v="18"/>
    <n v="863"/>
    <n v="22617584"/>
    <n v="153498"/>
    <s v="Large"/>
    <s v="B2B"/>
    <n v="2"/>
    <n v="26.22"/>
    <n v="203221"/>
    <n v="1"/>
  </r>
  <r>
    <s v="Startup_927"/>
    <x v="2"/>
    <n v="14"/>
    <n v="39927437"/>
    <n v="2"/>
    <n v="3"/>
    <n v="147"/>
    <n v="29317753"/>
    <n v="634377"/>
    <s v="Small"/>
    <s v="B2C"/>
    <n v="1"/>
    <n v="35.89"/>
    <n v="876071"/>
    <n v="1"/>
  </r>
  <r>
    <s v="Startup_928"/>
    <x v="2"/>
    <n v="1"/>
    <n v="196264"/>
    <n v="4"/>
    <n v="0"/>
    <n v="714"/>
    <n v="72827373"/>
    <n v="507483"/>
    <s v="Small"/>
    <s v="B2C"/>
    <n v="8"/>
    <n v="10.42"/>
    <n v="485416"/>
    <n v="1"/>
  </r>
  <r>
    <s v="Startup_929"/>
    <x v="4"/>
    <n v="5"/>
    <n v="6800199"/>
    <n v="2"/>
    <n v="6"/>
    <n v="709"/>
    <n v="89796136"/>
    <n v="594595"/>
    <s v="Small"/>
    <s v="B2C"/>
    <n v="4"/>
    <n v="27.22"/>
    <n v="579618"/>
    <n v="1"/>
  </r>
  <r>
    <s v="Startup_930"/>
    <x v="4"/>
    <n v="8"/>
    <n v="22510657"/>
    <n v="2"/>
    <n v="8"/>
    <n v="736"/>
    <n v="88623354"/>
    <n v="890058"/>
    <s v="Small"/>
    <s v="B2C"/>
    <n v="6"/>
    <n v="80.3"/>
    <n v="413679"/>
    <n v="1"/>
  </r>
  <r>
    <s v="Startup_931"/>
    <x v="6"/>
    <n v="14"/>
    <n v="17104299"/>
    <n v="1"/>
    <n v="8"/>
    <n v="665"/>
    <n v="18641437"/>
    <n v="496338"/>
    <s v="Small"/>
    <s v="B2B"/>
    <n v="9"/>
    <n v="36.06"/>
    <n v="202415"/>
    <n v="1"/>
  </r>
  <r>
    <s v="Startup_932"/>
    <x v="2"/>
    <n v="8"/>
    <n v="16652514"/>
    <n v="3"/>
    <n v="4"/>
    <n v="66"/>
    <n v="59991188"/>
    <n v="644714"/>
    <s v="Medium"/>
    <s v="B2B"/>
    <n v="6"/>
    <n v="47.07"/>
    <n v="196813"/>
    <n v="1"/>
  </r>
  <r>
    <s v="Startup_933"/>
    <x v="3"/>
    <n v="4"/>
    <n v="33540578"/>
    <n v="2"/>
    <n v="12"/>
    <n v="727"/>
    <n v="76180627"/>
    <n v="849037"/>
    <s v="Medium"/>
    <s v="Hybrid"/>
    <n v="2"/>
    <n v="7.71"/>
    <n v="29120"/>
    <n v="1"/>
  </r>
  <r>
    <s v="Startup_934"/>
    <x v="3"/>
    <n v="13"/>
    <n v="48706970"/>
    <n v="4"/>
    <n v="23"/>
    <n v="818"/>
    <n v="77999109"/>
    <n v="306622"/>
    <s v="Large"/>
    <s v="B2C"/>
    <n v="9"/>
    <n v="41.28"/>
    <n v="20302"/>
    <n v="1"/>
  </r>
  <r>
    <s v="Startup_935"/>
    <x v="6"/>
    <n v="12"/>
    <n v="4997818"/>
    <n v="2"/>
    <n v="0"/>
    <n v="429"/>
    <n v="91878702"/>
    <n v="494835"/>
    <s v="Medium"/>
    <s v="B2C"/>
    <n v="7"/>
    <n v="56.9"/>
    <n v="827058"/>
    <n v="1"/>
  </r>
  <r>
    <s v="Startup_936"/>
    <x v="2"/>
    <n v="6"/>
    <n v="43864048"/>
    <n v="3"/>
    <n v="7"/>
    <n v="507"/>
    <n v="44959877"/>
    <n v="452253"/>
    <s v="Large"/>
    <s v="B2C"/>
    <n v="6"/>
    <n v="58.16"/>
    <n v="98989"/>
    <n v="1"/>
  </r>
  <r>
    <s v="Startup_937"/>
    <x v="1"/>
    <n v="9"/>
    <n v="8545229"/>
    <n v="2"/>
    <n v="17"/>
    <n v="204"/>
    <n v="36496688"/>
    <n v="763502"/>
    <s v="Large"/>
    <s v="Hybrid"/>
    <n v="6"/>
    <n v="72.290000000000006"/>
    <n v="942032"/>
    <n v="1"/>
  </r>
  <r>
    <s v="Startup_938"/>
    <x v="4"/>
    <n v="10"/>
    <n v="48330961"/>
    <n v="1"/>
    <n v="24"/>
    <n v="633"/>
    <n v="42592396"/>
    <n v="567034"/>
    <s v="Large"/>
    <s v="B2B"/>
    <n v="8"/>
    <n v="82.51"/>
    <n v="751816"/>
    <n v="1"/>
  </r>
  <r>
    <s v="Startup_939"/>
    <x v="2"/>
    <n v="10"/>
    <n v="23426144"/>
    <n v="3"/>
    <n v="27"/>
    <n v="264"/>
    <n v="49390980"/>
    <n v="841930"/>
    <s v="Large"/>
    <s v="B2C"/>
    <n v="6"/>
    <n v="32.520000000000003"/>
    <n v="998292"/>
    <n v="1"/>
  </r>
  <r>
    <s v="Startup_940"/>
    <x v="2"/>
    <n v="0"/>
    <n v="20036070"/>
    <n v="4"/>
    <n v="12"/>
    <n v="212"/>
    <n v="2449185"/>
    <n v="300688"/>
    <s v="Medium"/>
    <s v="B2B"/>
    <n v="1"/>
    <n v="76.260000000000005"/>
    <n v="552281"/>
    <n v="1"/>
  </r>
  <r>
    <s v="Startup_941"/>
    <x v="6"/>
    <n v="2"/>
    <n v="6386038"/>
    <n v="2"/>
    <n v="10"/>
    <n v="785"/>
    <n v="56534554"/>
    <n v="680519"/>
    <s v="Small"/>
    <s v="B2B"/>
    <n v="2"/>
    <n v="76.63"/>
    <n v="949885"/>
    <n v="1"/>
  </r>
  <r>
    <s v="Startup_942"/>
    <x v="5"/>
    <n v="1"/>
    <n v="15579439"/>
    <n v="1"/>
    <n v="18"/>
    <n v="962"/>
    <n v="61310801"/>
    <n v="78760"/>
    <s v="Medium"/>
    <s v="Hybrid"/>
    <n v="3"/>
    <n v="87.27"/>
    <n v="583682"/>
    <n v="1"/>
  </r>
  <r>
    <s v="Startup_943"/>
    <x v="3"/>
    <n v="4"/>
    <n v="26396425"/>
    <n v="4"/>
    <n v="29"/>
    <n v="876"/>
    <n v="45195758"/>
    <n v="601422"/>
    <s v="Small"/>
    <s v="Hybrid"/>
    <n v="5"/>
    <n v="79.319999999999993"/>
    <n v="373305"/>
    <n v="1"/>
  </r>
  <r>
    <s v="Startup_944"/>
    <x v="6"/>
    <n v="9"/>
    <n v="36503373"/>
    <n v="3"/>
    <n v="3"/>
    <n v="985"/>
    <n v="28140392"/>
    <n v="700472"/>
    <s v="Small"/>
    <s v="Hybrid"/>
    <n v="8"/>
    <n v="32.29"/>
    <n v="807038"/>
    <n v="1"/>
  </r>
  <r>
    <s v="Startup_945"/>
    <x v="5"/>
    <n v="0"/>
    <n v="1638203"/>
    <n v="1"/>
    <n v="19"/>
    <n v="834"/>
    <n v="50110881"/>
    <n v="462244"/>
    <s v="Medium"/>
    <s v="B2C"/>
    <n v="3"/>
    <n v="92.82"/>
    <n v="351257"/>
    <n v="1"/>
  </r>
  <r>
    <s v="Startup_946"/>
    <x v="6"/>
    <n v="10"/>
    <n v="31656042"/>
    <n v="3"/>
    <n v="4"/>
    <n v="367"/>
    <n v="4061020"/>
    <n v="808092"/>
    <s v="Small"/>
    <s v="B2C"/>
    <n v="4"/>
    <n v="71.78"/>
    <n v="959378"/>
    <n v="1"/>
  </r>
  <r>
    <s v="Startup_947"/>
    <x v="5"/>
    <n v="3"/>
    <n v="46388714"/>
    <n v="1"/>
    <n v="6"/>
    <n v="468"/>
    <n v="62116660"/>
    <n v="267833"/>
    <s v="Large"/>
    <s v="Hybrid"/>
    <n v="2"/>
    <n v="59.81"/>
    <n v="545033"/>
    <n v="1"/>
  </r>
  <r>
    <s v="Startup_948"/>
    <x v="0"/>
    <n v="12"/>
    <n v="37744562"/>
    <n v="1"/>
    <n v="2"/>
    <n v="852"/>
    <n v="80931353"/>
    <n v="863087"/>
    <s v="Large"/>
    <s v="B2C"/>
    <n v="3"/>
    <n v="99.71"/>
    <n v="883197"/>
    <n v="1"/>
  </r>
  <r>
    <s v="Startup_949"/>
    <x v="5"/>
    <n v="11"/>
    <n v="33617327"/>
    <n v="2"/>
    <n v="13"/>
    <n v="497"/>
    <n v="32390167"/>
    <n v="518344"/>
    <s v="Medium"/>
    <s v="Hybrid"/>
    <n v="1"/>
    <n v="90.14"/>
    <n v="632246"/>
    <n v="1"/>
  </r>
  <r>
    <s v="Startup_950"/>
    <x v="1"/>
    <n v="4"/>
    <n v="35964724"/>
    <n v="2"/>
    <n v="28"/>
    <n v="256"/>
    <n v="36479511"/>
    <n v="573842"/>
    <s v="Small"/>
    <s v="Hybrid"/>
    <n v="3"/>
    <n v="97.24"/>
    <n v="142793"/>
    <n v="1"/>
  </r>
  <r>
    <s v="Startup_951"/>
    <x v="6"/>
    <n v="7"/>
    <n v="32808622"/>
    <n v="1"/>
    <n v="28"/>
    <n v="834"/>
    <n v="81065175"/>
    <n v="454888"/>
    <s v="Small"/>
    <s v="B2C"/>
    <n v="1"/>
    <n v="22.15"/>
    <n v="355093"/>
    <n v="1"/>
  </r>
  <r>
    <s v="Startup_952"/>
    <x v="6"/>
    <n v="11"/>
    <n v="1907288"/>
    <n v="2"/>
    <n v="29"/>
    <n v="88"/>
    <n v="1528925"/>
    <n v="885843"/>
    <s v="Small"/>
    <s v="B2B"/>
    <n v="2"/>
    <n v="2.77"/>
    <n v="943549"/>
    <n v="1"/>
  </r>
  <r>
    <s v="Startup_953"/>
    <x v="3"/>
    <n v="2"/>
    <n v="37249458"/>
    <n v="3"/>
    <n v="1"/>
    <n v="73"/>
    <n v="59651051"/>
    <n v="717858"/>
    <s v="Small"/>
    <s v="B2B"/>
    <n v="5"/>
    <n v="28.14"/>
    <n v="663693"/>
    <n v="1"/>
  </r>
  <r>
    <s v="Startup_954"/>
    <x v="5"/>
    <n v="12"/>
    <n v="42663931"/>
    <n v="1"/>
    <n v="28"/>
    <n v="455"/>
    <n v="47914423"/>
    <n v="103857"/>
    <s v="Medium"/>
    <s v="Hybrid"/>
    <n v="7"/>
    <n v="81.69"/>
    <n v="457980"/>
    <n v="1"/>
  </r>
  <r>
    <s v="Startup_955"/>
    <x v="2"/>
    <n v="0"/>
    <n v="5819114"/>
    <n v="1"/>
    <n v="28"/>
    <n v="149"/>
    <n v="72055564"/>
    <n v="275107"/>
    <s v="Large"/>
    <s v="B2B"/>
    <n v="6"/>
    <n v="0.65"/>
    <n v="878402"/>
    <n v="1"/>
  </r>
  <r>
    <s v="Startup_956"/>
    <x v="1"/>
    <n v="5"/>
    <n v="37883507"/>
    <n v="2"/>
    <n v="13"/>
    <n v="354"/>
    <n v="62970973"/>
    <n v="438624"/>
    <s v="Small"/>
    <s v="Hybrid"/>
    <n v="9"/>
    <n v="74.27"/>
    <n v="296177"/>
    <n v="1"/>
  </r>
  <r>
    <s v="Startup_957"/>
    <x v="0"/>
    <n v="1"/>
    <n v="34787231"/>
    <n v="4"/>
    <n v="4"/>
    <n v="507"/>
    <n v="24347141"/>
    <n v="447507"/>
    <s v="Small"/>
    <s v="Hybrid"/>
    <n v="1"/>
    <n v="95.49"/>
    <n v="238715"/>
    <n v="1"/>
  </r>
  <r>
    <s v="Startup_958"/>
    <x v="6"/>
    <n v="9"/>
    <n v="4900373"/>
    <n v="1"/>
    <n v="17"/>
    <n v="563"/>
    <n v="95285509"/>
    <n v="493576"/>
    <s v="Large"/>
    <s v="B2C"/>
    <n v="7"/>
    <n v="46.95"/>
    <n v="333087"/>
    <n v="1"/>
  </r>
  <r>
    <s v="Startup_959"/>
    <x v="0"/>
    <n v="13"/>
    <n v="15797947"/>
    <n v="3"/>
    <n v="17"/>
    <n v="288"/>
    <n v="90364824"/>
    <n v="577786"/>
    <s v="Small"/>
    <s v="B2C"/>
    <n v="8"/>
    <n v="51.24"/>
    <n v="363626"/>
    <n v="1"/>
  </r>
  <r>
    <s v="Startup_960"/>
    <x v="5"/>
    <n v="5"/>
    <n v="30238779"/>
    <n v="1"/>
    <n v="5"/>
    <n v="244"/>
    <n v="28673315"/>
    <n v="123082"/>
    <s v="Large"/>
    <s v="B2B"/>
    <n v="1"/>
    <n v="30.19"/>
    <n v="886119"/>
    <n v="1"/>
  </r>
  <r>
    <s v="Startup_961"/>
    <x v="2"/>
    <n v="13"/>
    <n v="4406720"/>
    <n v="4"/>
    <n v="25"/>
    <n v="651"/>
    <n v="63310931"/>
    <n v="61186"/>
    <s v="Large"/>
    <s v="B2B"/>
    <n v="6"/>
    <n v="86.08"/>
    <n v="441819"/>
    <n v="1"/>
  </r>
  <r>
    <s v="Startup_962"/>
    <x v="3"/>
    <n v="14"/>
    <n v="41664724"/>
    <n v="2"/>
    <n v="18"/>
    <n v="240"/>
    <n v="31349720"/>
    <n v="902484"/>
    <s v="Medium"/>
    <s v="B2C"/>
    <n v="5"/>
    <n v="17.260000000000002"/>
    <n v="319539"/>
    <n v="1"/>
  </r>
  <r>
    <s v="Startup_963"/>
    <x v="4"/>
    <n v="7"/>
    <n v="2875757"/>
    <n v="4"/>
    <n v="6"/>
    <n v="743"/>
    <n v="94240601"/>
    <n v="703490"/>
    <s v="Small"/>
    <s v="B2B"/>
    <n v="1"/>
    <n v="85.55"/>
    <n v="270805"/>
    <n v="1"/>
  </r>
  <r>
    <s v="Startup_964"/>
    <x v="1"/>
    <n v="10"/>
    <n v="2266240"/>
    <n v="1"/>
    <n v="21"/>
    <n v="425"/>
    <n v="98884665"/>
    <n v="249072"/>
    <s v="Medium"/>
    <s v="B2B"/>
    <n v="6"/>
    <n v="74.27"/>
    <n v="103440"/>
    <n v="1"/>
  </r>
  <r>
    <s v="Startup_965"/>
    <x v="6"/>
    <n v="11"/>
    <n v="9196091"/>
    <n v="1"/>
    <n v="26"/>
    <n v="410"/>
    <n v="16221309"/>
    <n v="466797"/>
    <s v="Large"/>
    <s v="B2B"/>
    <n v="5"/>
    <n v="24.09"/>
    <n v="841733"/>
    <n v="1"/>
  </r>
  <r>
    <s v="Startup_966"/>
    <x v="2"/>
    <n v="2"/>
    <n v="43430606"/>
    <n v="4"/>
    <n v="1"/>
    <n v="15"/>
    <n v="47636919"/>
    <n v="464580"/>
    <s v="Medium"/>
    <s v="B2B"/>
    <n v="3"/>
    <n v="12.41"/>
    <n v="465299"/>
    <n v="1"/>
  </r>
  <r>
    <s v="Startup_967"/>
    <x v="3"/>
    <n v="7"/>
    <n v="42266019"/>
    <n v="3"/>
    <n v="1"/>
    <n v="409"/>
    <n v="63386772"/>
    <n v="76036"/>
    <s v="Small"/>
    <s v="Hybrid"/>
    <n v="2"/>
    <n v="40.89"/>
    <n v="524558"/>
    <n v="1"/>
  </r>
  <r>
    <s v="Startup_968"/>
    <x v="4"/>
    <n v="6"/>
    <n v="42919305"/>
    <n v="1"/>
    <n v="21"/>
    <n v="351"/>
    <n v="82333753"/>
    <n v="437066"/>
    <s v="Large"/>
    <s v="B2B"/>
    <n v="7"/>
    <n v="93.59"/>
    <n v="87465"/>
    <n v="1"/>
  </r>
  <r>
    <s v="Startup_969"/>
    <x v="1"/>
    <n v="4"/>
    <n v="32093829"/>
    <n v="1"/>
    <n v="24"/>
    <n v="108"/>
    <n v="12973580"/>
    <n v="898310"/>
    <s v="Small"/>
    <s v="Hybrid"/>
    <n v="2"/>
    <n v="18.309999999999999"/>
    <n v="551552"/>
    <n v="1"/>
  </r>
  <r>
    <s v="Startup_970"/>
    <x v="3"/>
    <n v="14"/>
    <n v="22546199"/>
    <n v="4"/>
    <n v="16"/>
    <n v="772"/>
    <n v="52215282"/>
    <n v="774329"/>
    <s v="Medium"/>
    <s v="Hybrid"/>
    <n v="2"/>
    <n v="61.98"/>
    <n v="888330"/>
    <n v="1"/>
  </r>
  <r>
    <s v="Startup_971"/>
    <x v="2"/>
    <n v="2"/>
    <n v="44185894"/>
    <n v="2"/>
    <n v="23"/>
    <n v="228"/>
    <n v="81076356"/>
    <n v="870608"/>
    <s v="Large"/>
    <s v="Hybrid"/>
    <n v="5"/>
    <n v="86.94"/>
    <n v="437442"/>
    <n v="1"/>
  </r>
  <r>
    <s v="Startup_972"/>
    <x v="0"/>
    <n v="8"/>
    <n v="38883063"/>
    <n v="3"/>
    <n v="16"/>
    <n v="626"/>
    <n v="51263313"/>
    <n v="913905"/>
    <s v="Large"/>
    <s v="Hybrid"/>
    <n v="3"/>
    <n v="0.98"/>
    <n v="874045"/>
    <n v="1"/>
  </r>
  <r>
    <s v="Startup_973"/>
    <x v="5"/>
    <n v="3"/>
    <n v="5921951"/>
    <n v="3"/>
    <n v="6"/>
    <n v="594"/>
    <n v="58638717"/>
    <n v="483517"/>
    <s v="Large"/>
    <s v="Hybrid"/>
    <n v="2"/>
    <n v="99.41"/>
    <n v="638952"/>
    <n v="1"/>
  </r>
  <r>
    <s v="Startup_974"/>
    <x v="0"/>
    <n v="11"/>
    <n v="43713014"/>
    <n v="1"/>
    <n v="18"/>
    <n v="814"/>
    <n v="56162586"/>
    <n v="69464"/>
    <s v="Small"/>
    <s v="B2C"/>
    <n v="7"/>
    <n v="74.459999999999994"/>
    <n v="895743"/>
    <n v="1"/>
  </r>
  <r>
    <s v="Startup_975"/>
    <x v="0"/>
    <n v="14"/>
    <n v="2369519"/>
    <n v="1"/>
    <n v="26"/>
    <n v="101"/>
    <n v="32876988"/>
    <n v="715431"/>
    <s v="Small"/>
    <s v="Hybrid"/>
    <n v="2"/>
    <n v="31.81"/>
    <n v="416684"/>
    <n v="1"/>
  </r>
  <r>
    <s v="Startup_976"/>
    <x v="5"/>
    <n v="12"/>
    <n v="11604785"/>
    <n v="3"/>
    <n v="23"/>
    <n v="214"/>
    <n v="79715737"/>
    <n v="7941"/>
    <s v="Small"/>
    <s v="B2B"/>
    <n v="1"/>
    <n v="15.55"/>
    <n v="640690"/>
    <n v="1"/>
  </r>
  <r>
    <s v="Startup_977"/>
    <x v="6"/>
    <n v="1"/>
    <n v="32276163"/>
    <n v="1"/>
    <n v="14"/>
    <n v="448"/>
    <n v="1254391"/>
    <n v="517900"/>
    <s v="Medium"/>
    <s v="Hybrid"/>
    <n v="2"/>
    <n v="25.48"/>
    <n v="425191"/>
    <n v="1"/>
  </r>
  <r>
    <s v="Startup_978"/>
    <x v="0"/>
    <n v="2"/>
    <n v="46743851"/>
    <n v="3"/>
    <n v="29"/>
    <n v="615"/>
    <n v="6806848"/>
    <n v="793729"/>
    <s v="Medium"/>
    <s v="B2B"/>
    <n v="3"/>
    <n v="16.2"/>
    <n v="405069"/>
    <n v="1"/>
  </r>
  <r>
    <s v="Startup_979"/>
    <x v="1"/>
    <n v="9"/>
    <n v="44873614"/>
    <n v="3"/>
    <n v="2"/>
    <n v="714"/>
    <n v="90373733"/>
    <n v="70062"/>
    <s v="Medium"/>
    <s v="Hybrid"/>
    <n v="5"/>
    <n v="61.11"/>
    <n v="895206"/>
    <n v="1"/>
  </r>
  <r>
    <s v="Startup_980"/>
    <x v="4"/>
    <n v="8"/>
    <n v="45181300"/>
    <n v="2"/>
    <n v="6"/>
    <n v="905"/>
    <n v="57188512"/>
    <n v="255839"/>
    <s v="Large"/>
    <s v="Hybrid"/>
    <n v="6"/>
    <n v="99.18"/>
    <n v="842028"/>
    <n v="1"/>
  </r>
  <r>
    <s v="Startup_981"/>
    <x v="1"/>
    <n v="2"/>
    <n v="24721270"/>
    <n v="4"/>
    <n v="10"/>
    <n v="788"/>
    <n v="13037658"/>
    <n v="493750"/>
    <s v="Medium"/>
    <s v="B2B"/>
    <n v="5"/>
    <n v="88.21"/>
    <n v="304019"/>
    <n v="1"/>
  </r>
  <r>
    <s v="Startup_982"/>
    <x v="3"/>
    <n v="4"/>
    <n v="37409348"/>
    <n v="4"/>
    <n v="21"/>
    <n v="557"/>
    <n v="96369451"/>
    <n v="199930"/>
    <s v="Medium"/>
    <s v="B2B"/>
    <n v="5"/>
    <n v="33.29"/>
    <n v="756342"/>
    <n v="1"/>
  </r>
  <r>
    <s v="Startup_983"/>
    <x v="6"/>
    <n v="9"/>
    <n v="1641954"/>
    <n v="4"/>
    <n v="25"/>
    <n v="109"/>
    <n v="61326685"/>
    <n v="772977"/>
    <s v="Medium"/>
    <s v="B2B"/>
    <n v="2"/>
    <n v="45.76"/>
    <n v="123618"/>
    <n v="1"/>
  </r>
  <r>
    <s v="Startup_984"/>
    <x v="2"/>
    <n v="0"/>
    <n v="33950547"/>
    <n v="4"/>
    <n v="15"/>
    <n v="113"/>
    <n v="18668227"/>
    <n v="150603"/>
    <s v="Small"/>
    <s v="B2B"/>
    <n v="4"/>
    <n v="6.58"/>
    <n v="568541"/>
    <n v="1"/>
  </r>
  <r>
    <s v="Startup_985"/>
    <x v="6"/>
    <n v="11"/>
    <n v="13071840"/>
    <n v="2"/>
    <n v="10"/>
    <n v="311"/>
    <n v="64701317"/>
    <n v="247001"/>
    <s v="Medium"/>
    <s v="Hybrid"/>
    <n v="7"/>
    <n v="81.78"/>
    <n v="324984"/>
    <n v="1"/>
  </r>
  <r>
    <s v="Startup_986"/>
    <x v="6"/>
    <n v="9"/>
    <n v="47677744"/>
    <n v="2"/>
    <n v="4"/>
    <n v="556"/>
    <n v="52523276"/>
    <n v="782046"/>
    <s v="Small"/>
    <s v="B2B"/>
    <n v="1"/>
    <n v="38.31"/>
    <n v="34027"/>
    <n v="1"/>
  </r>
  <r>
    <s v="Startup_987"/>
    <x v="1"/>
    <n v="4"/>
    <n v="22843459"/>
    <n v="3"/>
    <n v="18"/>
    <n v="466"/>
    <n v="47347912"/>
    <n v="739688"/>
    <s v="Medium"/>
    <s v="B2B"/>
    <n v="2"/>
    <n v="50.84"/>
    <n v="249948"/>
    <n v="1"/>
  </r>
  <r>
    <s v="Startup_988"/>
    <x v="5"/>
    <n v="12"/>
    <n v="49207779"/>
    <n v="1"/>
    <n v="26"/>
    <n v="212"/>
    <n v="2335580"/>
    <n v="387528"/>
    <s v="Medium"/>
    <s v="B2C"/>
    <n v="4"/>
    <n v="56.38"/>
    <n v="254321"/>
    <n v="1"/>
  </r>
  <r>
    <s v="Startup_989"/>
    <x v="4"/>
    <n v="14"/>
    <n v="45876375"/>
    <n v="2"/>
    <n v="17"/>
    <n v="932"/>
    <n v="2921772"/>
    <n v="247954"/>
    <s v="Small"/>
    <s v="B2B"/>
    <n v="6"/>
    <n v="80.22"/>
    <n v="942622"/>
    <n v="1"/>
  </r>
  <r>
    <s v="Startup_990"/>
    <x v="4"/>
    <n v="2"/>
    <n v="23026622"/>
    <n v="3"/>
    <n v="13"/>
    <n v="36"/>
    <n v="91660882"/>
    <n v="233750"/>
    <s v="Small"/>
    <s v="Hybrid"/>
    <n v="4"/>
    <n v="99.87"/>
    <n v="757872"/>
    <n v="1"/>
  </r>
  <r>
    <s v="Startup_991"/>
    <x v="0"/>
    <n v="14"/>
    <n v="2232480"/>
    <n v="3"/>
    <n v="27"/>
    <n v="513"/>
    <n v="58523177"/>
    <n v="894843"/>
    <s v="Large"/>
    <s v="Hybrid"/>
    <n v="8"/>
    <n v="28.53"/>
    <n v="804873"/>
    <n v="1"/>
  </r>
  <r>
    <s v="Startup_992"/>
    <x v="0"/>
    <n v="5"/>
    <n v="22297100"/>
    <n v="1"/>
    <n v="19"/>
    <n v="438"/>
    <n v="97561336"/>
    <n v="684787"/>
    <s v="Small"/>
    <s v="B2B"/>
    <n v="2"/>
    <n v="17.440000000000001"/>
    <n v="141352"/>
    <n v="1"/>
  </r>
  <r>
    <s v="Startup_993"/>
    <x v="4"/>
    <n v="13"/>
    <n v="16011166"/>
    <n v="2"/>
    <n v="13"/>
    <n v="406"/>
    <n v="6311584"/>
    <n v="704097"/>
    <s v="Large"/>
    <s v="B2B"/>
    <n v="7"/>
    <n v="12.68"/>
    <n v="635187"/>
    <n v="1"/>
  </r>
  <r>
    <s v="Startup_994"/>
    <x v="1"/>
    <n v="7"/>
    <n v="38155149"/>
    <n v="1"/>
    <n v="1"/>
    <n v="882"/>
    <n v="84766861"/>
    <n v="485313"/>
    <s v="Large"/>
    <s v="B2B"/>
    <n v="5"/>
    <n v="65.36"/>
    <n v="425891"/>
    <n v="1"/>
  </r>
  <r>
    <s v="Startup_995"/>
    <x v="1"/>
    <n v="10"/>
    <n v="14169401"/>
    <n v="1"/>
    <n v="23"/>
    <n v="334"/>
    <n v="12768460"/>
    <n v="196023"/>
    <s v="Small"/>
    <s v="B2B"/>
    <n v="2"/>
    <n v="35.75"/>
    <n v="792812"/>
    <n v="1"/>
  </r>
  <r>
    <s v="Startup_996"/>
    <x v="1"/>
    <n v="7"/>
    <n v="14837009"/>
    <n v="1"/>
    <n v="18"/>
    <n v="919"/>
    <n v="21175491"/>
    <n v="52866"/>
    <s v="Large"/>
    <s v="Hybrid"/>
    <n v="3"/>
    <n v="30.94"/>
    <n v="946075"/>
    <n v="1"/>
  </r>
  <r>
    <s v="Startup_997"/>
    <x v="1"/>
    <n v="14"/>
    <n v="628695"/>
    <n v="3"/>
    <n v="20"/>
    <n v="61"/>
    <n v="45359093"/>
    <n v="887012"/>
    <s v="Large"/>
    <s v="B2B"/>
    <n v="7"/>
    <n v="69.819999999999993"/>
    <n v="845722"/>
    <n v="1"/>
  </r>
  <r>
    <s v="Startup_998"/>
    <x v="6"/>
    <n v="12"/>
    <n v="30677268"/>
    <n v="2"/>
    <n v="8"/>
    <n v="98"/>
    <n v="81392620"/>
    <n v="756005"/>
    <s v="Large"/>
    <s v="B2B"/>
    <n v="5"/>
    <n v="98.17"/>
    <n v="291102"/>
    <n v="1"/>
  </r>
  <r>
    <s v="Startup_999"/>
    <x v="1"/>
    <n v="14"/>
    <n v="43705272"/>
    <n v="3"/>
    <n v="12"/>
    <n v="854"/>
    <n v="83184054"/>
    <n v="769593"/>
    <s v="Medium"/>
    <s v="B2C"/>
    <n v="1"/>
    <n v="85.79"/>
    <n v="783202"/>
    <n v="1"/>
  </r>
  <r>
    <s v="Startup_1000"/>
    <x v="5"/>
    <n v="6"/>
    <n v="20946058"/>
    <n v="3"/>
    <n v="23"/>
    <n v="469"/>
    <n v="15635737"/>
    <n v="849881"/>
    <s v="Large"/>
    <s v="Hybrid"/>
    <n v="8"/>
    <n v="28.95"/>
    <n v="867823"/>
    <n v="1"/>
  </r>
  <r>
    <s v="Startup_1001"/>
    <x v="0"/>
    <n v="2"/>
    <n v="28491426"/>
    <n v="2"/>
    <n v="28"/>
    <n v="889"/>
    <n v="73678746"/>
    <n v="319948"/>
    <s v="Large"/>
    <s v="B2B"/>
    <n v="3"/>
    <n v="96.57"/>
    <n v="102478"/>
    <n v="1"/>
  </r>
  <r>
    <s v="Startup_1002"/>
    <x v="4"/>
    <n v="11"/>
    <n v="36966069"/>
    <n v="2"/>
    <n v="26"/>
    <n v="725"/>
    <n v="83401388"/>
    <n v="168261"/>
    <s v="Medium"/>
    <s v="B2C"/>
    <n v="8"/>
    <n v="82.62"/>
    <n v="541863"/>
    <n v="1"/>
  </r>
  <r>
    <s v="Startup_1003"/>
    <x v="6"/>
    <n v="1"/>
    <n v="45209021"/>
    <n v="2"/>
    <n v="22"/>
    <n v="417"/>
    <n v="38517311"/>
    <n v="128800"/>
    <s v="Large"/>
    <s v="B2C"/>
    <n v="8"/>
    <n v="42.39"/>
    <n v="186950"/>
    <n v="1"/>
  </r>
  <r>
    <s v="Startup_1004"/>
    <x v="6"/>
    <n v="4"/>
    <n v="4849407"/>
    <n v="1"/>
    <n v="4"/>
    <n v="357"/>
    <n v="24285664"/>
    <n v="398168"/>
    <s v="Small"/>
    <s v="B2B"/>
    <n v="1"/>
    <n v="11.58"/>
    <n v="776969"/>
    <n v="1"/>
  </r>
  <r>
    <s v="Startup_1005"/>
    <x v="3"/>
    <n v="3"/>
    <n v="36018027"/>
    <n v="1"/>
    <n v="11"/>
    <n v="956"/>
    <n v="68284680"/>
    <n v="596702"/>
    <s v="Small"/>
    <s v="Hybrid"/>
    <n v="5"/>
    <n v="21.62"/>
    <n v="671884"/>
    <n v="1"/>
  </r>
  <r>
    <s v="Startup_1006"/>
    <x v="2"/>
    <n v="2"/>
    <n v="30396523"/>
    <n v="2"/>
    <n v="2"/>
    <n v="870"/>
    <n v="74862537"/>
    <n v="997330"/>
    <s v="Medium"/>
    <s v="B2C"/>
    <n v="2"/>
    <n v="76.2"/>
    <n v="835083"/>
    <n v="1"/>
  </r>
  <r>
    <s v="Startup_1007"/>
    <x v="3"/>
    <n v="0"/>
    <n v="293910"/>
    <n v="1"/>
    <n v="13"/>
    <n v="197"/>
    <n v="72711735"/>
    <n v="436127"/>
    <s v="Medium"/>
    <s v="Hybrid"/>
    <n v="2"/>
    <n v="96.44"/>
    <n v="614478"/>
    <n v="1"/>
  </r>
  <r>
    <s v="Startup_1008"/>
    <x v="0"/>
    <n v="11"/>
    <n v="39482577"/>
    <n v="1"/>
    <n v="27"/>
    <n v="78"/>
    <n v="77124010"/>
    <n v="972018"/>
    <s v="Large"/>
    <s v="B2B"/>
    <n v="6"/>
    <n v="21.73"/>
    <n v="348317"/>
    <n v="1"/>
  </r>
  <r>
    <s v="Startup_1009"/>
    <x v="2"/>
    <n v="3"/>
    <n v="15834578"/>
    <n v="2"/>
    <n v="16"/>
    <n v="255"/>
    <n v="62065622"/>
    <n v="367489"/>
    <s v="Large"/>
    <s v="Hybrid"/>
    <n v="1"/>
    <n v="91.49"/>
    <n v="532224"/>
    <n v="1"/>
  </r>
  <r>
    <s v="Startup_1010"/>
    <x v="0"/>
    <n v="3"/>
    <n v="30424254"/>
    <n v="2"/>
    <n v="19"/>
    <n v="983"/>
    <n v="16506525"/>
    <n v="28169"/>
    <s v="Medium"/>
    <s v="B2C"/>
    <n v="5"/>
    <n v="18.690000000000001"/>
    <n v="700644"/>
    <n v="1"/>
  </r>
  <r>
    <s v="Startup_1011"/>
    <x v="6"/>
    <n v="2"/>
    <n v="45563764"/>
    <n v="4"/>
    <n v="2"/>
    <n v="99"/>
    <n v="26474252"/>
    <n v="210663"/>
    <s v="Large"/>
    <s v="B2C"/>
    <n v="4"/>
    <n v="91.31"/>
    <n v="931556"/>
    <n v="1"/>
  </r>
  <r>
    <s v="Startup_1012"/>
    <x v="6"/>
    <n v="10"/>
    <n v="21278989"/>
    <n v="4"/>
    <n v="7"/>
    <n v="194"/>
    <n v="41188673"/>
    <n v="291743"/>
    <s v="Small"/>
    <s v="B2C"/>
    <n v="5"/>
    <n v="75.28"/>
    <n v="971362"/>
    <n v="1"/>
  </r>
  <r>
    <s v="Startup_1013"/>
    <x v="5"/>
    <n v="3"/>
    <n v="38620859"/>
    <n v="4"/>
    <n v="17"/>
    <n v="252"/>
    <n v="1339742"/>
    <n v="141758"/>
    <s v="Medium"/>
    <s v="B2C"/>
    <n v="6"/>
    <n v="16.45"/>
    <n v="499710"/>
    <n v="1"/>
  </r>
  <r>
    <s v="Startup_1014"/>
    <x v="0"/>
    <n v="11"/>
    <n v="12500164"/>
    <n v="3"/>
    <n v="26"/>
    <n v="329"/>
    <n v="28926746"/>
    <n v="131841"/>
    <s v="Small"/>
    <s v="B2C"/>
    <n v="6"/>
    <n v="31.81"/>
    <n v="374310"/>
    <n v="1"/>
  </r>
  <r>
    <s v="Startup_1015"/>
    <x v="5"/>
    <n v="1"/>
    <n v="44065068"/>
    <n v="1"/>
    <n v="5"/>
    <n v="859"/>
    <n v="87224505"/>
    <n v="545619"/>
    <s v="Small"/>
    <s v="Hybrid"/>
    <n v="1"/>
    <n v="74.010000000000005"/>
    <n v="419714"/>
    <n v="1"/>
  </r>
  <r>
    <s v="Startup_1016"/>
    <x v="2"/>
    <n v="6"/>
    <n v="7908439"/>
    <n v="4"/>
    <n v="22"/>
    <n v="72"/>
    <n v="63924720"/>
    <n v="724269"/>
    <s v="Small"/>
    <s v="B2B"/>
    <n v="3"/>
    <n v="84.01"/>
    <n v="520951"/>
    <n v="1"/>
  </r>
  <r>
    <s v="Startup_1017"/>
    <x v="0"/>
    <n v="3"/>
    <n v="34022770"/>
    <n v="3"/>
    <n v="25"/>
    <n v="222"/>
    <n v="32969100"/>
    <n v="331488"/>
    <s v="Medium"/>
    <s v="B2B"/>
    <n v="6"/>
    <n v="60.39"/>
    <n v="765183"/>
    <n v="1"/>
  </r>
  <r>
    <s v="Startup_1018"/>
    <x v="5"/>
    <n v="10"/>
    <n v="29903180"/>
    <n v="1"/>
    <n v="24"/>
    <n v="492"/>
    <n v="1781713"/>
    <n v="883538"/>
    <s v="Medium"/>
    <s v="Hybrid"/>
    <n v="2"/>
    <n v="78.91"/>
    <n v="7314"/>
    <n v="1"/>
  </r>
  <r>
    <s v="Startup_1019"/>
    <x v="0"/>
    <n v="9"/>
    <n v="1454431"/>
    <n v="2"/>
    <n v="15"/>
    <n v="271"/>
    <n v="72294940"/>
    <n v="944633"/>
    <s v="Large"/>
    <s v="Hybrid"/>
    <n v="8"/>
    <n v="72.09"/>
    <n v="544690"/>
    <n v="1"/>
  </r>
  <r>
    <s v="Startup_1020"/>
    <x v="2"/>
    <n v="4"/>
    <n v="8629504"/>
    <n v="4"/>
    <n v="18"/>
    <n v="556"/>
    <n v="17424821"/>
    <n v="770991"/>
    <s v="Medium"/>
    <s v="Hybrid"/>
    <n v="9"/>
    <n v="60.8"/>
    <n v="548419"/>
    <n v="1"/>
  </r>
  <r>
    <s v="Startup_1021"/>
    <x v="1"/>
    <n v="4"/>
    <n v="9840649"/>
    <n v="4"/>
    <n v="2"/>
    <n v="634"/>
    <n v="41558708"/>
    <n v="935808"/>
    <s v="Large"/>
    <s v="Hybrid"/>
    <n v="8"/>
    <n v="79.08"/>
    <n v="687814"/>
    <n v="1"/>
  </r>
  <r>
    <s v="Startup_1022"/>
    <x v="6"/>
    <n v="6"/>
    <n v="20164847"/>
    <n v="2"/>
    <n v="22"/>
    <n v="195"/>
    <n v="70984079"/>
    <n v="740375"/>
    <s v="Small"/>
    <s v="B2C"/>
    <n v="2"/>
    <n v="19.03"/>
    <n v="540468"/>
    <n v="1"/>
  </r>
  <r>
    <s v="Startup_1023"/>
    <x v="5"/>
    <n v="13"/>
    <n v="21740019"/>
    <n v="4"/>
    <n v="17"/>
    <n v="611"/>
    <n v="91902571"/>
    <n v="327024"/>
    <s v="Medium"/>
    <s v="B2B"/>
    <n v="9"/>
    <n v="49.81"/>
    <n v="709098"/>
    <n v="1"/>
  </r>
  <r>
    <s v="Startup_1024"/>
    <x v="1"/>
    <n v="9"/>
    <n v="36324818"/>
    <n v="2"/>
    <n v="9"/>
    <n v="244"/>
    <n v="4348490"/>
    <n v="742776"/>
    <s v="Large"/>
    <s v="B2C"/>
    <n v="5"/>
    <n v="25.22"/>
    <n v="699492"/>
    <n v="1"/>
  </r>
  <r>
    <s v="Startup_1025"/>
    <x v="5"/>
    <n v="3"/>
    <n v="28351543"/>
    <n v="2"/>
    <n v="26"/>
    <n v="576"/>
    <n v="26235986"/>
    <n v="600707"/>
    <s v="Large"/>
    <s v="B2C"/>
    <n v="5"/>
    <n v="31.19"/>
    <n v="535452"/>
    <n v="1"/>
  </r>
  <r>
    <s v="Startup_1026"/>
    <x v="2"/>
    <n v="11"/>
    <n v="35936351"/>
    <n v="4"/>
    <n v="24"/>
    <n v="615"/>
    <n v="5890084"/>
    <n v="828522"/>
    <s v="Small"/>
    <s v="B2C"/>
    <n v="9"/>
    <n v="10.1"/>
    <n v="892368"/>
    <n v="1"/>
  </r>
  <r>
    <s v="Startup_1027"/>
    <x v="3"/>
    <n v="1"/>
    <n v="40608950"/>
    <n v="2"/>
    <n v="28"/>
    <n v="928"/>
    <n v="35266891"/>
    <n v="679383"/>
    <s v="Small"/>
    <s v="B2B"/>
    <n v="7"/>
    <n v="64.209999999999994"/>
    <n v="70778"/>
    <n v="1"/>
  </r>
  <r>
    <s v="Startup_1028"/>
    <x v="0"/>
    <n v="11"/>
    <n v="3570920"/>
    <n v="3"/>
    <n v="24"/>
    <n v="806"/>
    <n v="59085063"/>
    <n v="947825"/>
    <s v="Medium"/>
    <s v="Hybrid"/>
    <n v="9"/>
    <n v="31.51"/>
    <n v="173066"/>
    <n v="1"/>
  </r>
  <r>
    <s v="Startup_1029"/>
    <x v="0"/>
    <n v="14"/>
    <n v="35064247"/>
    <n v="1"/>
    <n v="11"/>
    <n v="113"/>
    <n v="93309771"/>
    <n v="575851"/>
    <s v="Medium"/>
    <s v="B2B"/>
    <n v="1"/>
    <n v="29.52"/>
    <n v="209252"/>
    <n v="1"/>
  </r>
  <r>
    <s v="Startup_1030"/>
    <x v="0"/>
    <n v="13"/>
    <n v="24432932"/>
    <n v="4"/>
    <n v="7"/>
    <n v="798"/>
    <n v="41417219"/>
    <n v="343032"/>
    <s v="Small"/>
    <s v="Hybrid"/>
    <n v="5"/>
    <n v="93.42"/>
    <n v="654401"/>
    <n v="1"/>
  </r>
  <r>
    <s v="Startup_1031"/>
    <x v="4"/>
    <n v="6"/>
    <n v="27047551"/>
    <n v="3"/>
    <n v="10"/>
    <n v="328"/>
    <n v="73673699"/>
    <n v="886064"/>
    <s v="Medium"/>
    <s v="B2B"/>
    <n v="4"/>
    <n v="34.840000000000003"/>
    <n v="78527"/>
    <n v="1"/>
  </r>
  <r>
    <s v="Startup_1032"/>
    <x v="3"/>
    <n v="12"/>
    <n v="6845382"/>
    <n v="1"/>
    <n v="2"/>
    <n v="884"/>
    <n v="63472261"/>
    <n v="548341"/>
    <s v="Medium"/>
    <s v="B2C"/>
    <n v="1"/>
    <n v="90.77"/>
    <n v="343801"/>
    <n v="1"/>
  </r>
  <r>
    <s v="Startup_1033"/>
    <x v="4"/>
    <n v="12"/>
    <n v="1546200"/>
    <n v="3"/>
    <n v="5"/>
    <n v="346"/>
    <n v="23458578"/>
    <n v="508108"/>
    <s v="Small"/>
    <s v="B2C"/>
    <n v="9"/>
    <n v="1.29"/>
    <n v="441334"/>
    <n v="1"/>
  </r>
  <r>
    <s v="Startup_1034"/>
    <x v="6"/>
    <n v="14"/>
    <n v="23016977"/>
    <n v="4"/>
    <n v="12"/>
    <n v="547"/>
    <n v="54982024"/>
    <n v="239899"/>
    <s v="Large"/>
    <s v="Hybrid"/>
    <n v="5"/>
    <n v="24.36"/>
    <n v="32602"/>
    <n v="1"/>
  </r>
  <r>
    <s v="Startup_1035"/>
    <x v="2"/>
    <n v="12"/>
    <n v="46705796"/>
    <n v="4"/>
    <n v="21"/>
    <n v="468"/>
    <n v="64830210"/>
    <n v="382980"/>
    <s v="Small"/>
    <s v="Hybrid"/>
    <n v="8"/>
    <n v="45.84"/>
    <n v="554776"/>
    <n v="1"/>
  </r>
  <r>
    <s v="Startup_1036"/>
    <x v="3"/>
    <n v="5"/>
    <n v="19822238"/>
    <n v="3"/>
    <n v="17"/>
    <n v="15"/>
    <n v="30365429"/>
    <n v="132168"/>
    <s v="Medium"/>
    <s v="B2C"/>
    <n v="5"/>
    <n v="96.66"/>
    <n v="599718"/>
    <n v="1"/>
  </r>
  <r>
    <s v="Startup_1037"/>
    <x v="5"/>
    <n v="10"/>
    <n v="15403799"/>
    <n v="4"/>
    <n v="16"/>
    <n v="290"/>
    <n v="39896962"/>
    <n v="67695"/>
    <s v="Small"/>
    <s v="B2C"/>
    <n v="8"/>
    <n v="2.7"/>
    <n v="54143"/>
    <n v="1"/>
  </r>
  <r>
    <s v="Startup_1038"/>
    <x v="6"/>
    <n v="3"/>
    <n v="28761175"/>
    <n v="4"/>
    <n v="6"/>
    <n v="949"/>
    <n v="63850599"/>
    <n v="258922"/>
    <s v="Medium"/>
    <s v="Hybrid"/>
    <n v="4"/>
    <n v="39.67"/>
    <n v="259079"/>
    <n v="1"/>
  </r>
  <r>
    <s v="Startup_1039"/>
    <x v="0"/>
    <n v="7"/>
    <n v="8102859"/>
    <n v="4"/>
    <n v="1"/>
    <n v="496"/>
    <n v="43171585"/>
    <n v="189704"/>
    <s v="Small"/>
    <s v="Hybrid"/>
    <n v="7"/>
    <n v="29.78"/>
    <n v="944079"/>
    <n v="1"/>
  </r>
  <r>
    <s v="Startup_1040"/>
    <x v="6"/>
    <n v="9"/>
    <n v="22941474"/>
    <n v="3"/>
    <n v="5"/>
    <n v="974"/>
    <n v="70176279"/>
    <n v="977277"/>
    <s v="Large"/>
    <s v="Hybrid"/>
    <n v="4"/>
    <n v="87.72"/>
    <n v="928324"/>
    <n v="1"/>
  </r>
  <r>
    <s v="Startup_1041"/>
    <x v="5"/>
    <n v="11"/>
    <n v="32479809"/>
    <n v="4"/>
    <n v="11"/>
    <n v="823"/>
    <n v="43535450"/>
    <n v="297325"/>
    <s v="Medium"/>
    <s v="Hybrid"/>
    <n v="5"/>
    <n v="88.97"/>
    <n v="588733"/>
    <n v="1"/>
  </r>
  <r>
    <s v="Startup_1042"/>
    <x v="6"/>
    <n v="7"/>
    <n v="21182328"/>
    <n v="2"/>
    <n v="23"/>
    <n v="368"/>
    <n v="73272876"/>
    <n v="704179"/>
    <s v="Small"/>
    <s v="B2C"/>
    <n v="9"/>
    <n v="30.66"/>
    <n v="965671"/>
    <n v="1"/>
  </r>
  <r>
    <s v="Startup_1043"/>
    <x v="4"/>
    <n v="12"/>
    <n v="34156871"/>
    <n v="3"/>
    <n v="8"/>
    <n v="608"/>
    <n v="92689374"/>
    <n v="931184"/>
    <s v="Small"/>
    <s v="B2C"/>
    <n v="4"/>
    <n v="87.07"/>
    <n v="542676"/>
    <n v="1"/>
  </r>
  <r>
    <s v="Startup_1044"/>
    <x v="6"/>
    <n v="11"/>
    <n v="7069580"/>
    <n v="2"/>
    <n v="15"/>
    <n v="960"/>
    <n v="56222691"/>
    <n v="461490"/>
    <s v="Small"/>
    <s v="B2C"/>
    <n v="8"/>
    <n v="62.33"/>
    <n v="994215"/>
    <n v="1"/>
  </r>
  <r>
    <s v="Startup_1045"/>
    <x v="0"/>
    <n v="9"/>
    <n v="25698991"/>
    <n v="2"/>
    <n v="14"/>
    <n v="438"/>
    <n v="54562189"/>
    <n v="795318"/>
    <s v="Medium"/>
    <s v="B2B"/>
    <n v="1"/>
    <n v="38.770000000000003"/>
    <n v="198541"/>
    <n v="1"/>
  </r>
  <r>
    <s v="Startup_1046"/>
    <x v="5"/>
    <n v="6"/>
    <n v="1248634"/>
    <n v="4"/>
    <n v="13"/>
    <n v="573"/>
    <n v="67429141"/>
    <n v="721183"/>
    <s v="Small"/>
    <s v="Hybrid"/>
    <n v="7"/>
    <n v="70.62"/>
    <n v="855868"/>
    <n v="1"/>
  </r>
  <r>
    <s v="Startup_1047"/>
    <x v="3"/>
    <n v="0"/>
    <n v="19716284"/>
    <n v="3"/>
    <n v="4"/>
    <n v="369"/>
    <n v="80701714"/>
    <n v="265922"/>
    <s v="Small"/>
    <s v="B2B"/>
    <n v="9"/>
    <n v="18.350000000000001"/>
    <n v="616404"/>
    <n v="1"/>
  </r>
  <r>
    <s v="Startup_1048"/>
    <x v="6"/>
    <n v="13"/>
    <n v="34654037"/>
    <n v="1"/>
    <n v="2"/>
    <n v="469"/>
    <n v="1147785"/>
    <n v="305847"/>
    <s v="Large"/>
    <s v="Hybrid"/>
    <n v="6"/>
    <n v="89.29"/>
    <n v="274917"/>
    <n v="1"/>
  </r>
  <r>
    <s v="Startup_1049"/>
    <x v="3"/>
    <n v="1"/>
    <n v="5220456"/>
    <n v="1"/>
    <n v="7"/>
    <n v="493"/>
    <n v="64711411"/>
    <n v="867528"/>
    <s v="Large"/>
    <s v="B2B"/>
    <n v="9"/>
    <n v="61.49"/>
    <n v="431020"/>
    <n v="1"/>
  </r>
  <r>
    <s v="Startup_1050"/>
    <x v="3"/>
    <n v="11"/>
    <n v="14429865"/>
    <n v="2"/>
    <n v="13"/>
    <n v="847"/>
    <n v="49826951"/>
    <n v="651340"/>
    <s v="Large"/>
    <s v="Hybrid"/>
    <n v="9"/>
    <n v="46.18"/>
    <n v="615832"/>
    <n v="1"/>
  </r>
  <r>
    <s v="Startup_1051"/>
    <x v="0"/>
    <n v="2"/>
    <n v="17567602"/>
    <n v="2"/>
    <n v="26"/>
    <n v="41"/>
    <n v="84955293"/>
    <n v="876573"/>
    <s v="Small"/>
    <s v="B2B"/>
    <n v="4"/>
    <n v="68.86"/>
    <n v="946444"/>
    <n v="1"/>
  </r>
  <r>
    <s v="Startup_1052"/>
    <x v="3"/>
    <n v="3"/>
    <n v="14374824"/>
    <n v="4"/>
    <n v="15"/>
    <n v="894"/>
    <n v="71987614"/>
    <n v="538573"/>
    <s v="Medium"/>
    <s v="Hybrid"/>
    <n v="9"/>
    <n v="35.96"/>
    <n v="564561"/>
    <n v="1"/>
  </r>
  <r>
    <s v="Startup_1053"/>
    <x v="6"/>
    <n v="4"/>
    <n v="20425437"/>
    <n v="1"/>
    <n v="23"/>
    <n v="318"/>
    <n v="53957802"/>
    <n v="811423"/>
    <s v="Small"/>
    <s v="Hybrid"/>
    <n v="8"/>
    <n v="67.58"/>
    <n v="534004"/>
    <n v="1"/>
  </r>
  <r>
    <s v="Startup_1054"/>
    <x v="2"/>
    <n v="1"/>
    <n v="29219013"/>
    <n v="4"/>
    <n v="12"/>
    <n v="137"/>
    <n v="20175658"/>
    <n v="419226"/>
    <s v="Small"/>
    <s v="B2C"/>
    <n v="8"/>
    <n v="6.54"/>
    <n v="257614"/>
    <n v="1"/>
  </r>
  <r>
    <s v="Startup_1055"/>
    <x v="0"/>
    <n v="0"/>
    <n v="28834975"/>
    <n v="4"/>
    <n v="27"/>
    <n v="138"/>
    <n v="90544235"/>
    <n v="980149"/>
    <s v="Large"/>
    <s v="B2C"/>
    <n v="7"/>
    <n v="49.47"/>
    <n v="699990"/>
    <n v="1"/>
  </r>
  <r>
    <s v="Startup_1056"/>
    <x v="6"/>
    <n v="2"/>
    <n v="6641390"/>
    <n v="1"/>
    <n v="12"/>
    <n v="808"/>
    <n v="37806144"/>
    <n v="876275"/>
    <s v="Small"/>
    <s v="Hybrid"/>
    <n v="9"/>
    <n v="21.37"/>
    <n v="368000"/>
    <n v="1"/>
  </r>
  <r>
    <s v="Startup_1057"/>
    <x v="1"/>
    <n v="0"/>
    <n v="34044809"/>
    <n v="1"/>
    <n v="6"/>
    <n v="940"/>
    <n v="46201082"/>
    <n v="958821"/>
    <s v="Large"/>
    <s v="B2B"/>
    <n v="3"/>
    <n v="34.1"/>
    <n v="854942"/>
    <n v="1"/>
  </r>
  <r>
    <s v="Startup_1058"/>
    <x v="4"/>
    <n v="13"/>
    <n v="38886807"/>
    <n v="4"/>
    <n v="29"/>
    <n v="712"/>
    <n v="51131301"/>
    <n v="630884"/>
    <s v="Large"/>
    <s v="B2C"/>
    <n v="3"/>
    <n v="85.36"/>
    <n v="529491"/>
    <n v="1"/>
  </r>
  <r>
    <s v="Startup_1059"/>
    <x v="2"/>
    <n v="2"/>
    <n v="12213872"/>
    <n v="1"/>
    <n v="23"/>
    <n v="60"/>
    <n v="97258234"/>
    <n v="766255"/>
    <s v="Medium"/>
    <s v="B2C"/>
    <n v="6"/>
    <n v="24.96"/>
    <n v="606586"/>
    <n v="1"/>
  </r>
  <r>
    <s v="Startup_1060"/>
    <x v="3"/>
    <n v="4"/>
    <n v="48289794"/>
    <n v="2"/>
    <n v="24"/>
    <n v="448"/>
    <n v="50928305"/>
    <n v="462473"/>
    <s v="Small"/>
    <s v="B2B"/>
    <n v="6"/>
    <n v="9.7200000000000006"/>
    <n v="940304"/>
    <n v="1"/>
  </r>
  <r>
    <s v="Startup_1061"/>
    <x v="4"/>
    <n v="3"/>
    <n v="13910350"/>
    <n v="4"/>
    <n v="11"/>
    <n v="696"/>
    <n v="67850012"/>
    <n v="716877"/>
    <s v="Medium"/>
    <s v="B2B"/>
    <n v="9"/>
    <n v="41.89"/>
    <n v="938513"/>
    <n v="1"/>
  </r>
  <r>
    <s v="Startup_1062"/>
    <x v="3"/>
    <n v="13"/>
    <n v="8925853"/>
    <n v="1"/>
    <n v="15"/>
    <n v="910"/>
    <n v="51528628"/>
    <n v="295232"/>
    <s v="Medium"/>
    <s v="Hybrid"/>
    <n v="2"/>
    <n v="56.14"/>
    <n v="47554"/>
    <n v="1"/>
  </r>
  <r>
    <s v="Startup_1063"/>
    <x v="6"/>
    <n v="3"/>
    <n v="47643315"/>
    <n v="1"/>
    <n v="7"/>
    <n v="436"/>
    <n v="34859338"/>
    <n v="193537"/>
    <s v="Medium"/>
    <s v="B2B"/>
    <n v="7"/>
    <n v="73.03"/>
    <n v="703440"/>
    <n v="1"/>
  </r>
  <r>
    <s v="Startup_1064"/>
    <x v="1"/>
    <n v="2"/>
    <n v="17025670"/>
    <n v="4"/>
    <n v="9"/>
    <n v="167"/>
    <n v="69326668"/>
    <n v="23532"/>
    <s v="Medium"/>
    <s v="Hybrid"/>
    <n v="5"/>
    <n v="51.18"/>
    <n v="325947"/>
    <n v="1"/>
  </r>
  <r>
    <s v="Startup_1065"/>
    <x v="1"/>
    <n v="2"/>
    <n v="16358892"/>
    <n v="2"/>
    <n v="20"/>
    <n v="148"/>
    <n v="53585726"/>
    <n v="64382"/>
    <s v="Medium"/>
    <s v="B2B"/>
    <n v="5"/>
    <n v="89.46"/>
    <n v="416385"/>
    <n v="1"/>
  </r>
  <r>
    <s v="Startup_1066"/>
    <x v="2"/>
    <n v="14"/>
    <n v="17993690"/>
    <n v="1"/>
    <n v="8"/>
    <n v="281"/>
    <n v="79057074"/>
    <n v="571675"/>
    <s v="Small"/>
    <s v="B2C"/>
    <n v="5"/>
    <n v="91.86"/>
    <n v="126070"/>
    <n v="1"/>
  </r>
  <r>
    <s v="Startup_1067"/>
    <x v="4"/>
    <n v="8"/>
    <n v="49455073"/>
    <n v="2"/>
    <n v="27"/>
    <n v="119"/>
    <n v="8274295"/>
    <n v="634274"/>
    <s v="Medium"/>
    <s v="B2B"/>
    <n v="7"/>
    <n v="74.849999999999994"/>
    <n v="108412"/>
    <n v="1"/>
  </r>
  <r>
    <s v="Startup_1068"/>
    <x v="1"/>
    <n v="7"/>
    <n v="23348697"/>
    <n v="1"/>
    <n v="7"/>
    <n v="134"/>
    <n v="65958064"/>
    <n v="648687"/>
    <s v="Small"/>
    <s v="Hybrid"/>
    <n v="4"/>
    <n v="45.1"/>
    <n v="395954"/>
    <n v="1"/>
  </r>
  <r>
    <s v="Startup_1069"/>
    <x v="2"/>
    <n v="4"/>
    <n v="14872684"/>
    <n v="4"/>
    <n v="16"/>
    <n v="671"/>
    <n v="56586349"/>
    <n v="992191"/>
    <s v="Medium"/>
    <s v="B2C"/>
    <n v="1"/>
    <n v="72.31"/>
    <n v="825598"/>
    <n v="1"/>
  </r>
  <r>
    <s v="Startup_1070"/>
    <x v="3"/>
    <n v="5"/>
    <n v="11218804"/>
    <n v="2"/>
    <n v="5"/>
    <n v="2"/>
    <n v="39603344"/>
    <n v="403749"/>
    <s v="Large"/>
    <s v="B2C"/>
    <n v="5"/>
    <n v="47.67"/>
    <n v="446215"/>
    <n v="1"/>
  </r>
  <r>
    <s v="Startup_1071"/>
    <x v="6"/>
    <n v="12"/>
    <n v="15489129"/>
    <n v="1"/>
    <n v="18"/>
    <n v="18"/>
    <n v="13690318"/>
    <n v="187673"/>
    <s v="Medium"/>
    <s v="B2B"/>
    <n v="8"/>
    <n v="78.03"/>
    <n v="586531"/>
    <n v="1"/>
  </r>
  <r>
    <s v="Startup_1072"/>
    <x v="1"/>
    <n v="4"/>
    <n v="14011147"/>
    <n v="4"/>
    <n v="24"/>
    <n v="70"/>
    <n v="87545470"/>
    <n v="467550"/>
    <s v="Small"/>
    <s v="B2C"/>
    <n v="7"/>
    <n v="30.77"/>
    <n v="687961"/>
    <n v="1"/>
  </r>
  <r>
    <s v="Startup_1073"/>
    <x v="1"/>
    <n v="11"/>
    <n v="38397415"/>
    <n v="4"/>
    <n v="29"/>
    <n v="380"/>
    <n v="48122459"/>
    <n v="897846"/>
    <s v="Small"/>
    <s v="B2C"/>
    <n v="7"/>
    <n v="42.72"/>
    <n v="909226"/>
    <n v="1"/>
  </r>
  <r>
    <s v="Startup_1074"/>
    <x v="4"/>
    <n v="2"/>
    <n v="43199248"/>
    <n v="1"/>
    <n v="18"/>
    <n v="577"/>
    <n v="78591783"/>
    <n v="561474"/>
    <s v="Small"/>
    <s v="B2B"/>
    <n v="2"/>
    <n v="77.97"/>
    <n v="888364"/>
    <n v="1"/>
  </r>
  <r>
    <s v="Startup_1075"/>
    <x v="5"/>
    <n v="3"/>
    <n v="7191170"/>
    <n v="3"/>
    <n v="25"/>
    <n v="557"/>
    <n v="73372424"/>
    <n v="904615"/>
    <s v="Small"/>
    <s v="B2C"/>
    <n v="5"/>
    <n v="90.15"/>
    <n v="290810"/>
    <n v="1"/>
  </r>
  <r>
    <s v="Startup_1076"/>
    <x v="5"/>
    <n v="0"/>
    <n v="12083994"/>
    <n v="4"/>
    <n v="2"/>
    <n v="97"/>
    <n v="31492738"/>
    <n v="571201"/>
    <s v="Large"/>
    <s v="B2B"/>
    <n v="6"/>
    <n v="78.27"/>
    <n v="5326"/>
    <n v="1"/>
  </r>
  <r>
    <s v="Startup_1077"/>
    <x v="2"/>
    <n v="3"/>
    <n v="25682635"/>
    <n v="1"/>
    <n v="10"/>
    <n v="398"/>
    <n v="97024189"/>
    <n v="161258"/>
    <s v="Large"/>
    <s v="B2C"/>
    <n v="2"/>
    <n v="91.29"/>
    <n v="582070"/>
    <n v="1"/>
  </r>
  <r>
    <s v="Startup_1078"/>
    <x v="6"/>
    <n v="7"/>
    <n v="9127687"/>
    <n v="4"/>
    <n v="18"/>
    <n v="631"/>
    <n v="93502567"/>
    <n v="313074"/>
    <s v="Small"/>
    <s v="Hybrid"/>
    <n v="3"/>
    <n v="88.57"/>
    <n v="181302"/>
    <n v="1"/>
  </r>
  <r>
    <s v="Startup_1079"/>
    <x v="2"/>
    <n v="2"/>
    <n v="22115918"/>
    <n v="2"/>
    <n v="9"/>
    <n v="664"/>
    <n v="21722805"/>
    <n v="606269"/>
    <s v="Small"/>
    <s v="B2C"/>
    <n v="2"/>
    <n v="95.04"/>
    <n v="465822"/>
    <n v="1"/>
  </r>
  <r>
    <s v="Startup_1080"/>
    <x v="4"/>
    <n v="10"/>
    <n v="15707881"/>
    <n v="3"/>
    <n v="4"/>
    <n v="734"/>
    <n v="71942210"/>
    <n v="696802"/>
    <s v="Large"/>
    <s v="Hybrid"/>
    <n v="6"/>
    <n v="85.52"/>
    <n v="201368"/>
    <n v="1"/>
  </r>
  <r>
    <s v="Startup_1081"/>
    <x v="6"/>
    <n v="5"/>
    <n v="32906978"/>
    <n v="4"/>
    <n v="1"/>
    <n v="196"/>
    <n v="18860848"/>
    <n v="20127"/>
    <s v="Large"/>
    <s v="B2C"/>
    <n v="7"/>
    <n v="40.19"/>
    <n v="40042"/>
    <n v="1"/>
  </r>
  <r>
    <s v="Startup_1082"/>
    <x v="0"/>
    <n v="1"/>
    <n v="9792580"/>
    <n v="3"/>
    <n v="12"/>
    <n v="961"/>
    <n v="23087479"/>
    <n v="20046"/>
    <s v="Medium"/>
    <s v="B2C"/>
    <n v="5"/>
    <n v="47.52"/>
    <n v="844123"/>
    <n v="1"/>
  </r>
  <r>
    <s v="Startup_1083"/>
    <x v="0"/>
    <n v="11"/>
    <n v="34157208"/>
    <n v="2"/>
    <n v="17"/>
    <n v="191"/>
    <n v="43856093"/>
    <n v="386720"/>
    <s v="Small"/>
    <s v="B2C"/>
    <n v="2"/>
    <n v="23.9"/>
    <n v="352587"/>
    <n v="1"/>
  </r>
  <r>
    <s v="Startup_1084"/>
    <x v="6"/>
    <n v="7"/>
    <n v="32154897"/>
    <n v="4"/>
    <n v="22"/>
    <n v="93"/>
    <n v="3195261"/>
    <n v="671253"/>
    <s v="Medium"/>
    <s v="B2B"/>
    <n v="8"/>
    <n v="29.99"/>
    <n v="118317"/>
    <n v="1"/>
  </r>
  <r>
    <s v="Startup_1085"/>
    <x v="3"/>
    <n v="3"/>
    <n v="36171582"/>
    <n v="4"/>
    <n v="0"/>
    <n v="945"/>
    <n v="56732030"/>
    <n v="633461"/>
    <s v="Large"/>
    <s v="B2B"/>
    <n v="2"/>
    <n v="22.68"/>
    <n v="199361"/>
    <n v="1"/>
  </r>
  <r>
    <s v="Startup_1086"/>
    <x v="2"/>
    <n v="0"/>
    <n v="34445511"/>
    <n v="3"/>
    <n v="5"/>
    <n v="705"/>
    <n v="67198116"/>
    <n v="316685"/>
    <s v="Large"/>
    <s v="B2C"/>
    <n v="8"/>
    <n v="16.98"/>
    <n v="908246"/>
    <n v="1"/>
  </r>
  <r>
    <s v="Startup_1087"/>
    <x v="5"/>
    <n v="1"/>
    <n v="1167266"/>
    <n v="2"/>
    <n v="22"/>
    <n v="685"/>
    <n v="7194249"/>
    <n v="449063"/>
    <s v="Medium"/>
    <s v="Hybrid"/>
    <n v="3"/>
    <n v="9.9600000000000009"/>
    <n v="252939"/>
    <n v="1"/>
  </r>
  <r>
    <s v="Startup_1088"/>
    <x v="4"/>
    <n v="14"/>
    <n v="29448357"/>
    <n v="3"/>
    <n v="28"/>
    <n v="391"/>
    <n v="58799280"/>
    <n v="99879"/>
    <s v="Medium"/>
    <s v="B2B"/>
    <n v="9"/>
    <n v="59.33"/>
    <n v="456365"/>
    <n v="1"/>
  </r>
  <r>
    <s v="Startup_1089"/>
    <x v="1"/>
    <n v="10"/>
    <n v="37653767"/>
    <n v="3"/>
    <n v="16"/>
    <n v="993"/>
    <n v="47287198"/>
    <n v="212464"/>
    <s v="Medium"/>
    <s v="Hybrid"/>
    <n v="9"/>
    <n v="40.58"/>
    <n v="497927"/>
    <n v="1"/>
  </r>
  <r>
    <s v="Startup_1090"/>
    <x v="0"/>
    <n v="7"/>
    <n v="11925003"/>
    <n v="1"/>
    <n v="16"/>
    <n v="316"/>
    <n v="47505382"/>
    <n v="314615"/>
    <s v="Small"/>
    <s v="Hybrid"/>
    <n v="4"/>
    <n v="52.58"/>
    <n v="223934"/>
    <n v="1"/>
  </r>
  <r>
    <s v="Startup_1091"/>
    <x v="2"/>
    <n v="7"/>
    <n v="27371121"/>
    <n v="2"/>
    <n v="26"/>
    <n v="817"/>
    <n v="72752812"/>
    <n v="410395"/>
    <s v="Large"/>
    <s v="B2C"/>
    <n v="4"/>
    <n v="78.680000000000007"/>
    <n v="623992"/>
    <n v="1"/>
  </r>
  <r>
    <s v="Startup_1092"/>
    <x v="2"/>
    <n v="9"/>
    <n v="27615419"/>
    <n v="4"/>
    <n v="21"/>
    <n v="987"/>
    <n v="49981138"/>
    <n v="29976"/>
    <s v="Large"/>
    <s v="Hybrid"/>
    <n v="7"/>
    <n v="70.599999999999994"/>
    <n v="224002"/>
    <n v="1"/>
  </r>
  <r>
    <s v="Startup_1093"/>
    <x v="2"/>
    <n v="11"/>
    <n v="37660746"/>
    <n v="1"/>
    <n v="25"/>
    <n v="839"/>
    <n v="40245679"/>
    <n v="482589"/>
    <s v="Large"/>
    <s v="B2B"/>
    <n v="2"/>
    <n v="4.5199999999999996"/>
    <n v="481341"/>
    <n v="1"/>
  </r>
  <r>
    <s v="Startup_1094"/>
    <x v="6"/>
    <n v="3"/>
    <n v="7381658"/>
    <n v="1"/>
    <n v="12"/>
    <n v="142"/>
    <n v="83428954"/>
    <n v="989451"/>
    <s v="Large"/>
    <s v="B2C"/>
    <n v="1"/>
    <n v="75.34"/>
    <n v="247231"/>
    <n v="1"/>
  </r>
  <r>
    <s v="Startup_1095"/>
    <x v="2"/>
    <n v="7"/>
    <n v="46601922"/>
    <n v="4"/>
    <n v="19"/>
    <n v="51"/>
    <n v="79555905"/>
    <n v="420362"/>
    <s v="Large"/>
    <s v="Hybrid"/>
    <n v="7"/>
    <n v="10.19"/>
    <n v="22290"/>
    <n v="1"/>
  </r>
  <r>
    <s v="Startup_1096"/>
    <x v="0"/>
    <n v="4"/>
    <n v="27646106"/>
    <n v="1"/>
    <n v="17"/>
    <n v="786"/>
    <n v="88767759"/>
    <n v="199162"/>
    <s v="Small"/>
    <s v="B2C"/>
    <n v="1"/>
    <n v="66.27"/>
    <n v="874567"/>
    <n v="1"/>
  </r>
  <r>
    <s v="Startup_1097"/>
    <x v="2"/>
    <n v="2"/>
    <n v="19164643"/>
    <n v="3"/>
    <n v="9"/>
    <n v="305"/>
    <n v="98249914"/>
    <n v="577880"/>
    <s v="Small"/>
    <s v="B2C"/>
    <n v="5"/>
    <n v="84.16"/>
    <n v="32780"/>
    <n v="1"/>
  </r>
  <r>
    <s v="Startup_1098"/>
    <x v="5"/>
    <n v="10"/>
    <n v="33752433"/>
    <n v="2"/>
    <n v="29"/>
    <n v="269"/>
    <n v="56762117"/>
    <n v="561542"/>
    <s v="Large"/>
    <s v="Hybrid"/>
    <n v="4"/>
    <n v="28.86"/>
    <n v="100123"/>
    <n v="1"/>
  </r>
  <r>
    <s v="Startup_1099"/>
    <x v="0"/>
    <n v="10"/>
    <n v="34281213"/>
    <n v="1"/>
    <n v="25"/>
    <n v="460"/>
    <n v="38881162"/>
    <n v="872234"/>
    <s v="Medium"/>
    <s v="Hybrid"/>
    <n v="7"/>
    <n v="83.59"/>
    <n v="656110"/>
    <n v="1"/>
  </r>
  <r>
    <s v="Startup_1100"/>
    <x v="4"/>
    <n v="3"/>
    <n v="32948566"/>
    <n v="3"/>
    <n v="15"/>
    <n v="630"/>
    <n v="43717719"/>
    <n v="354832"/>
    <s v="Medium"/>
    <s v="B2B"/>
    <n v="7"/>
    <n v="48.81"/>
    <n v="331667"/>
    <n v="1"/>
  </r>
  <r>
    <s v="Startup_1101"/>
    <x v="1"/>
    <n v="12"/>
    <n v="5532910"/>
    <n v="3"/>
    <n v="28"/>
    <n v="181"/>
    <n v="48854220"/>
    <n v="637621"/>
    <s v="Medium"/>
    <s v="B2C"/>
    <n v="2"/>
    <n v="92.89"/>
    <n v="166143"/>
    <n v="1"/>
  </r>
  <r>
    <s v="Startup_1102"/>
    <x v="5"/>
    <n v="7"/>
    <n v="49769321"/>
    <n v="4"/>
    <n v="22"/>
    <n v="935"/>
    <n v="12588821"/>
    <n v="799949"/>
    <s v="Small"/>
    <s v="Hybrid"/>
    <n v="1"/>
    <n v="70.34"/>
    <n v="807324"/>
    <n v="1"/>
  </r>
  <r>
    <s v="Startup_1103"/>
    <x v="5"/>
    <n v="6"/>
    <n v="30105391"/>
    <n v="4"/>
    <n v="4"/>
    <n v="943"/>
    <n v="41400718"/>
    <n v="611622"/>
    <s v="Medium"/>
    <s v="B2C"/>
    <n v="4"/>
    <n v="3.17"/>
    <n v="759177"/>
    <n v="1"/>
  </r>
  <r>
    <s v="Startup_1104"/>
    <x v="4"/>
    <n v="9"/>
    <n v="3729800"/>
    <n v="4"/>
    <n v="5"/>
    <n v="84"/>
    <n v="86405955"/>
    <n v="897914"/>
    <s v="Large"/>
    <s v="Hybrid"/>
    <n v="8"/>
    <n v="37.479999999999997"/>
    <n v="572548"/>
    <n v="1"/>
  </r>
  <r>
    <s v="Startup_1105"/>
    <x v="0"/>
    <n v="11"/>
    <n v="36755089"/>
    <n v="1"/>
    <n v="17"/>
    <n v="412"/>
    <n v="19010957"/>
    <n v="717886"/>
    <s v="Medium"/>
    <s v="B2C"/>
    <n v="1"/>
    <n v="51.98"/>
    <n v="668411"/>
    <n v="1"/>
  </r>
  <r>
    <s v="Startup_1106"/>
    <x v="4"/>
    <n v="0"/>
    <n v="27646822"/>
    <n v="4"/>
    <n v="5"/>
    <n v="843"/>
    <n v="75393002"/>
    <n v="577324"/>
    <s v="Medium"/>
    <s v="B2B"/>
    <n v="8"/>
    <n v="89.75"/>
    <n v="69325"/>
    <n v="1"/>
  </r>
  <r>
    <s v="Startup_1107"/>
    <x v="5"/>
    <n v="10"/>
    <n v="9210989"/>
    <n v="4"/>
    <n v="5"/>
    <n v="571"/>
    <n v="24480711"/>
    <n v="763958"/>
    <s v="Large"/>
    <s v="B2C"/>
    <n v="1"/>
    <n v="12.77"/>
    <n v="411916"/>
    <n v="1"/>
  </r>
  <r>
    <s v="Startup_1108"/>
    <x v="2"/>
    <n v="9"/>
    <n v="1124515"/>
    <n v="2"/>
    <n v="0"/>
    <n v="854"/>
    <n v="10934814"/>
    <n v="394573"/>
    <s v="Medium"/>
    <s v="B2C"/>
    <n v="4"/>
    <n v="76.33"/>
    <n v="297820"/>
    <n v="1"/>
  </r>
  <r>
    <s v="Startup_1109"/>
    <x v="6"/>
    <n v="13"/>
    <n v="12251518"/>
    <n v="2"/>
    <n v="0"/>
    <n v="310"/>
    <n v="92285709"/>
    <n v="254974"/>
    <s v="Large"/>
    <s v="B2B"/>
    <n v="9"/>
    <n v="9.84"/>
    <n v="294146"/>
    <n v="1"/>
  </r>
  <r>
    <s v="Startup_1110"/>
    <x v="1"/>
    <n v="5"/>
    <n v="35403993"/>
    <n v="1"/>
    <n v="22"/>
    <n v="220"/>
    <n v="70329598"/>
    <n v="880300"/>
    <s v="Small"/>
    <s v="B2B"/>
    <n v="4"/>
    <n v="82.42"/>
    <n v="746460"/>
    <n v="1"/>
  </r>
  <r>
    <s v="Startup_1111"/>
    <x v="6"/>
    <n v="0"/>
    <n v="12061493"/>
    <n v="4"/>
    <n v="29"/>
    <n v="979"/>
    <n v="69555465"/>
    <n v="242075"/>
    <s v="Small"/>
    <s v="B2C"/>
    <n v="1"/>
    <n v="46.95"/>
    <n v="215555"/>
    <n v="1"/>
  </r>
  <r>
    <s v="Startup_1112"/>
    <x v="0"/>
    <n v="0"/>
    <n v="15110039"/>
    <n v="3"/>
    <n v="29"/>
    <n v="177"/>
    <n v="84354931"/>
    <n v="744147"/>
    <s v="Large"/>
    <s v="B2B"/>
    <n v="5"/>
    <n v="98.54"/>
    <n v="716360"/>
    <n v="1"/>
  </r>
  <r>
    <s v="Startup_1113"/>
    <x v="0"/>
    <n v="11"/>
    <n v="42261196"/>
    <n v="3"/>
    <n v="9"/>
    <n v="250"/>
    <n v="45066133"/>
    <n v="230361"/>
    <s v="Medium"/>
    <s v="B2B"/>
    <n v="1"/>
    <n v="11.05"/>
    <n v="611810"/>
    <n v="1"/>
  </r>
  <r>
    <s v="Startup_1114"/>
    <x v="5"/>
    <n v="8"/>
    <n v="15676670"/>
    <n v="3"/>
    <n v="3"/>
    <n v="249"/>
    <n v="84946949"/>
    <n v="552638"/>
    <s v="Medium"/>
    <s v="B2C"/>
    <n v="4"/>
    <n v="60.69"/>
    <n v="888051"/>
    <n v="1"/>
  </r>
  <r>
    <s v="Startup_1115"/>
    <x v="4"/>
    <n v="10"/>
    <n v="4103633"/>
    <n v="2"/>
    <n v="26"/>
    <n v="52"/>
    <n v="39538735"/>
    <n v="977807"/>
    <s v="Small"/>
    <s v="B2B"/>
    <n v="9"/>
    <n v="83.09"/>
    <n v="344088"/>
    <n v="1"/>
  </r>
  <r>
    <s v="Startup_1116"/>
    <x v="6"/>
    <n v="3"/>
    <n v="1388989"/>
    <n v="4"/>
    <n v="1"/>
    <n v="271"/>
    <n v="78831889"/>
    <n v="545818"/>
    <s v="Small"/>
    <s v="B2B"/>
    <n v="4"/>
    <n v="83.88"/>
    <n v="700440"/>
    <n v="1"/>
  </r>
  <r>
    <s v="Startup_1117"/>
    <x v="1"/>
    <n v="3"/>
    <n v="25489829"/>
    <n v="1"/>
    <n v="1"/>
    <n v="1"/>
    <n v="16125109"/>
    <n v="642801"/>
    <s v="Large"/>
    <s v="B2B"/>
    <n v="7"/>
    <n v="78.87"/>
    <n v="173844"/>
    <n v="1"/>
  </r>
  <r>
    <s v="Startup_1118"/>
    <x v="0"/>
    <n v="6"/>
    <n v="37389279"/>
    <n v="2"/>
    <n v="18"/>
    <n v="228"/>
    <n v="2465901"/>
    <n v="965518"/>
    <s v="Small"/>
    <s v="B2C"/>
    <n v="5"/>
    <n v="91.47"/>
    <n v="916601"/>
    <n v="1"/>
  </r>
  <r>
    <s v="Startup_1119"/>
    <x v="3"/>
    <n v="8"/>
    <n v="29593435"/>
    <n v="4"/>
    <n v="24"/>
    <n v="924"/>
    <n v="55583454"/>
    <n v="604876"/>
    <s v="Small"/>
    <s v="B2C"/>
    <n v="5"/>
    <n v="66.91"/>
    <n v="682395"/>
    <n v="1"/>
  </r>
  <r>
    <s v="Startup_1120"/>
    <x v="0"/>
    <n v="10"/>
    <n v="42814498"/>
    <n v="2"/>
    <n v="4"/>
    <n v="865"/>
    <n v="50390948"/>
    <n v="63739"/>
    <s v="Small"/>
    <s v="B2B"/>
    <n v="7"/>
    <n v="37.96"/>
    <n v="412039"/>
    <n v="1"/>
  </r>
  <r>
    <s v="Startup_1121"/>
    <x v="2"/>
    <n v="13"/>
    <n v="13646501"/>
    <n v="1"/>
    <n v="8"/>
    <n v="697"/>
    <n v="48428588"/>
    <n v="675042"/>
    <s v="Small"/>
    <s v="B2C"/>
    <n v="8"/>
    <n v="92.47"/>
    <n v="194699"/>
    <n v="1"/>
  </r>
  <r>
    <s v="Startup_1122"/>
    <x v="0"/>
    <n v="11"/>
    <n v="374093"/>
    <n v="2"/>
    <n v="1"/>
    <n v="825"/>
    <n v="81452179"/>
    <n v="52741"/>
    <s v="Medium"/>
    <s v="B2C"/>
    <n v="8"/>
    <n v="19.53"/>
    <n v="909411"/>
    <n v="1"/>
  </r>
  <r>
    <s v="Startup_1123"/>
    <x v="4"/>
    <n v="5"/>
    <n v="24417862"/>
    <n v="1"/>
    <n v="19"/>
    <n v="498"/>
    <n v="11381894"/>
    <n v="755444"/>
    <s v="Medium"/>
    <s v="B2C"/>
    <n v="6"/>
    <n v="44.9"/>
    <n v="856835"/>
    <n v="1"/>
  </r>
  <r>
    <s v="Startup_1124"/>
    <x v="1"/>
    <n v="11"/>
    <n v="1493606"/>
    <n v="2"/>
    <n v="10"/>
    <n v="898"/>
    <n v="42099287"/>
    <n v="989575"/>
    <s v="Small"/>
    <s v="B2B"/>
    <n v="4"/>
    <n v="42.71"/>
    <n v="49038"/>
    <n v="1"/>
  </r>
  <r>
    <s v="Startup_1125"/>
    <x v="4"/>
    <n v="3"/>
    <n v="7069328"/>
    <n v="1"/>
    <n v="8"/>
    <n v="767"/>
    <n v="49841437"/>
    <n v="911738"/>
    <s v="Large"/>
    <s v="B2B"/>
    <n v="5"/>
    <n v="22.94"/>
    <n v="183499"/>
    <n v="1"/>
  </r>
  <r>
    <s v="Startup_1126"/>
    <x v="6"/>
    <n v="7"/>
    <n v="17072082"/>
    <n v="2"/>
    <n v="16"/>
    <n v="696"/>
    <n v="35929828"/>
    <n v="58316"/>
    <s v="Small"/>
    <s v="B2C"/>
    <n v="2"/>
    <n v="52.98"/>
    <n v="685665"/>
    <n v="1"/>
  </r>
  <r>
    <s v="Startup_1127"/>
    <x v="0"/>
    <n v="0"/>
    <n v="9088990"/>
    <n v="1"/>
    <n v="17"/>
    <n v="469"/>
    <n v="87951997"/>
    <n v="404957"/>
    <s v="Medium"/>
    <s v="B2B"/>
    <n v="6"/>
    <n v="18.600000000000001"/>
    <n v="492898"/>
    <n v="1"/>
  </r>
  <r>
    <s v="Startup_1128"/>
    <x v="4"/>
    <n v="10"/>
    <n v="4053712"/>
    <n v="3"/>
    <n v="17"/>
    <n v="705"/>
    <n v="20831218"/>
    <n v="40392"/>
    <s v="Large"/>
    <s v="B2C"/>
    <n v="2"/>
    <n v="27.93"/>
    <n v="153256"/>
    <n v="1"/>
  </r>
  <r>
    <s v="Startup_1129"/>
    <x v="5"/>
    <n v="14"/>
    <n v="30840622"/>
    <n v="1"/>
    <n v="9"/>
    <n v="112"/>
    <n v="41294483"/>
    <n v="566239"/>
    <s v="Medium"/>
    <s v="B2B"/>
    <n v="3"/>
    <n v="65.709999999999994"/>
    <n v="894440"/>
    <n v="1"/>
  </r>
  <r>
    <s v="Startup_1130"/>
    <x v="4"/>
    <n v="11"/>
    <n v="17705770"/>
    <n v="2"/>
    <n v="23"/>
    <n v="308"/>
    <n v="28483372"/>
    <n v="304908"/>
    <s v="Large"/>
    <s v="Hybrid"/>
    <n v="7"/>
    <n v="99.77"/>
    <n v="627477"/>
    <n v="1"/>
  </r>
  <r>
    <s v="Startup_1131"/>
    <x v="0"/>
    <n v="14"/>
    <n v="3129317"/>
    <n v="4"/>
    <n v="22"/>
    <n v="444"/>
    <n v="97694409"/>
    <n v="55624"/>
    <s v="Medium"/>
    <s v="B2C"/>
    <n v="7"/>
    <n v="46.06"/>
    <n v="431354"/>
    <n v="1"/>
  </r>
  <r>
    <s v="Startup_1132"/>
    <x v="1"/>
    <n v="8"/>
    <n v="18776087"/>
    <n v="1"/>
    <n v="19"/>
    <n v="155"/>
    <n v="93292282"/>
    <n v="163227"/>
    <s v="Small"/>
    <s v="B2C"/>
    <n v="2"/>
    <n v="44.92"/>
    <n v="112068"/>
    <n v="1"/>
  </r>
  <r>
    <s v="Startup_1133"/>
    <x v="1"/>
    <n v="9"/>
    <n v="21324963"/>
    <n v="3"/>
    <n v="23"/>
    <n v="27"/>
    <n v="35970794"/>
    <n v="214493"/>
    <s v="Small"/>
    <s v="B2B"/>
    <n v="2"/>
    <n v="37.26"/>
    <n v="445345"/>
    <n v="1"/>
  </r>
  <r>
    <s v="Startup_1134"/>
    <x v="1"/>
    <n v="9"/>
    <n v="1382316"/>
    <n v="2"/>
    <n v="15"/>
    <n v="907"/>
    <n v="18061564"/>
    <n v="740795"/>
    <s v="Large"/>
    <s v="Hybrid"/>
    <n v="8"/>
    <n v="45.35"/>
    <n v="325984"/>
    <n v="1"/>
  </r>
  <r>
    <s v="Startup_1135"/>
    <x v="5"/>
    <n v="3"/>
    <n v="13980078"/>
    <n v="4"/>
    <n v="15"/>
    <n v="59"/>
    <n v="70397224"/>
    <n v="365347"/>
    <s v="Small"/>
    <s v="B2C"/>
    <n v="9"/>
    <n v="70.3"/>
    <n v="383625"/>
    <n v="1"/>
  </r>
  <r>
    <s v="Startup_1136"/>
    <x v="4"/>
    <n v="10"/>
    <n v="3470512"/>
    <n v="4"/>
    <n v="4"/>
    <n v="637"/>
    <n v="47079312"/>
    <n v="485768"/>
    <s v="Small"/>
    <s v="Hybrid"/>
    <n v="1"/>
    <n v="6.95"/>
    <n v="872518"/>
    <n v="1"/>
  </r>
  <r>
    <s v="Startup_1137"/>
    <x v="0"/>
    <n v="6"/>
    <n v="8580971"/>
    <n v="3"/>
    <n v="16"/>
    <n v="474"/>
    <n v="91793249"/>
    <n v="895166"/>
    <s v="Medium"/>
    <s v="Hybrid"/>
    <n v="5"/>
    <n v="75.400000000000006"/>
    <n v="40097"/>
    <n v="1"/>
  </r>
  <r>
    <s v="Startup_1138"/>
    <x v="2"/>
    <n v="7"/>
    <n v="46268318"/>
    <n v="1"/>
    <n v="10"/>
    <n v="289"/>
    <n v="46572342"/>
    <n v="431962"/>
    <s v="Medium"/>
    <s v="Hybrid"/>
    <n v="9"/>
    <n v="91.69"/>
    <n v="348809"/>
    <n v="1"/>
  </r>
  <r>
    <s v="Startup_1139"/>
    <x v="4"/>
    <n v="0"/>
    <n v="45871632"/>
    <n v="1"/>
    <n v="17"/>
    <n v="478"/>
    <n v="3166800"/>
    <n v="609128"/>
    <s v="Large"/>
    <s v="B2B"/>
    <n v="6"/>
    <n v="77.099999999999994"/>
    <n v="943278"/>
    <n v="1"/>
  </r>
  <r>
    <s v="Startup_1140"/>
    <x v="5"/>
    <n v="11"/>
    <n v="5079222"/>
    <n v="1"/>
    <n v="19"/>
    <n v="305"/>
    <n v="70209324"/>
    <n v="787575"/>
    <s v="Medium"/>
    <s v="B2C"/>
    <n v="3"/>
    <n v="28.78"/>
    <n v="745054"/>
    <n v="1"/>
  </r>
  <r>
    <s v="Startup_1141"/>
    <x v="5"/>
    <n v="10"/>
    <n v="25013409"/>
    <n v="1"/>
    <n v="20"/>
    <n v="641"/>
    <n v="21555795"/>
    <n v="524284"/>
    <s v="Small"/>
    <s v="B2B"/>
    <n v="5"/>
    <n v="64.790000000000006"/>
    <n v="565676"/>
    <n v="1"/>
  </r>
  <r>
    <s v="Startup_1142"/>
    <x v="5"/>
    <n v="3"/>
    <n v="31596631"/>
    <n v="1"/>
    <n v="20"/>
    <n v="991"/>
    <n v="47040564"/>
    <n v="234122"/>
    <s v="Small"/>
    <s v="B2C"/>
    <n v="3"/>
    <n v="6.83"/>
    <n v="307559"/>
    <n v="1"/>
  </r>
  <r>
    <s v="Startup_1143"/>
    <x v="0"/>
    <n v="10"/>
    <n v="36045864"/>
    <n v="1"/>
    <n v="28"/>
    <n v="396"/>
    <n v="59715630"/>
    <n v="906209"/>
    <s v="Small"/>
    <s v="Hybrid"/>
    <n v="6"/>
    <n v="15.55"/>
    <n v="430728"/>
    <n v="1"/>
  </r>
  <r>
    <s v="Startup_1144"/>
    <x v="3"/>
    <n v="0"/>
    <n v="36644687"/>
    <n v="3"/>
    <n v="19"/>
    <n v="493"/>
    <n v="28642063"/>
    <n v="262441"/>
    <s v="Medium"/>
    <s v="Hybrid"/>
    <n v="6"/>
    <n v="78.349999999999994"/>
    <n v="700659"/>
    <n v="1"/>
  </r>
  <r>
    <s v="Startup_1145"/>
    <x v="4"/>
    <n v="10"/>
    <n v="45236878"/>
    <n v="2"/>
    <n v="5"/>
    <n v="703"/>
    <n v="30677114"/>
    <n v="813239"/>
    <s v="Small"/>
    <s v="Hybrid"/>
    <n v="2"/>
    <n v="21.23"/>
    <n v="174103"/>
    <n v="1"/>
  </r>
  <r>
    <s v="Startup_1146"/>
    <x v="1"/>
    <n v="14"/>
    <n v="41233640"/>
    <n v="4"/>
    <n v="19"/>
    <n v="709"/>
    <n v="73601252"/>
    <n v="969649"/>
    <s v="Large"/>
    <s v="B2B"/>
    <n v="7"/>
    <n v="47.52"/>
    <n v="475690"/>
    <n v="1"/>
  </r>
  <r>
    <s v="Startup_1147"/>
    <x v="5"/>
    <n v="0"/>
    <n v="7980136"/>
    <n v="2"/>
    <n v="19"/>
    <n v="88"/>
    <n v="24509344"/>
    <n v="800303"/>
    <s v="Small"/>
    <s v="Hybrid"/>
    <n v="4"/>
    <n v="20.27"/>
    <n v="403550"/>
    <n v="1"/>
  </r>
  <r>
    <s v="Startup_1148"/>
    <x v="2"/>
    <n v="9"/>
    <n v="14027211"/>
    <n v="3"/>
    <n v="8"/>
    <n v="564"/>
    <n v="14117444"/>
    <n v="10393"/>
    <s v="Large"/>
    <s v="B2B"/>
    <n v="3"/>
    <n v="10.26"/>
    <n v="264111"/>
    <n v="1"/>
  </r>
  <r>
    <s v="Startup_1149"/>
    <x v="0"/>
    <n v="8"/>
    <n v="39473849"/>
    <n v="3"/>
    <n v="20"/>
    <n v="160"/>
    <n v="60349682"/>
    <n v="860223"/>
    <s v="Small"/>
    <s v="B2C"/>
    <n v="8"/>
    <n v="28.83"/>
    <n v="266907"/>
    <n v="1"/>
  </r>
  <r>
    <s v="Startup_1150"/>
    <x v="5"/>
    <n v="5"/>
    <n v="36089363"/>
    <n v="1"/>
    <n v="20"/>
    <n v="20"/>
    <n v="1837402"/>
    <n v="163832"/>
    <s v="Large"/>
    <s v="B2C"/>
    <n v="7"/>
    <n v="93.35"/>
    <n v="756566"/>
    <n v="1"/>
  </r>
  <r>
    <s v="Startup_1151"/>
    <x v="0"/>
    <n v="0"/>
    <n v="19515952"/>
    <n v="2"/>
    <n v="10"/>
    <n v="243"/>
    <n v="95231502"/>
    <n v="781270"/>
    <s v="Small"/>
    <s v="Hybrid"/>
    <n v="1"/>
    <n v="39.130000000000003"/>
    <n v="139360"/>
    <n v="1"/>
  </r>
  <r>
    <s v="Startup_1152"/>
    <x v="0"/>
    <n v="2"/>
    <n v="44712881"/>
    <n v="1"/>
    <n v="5"/>
    <n v="729"/>
    <n v="4325425"/>
    <n v="839424"/>
    <s v="Large"/>
    <s v="B2C"/>
    <n v="6"/>
    <n v="41.62"/>
    <n v="858807"/>
    <n v="1"/>
  </r>
  <r>
    <s v="Startup_1153"/>
    <x v="1"/>
    <n v="13"/>
    <n v="22711221"/>
    <n v="1"/>
    <n v="14"/>
    <n v="931"/>
    <n v="72933510"/>
    <n v="325629"/>
    <s v="Medium"/>
    <s v="B2C"/>
    <n v="1"/>
    <n v="98.04"/>
    <n v="51778"/>
    <n v="1"/>
  </r>
  <r>
    <s v="Startup_1154"/>
    <x v="1"/>
    <n v="12"/>
    <n v="41976002"/>
    <n v="1"/>
    <n v="29"/>
    <n v="346"/>
    <n v="91919663"/>
    <n v="441501"/>
    <s v="Medium"/>
    <s v="Hybrid"/>
    <n v="2"/>
    <n v="76.22"/>
    <n v="508276"/>
    <n v="1"/>
  </r>
  <r>
    <s v="Startup_1155"/>
    <x v="6"/>
    <n v="3"/>
    <n v="46178679"/>
    <n v="4"/>
    <n v="1"/>
    <n v="444"/>
    <n v="96567110"/>
    <n v="724618"/>
    <s v="Small"/>
    <s v="B2B"/>
    <n v="8"/>
    <n v="53.61"/>
    <n v="377342"/>
    <n v="1"/>
  </r>
  <r>
    <s v="Startup_1156"/>
    <x v="6"/>
    <n v="11"/>
    <n v="45574347"/>
    <n v="1"/>
    <n v="3"/>
    <n v="840"/>
    <n v="85831873"/>
    <n v="679258"/>
    <s v="Small"/>
    <s v="B2B"/>
    <n v="3"/>
    <n v="34.450000000000003"/>
    <n v="68222"/>
    <n v="1"/>
  </r>
  <r>
    <s v="Startup_1157"/>
    <x v="0"/>
    <n v="8"/>
    <n v="15432253"/>
    <n v="3"/>
    <n v="26"/>
    <n v="545"/>
    <n v="74668472"/>
    <n v="847229"/>
    <s v="Small"/>
    <s v="B2C"/>
    <n v="6"/>
    <n v="66.930000000000007"/>
    <n v="160533"/>
    <n v="1"/>
  </r>
  <r>
    <s v="Startup_1158"/>
    <x v="5"/>
    <n v="12"/>
    <n v="5611034"/>
    <n v="1"/>
    <n v="26"/>
    <n v="594"/>
    <n v="80743040"/>
    <n v="899758"/>
    <s v="Medium"/>
    <s v="B2B"/>
    <n v="8"/>
    <n v="17.510000000000002"/>
    <n v="209691"/>
    <n v="1"/>
  </r>
  <r>
    <s v="Startup_1159"/>
    <x v="3"/>
    <n v="14"/>
    <n v="9279780"/>
    <n v="1"/>
    <n v="10"/>
    <n v="242"/>
    <n v="3182667"/>
    <n v="244023"/>
    <s v="Small"/>
    <s v="Hybrid"/>
    <n v="1"/>
    <n v="34.06"/>
    <n v="961007"/>
    <n v="1"/>
  </r>
  <r>
    <s v="Startup_1160"/>
    <x v="6"/>
    <n v="6"/>
    <n v="32676901"/>
    <n v="3"/>
    <n v="21"/>
    <n v="688"/>
    <n v="71441573"/>
    <n v="92869"/>
    <s v="Small"/>
    <s v="B2B"/>
    <n v="8"/>
    <n v="44.7"/>
    <n v="706994"/>
    <n v="1"/>
  </r>
  <r>
    <s v="Startup_1161"/>
    <x v="3"/>
    <n v="12"/>
    <n v="14169682"/>
    <n v="3"/>
    <n v="17"/>
    <n v="806"/>
    <n v="88545449"/>
    <n v="349331"/>
    <s v="Large"/>
    <s v="Hybrid"/>
    <n v="3"/>
    <n v="79.11"/>
    <n v="183940"/>
    <n v="1"/>
  </r>
  <r>
    <s v="Startup_1162"/>
    <x v="5"/>
    <n v="7"/>
    <n v="32528973"/>
    <n v="1"/>
    <n v="3"/>
    <n v="523"/>
    <n v="75187198"/>
    <n v="772607"/>
    <s v="Small"/>
    <s v="B2B"/>
    <n v="6"/>
    <n v="27.66"/>
    <n v="60778"/>
    <n v="1"/>
  </r>
  <r>
    <s v="Startup_1163"/>
    <x v="3"/>
    <n v="5"/>
    <n v="22640772"/>
    <n v="1"/>
    <n v="12"/>
    <n v="698"/>
    <n v="37232773"/>
    <n v="299958"/>
    <s v="Medium"/>
    <s v="B2C"/>
    <n v="1"/>
    <n v="41.06"/>
    <n v="768951"/>
    <n v="1"/>
  </r>
  <r>
    <s v="Startup_1164"/>
    <x v="5"/>
    <n v="7"/>
    <n v="22456726"/>
    <n v="3"/>
    <n v="16"/>
    <n v="359"/>
    <n v="30124100"/>
    <n v="152115"/>
    <s v="Large"/>
    <s v="Hybrid"/>
    <n v="4"/>
    <n v="75.849999999999994"/>
    <n v="489688"/>
    <n v="1"/>
  </r>
  <r>
    <s v="Startup_1165"/>
    <x v="6"/>
    <n v="8"/>
    <n v="14580684"/>
    <n v="2"/>
    <n v="23"/>
    <n v="53"/>
    <n v="68539546"/>
    <n v="850280"/>
    <s v="Medium"/>
    <s v="B2B"/>
    <n v="3"/>
    <n v="52.55"/>
    <n v="961440"/>
    <n v="1"/>
  </r>
  <r>
    <s v="Startup_1166"/>
    <x v="6"/>
    <n v="7"/>
    <n v="30879896"/>
    <n v="4"/>
    <n v="16"/>
    <n v="336"/>
    <n v="11519460"/>
    <n v="951014"/>
    <s v="Large"/>
    <s v="B2B"/>
    <n v="9"/>
    <n v="34.94"/>
    <n v="757434"/>
    <n v="1"/>
  </r>
  <r>
    <s v="Startup_1167"/>
    <x v="5"/>
    <n v="9"/>
    <n v="29041503"/>
    <n v="3"/>
    <n v="7"/>
    <n v="715"/>
    <n v="9255341"/>
    <n v="931340"/>
    <s v="Small"/>
    <s v="B2C"/>
    <n v="3"/>
    <n v="62.52"/>
    <n v="109672"/>
    <n v="1"/>
  </r>
  <r>
    <s v="Startup_1168"/>
    <x v="4"/>
    <n v="0"/>
    <n v="41167562"/>
    <n v="2"/>
    <n v="16"/>
    <n v="31"/>
    <n v="35823019"/>
    <n v="559441"/>
    <s v="Large"/>
    <s v="B2B"/>
    <n v="5"/>
    <n v="91.82"/>
    <n v="49483"/>
    <n v="1"/>
  </r>
  <r>
    <s v="Startup_1169"/>
    <x v="5"/>
    <n v="7"/>
    <n v="12920782"/>
    <n v="1"/>
    <n v="22"/>
    <n v="338"/>
    <n v="79440248"/>
    <n v="516459"/>
    <s v="Small"/>
    <s v="B2C"/>
    <n v="4"/>
    <n v="98.5"/>
    <n v="986704"/>
    <n v="1"/>
  </r>
  <r>
    <s v="Startup_1170"/>
    <x v="4"/>
    <n v="2"/>
    <n v="8606517"/>
    <n v="3"/>
    <n v="23"/>
    <n v="223"/>
    <n v="93093367"/>
    <n v="332103"/>
    <s v="Small"/>
    <s v="Hybrid"/>
    <n v="8"/>
    <n v="16.04"/>
    <n v="12238"/>
    <n v="1"/>
  </r>
  <r>
    <s v="Startup_1171"/>
    <x v="5"/>
    <n v="1"/>
    <n v="13527033"/>
    <n v="2"/>
    <n v="4"/>
    <n v="652"/>
    <n v="8709475"/>
    <n v="88027"/>
    <s v="Large"/>
    <s v="B2C"/>
    <n v="9"/>
    <n v="78.13"/>
    <n v="391364"/>
    <n v="1"/>
  </r>
  <r>
    <s v="Startup_1172"/>
    <x v="0"/>
    <n v="6"/>
    <n v="11455227"/>
    <n v="3"/>
    <n v="17"/>
    <n v="274"/>
    <n v="20935350"/>
    <n v="866153"/>
    <s v="Small"/>
    <s v="B2B"/>
    <n v="4"/>
    <n v="96.74"/>
    <n v="327716"/>
    <n v="1"/>
  </r>
  <r>
    <s v="Startup_1173"/>
    <x v="6"/>
    <n v="8"/>
    <n v="24661300"/>
    <n v="3"/>
    <n v="25"/>
    <n v="547"/>
    <n v="65349777"/>
    <n v="967108"/>
    <s v="Large"/>
    <s v="B2B"/>
    <n v="5"/>
    <n v="99.84"/>
    <n v="158545"/>
    <n v="1"/>
  </r>
  <r>
    <s v="Startup_1174"/>
    <x v="2"/>
    <n v="6"/>
    <n v="38891840"/>
    <n v="2"/>
    <n v="13"/>
    <n v="820"/>
    <n v="93114925"/>
    <n v="669337"/>
    <s v="Medium"/>
    <s v="B2B"/>
    <n v="1"/>
    <n v="71.650000000000006"/>
    <n v="590024"/>
    <n v="1"/>
  </r>
  <r>
    <s v="Startup_1175"/>
    <x v="5"/>
    <n v="4"/>
    <n v="8577931"/>
    <n v="1"/>
    <n v="3"/>
    <n v="777"/>
    <n v="83374575"/>
    <n v="914546"/>
    <s v="Large"/>
    <s v="B2C"/>
    <n v="2"/>
    <n v="43.58"/>
    <n v="873907"/>
    <n v="1"/>
  </r>
  <r>
    <s v="Startup_1176"/>
    <x v="0"/>
    <n v="2"/>
    <n v="11071785"/>
    <n v="2"/>
    <n v="29"/>
    <n v="186"/>
    <n v="14228280"/>
    <n v="994598"/>
    <s v="Small"/>
    <s v="Hybrid"/>
    <n v="9"/>
    <n v="29.69"/>
    <n v="183009"/>
    <n v="1"/>
  </r>
  <r>
    <s v="Startup_1177"/>
    <x v="5"/>
    <n v="6"/>
    <n v="39487876"/>
    <n v="3"/>
    <n v="18"/>
    <n v="42"/>
    <n v="5366552"/>
    <n v="373155"/>
    <s v="Large"/>
    <s v="B2B"/>
    <n v="5"/>
    <n v="23.97"/>
    <n v="654802"/>
    <n v="1"/>
  </r>
  <r>
    <s v="Startup_1178"/>
    <x v="6"/>
    <n v="10"/>
    <n v="38456120"/>
    <n v="3"/>
    <n v="18"/>
    <n v="207"/>
    <n v="59541234"/>
    <n v="512794"/>
    <s v="Large"/>
    <s v="B2C"/>
    <n v="7"/>
    <n v="27.99"/>
    <n v="202978"/>
    <n v="1"/>
  </r>
  <r>
    <s v="Startup_1179"/>
    <x v="6"/>
    <n v="13"/>
    <n v="46659687"/>
    <n v="2"/>
    <n v="6"/>
    <n v="854"/>
    <n v="78880504"/>
    <n v="502648"/>
    <s v="Large"/>
    <s v="Hybrid"/>
    <n v="7"/>
    <n v="0.81"/>
    <n v="845864"/>
    <n v="1"/>
  </r>
  <r>
    <s v="Startup_1180"/>
    <x v="1"/>
    <n v="12"/>
    <n v="48603210"/>
    <n v="3"/>
    <n v="19"/>
    <n v="615"/>
    <n v="47017976"/>
    <n v="746591"/>
    <s v="Large"/>
    <s v="B2B"/>
    <n v="3"/>
    <n v="60.72"/>
    <n v="327965"/>
    <n v="1"/>
  </r>
  <r>
    <s v="Startup_1181"/>
    <x v="5"/>
    <n v="12"/>
    <n v="36660644"/>
    <n v="2"/>
    <n v="18"/>
    <n v="582"/>
    <n v="91357911"/>
    <n v="214503"/>
    <s v="Small"/>
    <s v="B2B"/>
    <n v="9"/>
    <n v="40.090000000000003"/>
    <n v="652002"/>
    <n v="1"/>
  </r>
  <r>
    <s v="Startup_1182"/>
    <x v="6"/>
    <n v="7"/>
    <n v="27660712"/>
    <n v="1"/>
    <n v="20"/>
    <n v="965"/>
    <n v="84682619"/>
    <n v="249644"/>
    <s v="Large"/>
    <s v="B2C"/>
    <n v="7"/>
    <n v="72.150000000000006"/>
    <n v="703005"/>
    <n v="1"/>
  </r>
  <r>
    <s v="Startup_1183"/>
    <x v="5"/>
    <n v="1"/>
    <n v="49003208"/>
    <n v="3"/>
    <n v="20"/>
    <n v="294"/>
    <n v="72776532"/>
    <n v="581684"/>
    <s v="Large"/>
    <s v="B2C"/>
    <n v="8"/>
    <n v="30.29"/>
    <n v="371367"/>
    <n v="1"/>
  </r>
  <r>
    <s v="Startup_1184"/>
    <x v="5"/>
    <n v="5"/>
    <n v="46900712"/>
    <n v="3"/>
    <n v="1"/>
    <n v="583"/>
    <n v="9258234"/>
    <n v="124465"/>
    <s v="Small"/>
    <s v="B2B"/>
    <n v="1"/>
    <n v="38.950000000000003"/>
    <n v="90748"/>
    <n v="1"/>
  </r>
  <r>
    <s v="Startup_1185"/>
    <x v="5"/>
    <n v="7"/>
    <n v="47817737"/>
    <n v="3"/>
    <n v="8"/>
    <n v="701"/>
    <n v="19166284"/>
    <n v="823160"/>
    <s v="Small"/>
    <s v="B2B"/>
    <n v="5"/>
    <n v="86.79"/>
    <n v="882789"/>
    <n v="1"/>
  </r>
  <r>
    <s v="Startup_1186"/>
    <x v="0"/>
    <n v="3"/>
    <n v="17508712"/>
    <n v="4"/>
    <n v="14"/>
    <n v="377"/>
    <n v="90491195"/>
    <n v="355219"/>
    <s v="Medium"/>
    <s v="B2C"/>
    <n v="7"/>
    <n v="44.6"/>
    <n v="657951"/>
    <n v="1"/>
  </r>
  <r>
    <s v="Startup_1187"/>
    <x v="4"/>
    <n v="1"/>
    <n v="26350979"/>
    <n v="1"/>
    <n v="25"/>
    <n v="127"/>
    <n v="45517323"/>
    <n v="60394"/>
    <s v="Small"/>
    <s v="B2C"/>
    <n v="6"/>
    <n v="81.510000000000005"/>
    <n v="334099"/>
    <n v="1"/>
  </r>
  <r>
    <s v="Startup_1188"/>
    <x v="1"/>
    <n v="8"/>
    <n v="6989946"/>
    <n v="4"/>
    <n v="3"/>
    <n v="546"/>
    <n v="87682"/>
    <n v="532325"/>
    <s v="Large"/>
    <s v="B2C"/>
    <n v="2"/>
    <n v="44.69"/>
    <n v="929516"/>
    <n v="1"/>
  </r>
  <r>
    <s v="Startup_1189"/>
    <x v="4"/>
    <n v="9"/>
    <n v="30497004"/>
    <n v="2"/>
    <n v="16"/>
    <n v="662"/>
    <n v="29030919"/>
    <n v="142637"/>
    <s v="Medium"/>
    <s v="Hybrid"/>
    <n v="7"/>
    <n v="48.2"/>
    <n v="890777"/>
    <n v="1"/>
  </r>
  <r>
    <s v="Startup_1190"/>
    <x v="4"/>
    <n v="5"/>
    <n v="7415712"/>
    <n v="1"/>
    <n v="7"/>
    <n v="902"/>
    <n v="15202658"/>
    <n v="661068"/>
    <s v="Large"/>
    <s v="B2C"/>
    <n v="5"/>
    <n v="92.4"/>
    <n v="479014"/>
    <n v="1"/>
  </r>
  <r>
    <s v="Startup_1191"/>
    <x v="2"/>
    <n v="13"/>
    <n v="28884397"/>
    <n v="1"/>
    <n v="21"/>
    <n v="837"/>
    <n v="79884915"/>
    <n v="177562"/>
    <s v="Large"/>
    <s v="B2B"/>
    <n v="2"/>
    <n v="66.06"/>
    <n v="590803"/>
    <n v="1"/>
  </r>
  <r>
    <s v="Startup_1192"/>
    <x v="2"/>
    <n v="14"/>
    <n v="9064237"/>
    <n v="2"/>
    <n v="14"/>
    <n v="293"/>
    <n v="47136961"/>
    <n v="491563"/>
    <s v="Medium"/>
    <s v="B2B"/>
    <n v="8"/>
    <n v="47.6"/>
    <n v="229854"/>
    <n v="1"/>
  </r>
  <r>
    <s v="Startup_1193"/>
    <x v="4"/>
    <n v="7"/>
    <n v="6960719"/>
    <n v="2"/>
    <n v="2"/>
    <n v="369"/>
    <n v="78489595"/>
    <n v="883253"/>
    <s v="Medium"/>
    <s v="B2B"/>
    <n v="6"/>
    <n v="32.14"/>
    <n v="826897"/>
    <n v="1"/>
  </r>
  <r>
    <s v="Startup_1194"/>
    <x v="5"/>
    <n v="7"/>
    <n v="878210"/>
    <n v="1"/>
    <n v="18"/>
    <n v="592"/>
    <n v="78227884"/>
    <n v="689570"/>
    <s v="Medium"/>
    <s v="Hybrid"/>
    <n v="1"/>
    <n v="76.290000000000006"/>
    <n v="902779"/>
    <n v="1"/>
  </r>
  <r>
    <s v="Startup_1195"/>
    <x v="1"/>
    <n v="12"/>
    <n v="23424842"/>
    <n v="4"/>
    <n v="8"/>
    <n v="967"/>
    <n v="33373060"/>
    <n v="953655"/>
    <s v="Large"/>
    <s v="B2B"/>
    <n v="4"/>
    <n v="11.94"/>
    <n v="86585"/>
    <n v="1"/>
  </r>
  <r>
    <s v="Startup_1196"/>
    <x v="1"/>
    <n v="8"/>
    <n v="8940910"/>
    <n v="3"/>
    <n v="20"/>
    <n v="680"/>
    <n v="48318704"/>
    <n v="120593"/>
    <s v="Medium"/>
    <s v="B2B"/>
    <n v="9"/>
    <n v="67.849999999999994"/>
    <n v="617322"/>
    <n v="1"/>
  </r>
  <r>
    <s v="Startup_1197"/>
    <x v="5"/>
    <n v="14"/>
    <n v="36558210"/>
    <n v="4"/>
    <n v="26"/>
    <n v="536"/>
    <n v="90345557"/>
    <n v="788321"/>
    <s v="Medium"/>
    <s v="B2B"/>
    <n v="2"/>
    <n v="52.45"/>
    <n v="934888"/>
    <n v="1"/>
  </r>
  <r>
    <s v="Startup_1198"/>
    <x v="2"/>
    <n v="0"/>
    <n v="26641918"/>
    <n v="2"/>
    <n v="22"/>
    <n v="418"/>
    <n v="64576172"/>
    <n v="512567"/>
    <s v="Medium"/>
    <s v="B2C"/>
    <n v="4"/>
    <n v="97.74"/>
    <n v="888959"/>
    <n v="1"/>
  </r>
  <r>
    <s v="Startup_1199"/>
    <x v="6"/>
    <n v="7"/>
    <n v="17632190"/>
    <n v="3"/>
    <n v="11"/>
    <n v="181"/>
    <n v="94825045"/>
    <n v="416846"/>
    <s v="Large"/>
    <s v="Hybrid"/>
    <n v="1"/>
    <n v="87.82"/>
    <n v="291157"/>
    <n v="1"/>
  </r>
  <r>
    <s v="Startup_1200"/>
    <x v="2"/>
    <n v="14"/>
    <n v="27878803"/>
    <n v="2"/>
    <n v="27"/>
    <n v="11"/>
    <n v="79312474"/>
    <n v="965239"/>
    <s v="Medium"/>
    <s v="B2B"/>
    <n v="4"/>
    <n v="41.03"/>
    <n v="610652"/>
    <n v="1"/>
  </r>
  <r>
    <s v="Startup_1201"/>
    <x v="6"/>
    <n v="2"/>
    <n v="36265956"/>
    <n v="3"/>
    <n v="12"/>
    <n v="446"/>
    <n v="79111018"/>
    <n v="8030"/>
    <s v="Medium"/>
    <s v="Hybrid"/>
    <n v="3"/>
    <n v="55.12"/>
    <n v="603732"/>
    <n v="1"/>
  </r>
  <r>
    <s v="Startup_1202"/>
    <x v="3"/>
    <n v="13"/>
    <n v="39252946"/>
    <n v="1"/>
    <n v="2"/>
    <n v="655"/>
    <n v="12186758"/>
    <n v="296359"/>
    <s v="Large"/>
    <s v="Hybrid"/>
    <n v="9"/>
    <n v="76.47"/>
    <n v="275679"/>
    <n v="1"/>
  </r>
  <r>
    <s v="Startup_1203"/>
    <x v="0"/>
    <n v="1"/>
    <n v="32423284"/>
    <n v="1"/>
    <n v="13"/>
    <n v="190"/>
    <n v="64145822"/>
    <n v="645002"/>
    <s v="Large"/>
    <s v="B2C"/>
    <n v="3"/>
    <n v="6.26"/>
    <n v="758773"/>
    <n v="1"/>
  </r>
  <r>
    <s v="Startup_1204"/>
    <x v="5"/>
    <n v="1"/>
    <n v="39305327"/>
    <n v="4"/>
    <n v="16"/>
    <n v="139"/>
    <n v="89489722"/>
    <n v="123959"/>
    <s v="Small"/>
    <s v="B2C"/>
    <n v="7"/>
    <n v="61.13"/>
    <n v="194131"/>
    <n v="1"/>
  </r>
  <r>
    <s v="Startup_1205"/>
    <x v="3"/>
    <n v="8"/>
    <n v="16056063"/>
    <n v="2"/>
    <n v="25"/>
    <n v="509"/>
    <n v="78426929"/>
    <n v="211333"/>
    <s v="Large"/>
    <s v="Hybrid"/>
    <n v="5"/>
    <n v="71.87"/>
    <n v="994304"/>
    <n v="1"/>
  </r>
  <r>
    <s v="Startup_1206"/>
    <x v="6"/>
    <n v="3"/>
    <n v="21480932"/>
    <n v="2"/>
    <n v="12"/>
    <n v="325"/>
    <n v="59987694"/>
    <n v="893223"/>
    <s v="Medium"/>
    <s v="B2B"/>
    <n v="8"/>
    <n v="35.19"/>
    <n v="970661"/>
    <n v="1"/>
  </r>
  <r>
    <s v="Startup_1207"/>
    <x v="0"/>
    <n v="10"/>
    <n v="1927202"/>
    <n v="3"/>
    <n v="29"/>
    <n v="123"/>
    <n v="27427367"/>
    <n v="378755"/>
    <s v="Small"/>
    <s v="Hybrid"/>
    <n v="6"/>
    <n v="39.549999999999997"/>
    <n v="530073"/>
    <n v="1"/>
  </r>
  <r>
    <s v="Startup_1208"/>
    <x v="1"/>
    <n v="2"/>
    <n v="2078504"/>
    <n v="1"/>
    <n v="8"/>
    <n v="912"/>
    <n v="68685272"/>
    <n v="815107"/>
    <s v="Small"/>
    <s v="B2B"/>
    <n v="1"/>
    <n v="39.380000000000003"/>
    <n v="449679"/>
    <n v="1"/>
  </r>
  <r>
    <s v="Startup_1209"/>
    <x v="0"/>
    <n v="6"/>
    <n v="5010417"/>
    <n v="2"/>
    <n v="27"/>
    <n v="730"/>
    <n v="79730780"/>
    <n v="467246"/>
    <s v="Large"/>
    <s v="B2B"/>
    <n v="9"/>
    <n v="79.17"/>
    <n v="786136"/>
    <n v="1"/>
  </r>
  <r>
    <s v="Startup_1210"/>
    <x v="6"/>
    <n v="12"/>
    <n v="17914830"/>
    <n v="3"/>
    <n v="11"/>
    <n v="910"/>
    <n v="49510778"/>
    <n v="125077"/>
    <s v="Large"/>
    <s v="B2B"/>
    <n v="9"/>
    <n v="91.75"/>
    <n v="393432"/>
    <n v="1"/>
  </r>
  <r>
    <s v="Startup_1211"/>
    <x v="3"/>
    <n v="13"/>
    <n v="22187397"/>
    <n v="1"/>
    <n v="14"/>
    <n v="894"/>
    <n v="66519381"/>
    <n v="66481"/>
    <s v="Small"/>
    <s v="B2C"/>
    <n v="6"/>
    <n v="80.12"/>
    <n v="824782"/>
    <n v="1"/>
  </r>
  <r>
    <s v="Startup_1212"/>
    <x v="3"/>
    <n v="6"/>
    <n v="11333472"/>
    <n v="2"/>
    <n v="7"/>
    <n v="645"/>
    <n v="56960478"/>
    <n v="151045"/>
    <s v="Small"/>
    <s v="B2B"/>
    <n v="7"/>
    <n v="28.87"/>
    <n v="960791"/>
    <n v="1"/>
  </r>
  <r>
    <s v="Startup_1213"/>
    <x v="5"/>
    <n v="9"/>
    <n v="34233143"/>
    <n v="2"/>
    <n v="2"/>
    <n v="479"/>
    <n v="68367811"/>
    <n v="348147"/>
    <s v="Large"/>
    <s v="B2B"/>
    <n v="7"/>
    <n v="7.2"/>
    <n v="470827"/>
    <n v="1"/>
  </r>
  <r>
    <s v="Startup_1214"/>
    <x v="0"/>
    <n v="10"/>
    <n v="43049235"/>
    <n v="1"/>
    <n v="25"/>
    <n v="31"/>
    <n v="89706985"/>
    <n v="256722"/>
    <s v="Large"/>
    <s v="B2B"/>
    <n v="9"/>
    <n v="48.23"/>
    <n v="975424"/>
    <n v="1"/>
  </r>
  <r>
    <s v="Startup_1215"/>
    <x v="1"/>
    <n v="11"/>
    <n v="35972994"/>
    <n v="3"/>
    <n v="21"/>
    <n v="944"/>
    <n v="48158468"/>
    <n v="733254"/>
    <s v="Small"/>
    <s v="B2B"/>
    <n v="8"/>
    <n v="68.900000000000006"/>
    <n v="278599"/>
    <n v="1"/>
  </r>
  <r>
    <s v="Startup_1216"/>
    <x v="4"/>
    <n v="8"/>
    <n v="2238516"/>
    <n v="2"/>
    <n v="0"/>
    <n v="670"/>
    <n v="90959009"/>
    <n v="443441"/>
    <s v="Large"/>
    <s v="Hybrid"/>
    <n v="9"/>
    <n v="69.92"/>
    <n v="270326"/>
    <n v="1"/>
  </r>
  <r>
    <s v="Startup_1217"/>
    <x v="6"/>
    <n v="6"/>
    <n v="49746711"/>
    <n v="3"/>
    <n v="18"/>
    <n v="551"/>
    <n v="31127191"/>
    <n v="903740"/>
    <s v="Small"/>
    <s v="Hybrid"/>
    <n v="7"/>
    <n v="15.47"/>
    <n v="574955"/>
    <n v="1"/>
  </r>
  <r>
    <s v="Startup_1218"/>
    <x v="5"/>
    <n v="14"/>
    <n v="17860268"/>
    <n v="1"/>
    <n v="11"/>
    <n v="532"/>
    <n v="63986177"/>
    <n v="848075"/>
    <s v="Large"/>
    <s v="B2B"/>
    <n v="4"/>
    <n v="80.41"/>
    <n v="580280"/>
    <n v="1"/>
  </r>
  <r>
    <s v="Startup_1219"/>
    <x v="2"/>
    <n v="5"/>
    <n v="48189996"/>
    <n v="2"/>
    <n v="2"/>
    <n v="501"/>
    <n v="8875681"/>
    <n v="477025"/>
    <s v="Small"/>
    <s v="B2C"/>
    <n v="8"/>
    <n v="59.98"/>
    <n v="986066"/>
    <n v="1"/>
  </r>
  <r>
    <s v="Startup_1220"/>
    <x v="0"/>
    <n v="2"/>
    <n v="42810933"/>
    <n v="2"/>
    <n v="7"/>
    <n v="22"/>
    <n v="55827882"/>
    <n v="150583"/>
    <s v="Large"/>
    <s v="B2C"/>
    <n v="8"/>
    <n v="60.93"/>
    <n v="559387"/>
    <n v="1"/>
  </r>
  <r>
    <s v="Startup_1221"/>
    <x v="1"/>
    <n v="6"/>
    <n v="46442631"/>
    <n v="4"/>
    <n v="0"/>
    <n v="698"/>
    <n v="32683914"/>
    <n v="494748"/>
    <s v="Small"/>
    <s v="Hybrid"/>
    <n v="6"/>
    <n v="67.45"/>
    <n v="814845"/>
    <n v="1"/>
  </r>
  <r>
    <s v="Startup_1222"/>
    <x v="0"/>
    <n v="6"/>
    <n v="39737637"/>
    <n v="4"/>
    <n v="12"/>
    <n v="975"/>
    <n v="52887428"/>
    <n v="356573"/>
    <s v="Medium"/>
    <s v="B2C"/>
    <n v="9"/>
    <n v="55.3"/>
    <n v="265613"/>
    <n v="1"/>
  </r>
  <r>
    <s v="Startup_1223"/>
    <x v="5"/>
    <n v="7"/>
    <n v="31071368"/>
    <n v="4"/>
    <n v="17"/>
    <n v="868"/>
    <n v="85152727"/>
    <n v="237047"/>
    <s v="Large"/>
    <s v="B2B"/>
    <n v="8"/>
    <n v="21.09"/>
    <n v="159832"/>
    <n v="1"/>
  </r>
  <r>
    <s v="Startup_1224"/>
    <x v="6"/>
    <n v="3"/>
    <n v="34183583"/>
    <n v="3"/>
    <n v="16"/>
    <n v="231"/>
    <n v="19618949"/>
    <n v="500107"/>
    <s v="Small"/>
    <s v="Hybrid"/>
    <n v="1"/>
    <n v="38.03"/>
    <n v="922776"/>
    <n v="1"/>
  </r>
  <r>
    <s v="Startup_1225"/>
    <x v="5"/>
    <n v="9"/>
    <n v="10968196"/>
    <n v="3"/>
    <n v="20"/>
    <n v="75"/>
    <n v="51490080"/>
    <n v="977548"/>
    <s v="Medium"/>
    <s v="B2C"/>
    <n v="1"/>
    <n v="39.46"/>
    <n v="559621"/>
    <n v="1"/>
  </r>
  <r>
    <s v="Startup_1226"/>
    <x v="6"/>
    <n v="10"/>
    <n v="11921929"/>
    <n v="2"/>
    <n v="14"/>
    <n v="387"/>
    <n v="74527596"/>
    <n v="79873"/>
    <s v="Large"/>
    <s v="B2B"/>
    <n v="5"/>
    <n v="51.51"/>
    <n v="536886"/>
    <n v="1"/>
  </r>
  <r>
    <s v="Startup_1227"/>
    <x v="2"/>
    <n v="14"/>
    <n v="33021474"/>
    <n v="1"/>
    <n v="21"/>
    <n v="300"/>
    <n v="82031190"/>
    <n v="439741"/>
    <s v="Small"/>
    <s v="B2B"/>
    <n v="9"/>
    <n v="88.06"/>
    <n v="934392"/>
    <n v="1"/>
  </r>
  <r>
    <s v="Startup_1228"/>
    <x v="3"/>
    <n v="1"/>
    <n v="35694863"/>
    <n v="4"/>
    <n v="13"/>
    <n v="358"/>
    <n v="81290318"/>
    <n v="166088"/>
    <s v="Medium"/>
    <s v="B2C"/>
    <n v="4"/>
    <n v="88.23"/>
    <n v="687301"/>
    <n v="1"/>
  </r>
  <r>
    <s v="Startup_1229"/>
    <x v="6"/>
    <n v="5"/>
    <n v="48434778"/>
    <n v="2"/>
    <n v="16"/>
    <n v="28"/>
    <n v="20435678"/>
    <n v="938741"/>
    <s v="Small"/>
    <s v="B2B"/>
    <n v="2"/>
    <n v="84.24"/>
    <n v="294743"/>
    <n v="1"/>
  </r>
  <r>
    <s v="Startup_1230"/>
    <x v="1"/>
    <n v="1"/>
    <n v="23853643"/>
    <n v="1"/>
    <n v="24"/>
    <n v="311"/>
    <n v="19574796"/>
    <n v="558391"/>
    <s v="Large"/>
    <s v="Hybrid"/>
    <n v="3"/>
    <n v="4.45"/>
    <n v="581069"/>
    <n v="1"/>
  </r>
  <r>
    <s v="Startup_1231"/>
    <x v="3"/>
    <n v="4"/>
    <n v="11618822"/>
    <n v="4"/>
    <n v="2"/>
    <n v="440"/>
    <n v="90744690"/>
    <n v="730632"/>
    <s v="Small"/>
    <s v="B2C"/>
    <n v="1"/>
    <n v="76.849999999999994"/>
    <n v="625167"/>
    <n v="1"/>
  </r>
  <r>
    <s v="Startup_1232"/>
    <x v="5"/>
    <n v="4"/>
    <n v="33672731"/>
    <n v="1"/>
    <n v="19"/>
    <n v="787"/>
    <n v="94302104"/>
    <n v="524923"/>
    <s v="Large"/>
    <s v="B2C"/>
    <n v="8"/>
    <n v="95.41"/>
    <n v="184610"/>
    <n v="1"/>
  </r>
  <r>
    <s v="Startup_1233"/>
    <x v="0"/>
    <n v="5"/>
    <n v="2531086"/>
    <n v="3"/>
    <n v="25"/>
    <n v="239"/>
    <n v="83017516"/>
    <n v="787558"/>
    <s v="Medium"/>
    <s v="B2C"/>
    <n v="8"/>
    <n v="37.19"/>
    <n v="137151"/>
    <n v="1"/>
  </r>
  <r>
    <s v="Startup_1234"/>
    <x v="0"/>
    <n v="5"/>
    <n v="21736702"/>
    <n v="2"/>
    <n v="13"/>
    <n v="558"/>
    <n v="82098918"/>
    <n v="367105"/>
    <s v="Small"/>
    <s v="B2B"/>
    <n v="8"/>
    <n v="64.510000000000005"/>
    <n v="352633"/>
    <n v="1"/>
  </r>
  <r>
    <s v="Startup_1235"/>
    <x v="2"/>
    <n v="0"/>
    <n v="14573000"/>
    <n v="4"/>
    <n v="16"/>
    <n v="459"/>
    <n v="6085315"/>
    <n v="96386"/>
    <s v="Large"/>
    <s v="B2B"/>
    <n v="5"/>
    <n v="66.77"/>
    <n v="943475"/>
    <n v="1"/>
  </r>
  <r>
    <s v="Startup_1236"/>
    <x v="0"/>
    <n v="3"/>
    <n v="38140084"/>
    <n v="2"/>
    <n v="21"/>
    <n v="152"/>
    <n v="36936280"/>
    <n v="71768"/>
    <s v="Small"/>
    <s v="B2C"/>
    <n v="6"/>
    <n v="5.35"/>
    <n v="40348"/>
    <n v="1"/>
  </r>
  <r>
    <s v="Startup_1237"/>
    <x v="5"/>
    <n v="3"/>
    <n v="716551"/>
    <n v="2"/>
    <n v="10"/>
    <n v="400"/>
    <n v="44485103"/>
    <n v="917008"/>
    <s v="Large"/>
    <s v="B2C"/>
    <n v="9"/>
    <n v="86.38"/>
    <n v="847335"/>
    <n v="1"/>
  </r>
  <r>
    <s v="Startup_1238"/>
    <x v="5"/>
    <n v="2"/>
    <n v="25855362"/>
    <n v="2"/>
    <n v="29"/>
    <n v="931"/>
    <n v="13046186"/>
    <n v="62740"/>
    <s v="Large"/>
    <s v="B2C"/>
    <n v="3"/>
    <n v="16.22"/>
    <n v="534557"/>
    <n v="1"/>
  </r>
  <r>
    <s v="Startup_1239"/>
    <x v="2"/>
    <n v="0"/>
    <n v="19634772"/>
    <n v="4"/>
    <n v="12"/>
    <n v="287"/>
    <n v="40289383"/>
    <n v="321418"/>
    <s v="Small"/>
    <s v="Hybrid"/>
    <n v="3"/>
    <n v="3.77"/>
    <n v="453986"/>
    <n v="1"/>
  </r>
  <r>
    <s v="Startup_1240"/>
    <x v="0"/>
    <n v="1"/>
    <n v="11688459"/>
    <n v="3"/>
    <n v="17"/>
    <n v="378"/>
    <n v="53300416"/>
    <n v="615860"/>
    <s v="Large"/>
    <s v="B2B"/>
    <n v="1"/>
    <n v="21.47"/>
    <n v="322232"/>
    <n v="1"/>
  </r>
  <r>
    <s v="Startup_1241"/>
    <x v="0"/>
    <n v="9"/>
    <n v="9697317"/>
    <n v="4"/>
    <n v="7"/>
    <n v="211"/>
    <n v="98799576"/>
    <n v="412537"/>
    <s v="Large"/>
    <s v="B2C"/>
    <n v="4"/>
    <n v="87.47"/>
    <n v="251231"/>
    <n v="1"/>
  </r>
  <r>
    <s v="Startup_1242"/>
    <x v="1"/>
    <n v="6"/>
    <n v="30010809"/>
    <n v="2"/>
    <n v="1"/>
    <n v="496"/>
    <n v="60970206"/>
    <n v="901093"/>
    <s v="Small"/>
    <s v="B2B"/>
    <n v="1"/>
    <n v="84.2"/>
    <n v="378635"/>
    <n v="1"/>
  </r>
  <r>
    <s v="Startup_1243"/>
    <x v="3"/>
    <n v="0"/>
    <n v="28829011"/>
    <n v="3"/>
    <n v="24"/>
    <n v="553"/>
    <n v="33643708"/>
    <n v="580002"/>
    <s v="Medium"/>
    <s v="B2C"/>
    <n v="4"/>
    <n v="79.25"/>
    <n v="917218"/>
    <n v="1"/>
  </r>
  <r>
    <s v="Startup_1244"/>
    <x v="4"/>
    <n v="1"/>
    <n v="33673606"/>
    <n v="2"/>
    <n v="0"/>
    <n v="133"/>
    <n v="37980855"/>
    <n v="773313"/>
    <s v="Medium"/>
    <s v="B2C"/>
    <n v="1"/>
    <n v="47.58"/>
    <n v="353200"/>
    <n v="1"/>
  </r>
  <r>
    <s v="Startup_1245"/>
    <x v="6"/>
    <n v="8"/>
    <n v="22853823"/>
    <n v="2"/>
    <n v="29"/>
    <n v="460"/>
    <n v="94038363"/>
    <n v="615773"/>
    <s v="Large"/>
    <s v="Hybrid"/>
    <n v="3"/>
    <n v="93.59"/>
    <n v="262419"/>
    <n v="1"/>
  </r>
  <r>
    <s v="Startup_1246"/>
    <x v="5"/>
    <n v="6"/>
    <n v="29058876"/>
    <n v="1"/>
    <n v="22"/>
    <n v="225"/>
    <n v="68282353"/>
    <n v="203759"/>
    <s v="Small"/>
    <s v="B2B"/>
    <n v="8"/>
    <n v="85.72"/>
    <n v="643355"/>
    <n v="1"/>
  </r>
  <r>
    <s v="Startup_1247"/>
    <x v="1"/>
    <n v="2"/>
    <n v="46211575"/>
    <n v="3"/>
    <n v="0"/>
    <n v="651"/>
    <n v="30553312"/>
    <n v="269623"/>
    <s v="Large"/>
    <s v="B2C"/>
    <n v="5"/>
    <n v="99.65"/>
    <n v="745782"/>
    <n v="1"/>
  </r>
  <r>
    <s v="Startup_1248"/>
    <x v="5"/>
    <n v="6"/>
    <n v="11271604"/>
    <n v="2"/>
    <n v="23"/>
    <n v="159"/>
    <n v="28303146"/>
    <n v="755657"/>
    <s v="Medium"/>
    <s v="Hybrid"/>
    <n v="5"/>
    <n v="55.72"/>
    <n v="757244"/>
    <n v="1"/>
  </r>
  <r>
    <s v="Startup_1249"/>
    <x v="5"/>
    <n v="4"/>
    <n v="44277091"/>
    <n v="1"/>
    <n v="12"/>
    <n v="834"/>
    <n v="25110283"/>
    <n v="775044"/>
    <s v="Large"/>
    <s v="B2C"/>
    <n v="4"/>
    <n v="91.29"/>
    <n v="363142"/>
    <n v="1"/>
  </r>
  <r>
    <s v="Startup_1250"/>
    <x v="5"/>
    <n v="13"/>
    <n v="18255592"/>
    <n v="1"/>
    <n v="24"/>
    <n v="954"/>
    <n v="55541865"/>
    <n v="286971"/>
    <s v="Large"/>
    <s v="Hybrid"/>
    <n v="9"/>
    <n v="78.069999999999993"/>
    <n v="644487"/>
    <n v="1"/>
  </r>
  <r>
    <s v="Startup_1251"/>
    <x v="2"/>
    <n v="5"/>
    <n v="10559003"/>
    <n v="1"/>
    <n v="4"/>
    <n v="644"/>
    <n v="39806059"/>
    <n v="838045"/>
    <s v="Large"/>
    <s v="Hybrid"/>
    <n v="1"/>
    <n v="94.6"/>
    <n v="335682"/>
    <n v="1"/>
  </r>
  <r>
    <s v="Startup_1252"/>
    <x v="0"/>
    <n v="10"/>
    <n v="2180476"/>
    <n v="2"/>
    <n v="5"/>
    <n v="654"/>
    <n v="10387826"/>
    <n v="363767"/>
    <s v="Large"/>
    <s v="B2C"/>
    <n v="3"/>
    <n v="92.23"/>
    <n v="813104"/>
    <n v="1"/>
  </r>
  <r>
    <s v="Startup_1253"/>
    <x v="3"/>
    <n v="10"/>
    <n v="18229901"/>
    <n v="3"/>
    <n v="21"/>
    <n v="19"/>
    <n v="77060797"/>
    <n v="408705"/>
    <s v="Small"/>
    <s v="B2C"/>
    <n v="8"/>
    <n v="32.81"/>
    <n v="526698"/>
    <n v="1"/>
  </r>
  <r>
    <s v="Startup_1254"/>
    <x v="6"/>
    <n v="9"/>
    <n v="5982384"/>
    <n v="2"/>
    <n v="16"/>
    <n v="364"/>
    <n v="34318847"/>
    <n v="773439"/>
    <s v="Small"/>
    <s v="B2C"/>
    <n v="4"/>
    <n v="49.77"/>
    <n v="948458"/>
    <n v="1"/>
  </r>
  <r>
    <s v="Startup_1255"/>
    <x v="3"/>
    <n v="1"/>
    <n v="23064673"/>
    <n v="2"/>
    <n v="11"/>
    <n v="381"/>
    <n v="94917854"/>
    <n v="207881"/>
    <s v="Large"/>
    <s v="Hybrid"/>
    <n v="5"/>
    <n v="64.2"/>
    <n v="626004"/>
    <n v="1"/>
  </r>
  <r>
    <s v="Startup_1256"/>
    <x v="1"/>
    <n v="7"/>
    <n v="6192989"/>
    <n v="2"/>
    <n v="14"/>
    <n v="111"/>
    <n v="31356729"/>
    <n v="372559"/>
    <s v="Large"/>
    <s v="B2B"/>
    <n v="9"/>
    <n v="37.18"/>
    <n v="972527"/>
    <n v="1"/>
  </r>
  <r>
    <s v="Startup_1257"/>
    <x v="0"/>
    <n v="12"/>
    <n v="40975158"/>
    <n v="2"/>
    <n v="23"/>
    <n v="921"/>
    <n v="10910641"/>
    <n v="65810"/>
    <s v="Small"/>
    <s v="B2B"/>
    <n v="2"/>
    <n v="71.58"/>
    <n v="722570"/>
    <n v="1"/>
  </r>
  <r>
    <s v="Startup_1258"/>
    <x v="4"/>
    <n v="10"/>
    <n v="13859523"/>
    <n v="3"/>
    <n v="23"/>
    <n v="225"/>
    <n v="51794579"/>
    <n v="971087"/>
    <s v="Medium"/>
    <s v="B2C"/>
    <n v="2"/>
    <n v="79.16"/>
    <n v="217663"/>
    <n v="1"/>
  </r>
  <r>
    <s v="Startup_1259"/>
    <x v="6"/>
    <n v="0"/>
    <n v="45680160"/>
    <n v="2"/>
    <n v="13"/>
    <n v="977"/>
    <n v="1566522"/>
    <n v="888774"/>
    <s v="Medium"/>
    <s v="B2B"/>
    <n v="1"/>
    <n v="72.569999999999993"/>
    <n v="408243"/>
    <n v="1"/>
  </r>
  <r>
    <s v="Startup_1260"/>
    <x v="6"/>
    <n v="1"/>
    <n v="44034558"/>
    <n v="3"/>
    <n v="27"/>
    <n v="432"/>
    <n v="65329590"/>
    <n v="971337"/>
    <s v="Large"/>
    <s v="B2B"/>
    <n v="4"/>
    <n v="7.56"/>
    <n v="897032"/>
    <n v="1"/>
  </r>
  <r>
    <s v="Startup_1261"/>
    <x v="1"/>
    <n v="7"/>
    <n v="47819174"/>
    <n v="4"/>
    <n v="11"/>
    <n v="643"/>
    <n v="47232727"/>
    <n v="326111"/>
    <s v="Medium"/>
    <s v="B2B"/>
    <n v="9"/>
    <n v="89.56"/>
    <n v="350584"/>
    <n v="1"/>
  </r>
  <r>
    <s v="Startup_1262"/>
    <x v="3"/>
    <n v="2"/>
    <n v="12233147"/>
    <n v="2"/>
    <n v="19"/>
    <n v="89"/>
    <n v="52262714"/>
    <n v="441050"/>
    <s v="Large"/>
    <s v="B2C"/>
    <n v="2"/>
    <n v="76.02"/>
    <n v="990862"/>
    <n v="1"/>
  </r>
  <r>
    <s v="Startup_1263"/>
    <x v="6"/>
    <n v="13"/>
    <n v="16713394"/>
    <n v="2"/>
    <n v="18"/>
    <n v="325"/>
    <n v="77931846"/>
    <n v="90552"/>
    <s v="Large"/>
    <s v="B2C"/>
    <n v="4"/>
    <n v="12.75"/>
    <n v="221855"/>
    <n v="1"/>
  </r>
  <r>
    <s v="Startup_1264"/>
    <x v="5"/>
    <n v="5"/>
    <n v="39049029"/>
    <n v="2"/>
    <n v="9"/>
    <n v="750"/>
    <n v="31809984"/>
    <n v="155873"/>
    <s v="Large"/>
    <s v="B2B"/>
    <n v="2"/>
    <n v="32.700000000000003"/>
    <n v="417387"/>
    <n v="1"/>
  </r>
  <r>
    <s v="Startup_1265"/>
    <x v="6"/>
    <n v="3"/>
    <n v="31420164"/>
    <n v="4"/>
    <n v="26"/>
    <n v="93"/>
    <n v="10849805"/>
    <n v="323518"/>
    <s v="Large"/>
    <s v="B2B"/>
    <n v="8"/>
    <n v="21.45"/>
    <n v="930250"/>
    <n v="1"/>
  </r>
  <r>
    <s v="Startup_1266"/>
    <x v="1"/>
    <n v="11"/>
    <n v="11070786"/>
    <n v="3"/>
    <n v="19"/>
    <n v="178"/>
    <n v="59130739"/>
    <n v="314986"/>
    <s v="Small"/>
    <s v="Hybrid"/>
    <n v="1"/>
    <n v="65.540000000000006"/>
    <n v="317519"/>
    <n v="1"/>
  </r>
  <r>
    <s v="Startup_1267"/>
    <x v="0"/>
    <n v="3"/>
    <n v="23162944"/>
    <n v="4"/>
    <n v="5"/>
    <n v="996"/>
    <n v="87118220"/>
    <n v="738093"/>
    <s v="Medium"/>
    <s v="Hybrid"/>
    <n v="1"/>
    <n v="99.86"/>
    <n v="98069"/>
    <n v="1"/>
  </r>
  <r>
    <s v="Startup_1268"/>
    <x v="0"/>
    <n v="13"/>
    <n v="46218290"/>
    <n v="1"/>
    <n v="22"/>
    <n v="129"/>
    <n v="65673829"/>
    <n v="921004"/>
    <s v="Small"/>
    <s v="B2B"/>
    <n v="3"/>
    <n v="79.099999999999994"/>
    <n v="842011"/>
    <n v="1"/>
  </r>
  <r>
    <s v="Startup_1269"/>
    <x v="3"/>
    <n v="10"/>
    <n v="42083543"/>
    <n v="2"/>
    <n v="11"/>
    <n v="879"/>
    <n v="49453614"/>
    <n v="688310"/>
    <s v="Large"/>
    <s v="B2B"/>
    <n v="8"/>
    <n v="81.849999999999994"/>
    <n v="794599"/>
    <n v="1"/>
  </r>
  <r>
    <s v="Startup_1270"/>
    <x v="1"/>
    <n v="3"/>
    <n v="12535584"/>
    <n v="4"/>
    <n v="2"/>
    <n v="782"/>
    <n v="76623325"/>
    <n v="601355"/>
    <s v="Medium"/>
    <s v="B2C"/>
    <n v="4"/>
    <n v="22.17"/>
    <n v="651488"/>
    <n v="1"/>
  </r>
  <r>
    <s v="Startup_1271"/>
    <x v="5"/>
    <n v="4"/>
    <n v="19457304"/>
    <n v="3"/>
    <n v="0"/>
    <n v="255"/>
    <n v="75763141"/>
    <n v="257019"/>
    <s v="Medium"/>
    <s v="B2C"/>
    <n v="5"/>
    <n v="10.130000000000001"/>
    <n v="802293"/>
    <n v="1"/>
  </r>
  <r>
    <s v="Startup_1272"/>
    <x v="4"/>
    <n v="1"/>
    <n v="6597981"/>
    <n v="3"/>
    <n v="21"/>
    <n v="801"/>
    <n v="56497087"/>
    <n v="739306"/>
    <s v="Medium"/>
    <s v="Hybrid"/>
    <n v="3"/>
    <n v="54.31"/>
    <n v="756558"/>
    <n v="1"/>
  </r>
  <r>
    <s v="Startup_1273"/>
    <x v="3"/>
    <n v="3"/>
    <n v="44616608"/>
    <n v="4"/>
    <n v="26"/>
    <n v="849"/>
    <n v="16175640"/>
    <n v="394236"/>
    <s v="Small"/>
    <s v="B2B"/>
    <n v="5"/>
    <n v="63.61"/>
    <n v="753433"/>
    <n v="1"/>
  </r>
  <r>
    <s v="Startup_1274"/>
    <x v="4"/>
    <n v="10"/>
    <n v="42864141"/>
    <n v="4"/>
    <n v="21"/>
    <n v="997"/>
    <n v="96611150"/>
    <n v="668337"/>
    <s v="Medium"/>
    <s v="B2B"/>
    <n v="8"/>
    <n v="21.88"/>
    <n v="893109"/>
    <n v="1"/>
  </r>
  <r>
    <s v="Startup_1275"/>
    <x v="1"/>
    <n v="9"/>
    <n v="274923"/>
    <n v="3"/>
    <n v="25"/>
    <n v="971"/>
    <n v="52499102"/>
    <n v="14574"/>
    <s v="Medium"/>
    <s v="Hybrid"/>
    <n v="7"/>
    <n v="34.82"/>
    <n v="552079"/>
    <n v="1"/>
  </r>
  <r>
    <s v="Startup_1276"/>
    <x v="2"/>
    <n v="1"/>
    <n v="17145175"/>
    <n v="3"/>
    <n v="10"/>
    <n v="482"/>
    <n v="22726501"/>
    <n v="816568"/>
    <s v="Large"/>
    <s v="Hybrid"/>
    <n v="9"/>
    <n v="99.76"/>
    <n v="527215"/>
    <n v="1"/>
  </r>
  <r>
    <s v="Startup_1277"/>
    <x v="1"/>
    <n v="8"/>
    <n v="13291333"/>
    <n v="2"/>
    <n v="2"/>
    <n v="228"/>
    <n v="51774947"/>
    <n v="40011"/>
    <s v="Medium"/>
    <s v="B2C"/>
    <n v="2"/>
    <n v="20.97"/>
    <n v="56048"/>
    <n v="1"/>
  </r>
  <r>
    <s v="Startup_1278"/>
    <x v="4"/>
    <n v="0"/>
    <n v="12998595"/>
    <n v="4"/>
    <n v="28"/>
    <n v="997"/>
    <n v="83455800"/>
    <n v="571761"/>
    <s v="Small"/>
    <s v="B2B"/>
    <n v="3"/>
    <n v="43.07"/>
    <n v="590085"/>
    <n v="1"/>
  </r>
  <r>
    <s v="Startup_1279"/>
    <x v="0"/>
    <n v="12"/>
    <n v="36001417"/>
    <n v="4"/>
    <n v="6"/>
    <n v="795"/>
    <n v="64476711"/>
    <n v="839510"/>
    <s v="Small"/>
    <s v="B2B"/>
    <n v="1"/>
    <n v="77.03"/>
    <n v="343322"/>
    <n v="1"/>
  </r>
  <r>
    <s v="Startup_1280"/>
    <x v="4"/>
    <n v="8"/>
    <n v="29898297"/>
    <n v="4"/>
    <n v="21"/>
    <n v="115"/>
    <n v="66278904"/>
    <n v="534377"/>
    <s v="Large"/>
    <s v="Hybrid"/>
    <n v="6"/>
    <n v="31.71"/>
    <n v="74595"/>
    <n v="1"/>
  </r>
  <r>
    <s v="Startup_1281"/>
    <x v="3"/>
    <n v="12"/>
    <n v="40989916"/>
    <n v="4"/>
    <n v="14"/>
    <n v="803"/>
    <n v="9960997"/>
    <n v="789480"/>
    <s v="Medium"/>
    <s v="B2B"/>
    <n v="7"/>
    <n v="88.58"/>
    <n v="653300"/>
    <n v="1"/>
  </r>
  <r>
    <s v="Startup_1282"/>
    <x v="6"/>
    <n v="10"/>
    <n v="48229891"/>
    <n v="2"/>
    <n v="4"/>
    <n v="125"/>
    <n v="88746827"/>
    <n v="796518"/>
    <s v="Medium"/>
    <s v="Hybrid"/>
    <n v="7"/>
    <n v="65.36"/>
    <n v="208566"/>
    <n v="1"/>
  </r>
  <r>
    <s v="Startup_1283"/>
    <x v="2"/>
    <n v="11"/>
    <n v="45401047"/>
    <n v="2"/>
    <n v="18"/>
    <n v="791"/>
    <n v="18407381"/>
    <n v="41368"/>
    <s v="Large"/>
    <s v="B2C"/>
    <n v="2"/>
    <n v="65.3"/>
    <n v="993348"/>
    <n v="1"/>
  </r>
  <r>
    <s v="Startup_1284"/>
    <x v="3"/>
    <n v="1"/>
    <n v="7804113"/>
    <n v="2"/>
    <n v="26"/>
    <n v="87"/>
    <n v="85093464"/>
    <n v="52388"/>
    <s v="Medium"/>
    <s v="B2B"/>
    <n v="6"/>
    <n v="52.06"/>
    <n v="885899"/>
    <n v="1"/>
  </r>
  <r>
    <s v="Startup_1285"/>
    <x v="0"/>
    <n v="6"/>
    <n v="21318040"/>
    <n v="4"/>
    <n v="7"/>
    <n v="29"/>
    <n v="8603054"/>
    <n v="248374"/>
    <s v="Large"/>
    <s v="B2B"/>
    <n v="9"/>
    <n v="93.73"/>
    <n v="443030"/>
    <n v="1"/>
  </r>
  <r>
    <s v="Startup_1286"/>
    <x v="0"/>
    <n v="10"/>
    <n v="41777323"/>
    <n v="2"/>
    <n v="20"/>
    <n v="691"/>
    <n v="50409840"/>
    <n v="773753"/>
    <s v="Small"/>
    <s v="Hybrid"/>
    <n v="6"/>
    <n v="38.520000000000003"/>
    <n v="598663"/>
    <n v="1"/>
  </r>
  <r>
    <s v="Startup_1287"/>
    <x v="1"/>
    <n v="0"/>
    <n v="31036544"/>
    <n v="1"/>
    <n v="27"/>
    <n v="665"/>
    <n v="17824589"/>
    <n v="39458"/>
    <s v="Medium"/>
    <s v="Hybrid"/>
    <n v="3"/>
    <n v="22.55"/>
    <n v="434706"/>
    <n v="1"/>
  </r>
  <r>
    <s v="Startup_1288"/>
    <x v="3"/>
    <n v="0"/>
    <n v="34488212"/>
    <n v="3"/>
    <n v="16"/>
    <n v="86"/>
    <n v="32203945"/>
    <n v="853560"/>
    <s v="Large"/>
    <s v="B2B"/>
    <n v="5"/>
    <n v="23.88"/>
    <n v="798167"/>
    <n v="1"/>
  </r>
  <r>
    <s v="Startup_1289"/>
    <x v="6"/>
    <n v="1"/>
    <n v="47259033"/>
    <n v="3"/>
    <n v="15"/>
    <n v="504"/>
    <n v="10576071"/>
    <n v="965186"/>
    <s v="Large"/>
    <s v="B2B"/>
    <n v="5"/>
    <n v="86.94"/>
    <n v="957537"/>
    <n v="1"/>
  </r>
  <r>
    <s v="Startup_1290"/>
    <x v="0"/>
    <n v="1"/>
    <n v="5675432"/>
    <n v="2"/>
    <n v="3"/>
    <n v="970"/>
    <n v="59695623"/>
    <n v="771616"/>
    <s v="Small"/>
    <s v="Hybrid"/>
    <n v="2"/>
    <n v="59.72"/>
    <n v="469730"/>
    <n v="1"/>
  </r>
  <r>
    <s v="Startup_1291"/>
    <x v="5"/>
    <n v="14"/>
    <n v="37949058"/>
    <n v="1"/>
    <n v="14"/>
    <n v="397"/>
    <n v="70579741"/>
    <n v="199414"/>
    <s v="Large"/>
    <s v="Hybrid"/>
    <n v="3"/>
    <n v="76.44"/>
    <n v="520557"/>
    <n v="1"/>
  </r>
  <r>
    <s v="Startup_1292"/>
    <x v="3"/>
    <n v="14"/>
    <n v="25149263"/>
    <n v="2"/>
    <n v="14"/>
    <n v="853"/>
    <n v="67834473"/>
    <n v="592201"/>
    <s v="Medium"/>
    <s v="Hybrid"/>
    <n v="3"/>
    <n v="59.32"/>
    <n v="594291"/>
    <n v="1"/>
  </r>
  <r>
    <s v="Startup_1293"/>
    <x v="3"/>
    <n v="10"/>
    <n v="46389737"/>
    <n v="3"/>
    <n v="27"/>
    <n v="676"/>
    <n v="89692020"/>
    <n v="5872"/>
    <s v="Small"/>
    <s v="B2C"/>
    <n v="8"/>
    <n v="88.27"/>
    <n v="956790"/>
    <n v="1"/>
  </r>
  <r>
    <s v="Startup_1294"/>
    <x v="5"/>
    <n v="11"/>
    <n v="12393998"/>
    <n v="3"/>
    <n v="7"/>
    <n v="560"/>
    <n v="14671843"/>
    <n v="344066"/>
    <s v="Large"/>
    <s v="Hybrid"/>
    <n v="9"/>
    <n v="94.46"/>
    <n v="785143"/>
    <n v="1"/>
  </r>
  <r>
    <s v="Startup_1295"/>
    <x v="6"/>
    <n v="12"/>
    <n v="24879044"/>
    <n v="1"/>
    <n v="12"/>
    <n v="531"/>
    <n v="622652"/>
    <n v="617859"/>
    <s v="Medium"/>
    <s v="B2C"/>
    <n v="7"/>
    <n v="25.84"/>
    <n v="879164"/>
    <n v="1"/>
  </r>
  <r>
    <s v="Startup_1296"/>
    <x v="1"/>
    <n v="4"/>
    <n v="2969141"/>
    <n v="4"/>
    <n v="20"/>
    <n v="377"/>
    <n v="5383612"/>
    <n v="962722"/>
    <s v="Medium"/>
    <s v="Hybrid"/>
    <n v="7"/>
    <n v="44.77"/>
    <n v="388211"/>
    <n v="1"/>
  </r>
  <r>
    <s v="Startup_1297"/>
    <x v="1"/>
    <n v="11"/>
    <n v="33297200"/>
    <n v="1"/>
    <n v="7"/>
    <n v="97"/>
    <n v="25210147"/>
    <n v="887289"/>
    <s v="Small"/>
    <s v="B2B"/>
    <n v="3"/>
    <n v="12.26"/>
    <n v="291336"/>
    <n v="1"/>
  </r>
  <r>
    <s v="Startup_1298"/>
    <x v="4"/>
    <n v="4"/>
    <n v="49314240"/>
    <n v="4"/>
    <n v="20"/>
    <n v="387"/>
    <n v="33668867"/>
    <n v="72786"/>
    <s v="Medium"/>
    <s v="Hybrid"/>
    <n v="1"/>
    <n v="66.09"/>
    <n v="657657"/>
    <n v="1"/>
  </r>
  <r>
    <s v="Startup_1299"/>
    <x v="0"/>
    <n v="11"/>
    <n v="1708621"/>
    <n v="3"/>
    <n v="0"/>
    <n v="968"/>
    <n v="481238"/>
    <n v="842682"/>
    <s v="Medium"/>
    <s v="B2C"/>
    <n v="4"/>
    <n v="40.340000000000003"/>
    <n v="361112"/>
    <n v="1"/>
  </r>
  <r>
    <s v="Startup_1300"/>
    <x v="1"/>
    <n v="8"/>
    <n v="44466891"/>
    <n v="1"/>
    <n v="27"/>
    <n v="816"/>
    <n v="35839862"/>
    <n v="8599"/>
    <s v="Small"/>
    <s v="Hybrid"/>
    <n v="4"/>
    <n v="99.26"/>
    <n v="799962"/>
    <n v="1"/>
  </r>
  <r>
    <s v="Startup_1301"/>
    <x v="5"/>
    <n v="7"/>
    <n v="7214948"/>
    <n v="4"/>
    <n v="14"/>
    <n v="405"/>
    <n v="22835540"/>
    <n v="197236"/>
    <s v="Large"/>
    <s v="B2C"/>
    <n v="6"/>
    <n v="74.260000000000005"/>
    <n v="315057"/>
    <n v="1"/>
  </r>
  <r>
    <s v="Startup_1302"/>
    <x v="6"/>
    <n v="13"/>
    <n v="42835133"/>
    <n v="4"/>
    <n v="23"/>
    <n v="513"/>
    <n v="46822146"/>
    <n v="902216"/>
    <s v="Medium"/>
    <s v="B2C"/>
    <n v="1"/>
    <n v="24.79"/>
    <n v="263845"/>
    <n v="1"/>
  </r>
  <r>
    <s v="Startup_1303"/>
    <x v="3"/>
    <n v="2"/>
    <n v="32214447"/>
    <n v="4"/>
    <n v="16"/>
    <n v="170"/>
    <n v="54889185"/>
    <n v="805362"/>
    <s v="Small"/>
    <s v="Hybrid"/>
    <n v="8"/>
    <n v="85.79"/>
    <n v="943100"/>
    <n v="1"/>
  </r>
  <r>
    <s v="Startup_1304"/>
    <x v="5"/>
    <n v="6"/>
    <n v="38291514"/>
    <n v="4"/>
    <n v="25"/>
    <n v="339"/>
    <n v="80659009"/>
    <n v="73030"/>
    <s v="Small"/>
    <s v="B2C"/>
    <n v="4"/>
    <n v="17.850000000000001"/>
    <n v="282280"/>
    <n v="1"/>
  </r>
  <r>
    <s v="Startup_1305"/>
    <x v="6"/>
    <n v="6"/>
    <n v="27217492"/>
    <n v="3"/>
    <n v="23"/>
    <n v="522"/>
    <n v="67353570"/>
    <n v="542591"/>
    <s v="Small"/>
    <s v="B2C"/>
    <n v="4"/>
    <n v="48.57"/>
    <n v="7245"/>
    <n v="1"/>
  </r>
  <r>
    <s v="Startup_1306"/>
    <x v="3"/>
    <n v="2"/>
    <n v="43766144"/>
    <n v="4"/>
    <n v="6"/>
    <n v="475"/>
    <n v="67778410"/>
    <n v="402683"/>
    <s v="Small"/>
    <s v="B2B"/>
    <n v="9"/>
    <n v="63.85"/>
    <n v="156195"/>
    <n v="1"/>
  </r>
  <r>
    <s v="Startup_1307"/>
    <x v="5"/>
    <n v="12"/>
    <n v="3466808"/>
    <n v="1"/>
    <n v="24"/>
    <n v="394"/>
    <n v="86076237"/>
    <n v="290436"/>
    <s v="Small"/>
    <s v="Hybrid"/>
    <n v="4"/>
    <n v="57.94"/>
    <n v="154321"/>
    <n v="1"/>
  </r>
  <r>
    <s v="Startup_1308"/>
    <x v="1"/>
    <n v="3"/>
    <n v="16160328"/>
    <n v="4"/>
    <n v="26"/>
    <n v="710"/>
    <n v="98503990"/>
    <n v="13890"/>
    <s v="Small"/>
    <s v="Hybrid"/>
    <n v="6"/>
    <n v="89.15"/>
    <n v="541813"/>
    <n v="1"/>
  </r>
  <r>
    <s v="Startup_1309"/>
    <x v="5"/>
    <n v="6"/>
    <n v="1312848"/>
    <n v="4"/>
    <n v="10"/>
    <n v="505"/>
    <n v="59767795"/>
    <n v="912094"/>
    <s v="Large"/>
    <s v="B2B"/>
    <n v="1"/>
    <n v="52.56"/>
    <n v="566956"/>
    <n v="1"/>
  </r>
  <r>
    <s v="Startup_1310"/>
    <x v="5"/>
    <n v="7"/>
    <n v="24761821"/>
    <n v="2"/>
    <n v="6"/>
    <n v="708"/>
    <n v="97617774"/>
    <n v="549806"/>
    <s v="Medium"/>
    <s v="Hybrid"/>
    <n v="2"/>
    <n v="83.54"/>
    <n v="642326"/>
    <n v="1"/>
  </r>
  <r>
    <s v="Startup_1311"/>
    <x v="0"/>
    <n v="5"/>
    <n v="46480945"/>
    <n v="4"/>
    <n v="4"/>
    <n v="688"/>
    <n v="86227322"/>
    <n v="989099"/>
    <s v="Medium"/>
    <s v="Hybrid"/>
    <n v="4"/>
    <n v="19.47"/>
    <n v="902015"/>
    <n v="1"/>
  </r>
  <r>
    <s v="Startup_1312"/>
    <x v="3"/>
    <n v="2"/>
    <n v="23725770"/>
    <n v="1"/>
    <n v="26"/>
    <n v="933"/>
    <n v="34184100"/>
    <n v="948159"/>
    <s v="Large"/>
    <s v="B2C"/>
    <n v="3"/>
    <n v="60.46"/>
    <n v="875672"/>
    <n v="1"/>
  </r>
  <r>
    <s v="Startup_1313"/>
    <x v="4"/>
    <n v="11"/>
    <n v="23612074"/>
    <n v="4"/>
    <n v="25"/>
    <n v="382"/>
    <n v="1307731"/>
    <n v="112175"/>
    <s v="Large"/>
    <s v="B2B"/>
    <n v="3"/>
    <n v="31.6"/>
    <n v="427813"/>
    <n v="1"/>
  </r>
  <r>
    <s v="Startup_1314"/>
    <x v="0"/>
    <n v="1"/>
    <n v="18839214"/>
    <n v="4"/>
    <n v="2"/>
    <n v="182"/>
    <n v="94147165"/>
    <n v="68755"/>
    <s v="Small"/>
    <s v="B2B"/>
    <n v="9"/>
    <n v="54.37"/>
    <n v="846000"/>
    <n v="1"/>
  </r>
  <r>
    <s v="Startup_1315"/>
    <x v="4"/>
    <n v="0"/>
    <n v="13230617"/>
    <n v="1"/>
    <n v="0"/>
    <n v="239"/>
    <n v="69567976"/>
    <n v="259599"/>
    <s v="Medium"/>
    <s v="B2C"/>
    <n v="6"/>
    <n v="82.04"/>
    <n v="295072"/>
    <n v="1"/>
  </r>
  <r>
    <s v="Startup_1316"/>
    <x v="4"/>
    <n v="1"/>
    <n v="16995521"/>
    <n v="4"/>
    <n v="12"/>
    <n v="251"/>
    <n v="80496738"/>
    <n v="669961"/>
    <s v="Large"/>
    <s v="B2C"/>
    <n v="7"/>
    <n v="91.24"/>
    <n v="767948"/>
    <n v="1"/>
  </r>
  <r>
    <s v="Startup_1317"/>
    <x v="3"/>
    <n v="9"/>
    <n v="1699490"/>
    <n v="1"/>
    <n v="6"/>
    <n v="297"/>
    <n v="64331308"/>
    <n v="213023"/>
    <s v="Medium"/>
    <s v="Hybrid"/>
    <n v="4"/>
    <n v="86.8"/>
    <n v="66835"/>
    <n v="1"/>
  </r>
  <r>
    <s v="Startup_1318"/>
    <x v="0"/>
    <n v="3"/>
    <n v="47410603"/>
    <n v="2"/>
    <n v="5"/>
    <n v="368"/>
    <n v="60124710"/>
    <n v="893701"/>
    <s v="Medium"/>
    <s v="Hybrid"/>
    <n v="7"/>
    <n v="16.12"/>
    <n v="825822"/>
    <n v="1"/>
  </r>
  <r>
    <s v="Startup_1319"/>
    <x v="2"/>
    <n v="11"/>
    <n v="16766326"/>
    <n v="3"/>
    <n v="3"/>
    <n v="241"/>
    <n v="96241288"/>
    <n v="296308"/>
    <s v="Medium"/>
    <s v="B2B"/>
    <n v="2"/>
    <n v="46.03"/>
    <n v="453802"/>
    <n v="1"/>
  </r>
  <r>
    <s v="Startup_1320"/>
    <x v="0"/>
    <n v="11"/>
    <n v="12532321"/>
    <n v="4"/>
    <n v="27"/>
    <n v="511"/>
    <n v="34980533"/>
    <n v="862941"/>
    <s v="Small"/>
    <s v="Hybrid"/>
    <n v="4"/>
    <n v="79.72"/>
    <n v="925365"/>
    <n v="1"/>
  </r>
  <r>
    <s v="Startup_1321"/>
    <x v="3"/>
    <n v="12"/>
    <n v="5190351"/>
    <n v="3"/>
    <n v="23"/>
    <n v="806"/>
    <n v="7109305"/>
    <n v="76106"/>
    <s v="Small"/>
    <s v="B2C"/>
    <n v="2"/>
    <n v="61.32"/>
    <n v="985249"/>
    <n v="1"/>
  </r>
  <r>
    <s v="Startup_1322"/>
    <x v="5"/>
    <n v="8"/>
    <n v="36692529"/>
    <n v="1"/>
    <n v="3"/>
    <n v="988"/>
    <n v="93970180"/>
    <n v="928721"/>
    <s v="Small"/>
    <s v="Hybrid"/>
    <n v="2"/>
    <n v="42.05"/>
    <n v="65468"/>
    <n v="1"/>
  </r>
  <r>
    <s v="Startup_1323"/>
    <x v="4"/>
    <n v="3"/>
    <n v="47277359"/>
    <n v="1"/>
    <n v="23"/>
    <n v="54"/>
    <n v="66162706"/>
    <n v="293373"/>
    <s v="Medium"/>
    <s v="B2C"/>
    <n v="3"/>
    <n v="24.77"/>
    <n v="341859"/>
    <n v="1"/>
  </r>
  <r>
    <s v="Startup_1324"/>
    <x v="3"/>
    <n v="5"/>
    <n v="49447635"/>
    <n v="2"/>
    <n v="4"/>
    <n v="807"/>
    <n v="31968724"/>
    <n v="218843"/>
    <s v="Large"/>
    <s v="B2B"/>
    <n v="4"/>
    <n v="67.180000000000007"/>
    <n v="868776"/>
    <n v="1"/>
  </r>
  <r>
    <s v="Startup_1325"/>
    <x v="6"/>
    <n v="14"/>
    <n v="47039992"/>
    <n v="1"/>
    <n v="11"/>
    <n v="37"/>
    <n v="4546777"/>
    <n v="405679"/>
    <s v="Medium"/>
    <s v="B2B"/>
    <n v="8"/>
    <n v="21.83"/>
    <n v="105961"/>
    <n v="1"/>
  </r>
  <r>
    <s v="Startup_1326"/>
    <x v="2"/>
    <n v="1"/>
    <n v="32598797"/>
    <n v="3"/>
    <n v="4"/>
    <n v="452"/>
    <n v="19835012"/>
    <n v="412142"/>
    <s v="Medium"/>
    <s v="B2C"/>
    <n v="1"/>
    <n v="93.86"/>
    <n v="602758"/>
    <n v="1"/>
  </r>
  <r>
    <s v="Startup_1327"/>
    <x v="2"/>
    <n v="11"/>
    <n v="48412160"/>
    <n v="4"/>
    <n v="19"/>
    <n v="910"/>
    <n v="55083285"/>
    <n v="235410"/>
    <s v="Small"/>
    <s v="B2B"/>
    <n v="9"/>
    <n v="36.31"/>
    <n v="961699"/>
    <n v="1"/>
  </r>
  <r>
    <s v="Startup_1328"/>
    <x v="5"/>
    <n v="6"/>
    <n v="29325773"/>
    <n v="4"/>
    <n v="19"/>
    <n v="650"/>
    <n v="699893"/>
    <n v="941272"/>
    <s v="Medium"/>
    <s v="Hybrid"/>
    <n v="6"/>
    <n v="50.6"/>
    <n v="438957"/>
    <n v="1"/>
  </r>
  <r>
    <s v="Startup_1329"/>
    <x v="1"/>
    <n v="1"/>
    <n v="41223789"/>
    <n v="1"/>
    <n v="1"/>
    <n v="614"/>
    <n v="67531070"/>
    <n v="248423"/>
    <s v="Medium"/>
    <s v="B2C"/>
    <n v="6"/>
    <n v="93.78"/>
    <n v="537402"/>
    <n v="1"/>
  </r>
  <r>
    <s v="Startup_1330"/>
    <x v="6"/>
    <n v="10"/>
    <n v="16088820"/>
    <n v="1"/>
    <n v="18"/>
    <n v="546"/>
    <n v="40375466"/>
    <n v="141706"/>
    <s v="Large"/>
    <s v="B2B"/>
    <n v="4"/>
    <n v="21.91"/>
    <n v="731098"/>
    <n v="1"/>
  </r>
  <r>
    <s v="Startup_1331"/>
    <x v="0"/>
    <n v="12"/>
    <n v="49707729"/>
    <n v="4"/>
    <n v="16"/>
    <n v="899"/>
    <n v="73842920"/>
    <n v="305942"/>
    <s v="Medium"/>
    <s v="Hybrid"/>
    <n v="7"/>
    <n v="10.86"/>
    <n v="854537"/>
    <n v="1"/>
  </r>
  <r>
    <s v="Startup_1332"/>
    <x v="0"/>
    <n v="14"/>
    <n v="8696306"/>
    <n v="2"/>
    <n v="5"/>
    <n v="788"/>
    <n v="46593006"/>
    <n v="257842"/>
    <s v="Large"/>
    <s v="B2C"/>
    <n v="6"/>
    <n v="97.59"/>
    <n v="671727"/>
    <n v="1"/>
  </r>
  <r>
    <s v="Startup_1333"/>
    <x v="6"/>
    <n v="7"/>
    <n v="15075515"/>
    <n v="2"/>
    <n v="25"/>
    <n v="575"/>
    <n v="54258466"/>
    <n v="644212"/>
    <s v="Large"/>
    <s v="Hybrid"/>
    <n v="7"/>
    <n v="9.3000000000000007"/>
    <n v="420091"/>
    <n v="1"/>
  </r>
  <r>
    <s v="Startup_1334"/>
    <x v="2"/>
    <n v="8"/>
    <n v="1408785"/>
    <n v="1"/>
    <n v="11"/>
    <n v="104"/>
    <n v="33422735"/>
    <n v="521786"/>
    <s v="Large"/>
    <s v="Hybrid"/>
    <n v="3"/>
    <n v="57.01"/>
    <n v="276387"/>
    <n v="1"/>
  </r>
  <r>
    <s v="Startup_1335"/>
    <x v="5"/>
    <n v="11"/>
    <n v="10996894"/>
    <n v="1"/>
    <n v="2"/>
    <n v="493"/>
    <n v="52090175"/>
    <n v="787151"/>
    <s v="Small"/>
    <s v="B2C"/>
    <n v="7"/>
    <n v="47.66"/>
    <n v="671136"/>
    <n v="1"/>
  </r>
  <r>
    <s v="Startup_1336"/>
    <x v="4"/>
    <n v="12"/>
    <n v="15916414"/>
    <n v="4"/>
    <n v="28"/>
    <n v="288"/>
    <n v="15474492"/>
    <n v="203959"/>
    <s v="Medium"/>
    <s v="B2C"/>
    <n v="4"/>
    <n v="84.3"/>
    <n v="661884"/>
    <n v="1"/>
  </r>
  <r>
    <s v="Startup_1337"/>
    <x v="4"/>
    <n v="13"/>
    <n v="45022713"/>
    <n v="3"/>
    <n v="19"/>
    <n v="807"/>
    <n v="30677688"/>
    <n v="696650"/>
    <s v="Medium"/>
    <s v="B2C"/>
    <n v="6"/>
    <n v="47.23"/>
    <n v="535120"/>
    <n v="1"/>
  </r>
  <r>
    <s v="Startup_1338"/>
    <x v="1"/>
    <n v="2"/>
    <n v="42721359"/>
    <n v="3"/>
    <n v="3"/>
    <n v="442"/>
    <n v="62568552"/>
    <n v="668872"/>
    <s v="Medium"/>
    <s v="B2C"/>
    <n v="6"/>
    <n v="78.52"/>
    <n v="321554"/>
    <n v="1"/>
  </r>
  <r>
    <s v="Startup_1339"/>
    <x v="4"/>
    <n v="8"/>
    <n v="21311303"/>
    <n v="2"/>
    <n v="19"/>
    <n v="492"/>
    <n v="77631077"/>
    <n v="895742"/>
    <s v="Large"/>
    <s v="Hybrid"/>
    <n v="6"/>
    <n v="95.26"/>
    <n v="973001"/>
    <n v="1"/>
  </r>
  <r>
    <s v="Startup_1340"/>
    <x v="0"/>
    <n v="9"/>
    <n v="8575377"/>
    <n v="4"/>
    <n v="24"/>
    <n v="715"/>
    <n v="2189267"/>
    <n v="625640"/>
    <s v="Small"/>
    <s v="Hybrid"/>
    <n v="9"/>
    <n v="64.34"/>
    <n v="274761"/>
    <n v="1"/>
  </r>
  <r>
    <s v="Startup_1341"/>
    <x v="1"/>
    <n v="7"/>
    <n v="18074492"/>
    <n v="1"/>
    <n v="6"/>
    <n v="499"/>
    <n v="45545525"/>
    <n v="398312"/>
    <s v="Large"/>
    <s v="B2B"/>
    <n v="9"/>
    <n v="58.64"/>
    <n v="679187"/>
    <n v="1"/>
  </r>
  <r>
    <s v="Startup_1342"/>
    <x v="6"/>
    <n v="9"/>
    <n v="32896685"/>
    <n v="4"/>
    <n v="0"/>
    <n v="385"/>
    <n v="51864748"/>
    <n v="544176"/>
    <s v="Small"/>
    <s v="Hybrid"/>
    <n v="1"/>
    <n v="19.05"/>
    <n v="857664"/>
    <n v="1"/>
  </r>
  <r>
    <s v="Startup_1343"/>
    <x v="0"/>
    <n v="4"/>
    <n v="15496117"/>
    <n v="4"/>
    <n v="20"/>
    <n v="826"/>
    <n v="32830155"/>
    <n v="373008"/>
    <s v="Large"/>
    <s v="Hybrid"/>
    <n v="7"/>
    <n v="80.239999999999995"/>
    <n v="900622"/>
    <n v="1"/>
  </r>
  <r>
    <s v="Startup_1344"/>
    <x v="6"/>
    <n v="4"/>
    <n v="6357995"/>
    <n v="3"/>
    <n v="29"/>
    <n v="346"/>
    <n v="36559101"/>
    <n v="457253"/>
    <s v="Large"/>
    <s v="Hybrid"/>
    <n v="2"/>
    <n v="79.34"/>
    <n v="976018"/>
    <n v="1"/>
  </r>
  <r>
    <s v="Startup_1345"/>
    <x v="6"/>
    <n v="1"/>
    <n v="47748657"/>
    <n v="4"/>
    <n v="12"/>
    <n v="153"/>
    <n v="47669713"/>
    <n v="493058"/>
    <s v="Small"/>
    <s v="B2B"/>
    <n v="7"/>
    <n v="80.03"/>
    <n v="928424"/>
    <n v="1"/>
  </r>
  <r>
    <s v="Startup_1346"/>
    <x v="4"/>
    <n v="1"/>
    <n v="39949888"/>
    <n v="4"/>
    <n v="26"/>
    <n v="107"/>
    <n v="65383378"/>
    <n v="692283"/>
    <s v="Large"/>
    <s v="B2B"/>
    <n v="6"/>
    <n v="38.22"/>
    <n v="624064"/>
    <n v="1"/>
  </r>
  <r>
    <s v="Startup_1347"/>
    <x v="6"/>
    <n v="9"/>
    <n v="4089800"/>
    <n v="3"/>
    <n v="0"/>
    <n v="464"/>
    <n v="58982324"/>
    <n v="104398"/>
    <s v="Small"/>
    <s v="B2B"/>
    <n v="4"/>
    <n v="11.15"/>
    <n v="633374"/>
    <n v="1"/>
  </r>
  <r>
    <s v="Startup_1348"/>
    <x v="0"/>
    <n v="8"/>
    <n v="27590831"/>
    <n v="4"/>
    <n v="17"/>
    <n v="487"/>
    <n v="1336246"/>
    <n v="729243"/>
    <s v="Medium"/>
    <s v="Hybrid"/>
    <n v="4"/>
    <n v="3.51"/>
    <n v="276193"/>
    <n v="1"/>
  </r>
  <r>
    <s v="Startup_1349"/>
    <x v="0"/>
    <n v="5"/>
    <n v="3314871"/>
    <n v="2"/>
    <n v="20"/>
    <n v="147"/>
    <n v="15839136"/>
    <n v="132553"/>
    <s v="Medium"/>
    <s v="Hybrid"/>
    <n v="4"/>
    <n v="95.71"/>
    <n v="256003"/>
    <n v="1"/>
  </r>
  <r>
    <s v="Startup_1350"/>
    <x v="6"/>
    <n v="5"/>
    <n v="46274713"/>
    <n v="3"/>
    <n v="9"/>
    <n v="1"/>
    <n v="60822065"/>
    <n v="971479"/>
    <s v="Small"/>
    <s v="B2C"/>
    <n v="6"/>
    <n v="53.87"/>
    <n v="662012"/>
    <n v="1"/>
  </r>
  <r>
    <s v="Startup_1351"/>
    <x v="1"/>
    <n v="8"/>
    <n v="31959170"/>
    <n v="4"/>
    <n v="8"/>
    <n v="400"/>
    <n v="56568007"/>
    <n v="326003"/>
    <s v="Large"/>
    <s v="B2C"/>
    <n v="3"/>
    <n v="93.33"/>
    <n v="138399"/>
    <n v="1"/>
  </r>
  <r>
    <s v="Startup_1352"/>
    <x v="3"/>
    <n v="3"/>
    <n v="2841698"/>
    <n v="2"/>
    <n v="24"/>
    <n v="838"/>
    <n v="10814004"/>
    <n v="367080"/>
    <s v="Small"/>
    <s v="B2B"/>
    <n v="4"/>
    <n v="62.31"/>
    <n v="8138"/>
    <n v="1"/>
  </r>
  <r>
    <s v="Startup_1353"/>
    <x v="3"/>
    <n v="10"/>
    <n v="31357176"/>
    <n v="4"/>
    <n v="2"/>
    <n v="196"/>
    <n v="45124762"/>
    <n v="243675"/>
    <s v="Small"/>
    <s v="B2C"/>
    <n v="9"/>
    <n v="51.68"/>
    <n v="209445"/>
    <n v="1"/>
  </r>
  <r>
    <s v="Startup_1354"/>
    <x v="5"/>
    <n v="1"/>
    <n v="9374948"/>
    <n v="2"/>
    <n v="5"/>
    <n v="618"/>
    <n v="51675125"/>
    <n v="512008"/>
    <s v="Small"/>
    <s v="B2C"/>
    <n v="7"/>
    <n v="50.44"/>
    <n v="837230"/>
    <n v="1"/>
  </r>
  <r>
    <s v="Startup_1355"/>
    <x v="6"/>
    <n v="5"/>
    <n v="45550617"/>
    <n v="3"/>
    <n v="12"/>
    <n v="269"/>
    <n v="51674642"/>
    <n v="780046"/>
    <s v="Large"/>
    <s v="B2B"/>
    <n v="4"/>
    <n v="95.75"/>
    <n v="454070"/>
    <n v="1"/>
  </r>
  <r>
    <s v="Startup_1356"/>
    <x v="5"/>
    <n v="13"/>
    <n v="18837223"/>
    <n v="3"/>
    <n v="15"/>
    <n v="96"/>
    <n v="22777842"/>
    <n v="786503"/>
    <s v="Medium"/>
    <s v="B2C"/>
    <n v="6"/>
    <n v="4.66"/>
    <n v="213672"/>
    <n v="1"/>
  </r>
  <r>
    <s v="Startup_1357"/>
    <x v="6"/>
    <n v="6"/>
    <n v="19419593"/>
    <n v="3"/>
    <n v="18"/>
    <n v="652"/>
    <n v="43135764"/>
    <n v="973622"/>
    <s v="Medium"/>
    <s v="B2C"/>
    <n v="8"/>
    <n v="61.93"/>
    <n v="330464"/>
    <n v="1"/>
  </r>
  <r>
    <s v="Startup_1358"/>
    <x v="4"/>
    <n v="1"/>
    <n v="11025599"/>
    <n v="1"/>
    <n v="18"/>
    <n v="263"/>
    <n v="65717415"/>
    <n v="208955"/>
    <s v="Medium"/>
    <s v="B2C"/>
    <n v="7"/>
    <n v="39.43"/>
    <n v="155880"/>
    <n v="1"/>
  </r>
  <r>
    <s v="Startup_1359"/>
    <x v="6"/>
    <n v="8"/>
    <n v="8219530"/>
    <n v="2"/>
    <n v="26"/>
    <n v="113"/>
    <n v="69986141"/>
    <n v="789183"/>
    <s v="Small"/>
    <s v="B2B"/>
    <n v="6"/>
    <n v="15.41"/>
    <n v="661841"/>
    <n v="1"/>
  </r>
  <r>
    <s v="Startup_1360"/>
    <x v="2"/>
    <n v="8"/>
    <n v="15443615"/>
    <n v="1"/>
    <n v="0"/>
    <n v="198"/>
    <n v="94694727"/>
    <n v="905658"/>
    <s v="Medium"/>
    <s v="B2B"/>
    <n v="9"/>
    <n v="46.99"/>
    <n v="758615"/>
    <n v="1"/>
  </r>
  <r>
    <s v="Startup_1361"/>
    <x v="4"/>
    <n v="1"/>
    <n v="26902506"/>
    <n v="2"/>
    <n v="6"/>
    <n v="111"/>
    <n v="65436649"/>
    <n v="741219"/>
    <s v="Large"/>
    <s v="B2C"/>
    <n v="5"/>
    <n v="98.23"/>
    <n v="397801"/>
    <n v="1"/>
  </r>
  <r>
    <s v="Startup_1362"/>
    <x v="4"/>
    <n v="9"/>
    <n v="25923457"/>
    <n v="2"/>
    <n v="7"/>
    <n v="5"/>
    <n v="42025853"/>
    <n v="869851"/>
    <s v="Small"/>
    <s v="Hybrid"/>
    <n v="5"/>
    <n v="93.97"/>
    <n v="452988"/>
    <n v="1"/>
  </r>
  <r>
    <s v="Startup_1363"/>
    <x v="0"/>
    <n v="7"/>
    <n v="21674222"/>
    <n v="3"/>
    <n v="20"/>
    <n v="163"/>
    <n v="52845112"/>
    <n v="988391"/>
    <s v="Small"/>
    <s v="Hybrid"/>
    <n v="9"/>
    <n v="12.68"/>
    <n v="164346"/>
    <n v="1"/>
  </r>
  <r>
    <s v="Startup_1364"/>
    <x v="6"/>
    <n v="12"/>
    <n v="23362964"/>
    <n v="4"/>
    <n v="6"/>
    <n v="711"/>
    <n v="79516328"/>
    <n v="352141"/>
    <s v="Small"/>
    <s v="Hybrid"/>
    <n v="8"/>
    <n v="92.47"/>
    <n v="684689"/>
    <n v="1"/>
  </r>
  <r>
    <s v="Startup_1365"/>
    <x v="4"/>
    <n v="3"/>
    <n v="21444603"/>
    <n v="3"/>
    <n v="8"/>
    <n v="976"/>
    <n v="47304659"/>
    <n v="355704"/>
    <s v="Small"/>
    <s v="Hybrid"/>
    <n v="2"/>
    <n v="94.6"/>
    <n v="93780"/>
    <n v="1"/>
  </r>
  <r>
    <s v="Startup_1366"/>
    <x v="4"/>
    <n v="5"/>
    <n v="35357127"/>
    <n v="1"/>
    <n v="6"/>
    <n v="601"/>
    <n v="15929862"/>
    <n v="54054"/>
    <s v="Small"/>
    <s v="B2B"/>
    <n v="7"/>
    <n v="7.04"/>
    <n v="204963"/>
    <n v="1"/>
  </r>
  <r>
    <s v="Startup_1367"/>
    <x v="1"/>
    <n v="14"/>
    <n v="41977702"/>
    <n v="1"/>
    <n v="22"/>
    <n v="514"/>
    <n v="95052241"/>
    <n v="121675"/>
    <s v="Large"/>
    <s v="B2B"/>
    <n v="6"/>
    <n v="13.8"/>
    <n v="175463"/>
    <n v="1"/>
  </r>
  <r>
    <s v="Startup_1368"/>
    <x v="2"/>
    <n v="9"/>
    <n v="8269964"/>
    <n v="4"/>
    <n v="19"/>
    <n v="140"/>
    <n v="60110326"/>
    <n v="819528"/>
    <s v="Medium"/>
    <s v="Hybrid"/>
    <n v="6"/>
    <n v="52.88"/>
    <n v="131976"/>
    <n v="1"/>
  </r>
  <r>
    <s v="Startup_1369"/>
    <x v="1"/>
    <n v="12"/>
    <n v="8474168"/>
    <n v="1"/>
    <n v="1"/>
    <n v="110"/>
    <n v="10697310"/>
    <n v="701934"/>
    <s v="Small"/>
    <s v="B2B"/>
    <n v="8"/>
    <n v="43.5"/>
    <n v="47809"/>
    <n v="1"/>
  </r>
  <r>
    <s v="Startup_1370"/>
    <x v="0"/>
    <n v="1"/>
    <n v="43826118"/>
    <n v="4"/>
    <n v="8"/>
    <n v="884"/>
    <n v="78345974"/>
    <n v="806419"/>
    <s v="Large"/>
    <s v="B2C"/>
    <n v="5"/>
    <n v="46.27"/>
    <n v="223114"/>
    <n v="1"/>
  </r>
  <r>
    <s v="Startup_1371"/>
    <x v="2"/>
    <n v="10"/>
    <n v="38252297"/>
    <n v="3"/>
    <n v="17"/>
    <n v="808"/>
    <n v="1773624"/>
    <n v="35377"/>
    <s v="Small"/>
    <s v="Hybrid"/>
    <n v="7"/>
    <n v="55.37"/>
    <n v="599546"/>
    <n v="1"/>
  </r>
  <r>
    <s v="Startup_1372"/>
    <x v="3"/>
    <n v="12"/>
    <n v="33718870"/>
    <n v="3"/>
    <n v="14"/>
    <n v="404"/>
    <n v="49419862"/>
    <n v="693155"/>
    <s v="Small"/>
    <s v="B2C"/>
    <n v="2"/>
    <n v="75.86"/>
    <n v="284987"/>
    <n v="1"/>
  </r>
  <r>
    <s v="Startup_1373"/>
    <x v="1"/>
    <n v="5"/>
    <n v="14326684"/>
    <n v="4"/>
    <n v="29"/>
    <n v="309"/>
    <n v="59049929"/>
    <n v="5717"/>
    <s v="Large"/>
    <s v="B2C"/>
    <n v="7"/>
    <n v="14.91"/>
    <n v="306629"/>
    <n v="1"/>
  </r>
  <r>
    <s v="Startup_1374"/>
    <x v="2"/>
    <n v="6"/>
    <n v="3819716"/>
    <n v="2"/>
    <n v="11"/>
    <n v="660"/>
    <n v="73463105"/>
    <n v="906299"/>
    <s v="Large"/>
    <s v="B2C"/>
    <n v="7"/>
    <n v="5.5"/>
    <n v="794129"/>
    <n v="1"/>
  </r>
  <r>
    <s v="Startup_1375"/>
    <x v="3"/>
    <n v="5"/>
    <n v="15241404"/>
    <n v="1"/>
    <n v="11"/>
    <n v="179"/>
    <n v="98485604"/>
    <n v="30621"/>
    <s v="Small"/>
    <s v="B2C"/>
    <n v="4"/>
    <n v="54.63"/>
    <n v="864461"/>
    <n v="1"/>
  </r>
  <r>
    <s v="Startup_1376"/>
    <x v="6"/>
    <n v="14"/>
    <n v="49901535"/>
    <n v="2"/>
    <n v="3"/>
    <n v="671"/>
    <n v="77424713"/>
    <n v="737052"/>
    <s v="Large"/>
    <s v="B2B"/>
    <n v="8"/>
    <n v="97.89"/>
    <n v="878927"/>
    <n v="1"/>
  </r>
  <r>
    <s v="Startup_1377"/>
    <x v="2"/>
    <n v="8"/>
    <n v="34231222"/>
    <n v="2"/>
    <n v="13"/>
    <n v="838"/>
    <n v="9686610"/>
    <n v="182577"/>
    <s v="Large"/>
    <s v="B2C"/>
    <n v="3"/>
    <n v="39.53"/>
    <n v="302227"/>
    <n v="1"/>
  </r>
  <r>
    <s v="Startup_1378"/>
    <x v="1"/>
    <n v="13"/>
    <n v="5031001"/>
    <n v="1"/>
    <n v="25"/>
    <n v="557"/>
    <n v="96848911"/>
    <n v="696921"/>
    <s v="Small"/>
    <s v="B2C"/>
    <n v="7"/>
    <n v="6.27"/>
    <n v="40875"/>
    <n v="1"/>
  </r>
  <r>
    <s v="Startup_1379"/>
    <x v="3"/>
    <n v="3"/>
    <n v="43186688"/>
    <n v="4"/>
    <n v="0"/>
    <n v="375"/>
    <n v="2706378"/>
    <n v="247956"/>
    <s v="Large"/>
    <s v="B2C"/>
    <n v="3"/>
    <n v="19.38"/>
    <n v="866966"/>
    <n v="1"/>
  </r>
  <r>
    <s v="Startup_1380"/>
    <x v="1"/>
    <n v="8"/>
    <n v="36834995"/>
    <n v="4"/>
    <n v="25"/>
    <n v="496"/>
    <n v="44929407"/>
    <n v="451190"/>
    <s v="Large"/>
    <s v="Hybrid"/>
    <n v="4"/>
    <n v="6.01"/>
    <n v="806834"/>
    <n v="1"/>
  </r>
  <r>
    <s v="Startup_1381"/>
    <x v="3"/>
    <n v="2"/>
    <n v="42990053"/>
    <n v="1"/>
    <n v="1"/>
    <n v="55"/>
    <n v="14029756"/>
    <n v="101743"/>
    <s v="Medium"/>
    <s v="B2C"/>
    <n v="9"/>
    <n v="31.01"/>
    <n v="808067"/>
    <n v="1"/>
  </r>
  <r>
    <s v="Startup_1382"/>
    <x v="5"/>
    <n v="2"/>
    <n v="25806457"/>
    <n v="2"/>
    <n v="21"/>
    <n v="957"/>
    <n v="44391727"/>
    <n v="158714"/>
    <s v="Large"/>
    <s v="Hybrid"/>
    <n v="2"/>
    <n v="14.39"/>
    <n v="452666"/>
    <n v="1"/>
  </r>
  <r>
    <s v="Startup_1383"/>
    <x v="1"/>
    <n v="9"/>
    <n v="9157005"/>
    <n v="4"/>
    <n v="15"/>
    <n v="942"/>
    <n v="432273"/>
    <n v="712563"/>
    <s v="Small"/>
    <s v="Hybrid"/>
    <n v="6"/>
    <n v="7.11"/>
    <n v="941155"/>
    <n v="1"/>
  </r>
  <r>
    <s v="Startup_1384"/>
    <x v="3"/>
    <n v="6"/>
    <n v="11376834"/>
    <n v="1"/>
    <n v="0"/>
    <n v="968"/>
    <n v="14629108"/>
    <n v="434388"/>
    <s v="Large"/>
    <s v="Hybrid"/>
    <n v="9"/>
    <n v="87.5"/>
    <n v="690516"/>
    <n v="1"/>
  </r>
  <r>
    <s v="Startup_1385"/>
    <x v="1"/>
    <n v="7"/>
    <n v="15064420"/>
    <n v="2"/>
    <n v="11"/>
    <n v="774"/>
    <n v="97367622"/>
    <n v="544608"/>
    <s v="Small"/>
    <s v="B2B"/>
    <n v="1"/>
    <n v="8.74"/>
    <n v="171192"/>
    <n v="1"/>
  </r>
  <r>
    <s v="Startup_1386"/>
    <x v="2"/>
    <n v="10"/>
    <n v="13694337"/>
    <n v="4"/>
    <n v="9"/>
    <n v="239"/>
    <n v="7123788"/>
    <n v="493928"/>
    <s v="Large"/>
    <s v="B2B"/>
    <n v="8"/>
    <n v="50.7"/>
    <n v="872459"/>
    <n v="1"/>
  </r>
  <r>
    <s v="Startup_1387"/>
    <x v="5"/>
    <n v="10"/>
    <n v="46612206"/>
    <n v="2"/>
    <n v="23"/>
    <n v="718"/>
    <n v="98739103"/>
    <n v="604283"/>
    <s v="Medium"/>
    <s v="B2B"/>
    <n v="6"/>
    <n v="69.61"/>
    <n v="673402"/>
    <n v="1"/>
  </r>
  <r>
    <s v="Startup_1388"/>
    <x v="5"/>
    <n v="11"/>
    <n v="39398765"/>
    <n v="1"/>
    <n v="0"/>
    <n v="344"/>
    <n v="20359539"/>
    <n v="94917"/>
    <s v="Medium"/>
    <s v="B2C"/>
    <n v="1"/>
    <n v="3.24"/>
    <n v="788248"/>
    <n v="1"/>
  </r>
  <r>
    <s v="Startup_1389"/>
    <x v="4"/>
    <n v="12"/>
    <n v="11523067"/>
    <n v="2"/>
    <n v="26"/>
    <n v="764"/>
    <n v="52186164"/>
    <n v="260920"/>
    <s v="Small"/>
    <s v="B2B"/>
    <n v="3"/>
    <n v="57.55"/>
    <n v="146252"/>
    <n v="1"/>
  </r>
  <r>
    <s v="Startup_1390"/>
    <x v="5"/>
    <n v="3"/>
    <n v="1487195"/>
    <n v="4"/>
    <n v="14"/>
    <n v="77"/>
    <n v="61721763"/>
    <n v="794738"/>
    <s v="Large"/>
    <s v="B2C"/>
    <n v="7"/>
    <n v="92.83"/>
    <n v="181096"/>
    <n v="1"/>
  </r>
  <r>
    <s v="Startup_1391"/>
    <x v="4"/>
    <n v="13"/>
    <n v="41870811"/>
    <n v="4"/>
    <n v="29"/>
    <n v="715"/>
    <n v="20445192"/>
    <n v="257597"/>
    <s v="Small"/>
    <s v="B2C"/>
    <n v="1"/>
    <n v="84.48"/>
    <n v="640950"/>
    <n v="1"/>
  </r>
  <r>
    <s v="Startup_1392"/>
    <x v="4"/>
    <n v="6"/>
    <n v="2270316"/>
    <n v="1"/>
    <n v="20"/>
    <n v="991"/>
    <n v="72192791"/>
    <n v="471575"/>
    <s v="Large"/>
    <s v="Hybrid"/>
    <n v="2"/>
    <n v="87.99"/>
    <n v="894073"/>
    <n v="1"/>
  </r>
  <r>
    <s v="Startup_1393"/>
    <x v="6"/>
    <n v="12"/>
    <n v="41050054"/>
    <n v="2"/>
    <n v="28"/>
    <n v="735"/>
    <n v="72900455"/>
    <n v="383959"/>
    <s v="Medium"/>
    <s v="B2B"/>
    <n v="7"/>
    <n v="48.54"/>
    <n v="335106"/>
    <n v="1"/>
  </r>
  <r>
    <s v="Startup_1394"/>
    <x v="2"/>
    <n v="4"/>
    <n v="1162762"/>
    <n v="4"/>
    <n v="8"/>
    <n v="553"/>
    <n v="76162085"/>
    <n v="523466"/>
    <s v="Small"/>
    <s v="B2C"/>
    <n v="2"/>
    <n v="70.73"/>
    <n v="42463"/>
    <n v="1"/>
  </r>
  <r>
    <s v="Startup_1395"/>
    <x v="2"/>
    <n v="6"/>
    <n v="31869291"/>
    <n v="4"/>
    <n v="7"/>
    <n v="424"/>
    <n v="51985195"/>
    <n v="480850"/>
    <s v="Small"/>
    <s v="Hybrid"/>
    <n v="7"/>
    <n v="11.36"/>
    <n v="613574"/>
    <n v="1"/>
  </r>
  <r>
    <s v="Startup_1396"/>
    <x v="1"/>
    <n v="13"/>
    <n v="44924258"/>
    <n v="1"/>
    <n v="1"/>
    <n v="115"/>
    <n v="97935319"/>
    <n v="132324"/>
    <s v="Medium"/>
    <s v="B2B"/>
    <n v="7"/>
    <n v="49.11"/>
    <n v="551638"/>
    <n v="1"/>
  </r>
  <r>
    <s v="Startup_1397"/>
    <x v="1"/>
    <n v="13"/>
    <n v="42574551"/>
    <n v="4"/>
    <n v="23"/>
    <n v="526"/>
    <n v="67362687"/>
    <n v="880605"/>
    <s v="Small"/>
    <s v="B2B"/>
    <n v="3"/>
    <n v="24.2"/>
    <n v="724024"/>
    <n v="1"/>
  </r>
  <r>
    <s v="Startup_1398"/>
    <x v="5"/>
    <n v="5"/>
    <n v="20400508"/>
    <n v="3"/>
    <n v="23"/>
    <n v="643"/>
    <n v="35035606"/>
    <n v="830844"/>
    <s v="Small"/>
    <s v="B2B"/>
    <n v="4"/>
    <n v="24.06"/>
    <n v="242273"/>
    <n v="1"/>
  </r>
  <r>
    <s v="Startup_1399"/>
    <x v="6"/>
    <n v="1"/>
    <n v="9375988"/>
    <n v="1"/>
    <n v="7"/>
    <n v="7"/>
    <n v="79361976"/>
    <n v="573628"/>
    <s v="Medium"/>
    <s v="B2C"/>
    <n v="5"/>
    <n v="54.22"/>
    <n v="381931"/>
    <n v="1"/>
  </r>
  <r>
    <s v="Startup_1400"/>
    <x v="1"/>
    <n v="7"/>
    <n v="15353495"/>
    <n v="4"/>
    <n v="5"/>
    <n v="722"/>
    <n v="79982916"/>
    <n v="207235"/>
    <s v="Small"/>
    <s v="B2B"/>
    <n v="3"/>
    <n v="98.51"/>
    <n v="665371"/>
    <n v="1"/>
  </r>
  <r>
    <s v="Startup_1401"/>
    <x v="6"/>
    <n v="14"/>
    <n v="3968039"/>
    <n v="3"/>
    <n v="24"/>
    <n v="957"/>
    <n v="49223027"/>
    <n v="807726"/>
    <s v="Small"/>
    <s v="B2B"/>
    <n v="2"/>
    <n v="57.25"/>
    <n v="892720"/>
    <n v="1"/>
  </r>
  <r>
    <s v="Startup_1402"/>
    <x v="0"/>
    <n v="6"/>
    <n v="27121081"/>
    <n v="4"/>
    <n v="5"/>
    <n v="715"/>
    <n v="54813606"/>
    <n v="27303"/>
    <s v="Medium"/>
    <s v="B2B"/>
    <n v="9"/>
    <n v="4.62"/>
    <n v="734289"/>
    <n v="1"/>
  </r>
  <r>
    <s v="Startup_1403"/>
    <x v="5"/>
    <n v="12"/>
    <n v="17989686"/>
    <n v="3"/>
    <n v="17"/>
    <n v="92"/>
    <n v="98547920"/>
    <n v="875951"/>
    <s v="Large"/>
    <s v="B2B"/>
    <n v="3"/>
    <n v="12.8"/>
    <n v="190640"/>
    <n v="1"/>
  </r>
  <r>
    <s v="Startup_1404"/>
    <x v="4"/>
    <n v="9"/>
    <n v="45482999"/>
    <n v="4"/>
    <n v="27"/>
    <n v="348"/>
    <n v="51049474"/>
    <n v="837025"/>
    <s v="Medium"/>
    <s v="B2B"/>
    <n v="1"/>
    <n v="18.52"/>
    <n v="30234"/>
    <n v="1"/>
  </r>
  <r>
    <s v="Startup_1405"/>
    <x v="3"/>
    <n v="4"/>
    <n v="25071180"/>
    <n v="1"/>
    <n v="18"/>
    <n v="599"/>
    <n v="51186073"/>
    <n v="99274"/>
    <s v="Medium"/>
    <s v="B2B"/>
    <n v="4"/>
    <n v="38.32"/>
    <n v="713939"/>
    <n v="1"/>
  </r>
  <r>
    <s v="Startup_1406"/>
    <x v="2"/>
    <n v="0"/>
    <n v="19793810"/>
    <n v="2"/>
    <n v="28"/>
    <n v="678"/>
    <n v="11593730"/>
    <n v="958685"/>
    <s v="Large"/>
    <s v="B2B"/>
    <n v="3"/>
    <n v="55.93"/>
    <n v="721280"/>
    <n v="1"/>
  </r>
  <r>
    <s v="Startup_1407"/>
    <x v="1"/>
    <n v="1"/>
    <n v="16773445"/>
    <n v="1"/>
    <n v="2"/>
    <n v="276"/>
    <n v="50520791"/>
    <n v="241503"/>
    <s v="Large"/>
    <s v="B2C"/>
    <n v="1"/>
    <n v="82.31"/>
    <n v="757247"/>
    <n v="1"/>
  </r>
  <r>
    <s v="Startup_1408"/>
    <x v="0"/>
    <n v="8"/>
    <n v="43434048"/>
    <n v="1"/>
    <n v="12"/>
    <n v="316"/>
    <n v="1744429"/>
    <n v="236740"/>
    <s v="Medium"/>
    <s v="Hybrid"/>
    <n v="3"/>
    <n v="88.46"/>
    <n v="962307"/>
    <n v="1"/>
  </r>
  <r>
    <s v="Startup_1409"/>
    <x v="5"/>
    <n v="1"/>
    <n v="8250079"/>
    <n v="2"/>
    <n v="23"/>
    <n v="511"/>
    <n v="96292251"/>
    <n v="472821"/>
    <s v="Small"/>
    <s v="Hybrid"/>
    <n v="5"/>
    <n v="75.75"/>
    <n v="758379"/>
    <n v="1"/>
  </r>
  <r>
    <s v="Startup_1410"/>
    <x v="5"/>
    <n v="3"/>
    <n v="33327268"/>
    <n v="4"/>
    <n v="23"/>
    <n v="229"/>
    <n v="11381351"/>
    <n v="563552"/>
    <s v="Medium"/>
    <s v="Hybrid"/>
    <n v="3"/>
    <n v="8.23"/>
    <n v="846472"/>
    <n v="1"/>
  </r>
  <r>
    <s v="Startup_1411"/>
    <x v="0"/>
    <n v="0"/>
    <n v="43584149"/>
    <n v="2"/>
    <n v="20"/>
    <n v="463"/>
    <n v="24389206"/>
    <n v="284762"/>
    <s v="Medium"/>
    <s v="Hybrid"/>
    <n v="9"/>
    <n v="21.72"/>
    <n v="722392"/>
    <n v="1"/>
  </r>
  <r>
    <s v="Startup_1412"/>
    <x v="3"/>
    <n v="11"/>
    <n v="47151000"/>
    <n v="1"/>
    <n v="16"/>
    <n v="2"/>
    <n v="86785077"/>
    <n v="5016"/>
    <s v="Large"/>
    <s v="B2B"/>
    <n v="7"/>
    <n v="24.44"/>
    <n v="14108"/>
    <n v="1"/>
  </r>
  <r>
    <s v="Startup_1413"/>
    <x v="3"/>
    <n v="9"/>
    <n v="13267707"/>
    <n v="4"/>
    <n v="27"/>
    <n v="824"/>
    <n v="41325534"/>
    <n v="414953"/>
    <s v="Small"/>
    <s v="B2C"/>
    <n v="9"/>
    <n v="50.11"/>
    <n v="227363"/>
    <n v="1"/>
  </r>
  <r>
    <s v="Startup_1414"/>
    <x v="4"/>
    <n v="1"/>
    <n v="16729731"/>
    <n v="4"/>
    <n v="19"/>
    <n v="718"/>
    <n v="91538201"/>
    <n v="637400"/>
    <s v="Medium"/>
    <s v="B2B"/>
    <n v="5"/>
    <n v="16.739999999999998"/>
    <n v="524664"/>
    <n v="1"/>
  </r>
  <r>
    <s v="Startup_1415"/>
    <x v="4"/>
    <n v="7"/>
    <n v="33847124"/>
    <n v="2"/>
    <n v="16"/>
    <n v="546"/>
    <n v="81702093"/>
    <n v="62552"/>
    <s v="Small"/>
    <s v="B2B"/>
    <n v="1"/>
    <n v="31.93"/>
    <n v="253923"/>
    <n v="1"/>
  </r>
  <r>
    <s v="Startup_1416"/>
    <x v="2"/>
    <n v="3"/>
    <n v="42800139"/>
    <n v="3"/>
    <n v="25"/>
    <n v="451"/>
    <n v="44790420"/>
    <n v="85350"/>
    <s v="Medium"/>
    <s v="Hybrid"/>
    <n v="1"/>
    <n v="23.87"/>
    <n v="224879"/>
    <n v="1"/>
  </r>
  <r>
    <s v="Startup_1417"/>
    <x v="1"/>
    <n v="5"/>
    <n v="43384349"/>
    <n v="2"/>
    <n v="3"/>
    <n v="528"/>
    <n v="1078327"/>
    <n v="522007"/>
    <s v="Large"/>
    <s v="B2B"/>
    <n v="3"/>
    <n v="93.08"/>
    <n v="162304"/>
    <n v="1"/>
  </r>
  <r>
    <s v="Startup_1418"/>
    <x v="1"/>
    <n v="12"/>
    <n v="21374858"/>
    <n v="3"/>
    <n v="1"/>
    <n v="92"/>
    <n v="89167820"/>
    <n v="992788"/>
    <s v="Small"/>
    <s v="Hybrid"/>
    <n v="2"/>
    <n v="11.32"/>
    <n v="812764"/>
    <n v="1"/>
  </r>
  <r>
    <s v="Startup_1419"/>
    <x v="3"/>
    <n v="3"/>
    <n v="33808080"/>
    <n v="2"/>
    <n v="26"/>
    <n v="474"/>
    <n v="46063493"/>
    <n v="480660"/>
    <s v="Small"/>
    <s v="B2C"/>
    <n v="9"/>
    <n v="23.29"/>
    <n v="920341"/>
    <n v="1"/>
  </r>
  <r>
    <s v="Startup_1420"/>
    <x v="5"/>
    <n v="0"/>
    <n v="24566922"/>
    <n v="3"/>
    <n v="14"/>
    <n v="863"/>
    <n v="81521729"/>
    <n v="486220"/>
    <s v="Small"/>
    <s v="B2C"/>
    <n v="4"/>
    <n v="3.94"/>
    <n v="221582"/>
    <n v="1"/>
  </r>
  <r>
    <s v="Startup_1421"/>
    <x v="5"/>
    <n v="9"/>
    <n v="6587424"/>
    <n v="3"/>
    <n v="26"/>
    <n v="775"/>
    <n v="50504964"/>
    <n v="726064"/>
    <s v="Large"/>
    <s v="Hybrid"/>
    <n v="5"/>
    <n v="8.7100000000000009"/>
    <n v="333644"/>
    <n v="1"/>
  </r>
  <r>
    <s v="Startup_1422"/>
    <x v="2"/>
    <n v="10"/>
    <n v="2730145"/>
    <n v="2"/>
    <n v="17"/>
    <n v="118"/>
    <n v="21426853"/>
    <n v="497697"/>
    <s v="Medium"/>
    <s v="Hybrid"/>
    <n v="2"/>
    <n v="8.39"/>
    <n v="499633"/>
    <n v="1"/>
  </r>
  <r>
    <s v="Startup_1423"/>
    <x v="2"/>
    <n v="13"/>
    <n v="1872903"/>
    <n v="2"/>
    <n v="1"/>
    <n v="625"/>
    <n v="54859385"/>
    <n v="502062"/>
    <s v="Medium"/>
    <s v="B2C"/>
    <n v="4"/>
    <n v="23.18"/>
    <n v="696665"/>
    <n v="1"/>
  </r>
  <r>
    <s v="Startup_1424"/>
    <x v="3"/>
    <n v="13"/>
    <n v="14469786"/>
    <n v="2"/>
    <n v="5"/>
    <n v="887"/>
    <n v="95727433"/>
    <n v="453202"/>
    <s v="Medium"/>
    <s v="Hybrid"/>
    <n v="7"/>
    <n v="56.44"/>
    <n v="146639"/>
    <n v="1"/>
  </r>
  <r>
    <s v="Startup_1425"/>
    <x v="0"/>
    <n v="1"/>
    <n v="20540884"/>
    <n v="4"/>
    <n v="10"/>
    <n v="547"/>
    <n v="93686168"/>
    <n v="99053"/>
    <s v="Medium"/>
    <s v="B2C"/>
    <n v="7"/>
    <n v="12.58"/>
    <n v="55420"/>
    <n v="1"/>
  </r>
  <r>
    <s v="Startup_1426"/>
    <x v="0"/>
    <n v="2"/>
    <n v="8805312"/>
    <n v="4"/>
    <n v="3"/>
    <n v="933"/>
    <n v="14225798"/>
    <n v="358613"/>
    <s v="Large"/>
    <s v="Hybrid"/>
    <n v="7"/>
    <n v="7.67"/>
    <n v="941777"/>
    <n v="1"/>
  </r>
  <r>
    <s v="Startup_1427"/>
    <x v="0"/>
    <n v="3"/>
    <n v="46380248"/>
    <n v="1"/>
    <n v="1"/>
    <n v="991"/>
    <n v="73237603"/>
    <n v="640964"/>
    <s v="Medium"/>
    <s v="B2B"/>
    <n v="4"/>
    <n v="27.05"/>
    <n v="904958"/>
    <n v="1"/>
  </r>
  <r>
    <s v="Startup_1428"/>
    <x v="0"/>
    <n v="8"/>
    <n v="11953887"/>
    <n v="3"/>
    <n v="22"/>
    <n v="41"/>
    <n v="22358747"/>
    <n v="389073"/>
    <s v="Medium"/>
    <s v="B2C"/>
    <n v="7"/>
    <n v="3.41"/>
    <n v="942123"/>
    <n v="1"/>
  </r>
  <r>
    <s v="Startup_1429"/>
    <x v="2"/>
    <n v="7"/>
    <n v="32226425"/>
    <n v="4"/>
    <n v="11"/>
    <n v="436"/>
    <n v="59140754"/>
    <n v="425730"/>
    <s v="Medium"/>
    <s v="B2B"/>
    <n v="7"/>
    <n v="18.66"/>
    <n v="859250"/>
    <n v="1"/>
  </r>
  <r>
    <s v="Startup_1430"/>
    <x v="2"/>
    <n v="14"/>
    <n v="47173183"/>
    <n v="3"/>
    <n v="11"/>
    <n v="35"/>
    <n v="60701656"/>
    <n v="542353"/>
    <s v="Large"/>
    <s v="B2B"/>
    <n v="1"/>
    <n v="8.33"/>
    <n v="662940"/>
    <n v="1"/>
  </r>
  <r>
    <s v="Startup_1431"/>
    <x v="5"/>
    <n v="11"/>
    <n v="46605172"/>
    <n v="3"/>
    <n v="17"/>
    <n v="591"/>
    <n v="29054072"/>
    <n v="734212"/>
    <s v="Large"/>
    <s v="B2B"/>
    <n v="8"/>
    <n v="43.08"/>
    <n v="397474"/>
    <n v="1"/>
  </r>
  <r>
    <s v="Startup_1432"/>
    <x v="0"/>
    <n v="12"/>
    <n v="40352668"/>
    <n v="2"/>
    <n v="21"/>
    <n v="773"/>
    <n v="90141503"/>
    <n v="798708"/>
    <s v="Medium"/>
    <s v="Hybrid"/>
    <n v="6"/>
    <n v="12.87"/>
    <n v="495122"/>
    <n v="1"/>
  </r>
  <r>
    <s v="Startup_1433"/>
    <x v="6"/>
    <n v="9"/>
    <n v="9940241"/>
    <n v="2"/>
    <n v="2"/>
    <n v="586"/>
    <n v="89546926"/>
    <n v="200427"/>
    <s v="Small"/>
    <s v="Hybrid"/>
    <n v="4"/>
    <n v="98.77"/>
    <n v="640785"/>
    <n v="1"/>
  </r>
  <r>
    <s v="Startup_1434"/>
    <x v="5"/>
    <n v="2"/>
    <n v="1050715"/>
    <n v="1"/>
    <n v="13"/>
    <n v="185"/>
    <n v="18300330"/>
    <n v="159925"/>
    <s v="Medium"/>
    <s v="Hybrid"/>
    <n v="6"/>
    <n v="85.74"/>
    <n v="323487"/>
    <n v="1"/>
  </r>
  <r>
    <s v="Startup_1435"/>
    <x v="0"/>
    <n v="11"/>
    <n v="26290762"/>
    <n v="3"/>
    <n v="29"/>
    <n v="625"/>
    <n v="80445277"/>
    <n v="70531"/>
    <s v="Medium"/>
    <s v="B2C"/>
    <n v="3"/>
    <n v="83.95"/>
    <n v="347877"/>
    <n v="1"/>
  </r>
  <r>
    <s v="Startup_1436"/>
    <x v="2"/>
    <n v="5"/>
    <n v="32651733"/>
    <n v="4"/>
    <n v="11"/>
    <n v="228"/>
    <n v="54634904"/>
    <n v="532606"/>
    <s v="Large"/>
    <s v="B2B"/>
    <n v="5"/>
    <n v="98.74"/>
    <n v="922601"/>
    <n v="1"/>
  </r>
  <r>
    <s v="Startup_1437"/>
    <x v="2"/>
    <n v="7"/>
    <n v="29934931"/>
    <n v="4"/>
    <n v="6"/>
    <n v="982"/>
    <n v="92491318"/>
    <n v="197983"/>
    <s v="Medium"/>
    <s v="Hybrid"/>
    <n v="2"/>
    <n v="2.65"/>
    <n v="64340"/>
    <n v="1"/>
  </r>
  <r>
    <s v="Startup_1438"/>
    <x v="4"/>
    <n v="2"/>
    <n v="39742020"/>
    <n v="2"/>
    <n v="9"/>
    <n v="390"/>
    <n v="41770038"/>
    <n v="559470"/>
    <s v="Small"/>
    <s v="Hybrid"/>
    <n v="7"/>
    <n v="9.2899999999999991"/>
    <n v="809550"/>
    <n v="1"/>
  </r>
  <r>
    <s v="Startup_1439"/>
    <x v="3"/>
    <n v="0"/>
    <n v="406425"/>
    <n v="3"/>
    <n v="1"/>
    <n v="591"/>
    <n v="42482754"/>
    <n v="677423"/>
    <s v="Small"/>
    <s v="B2C"/>
    <n v="8"/>
    <n v="99.91"/>
    <n v="7366"/>
    <n v="1"/>
  </r>
  <r>
    <s v="Startup_1440"/>
    <x v="4"/>
    <n v="9"/>
    <n v="31179774"/>
    <n v="4"/>
    <n v="4"/>
    <n v="930"/>
    <n v="20489663"/>
    <n v="486652"/>
    <s v="Large"/>
    <s v="B2C"/>
    <n v="3"/>
    <n v="85.43"/>
    <n v="824869"/>
    <n v="1"/>
  </r>
  <r>
    <s v="Startup_1441"/>
    <x v="2"/>
    <n v="7"/>
    <n v="3276182"/>
    <n v="4"/>
    <n v="16"/>
    <n v="758"/>
    <n v="84202317"/>
    <n v="60797"/>
    <s v="Large"/>
    <s v="Hybrid"/>
    <n v="6"/>
    <n v="6.54"/>
    <n v="905857"/>
    <n v="1"/>
  </r>
  <r>
    <s v="Startup_1442"/>
    <x v="2"/>
    <n v="9"/>
    <n v="8392130"/>
    <n v="4"/>
    <n v="11"/>
    <n v="211"/>
    <n v="96538370"/>
    <n v="759699"/>
    <s v="Small"/>
    <s v="Hybrid"/>
    <n v="8"/>
    <n v="87.16"/>
    <n v="779136"/>
    <n v="1"/>
  </r>
  <r>
    <s v="Startup_1443"/>
    <x v="6"/>
    <n v="0"/>
    <n v="11150945"/>
    <n v="1"/>
    <n v="22"/>
    <n v="102"/>
    <n v="93719127"/>
    <n v="562427"/>
    <s v="Large"/>
    <s v="Hybrid"/>
    <n v="2"/>
    <n v="65.17"/>
    <n v="250467"/>
    <n v="1"/>
  </r>
  <r>
    <s v="Startup_1444"/>
    <x v="3"/>
    <n v="13"/>
    <n v="626354"/>
    <n v="4"/>
    <n v="23"/>
    <n v="677"/>
    <n v="11671185"/>
    <n v="974144"/>
    <s v="Small"/>
    <s v="B2B"/>
    <n v="8"/>
    <n v="71.42"/>
    <n v="578813"/>
    <n v="1"/>
  </r>
  <r>
    <s v="Startup_1445"/>
    <x v="3"/>
    <n v="0"/>
    <n v="15928237"/>
    <n v="4"/>
    <n v="13"/>
    <n v="659"/>
    <n v="45308891"/>
    <n v="739959"/>
    <s v="Medium"/>
    <s v="B2B"/>
    <n v="5"/>
    <n v="2.71"/>
    <n v="115502"/>
    <n v="1"/>
  </r>
  <r>
    <s v="Startup_1446"/>
    <x v="0"/>
    <n v="1"/>
    <n v="33357437"/>
    <n v="2"/>
    <n v="20"/>
    <n v="95"/>
    <n v="80288187"/>
    <n v="537990"/>
    <s v="Small"/>
    <s v="B2C"/>
    <n v="1"/>
    <n v="70.2"/>
    <n v="216854"/>
    <n v="1"/>
  </r>
  <r>
    <s v="Startup_1447"/>
    <x v="2"/>
    <n v="1"/>
    <n v="40255455"/>
    <n v="2"/>
    <n v="24"/>
    <n v="54"/>
    <n v="39843012"/>
    <n v="628301"/>
    <s v="Medium"/>
    <s v="Hybrid"/>
    <n v="6"/>
    <n v="65.959999999999994"/>
    <n v="755124"/>
    <n v="1"/>
  </r>
  <r>
    <s v="Startup_1448"/>
    <x v="1"/>
    <n v="7"/>
    <n v="37731201"/>
    <n v="1"/>
    <n v="24"/>
    <n v="336"/>
    <n v="77405769"/>
    <n v="964678"/>
    <s v="Medium"/>
    <s v="B2C"/>
    <n v="4"/>
    <n v="86.99"/>
    <n v="506167"/>
    <n v="1"/>
  </r>
  <r>
    <s v="Startup_1449"/>
    <x v="3"/>
    <n v="1"/>
    <n v="5248532"/>
    <n v="3"/>
    <n v="28"/>
    <n v="547"/>
    <n v="49086270"/>
    <n v="866146"/>
    <s v="Medium"/>
    <s v="B2C"/>
    <n v="2"/>
    <n v="76.64"/>
    <n v="242603"/>
    <n v="1"/>
  </r>
  <r>
    <s v="Startup_1450"/>
    <x v="1"/>
    <n v="0"/>
    <n v="27459059"/>
    <n v="4"/>
    <n v="4"/>
    <n v="948"/>
    <n v="53306492"/>
    <n v="927176"/>
    <s v="Large"/>
    <s v="Hybrid"/>
    <n v="2"/>
    <n v="42.71"/>
    <n v="202747"/>
    <n v="1"/>
  </r>
  <r>
    <s v="Startup_1451"/>
    <x v="4"/>
    <n v="9"/>
    <n v="30360836"/>
    <n v="4"/>
    <n v="15"/>
    <n v="76"/>
    <n v="82918557"/>
    <n v="88392"/>
    <s v="Small"/>
    <s v="B2B"/>
    <n v="1"/>
    <n v="29.59"/>
    <n v="542647"/>
    <n v="1"/>
  </r>
  <r>
    <s v="Startup_1452"/>
    <x v="0"/>
    <n v="14"/>
    <n v="408189"/>
    <n v="4"/>
    <n v="24"/>
    <n v="976"/>
    <n v="9982082"/>
    <n v="755542"/>
    <s v="Large"/>
    <s v="B2B"/>
    <n v="4"/>
    <n v="81.99"/>
    <n v="662351"/>
    <n v="1"/>
  </r>
  <r>
    <s v="Startup_1453"/>
    <x v="3"/>
    <n v="13"/>
    <n v="35637560"/>
    <n v="1"/>
    <n v="10"/>
    <n v="817"/>
    <n v="30538463"/>
    <n v="968937"/>
    <s v="Small"/>
    <s v="B2C"/>
    <n v="3"/>
    <n v="4.57"/>
    <n v="467120"/>
    <n v="1"/>
  </r>
  <r>
    <s v="Startup_1454"/>
    <x v="4"/>
    <n v="14"/>
    <n v="25331883"/>
    <n v="2"/>
    <n v="7"/>
    <n v="869"/>
    <n v="836771"/>
    <n v="969436"/>
    <s v="Large"/>
    <s v="B2C"/>
    <n v="8"/>
    <n v="39.58"/>
    <n v="352849"/>
    <n v="1"/>
  </r>
  <r>
    <s v="Startup_1455"/>
    <x v="5"/>
    <n v="5"/>
    <n v="15597730"/>
    <n v="4"/>
    <n v="13"/>
    <n v="850"/>
    <n v="30239967"/>
    <n v="606604"/>
    <s v="Large"/>
    <s v="Hybrid"/>
    <n v="5"/>
    <n v="37.42"/>
    <n v="456120"/>
    <n v="1"/>
  </r>
  <r>
    <s v="Startup_1456"/>
    <x v="4"/>
    <n v="0"/>
    <n v="1362532"/>
    <n v="2"/>
    <n v="3"/>
    <n v="9"/>
    <n v="29388371"/>
    <n v="937404"/>
    <s v="Small"/>
    <s v="B2B"/>
    <n v="3"/>
    <n v="58.67"/>
    <n v="540226"/>
    <n v="1"/>
  </r>
  <r>
    <s v="Startup_1457"/>
    <x v="2"/>
    <n v="4"/>
    <n v="25223682"/>
    <n v="3"/>
    <n v="19"/>
    <n v="852"/>
    <n v="92452652"/>
    <n v="76240"/>
    <s v="Large"/>
    <s v="Hybrid"/>
    <n v="7"/>
    <n v="17.87"/>
    <n v="778274"/>
    <n v="1"/>
  </r>
  <r>
    <s v="Startup_1458"/>
    <x v="0"/>
    <n v="11"/>
    <n v="7012732"/>
    <n v="3"/>
    <n v="13"/>
    <n v="682"/>
    <n v="25736692"/>
    <n v="468599"/>
    <s v="Large"/>
    <s v="B2B"/>
    <n v="6"/>
    <n v="35.9"/>
    <n v="804751"/>
    <n v="1"/>
  </r>
  <r>
    <s v="Startup_1459"/>
    <x v="3"/>
    <n v="3"/>
    <n v="1924599"/>
    <n v="4"/>
    <n v="19"/>
    <n v="586"/>
    <n v="87896393"/>
    <n v="854637"/>
    <s v="Medium"/>
    <s v="Hybrid"/>
    <n v="7"/>
    <n v="40.56"/>
    <n v="147323"/>
    <n v="1"/>
  </r>
  <r>
    <s v="Startup_1460"/>
    <x v="2"/>
    <n v="7"/>
    <n v="24440437"/>
    <n v="2"/>
    <n v="4"/>
    <n v="298"/>
    <n v="63632604"/>
    <n v="70302"/>
    <s v="Large"/>
    <s v="B2B"/>
    <n v="6"/>
    <n v="17.93"/>
    <n v="973206"/>
    <n v="1"/>
  </r>
  <r>
    <s v="Startup_1461"/>
    <x v="4"/>
    <n v="8"/>
    <n v="45748733"/>
    <n v="4"/>
    <n v="19"/>
    <n v="710"/>
    <n v="25521195"/>
    <n v="154016"/>
    <s v="Medium"/>
    <s v="B2C"/>
    <n v="7"/>
    <n v="75.3"/>
    <n v="235056"/>
    <n v="1"/>
  </r>
  <r>
    <s v="Startup_1462"/>
    <x v="4"/>
    <n v="3"/>
    <n v="5328022"/>
    <n v="2"/>
    <n v="0"/>
    <n v="461"/>
    <n v="42418829"/>
    <n v="470015"/>
    <s v="Medium"/>
    <s v="B2C"/>
    <n v="1"/>
    <n v="14.47"/>
    <n v="971299"/>
    <n v="1"/>
  </r>
  <r>
    <s v="Startup_1463"/>
    <x v="5"/>
    <n v="9"/>
    <n v="26196292"/>
    <n v="2"/>
    <n v="5"/>
    <n v="540"/>
    <n v="2923300"/>
    <n v="203314"/>
    <s v="Small"/>
    <s v="B2B"/>
    <n v="2"/>
    <n v="37.68"/>
    <n v="448182"/>
    <n v="1"/>
  </r>
  <r>
    <s v="Startup_1464"/>
    <x v="0"/>
    <n v="9"/>
    <n v="27904706"/>
    <n v="4"/>
    <n v="1"/>
    <n v="426"/>
    <n v="40195368"/>
    <n v="899840"/>
    <s v="Large"/>
    <s v="B2C"/>
    <n v="5"/>
    <n v="27.64"/>
    <n v="592287"/>
    <n v="1"/>
  </r>
  <r>
    <s v="Startup_1465"/>
    <x v="6"/>
    <n v="3"/>
    <n v="30162456"/>
    <n v="3"/>
    <n v="3"/>
    <n v="892"/>
    <n v="10943985"/>
    <n v="470373"/>
    <s v="Small"/>
    <s v="B2B"/>
    <n v="4"/>
    <n v="1.1100000000000001"/>
    <n v="289597"/>
    <n v="1"/>
  </r>
  <r>
    <s v="Startup_1466"/>
    <x v="5"/>
    <n v="13"/>
    <n v="17261764"/>
    <n v="1"/>
    <n v="2"/>
    <n v="214"/>
    <n v="8939956"/>
    <n v="546534"/>
    <s v="Large"/>
    <s v="Hybrid"/>
    <n v="3"/>
    <n v="42.31"/>
    <n v="713134"/>
    <n v="1"/>
  </r>
  <r>
    <s v="Startup_1467"/>
    <x v="5"/>
    <n v="8"/>
    <n v="6106439"/>
    <n v="2"/>
    <n v="16"/>
    <n v="511"/>
    <n v="54056126"/>
    <n v="349069"/>
    <s v="Small"/>
    <s v="Hybrid"/>
    <n v="2"/>
    <n v="4.88"/>
    <n v="770065"/>
    <n v="1"/>
  </r>
  <r>
    <s v="Startup_1468"/>
    <x v="0"/>
    <n v="10"/>
    <n v="23216715"/>
    <n v="1"/>
    <n v="11"/>
    <n v="441"/>
    <n v="74964757"/>
    <n v="320311"/>
    <s v="Medium"/>
    <s v="B2C"/>
    <n v="3"/>
    <n v="40.020000000000003"/>
    <n v="823674"/>
    <n v="1"/>
  </r>
  <r>
    <s v="Startup_1469"/>
    <x v="3"/>
    <n v="2"/>
    <n v="32200867"/>
    <n v="3"/>
    <n v="13"/>
    <n v="646"/>
    <n v="72570589"/>
    <n v="538364"/>
    <s v="Large"/>
    <s v="B2B"/>
    <n v="9"/>
    <n v="92.9"/>
    <n v="801087"/>
    <n v="1"/>
  </r>
  <r>
    <s v="Startup_1470"/>
    <x v="0"/>
    <n v="14"/>
    <n v="4893638"/>
    <n v="1"/>
    <n v="27"/>
    <n v="620"/>
    <n v="25559970"/>
    <n v="217711"/>
    <s v="Medium"/>
    <s v="B2B"/>
    <n v="7"/>
    <n v="34.020000000000003"/>
    <n v="558832"/>
    <n v="1"/>
  </r>
  <r>
    <s v="Startup_1471"/>
    <x v="1"/>
    <n v="14"/>
    <n v="47812716"/>
    <n v="3"/>
    <n v="19"/>
    <n v="856"/>
    <n v="94118011"/>
    <n v="278842"/>
    <s v="Large"/>
    <s v="B2C"/>
    <n v="1"/>
    <n v="68.58"/>
    <n v="782984"/>
    <n v="1"/>
  </r>
  <r>
    <s v="Startup_1472"/>
    <x v="6"/>
    <n v="5"/>
    <n v="36404843"/>
    <n v="4"/>
    <n v="19"/>
    <n v="944"/>
    <n v="89930363"/>
    <n v="496204"/>
    <s v="Small"/>
    <s v="B2B"/>
    <n v="4"/>
    <n v="9.94"/>
    <n v="639496"/>
    <n v="1"/>
  </r>
  <r>
    <s v="Startup_1473"/>
    <x v="4"/>
    <n v="12"/>
    <n v="4759464"/>
    <n v="1"/>
    <n v="22"/>
    <n v="583"/>
    <n v="32386020"/>
    <n v="510332"/>
    <s v="Small"/>
    <s v="B2B"/>
    <n v="5"/>
    <n v="86.47"/>
    <n v="382642"/>
    <n v="1"/>
  </r>
  <r>
    <s v="Startup_1474"/>
    <x v="1"/>
    <n v="9"/>
    <n v="46389138"/>
    <n v="4"/>
    <n v="28"/>
    <n v="722"/>
    <n v="84613925"/>
    <n v="161959"/>
    <s v="Small"/>
    <s v="Hybrid"/>
    <n v="4"/>
    <n v="73.61"/>
    <n v="874751"/>
    <n v="1"/>
  </r>
  <r>
    <s v="Startup_1475"/>
    <x v="1"/>
    <n v="3"/>
    <n v="49341495"/>
    <n v="1"/>
    <n v="18"/>
    <n v="60"/>
    <n v="52448050"/>
    <n v="87474"/>
    <s v="Small"/>
    <s v="Hybrid"/>
    <n v="4"/>
    <n v="58.75"/>
    <n v="86174"/>
    <n v="1"/>
  </r>
  <r>
    <s v="Startup_1476"/>
    <x v="2"/>
    <n v="13"/>
    <n v="7756514"/>
    <n v="2"/>
    <n v="14"/>
    <n v="513"/>
    <n v="96224635"/>
    <n v="227390"/>
    <s v="Small"/>
    <s v="B2B"/>
    <n v="3"/>
    <n v="32.54"/>
    <n v="90439"/>
    <n v="1"/>
  </r>
  <r>
    <s v="Startup_1477"/>
    <x v="3"/>
    <n v="5"/>
    <n v="2430357"/>
    <n v="3"/>
    <n v="16"/>
    <n v="810"/>
    <n v="95548259"/>
    <n v="540495"/>
    <s v="Medium"/>
    <s v="B2B"/>
    <n v="3"/>
    <n v="39.36"/>
    <n v="982001"/>
    <n v="1"/>
  </r>
  <r>
    <s v="Startup_1478"/>
    <x v="0"/>
    <n v="8"/>
    <n v="23952846"/>
    <n v="2"/>
    <n v="3"/>
    <n v="532"/>
    <n v="72522964"/>
    <n v="477231"/>
    <s v="Medium"/>
    <s v="Hybrid"/>
    <n v="7"/>
    <n v="43.73"/>
    <n v="654958"/>
    <n v="1"/>
  </r>
  <r>
    <s v="Startup_1479"/>
    <x v="3"/>
    <n v="8"/>
    <n v="45866064"/>
    <n v="3"/>
    <n v="27"/>
    <n v="917"/>
    <n v="27781680"/>
    <n v="28701"/>
    <s v="Small"/>
    <s v="B2B"/>
    <n v="1"/>
    <n v="46.95"/>
    <n v="451434"/>
    <n v="1"/>
  </r>
  <r>
    <s v="Startup_1480"/>
    <x v="3"/>
    <n v="13"/>
    <n v="22915360"/>
    <n v="2"/>
    <n v="29"/>
    <n v="511"/>
    <n v="74936593"/>
    <n v="665467"/>
    <s v="Small"/>
    <s v="B2C"/>
    <n v="1"/>
    <n v="16.89"/>
    <n v="197634"/>
    <n v="1"/>
  </r>
  <r>
    <s v="Startup_1481"/>
    <x v="4"/>
    <n v="4"/>
    <n v="17957915"/>
    <n v="1"/>
    <n v="5"/>
    <n v="199"/>
    <n v="14895286"/>
    <n v="887364"/>
    <s v="Small"/>
    <s v="B2C"/>
    <n v="4"/>
    <n v="82.15"/>
    <n v="892612"/>
    <n v="1"/>
  </r>
  <r>
    <s v="Startup_1482"/>
    <x v="4"/>
    <n v="2"/>
    <n v="12994781"/>
    <n v="4"/>
    <n v="5"/>
    <n v="339"/>
    <n v="99701990"/>
    <n v="559260"/>
    <s v="Medium"/>
    <s v="B2C"/>
    <n v="1"/>
    <n v="87.34"/>
    <n v="193334"/>
    <n v="1"/>
  </r>
  <r>
    <s v="Startup_1483"/>
    <x v="2"/>
    <n v="7"/>
    <n v="47633468"/>
    <n v="4"/>
    <n v="18"/>
    <n v="968"/>
    <n v="68171888"/>
    <n v="881967"/>
    <s v="Small"/>
    <s v="B2B"/>
    <n v="3"/>
    <n v="30.4"/>
    <n v="941804"/>
    <n v="1"/>
  </r>
  <r>
    <s v="Startup_1484"/>
    <x v="6"/>
    <n v="9"/>
    <n v="47916908"/>
    <n v="2"/>
    <n v="3"/>
    <n v="672"/>
    <n v="81365626"/>
    <n v="30838"/>
    <s v="Small"/>
    <s v="B2C"/>
    <n v="8"/>
    <n v="64.17"/>
    <n v="423518"/>
    <n v="1"/>
  </r>
  <r>
    <s v="Startup_1485"/>
    <x v="3"/>
    <n v="3"/>
    <n v="30233375"/>
    <n v="1"/>
    <n v="10"/>
    <n v="610"/>
    <n v="75136854"/>
    <n v="662797"/>
    <s v="Medium"/>
    <s v="B2C"/>
    <n v="6"/>
    <n v="40.43"/>
    <n v="623388"/>
    <n v="1"/>
  </r>
  <r>
    <s v="Startup_1486"/>
    <x v="2"/>
    <n v="12"/>
    <n v="27958441"/>
    <n v="1"/>
    <n v="11"/>
    <n v="890"/>
    <n v="52413091"/>
    <n v="304356"/>
    <s v="Large"/>
    <s v="B2C"/>
    <n v="9"/>
    <n v="37.22"/>
    <n v="203577"/>
    <n v="1"/>
  </r>
  <r>
    <s v="Startup_1487"/>
    <x v="4"/>
    <n v="2"/>
    <n v="36136865"/>
    <n v="3"/>
    <n v="12"/>
    <n v="731"/>
    <n v="49338166"/>
    <n v="248305"/>
    <s v="Large"/>
    <s v="B2B"/>
    <n v="5"/>
    <n v="81.41"/>
    <n v="517586"/>
    <n v="1"/>
  </r>
  <r>
    <s v="Startup_1488"/>
    <x v="4"/>
    <n v="3"/>
    <n v="22879893"/>
    <n v="1"/>
    <n v="17"/>
    <n v="486"/>
    <n v="81014975"/>
    <n v="46902"/>
    <s v="Large"/>
    <s v="B2B"/>
    <n v="2"/>
    <n v="47.92"/>
    <n v="893625"/>
    <n v="1"/>
  </r>
  <r>
    <s v="Startup_1489"/>
    <x v="0"/>
    <n v="2"/>
    <n v="5946312"/>
    <n v="2"/>
    <n v="13"/>
    <n v="957"/>
    <n v="12181796"/>
    <n v="569359"/>
    <s v="Small"/>
    <s v="Hybrid"/>
    <n v="6"/>
    <n v="85.2"/>
    <n v="914788"/>
    <n v="1"/>
  </r>
  <r>
    <s v="Startup_1490"/>
    <x v="3"/>
    <n v="5"/>
    <n v="4853687"/>
    <n v="2"/>
    <n v="17"/>
    <n v="142"/>
    <n v="36082014"/>
    <n v="434583"/>
    <s v="Small"/>
    <s v="B2C"/>
    <n v="4"/>
    <n v="58.54"/>
    <n v="336524"/>
    <n v="1"/>
  </r>
  <r>
    <s v="Startup_1491"/>
    <x v="6"/>
    <n v="1"/>
    <n v="7394208"/>
    <n v="2"/>
    <n v="3"/>
    <n v="58"/>
    <n v="27115711"/>
    <n v="366314"/>
    <s v="Large"/>
    <s v="B2C"/>
    <n v="4"/>
    <n v="39.03"/>
    <n v="797570"/>
    <n v="1"/>
  </r>
  <r>
    <s v="Startup_1492"/>
    <x v="5"/>
    <n v="5"/>
    <n v="38564126"/>
    <n v="2"/>
    <n v="16"/>
    <n v="595"/>
    <n v="99282783"/>
    <n v="212914"/>
    <s v="Small"/>
    <s v="B2B"/>
    <n v="4"/>
    <n v="60.37"/>
    <n v="26742"/>
    <n v="1"/>
  </r>
  <r>
    <s v="Startup_1493"/>
    <x v="2"/>
    <n v="11"/>
    <n v="40739061"/>
    <n v="4"/>
    <n v="12"/>
    <n v="894"/>
    <n v="80457326"/>
    <n v="143539"/>
    <s v="Medium"/>
    <s v="Hybrid"/>
    <n v="9"/>
    <n v="62.15"/>
    <n v="819531"/>
    <n v="1"/>
  </r>
  <r>
    <s v="Startup_1494"/>
    <x v="4"/>
    <n v="7"/>
    <n v="40566647"/>
    <n v="3"/>
    <n v="15"/>
    <n v="96"/>
    <n v="61374349"/>
    <n v="940896"/>
    <s v="Small"/>
    <s v="Hybrid"/>
    <n v="9"/>
    <n v="84.65"/>
    <n v="296186"/>
    <n v="1"/>
  </r>
  <r>
    <s v="Startup_1495"/>
    <x v="2"/>
    <n v="11"/>
    <n v="20754188"/>
    <n v="3"/>
    <n v="18"/>
    <n v="634"/>
    <n v="97462127"/>
    <n v="584340"/>
    <s v="Large"/>
    <s v="B2B"/>
    <n v="9"/>
    <n v="59.88"/>
    <n v="770062"/>
    <n v="1"/>
  </r>
  <r>
    <s v="Startup_1496"/>
    <x v="5"/>
    <n v="4"/>
    <n v="46421478"/>
    <n v="3"/>
    <n v="6"/>
    <n v="412"/>
    <n v="73357945"/>
    <n v="447737"/>
    <s v="Medium"/>
    <s v="B2C"/>
    <n v="4"/>
    <n v="4.12"/>
    <n v="505323"/>
    <n v="1"/>
  </r>
  <r>
    <s v="Startup_1497"/>
    <x v="6"/>
    <n v="11"/>
    <n v="30326533"/>
    <n v="4"/>
    <n v="23"/>
    <n v="275"/>
    <n v="99704022"/>
    <n v="52592"/>
    <s v="Large"/>
    <s v="B2C"/>
    <n v="5"/>
    <n v="51.94"/>
    <n v="456131"/>
    <n v="1"/>
  </r>
  <r>
    <s v="Startup_1498"/>
    <x v="5"/>
    <n v="9"/>
    <n v="1346830"/>
    <n v="2"/>
    <n v="28"/>
    <n v="376"/>
    <n v="81101573"/>
    <n v="281973"/>
    <s v="Medium"/>
    <s v="Hybrid"/>
    <n v="4"/>
    <n v="46.39"/>
    <n v="520591"/>
    <n v="1"/>
  </r>
  <r>
    <s v="Startup_1499"/>
    <x v="4"/>
    <n v="10"/>
    <n v="19840158"/>
    <n v="1"/>
    <n v="0"/>
    <n v="155"/>
    <n v="70661226"/>
    <n v="155552"/>
    <s v="Small"/>
    <s v="B2B"/>
    <n v="7"/>
    <n v="16.96"/>
    <n v="31285"/>
    <n v="1"/>
  </r>
  <r>
    <s v="Startup_1500"/>
    <x v="2"/>
    <n v="11"/>
    <n v="23965658"/>
    <n v="1"/>
    <n v="1"/>
    <n v="977"/>
    <n v="53153642"/>
    <n v="834169"/>
    <s v="Large"/>
    <s v="Hybrid"/>
    <n v="5"/>
    <n v="41.38"/>
    <n v="488842"/>
    <n v="1"/>
  </r>
  <r>
    <s v="Startup_1501"/>
    <x v="4"/>
    <n v="13"/>
    <n v="9873906"/>
    <n v="1"/>
    <n v="0"/>
    <n v="315"/>
    <n v="78479681"/>
    <n v="224974"/>
    <s v="Large"/>
    <s v="B2B"/>
    <n v="3"/>
    <n v="85.45"/>
    <n v="801157"/>
    <n v="1"/>
  </r>
  <r>
    <s v="Startup_1502"/>
    <x v="5"/>
    <n v="13"/>
    <n v="36528007"/>
    <n v="1"/>
    <n v="15"/>
    <n v="970"/>
    <n v="95166672"/>
    <n v="699876"/>
    <s v="Medium"/>
    <s v="Hybrid"/>
    <n v="3"/>
    <n v="31.26"/>
    <n v="204840"/>
    <n v="1"/>
  </r>
  <r>
    <s v="Startup_1503"/>
    <x v="6"/>
    <n v="10"/>
    <n v="5339719"/>
    <n v="1"/>
    <n v="21"/>
    <n v="25"/>
    <n v="6514227"/>
    <n v="319880"/>
    <s v="Medium"/>
    <s v="B2C"/>
    <n v="2"/>
    <n v="19.41"/>
    <n v="793958"/>
    <n v="1"/>
  </r>
  <r>
    <s v="Startup_1504"/>
    <x v="2"/>
    <n v="5"/>
    <n v="30904668"/>
    <n v="3"/>
    <n v="9"/>
    <n v="469"/>
    <n v="32833345"/>
    <n v="731843"/>
    <s v="Small"/>
    <s v="Hybrid"/>
    <n v="1"/>
    <n v="62.35"/>
    <n v="677616"/>
    <n v="1"/>
  </r>
  <r>
    <s v="Startup_1505"/>
    <x v="4"/>
    <n v="14"/>
    <n v="1176090"/>
    <n v="4"/>
    <n v="7"/>
    <n v="827"/>
    <n v="33336259"/>
    <n v="362265"/>
    <s v="Medium"/>
    <s v="B2C"/>
    <n v="3"/>
    <n v="32.979999999999997"/>
    <n v="484007"/>
    <n v="1"/>
  </r>
  <r>
    <s v="Startup_1506"/>
    <x v="3"/>
    <n v="2"/>
    <n v="5274701"/>
    <n v="4"/>
    <n v="14"/>
    <n v="356"/>
    <n v="79984686"/>
    <n v="104282"/>
    <s v="Large"/>
    <s v="B2C"/>
    <n v="7"/>
    <n v="31.59"/>
    <n v="422675"/>
    <n v="1"/>
  </r>
  <r>
    <s v="Startup_1507"/>
    <x v="2"/>
    <n v="7"/>
    <n v="7323280"/>
    <n v="4"/>
    <n v="8"/>
    <n v="35"/>
    <n v="85897860"/>
    <n v="609338"/>
    <s v="Small"/>
    <s v="B2B"/>
    <n v="8"/>
    <n v="93.4"/>
    <n v="481855"/>
    <n v="1"/>
  </r>
  <r>
    <s v="Startup_1508"/>
    <x v="5"/>
    <n v="0"/>
    <n v="15704281"/>
    <n v="2"/>
    <n v="3"/>
    <n v="230"/>
    <n v="61465512"/>
    <n v="44193"/>
    <s v="Small"/>
    <s v="Hybrid"/>
    <n v="8"/>
    <n v="1.66"/>
    <n v="794830"/>
    <n v="1"/>
  </r>
  <r>
    <s v="Startup_1509"/>
    <x v="1"/>
    <n v="8"/>
    <n v="40682894"/>
    <n v="1"/>
    <n v="13"/>
    <n v="692"/>
    <n v="37628191"/>
    <n v="523192"/>
    <s v="Small"/>
    <s v="Hybrid"/>
    <n v="7"/>
    <n v="38.42"/>
    <n v="742310"/>
    <n v="1"/>
  </r>
  <r>
    <s v="Startup_1510"/>
    <x v="0"/>
    <n v="12"/>
    <n v="36775212"/>
    <n v="4"/>
    <n v="29"/>
    <n v="597"/>
    <n v="64073204"/>
    <n v="743292"/>
    <s v="Large"/>
    <s v="Hybrid"/>
    <n v="8"/>
    <n v="33.15"/>
    <n v="540358"/>
    <n v="1"/>
  </r>
  <r>
    <s v="Startup_1511"/>
    <x v="4"/>
    <n v="5"/>
    <n v="10930385"/>
    <n v="4"/>
    <n v="28"/>
    <n v="904"/>
    <n v="97548413"/>
    <n v="851071"/>
    <s v="Large"/>
    <s v="B2C"/>
    <n v="7"/>
    <n v="90.71"/>
    <n v="9035"/>
    <n v="1"/>
  </r>
  <r>
    <s v="Startup_1512"/>
    <x v="3"/>
    <n v="5"/>
    <n v="21181820"/>
    <n v="1"/>
    <n v="23"/>
    <n v="803"/>
    <n v="87152378"/>
    <n v="703854"/>
    <s v="Small"/>
    <s v="B2C"/>
    <n v="8"/>
    <n v="2.44"/>
    <n v="740635"/>
    <n v="1"/>
  </r>
  <r>
    <s v="Startup_1513"/>
    <x v="1"/>
    <n v="12"/>
    <n v="13252731"/>
    <n v="1"/>
    <n v="6"/>
    <n v="978"/>
    <n v="23993516"/>
    <n v="664825"/>
    <s v="Large"/>
    <s v="Hybrid"/>
    <n v="8"/>
    <n v="12.87"/>
    <n v="498781"/>
    <n v="1"/>
  </r>
  <r>
    <s v="Startup_1514"/>
    <x v="0"/>
    <n v="6"/>
    <n v="45651862"/>
    <n v="3"/>
    <n v="13"/>
    <n v="315"/>
    <n v="69997622"/>
    <n v="492709"/>
    <s v="Large"/>
    <s v="B2B"/>
    <n v="1"/>
    <n v="20.09"/>
    <n v="784587"/>
    <n v="1"/>
  </r>
  <r>
    <s v="Startup_1515"/>
    <x v="2"/>
    <n v="5"/>
    <n v="1521472"/>
    <n v="2"/>
    <n v="7"/>
    <n v="978"/>
    <n v="88294602"/>
    <n v="618377"/>
    <s v="Large"/>
    <s v="Hybrid"/>
    <n v="5"/>
    <n v="18.13"/>
    <n v="778835"/>
    <n v="1"/>
  </r>
  <r>
    <s v="Startup_1516"/>
    <x v="6"/>
    <n v="8"/>
    <n v="21597903"/>
    <n v="4"/>
    <n v="29"/>
    <n v="881"/>
    <n v="82997065"/>
    <n v="148517"/>
    <s v="Small"/>
    <s v="Hybrid"/>
    <n v="9"/>
    <n v="50.96"/>
    <n v="699994"/>
    <n v="1"/>
  </r>
  <r>
    <s v="Startup_1517"/>
    <x v="5"/>
    <n v="2"/>
    <n v="17321997"/>
    <n v="1"/>
    <n v="12"/>
    <n v="678"/>
    <n v="79621086"/>
    <n v="872392"/>
    <s v="Medium"/>
    <s v="Hybrid"/>
    <n v="3"/>
    <n v="15.42"/>
    <n v="553418"/>
    <n v="1"/>
  </r>
  <r>
    <s v="Startup_1518"/>
    <x v="5"/>
    <n v="12"/>
    <n v="11802349"/>
    <n v="2"/>
    <n v="29"/>
    <n v="972"/>
    <n v="83241999"/>
    <n v="69309"/>
    <s v="Large"/>
    <s v="B2B"/>
    <n v="6"/>
    <n v="77.69"/>
    <n v="309844"/>
    <n v="1"/>
  </r>
  <r>
    <s v="Startup_1519"/>
    <x v="6"/>
    <n v="11"/>
    <n v="1651579"/>
    <n v="2"/>
    <n v="2"/>
    <n v="819"/>
    <n v="11290237"/>
    <n v="19722"/>
    <s v="Medium"/>
    <s v="B2B"/>
    <n v="6"/>
    <n v="97.47"/>
    <n v="799377"/>
    <n v="1"/>
  </r>
  <r>
    <s v="Startup_1520"/>
    <x v="1"/>
    <n v="10"/>
    <n v="38850403"/>
    <n v="1"/>
    <n v="29"/>
    <n v="887"/>
    <n v="56040618"/>
    <n v="41505"/>
    <s v="Medium"/>
    <s v="B2B"/>
    <n v="1"/>
    <n v="87.04"/>
    <n v="760855"/>
    <n v="1"/>
  </r>
  <r>
    <s v="Startup_1521"/>
    <x v="0"/>
    <n v="4"/>
    <n v="39923499"/>
    <n v="4"/>
    <n v="18"/>
    <n v="332"/>
    <n v="54311670"/>
    <n v="529786"/>
    <s v="Medium"/>
    <s v="B2B"/>
    <n v="1"/>
    <n v="17.670000000000002"/>
    <n v="495958"/>
    <n v="1"/>
  </r>
  <r>
    <s v="Startup_1522"/>
    <x v="6"/>
    <n v="4"/>
    <n v="42394556"/>
    <n v="2"/>
    <n v="4"/>
    <n v="918"/>
    <n v="24924747"/>
    <n v="187614"/>
    <s v="Small"/>
    <s v="B2B"/>
    <n v="4"/>
    <n v="14.03"/>
    <n v="922800"/>
    <n v="1"/>
  </r>
  <r>
    <s v="Startup_1523"/>
    <x v="6"/>
    <n v="9"/>
    <n v="31798777"/>
    <n v="2"/>
    <n v="1"/>
    <n v="59"/>
    <n v="80971415"/>
    <n v="635191"/>
    <s v="Medium"/>
    <s v="B2B"/>
    <n v="9"/>
    <n v="85.46"/>
    <n v="675446"/>
    <n v="1"/>
  </r>
  <r>
    <s v="Startup_1524"/>
    <x v="5"/>
    <n v="14"/>
    <n v="10271732"/>
    <n v="3"/>
    <n v="3"/>
    <n v="660"/>
    <n v="58006718"/>
    <n v="616383"/>
    <s v="Medium"/>
    <s v="B2B"/>
    <n v="6"/>
    <n v="51.7"/>
    <n v="70972"/>
    <n v="1"/>
  </r>
  <r>
    <s v="Startup_1525"/>
    <x v="4"/>
    <n v="4"/>
    <n v="2749416"/>
    <n v="3"/>
    <n v="26"/>
    <n v="744"/>
    <n v="23032450"/>
    <n v="294842"/>
    <s v="Medium"/>
    <s v="B2B"/>
    <n v="3"/>
    <n v="4.25"/>
    <n v="144397"/>
    <n v="1"/>
  </r>
  <r>
    <s v="Startup_1526"/>
    <x v="1"/>
    <n v="1"/>
    <n v="35725505"/>
    <n v="4"/>
    <n v="7"/>
    <n v="959"/>
    <n v="60760943"/>
    <n v="560839"/>
    <s v="Small"/>
    <s v="B2B"/>
    <n v="5"/>
    <n v="5.95"/>
    <n v="740393"/>
    <n v="1"/>
  </r>
  <r>
    <s v="Startup_1527"/>
    <x v="1"/>
    <n v="4"/>
    <n v="44372653"/>
    <n v="2"/>
    <n v="14"/>
    <n v="266"/>
    <n v="81702141"/>
    <n v="78064"/>
    <s v="Small"/>
    <s v="Hybrid"/>
    <n v="7"/>
    <n v="22.53"/>
    <n v="305670"/>
    <n v="1"/>
  </r>
  <r>
    <s v="Startup_1528"/>
    <x v="5"/>
    <n v="6"/>
    <n v="7460895"/>
    <n v="1"/>
    <n v="15"/>
    <n v="600"/>
    <n v="61195859"/>
    <n v="672648"/>
    <s v="Small"/>
    <s v="Hybrid"/>
    <n v="3"/>
    <n v="22.06"/>
    <n v="451152"/>
    <n v="1"/>
  </r>
  <r>
    <s v="Startup_1529"/>
    <x v="3"/>
    <n v="2"/>
    <n v="48857917"/>
    <n v="4"/>
    <n v="24"/>
    <n v="738"/>
    <n v="26213727"/>
    <n v="796760"/>
    <s v="Medium"/>
    <s v="B2C"/>
    <n v="2"/>
    <n v="11.58"/>
    <n v="815303"/>
    <n v="1"/>
  </r>
  <r>
    <s v="Startup_1530"/>
    <x v="5"/>
    <n v="2"/>
    <n v="413067"/>
    <n v="1"/>
    <n v="27"/>
    <n v="340"/>
    <n v="24001138"/>
    <n v="445989"/>
    <s v="Small"/>
    <s v="B2B"/>
    <n v="9"/>
    <n v="66.23"/>
    <n v="205104"/>
    <n v="1"/>
  </r>
  <r>
    <s v="Startup_1531"/>
    <x v="3"/>
    <n v="9"/>
    <n v="42178379"/>
    <n v="1"/>
    <n v="26"/>
    <n v="579"/>
    <n v="69067350"/>
    <n v="500389"/>
    <s v="Large"/>
    <s v="Hybrid"/>
    <n v="8"/>
    <n v="3.61"/>
    <n v="64926"/>
    <n v="1"/>
  </r>
  <r>
    <s v="Startup_1532"/>
    <x v="1"/>
    <n v="4"/>
    <n v="43841688"/>
    <n v="2"/>
    <n v="10"/>
    <n v="808"/>
    <n v="31613031"/>
    <n v="55104"/>
    <s v="Large"/>
    <s v="B2B"/>
    <n v="1"/>
    <n v="74.290000000000006"/>
    <n v="941622"/>
    <n v="1"/>
  </r>
  <r>
    <s v="Startup_1533"/>
    <x v="1"/>
    <n v="8"/>
    <n v="13420477"/>
    <n v="2"/>
    <n v="3"/>
    <n v="482"/>
    <n v="35504637"/>
    <n v="853144"/>
    <s v="Large"/>
    <s v="B2B"/>
    <n v="4"/>
    <n v="95.22"/>
    <n v="271180"/>
    <n v="1"/>
  </r>
  <r>
    <s v="Startup_1534"/>
    <x v="6"/>
    <n v="6"/>
    <n v="25362066"/>
    <n v="4"/>
    <n v="9"/>
    <n v="582"/>
    <n v="12210560"/>
    <n v="490744"/>
    <s v="Small"/>
    <s v="B2B"/>
    <n v="6"/>
    <n v="51.11"/>
    <n v="509324"/>
    <n v="1"/>
  </r>
  <r>
    <s v="Startup_1535"/>
    <x v="1"/>
    <n v="5"/>
    <n v="2067125"/>
    <n v="1"/>
    <n v="22"/>
    <n v="640"/>
    <n v="31369050"/>
    <n v="431471"/>
    <s v="Medium"/>
    <s v="B2B"/>
    <n v="1"/>
    <n v="10.73"/>
    <n v="248077"/>
    <n v="1"/>
  </r>
  <r>
    <s v="Startup_1536"/>
    <x v="6"/>
    <n v="0"/>
    <n v="1267799"/>
    <n v="1"/>
    <n v="16"/>
    <n v="726"/>
    <n v="57067425"/>
    <n v="642307"/>
    <s v="Medium"/>
    <s v="Hybrid"/>
    <n v="5"/>
    <n v="66.98"/>
    <n v="520810"/>
    <n v="1"/>
  </r>
  <r>
    <s v="Startup_1537"/>
    <x v="2"/>
    <n v="11"/>
    <n v="35420035"/>
    <n v="2"/>
    <n v="10"/>
    <n v="470"/>
    <n v="34261703"/>
    <n v="146682"/>
    <s v="Large"/>
    <s v="B2B"/>
    <n v="9"/>
    <n v="16.21"/>
    <n v="114895"/>
    <n v="1"/>
  </r>
  <r>
    <s v="Startup_1538"/>
    <x v="4"/>
    <n v="7"/>
    <n v="30741805"/>
    <n v="2"/>
    <n v="11"/>
    <n v="959"/>
    <n v="67766683"/>
    <n v="730618"/>
    <s v="Small"/>
    <s v="Hybrid"/>
    <n v="3"/>
    <n v="57.65"/>
    <n v="719623"/>
    <n v="1"/>
  </r>
  <r>
    <s v="Startup_1539"/>
    <x v="3"/>
    <n v="9"/>
    <n v="14568492"/>
    <n v="3"/>
    <n v="21"/>
    <n v="484"/>
    <n v="94004140"/>
    <n v="266293"/>
    <s v="Small"/>
    <s v="Hybrid"/>
    <n v="8"/>
    <n v="56.08"/>
    <n v="66133"/>
    <n v="1"/>
  </r>
  <r>
    <s v="Startup_1540"/>
    <x v="2"/>
    <n v="2"/>
    <n v="34876829"/>
    <n v="2"/>
    <n v="2"/>
    <n v="196"/>
    <n v="68545147"/>
    <n v="704446"/>
    <s v="Small"/>
    <s v="Hybrid"/>
    <n v="3"/>
    <n v="71.53"/>
    <n v="537487"/>
    <n v="1"/>
  </r>
  <r>
    <s v="Startup_1541"/>
    <x v="3"/>
    <n v="1"/>
    <n v="15641295"/>
    <n v="4"/>
    <n v="29"/>
    <n v="119"/>
    <n v="87511027"/>
    <n v="406615"/>
    <s v="Medium"/>
    <s v="B2B"/>
    <n v="9"/>
    <n v="90.36"/>
    <n v="971947"/>
    <n v="1"/>
  </r>
  <r>
    <s v="Startup_1542"/>
    <x v="6"/>
    <n v="8"/>
    <n v="28699413"/>
    <n v="3"/>
    <n v="5"/>
    <n v="68"/>
    <n v="38117389"/>
    <n v="719135"/>
    <s v="Large"/>
    <s v="Hybrid"/>
    <n v="8"/>
    <n v="81.849999999999994"/>
    <n v="432254"/>
    <n v="1"/>
  </r>
  <r>
    <s v="Startup_1543"/>
    <x v="4"/>
    <n v="5"/>
    <n v="24859625"/>
    <n v="4"/>
    <n v="10"/>
    <n v="411"/>
    <n v="96369569"/>
    <n v="572141"/>
    <s v="Small"/>
    <s v="B2C"/>
    <n v="9"/>
    <n v="48.48"/>
    <n v="259447"/>
    <n v="1"/>
  </r>
  <r>
    <s v="Startup_1544"/>
    <x v="5"/>
    <n v="11"/>
    <n v="23645417"/>
    <n v="1"/>
    <n v="27"/>
    <n v="807"/>
    <n v="15781742"/>
    <n v="700808"/>
    <s v="Large"/>
    <s v="B2C"/>
    <n v="5"/>
    <n v="4.25"/>
    <n v="377262"/>
    <n v="1"/>
  </r>
  <r>
    <s v="Startup_1545"/>
    <x v="2"/>
    <n v="5"/>
    <n v="43736771"/>
    <n v="1"/>
    <n v="25"/>
    <n v="801"/>
    <n v="22240075"/>
    <n v="906019"/>
    <s v="Small"/>
    <s v="B2C"/>
    <n v="1"/>
    <n v="80.69"/>
    <n v="378353"/>
    <n v="1"/>
  </r>
  <r>
    <s v="Startup_1546"/>
    <x v="2"/>
    <n v="6"/>
    <n v="48979350"/>
    <n v="3"/>
    <n v="20"/>
    <n v="607"/>
    <n v="98978967"/>
    <n v="484980"/>
    <s v="Large"/>
    <s v="B2C"/>
    <n v="6"/>
    <n v="3.7"/>
    <n v="47795"/>
    <n v="1"/>
  </r>
  <r>
    <s v="Startup_1547"/>
    <x v="0"/>
    <n v="5"/>
    <n v="15467461"/>
    <n v="2"/>
    <n v="5"/>
    <n v="233"/>
    <n v="70752975"/>
    <n v="545237"/>
    <s v="Medium"/>
    <s v="B2B"/>
    <n v="6"/>
    <n v="11.89"/>
    <n v="749613"/>
    <n v="1"/>
  </r>
  <r>
    <s v="Startup_1548"/>
    <x v="2"/>
    <n v="9"/>
    <n v="18458089"/>
    <n v="3"/>
    <n v="18"/>
    <n v="435"/>
    <n v="63991391"/>
    <n v="519504"/>
    <s v="Small"/>
    <s v="B2C"/>
    <n v="3"/>
    <n v="17.2"/>
    <n v="486285"/>
    <n v="1"/>
  </r>
  <r>
    <s v="Startup_1549"/>
    <x v="6"/>
    <n v="1"/>
    <n v="31380738"/>
    <n v="2"/>
    <n v="5"/>
    <n v="880"/>
    <n v="84232956"/>
    <n v="923589"/>
    <s v="Small"/>
    <s v="B2C"/>
    <n v="5"/>
    <n v="5.67"/>
    <n v="725003"/>
    <n v="1"/>
  </r>
  <r>
    <s v="Startup_1550"/>
    <x v="0"/>
    <n v="6"/>
    <n v="26800559"/>
    <n v="3"/>
    <n v="24"/>
    <n v="333"/>
    <n v="16646002"/>
    <n v="908586"/>
    <s v="Large"/>
    <s v="B2B"/>
    <n v="1"/>
    <n v="27.19"/>
    <n v="687512"/>
    <n v="1"/>
  </r>
  <r>
    <s v="Startup_1551"/>
    <x v="3"/>
    <n v="10"/>
    <n v="20262747"/>
    <n v="4"/>
    <n v="19"/>
    <n v="876"/>
    <n v="75655736"/>
    <n v="308250"/>
    <s v="Small"/>
    <s v="B2B"/>
    <n v="3"/>
    <n v="28.2"/>
    <n v="341620"/>
    <n v="1"/>
  </r>
  <r>
    <s v="Startup_1552"/>
    <x v="3"/>
    <n v="1"/>
    <n v="754866"/>
    <n v="4"/>
    <n v="5"/>
    <n v="94"/>
    <n v="62212270"/>
    <n v="171573"/>
    <s v="Medium"/>
    <s v="B2B"/>
    <n v="9"/>
    <n v="7.87"/>
    <n v="963443"/>
    <n v="1"/>
  </r>
  <r>
    <s v="Startup_1553"/>
    <x v="4"/>
    <n v="12"/>
    <n v="41900482"/>
    <n v="3"/>
    <n v="18"/>
    <n v="927"/>
    <n v="55827771"/>
    <n v="42159"/>
    <s v="Small"/>
    <s v="B2C"/>
    <n v="3"/>
    <n v="55.6"/>
    <n v="912842"/>
    <n v="1"/>
  </r>
  <r>
    <s v="Startup_1554"/>
    <x v="4"/>
    <n v="10"/>
    <n v="1621823"/>
    <n v="1"/>
    <n v="9"/>
    <n v="891"/>
    <n v="98966960"/>
    <n v="665134"/>
    <s v="Small"/>
    <s v="B2B"/>
    <n v="3"/>
    <n v="23.09"/>
    <n v="182609"/>
    <n v="1"/>
  </r>
  <r>
    <s v="Startup_1555"/>
    <x v="5"/>
    <n v="14"/>
    <n v="48614096"/>
    <n v="3"/>
    <n v="22"/>
    <n v="127"/>
    <n v="21076806"/>
    <n v="944639"/>
    <s v="Small"/>
    <s v="B2C"/>
    <n v="8"/>
    <n v="98.35"/>
    <n v="604341"/>
    <n v="1"/>
  </r>
  <r>
    <s v="Startup_1556"/>
    <x v="0"/>
    <n v="5"/>
    <n v="36024148"/>
    <n v="2"/>
    <n v="10"/>
    <n v="208"/>
    <n v="82221646"/>
    <n v="338711"/>
    <s v="Small"/>
    <s v="B2B"/>
    <n v="2"/>
    <n v="74.48"/>
    <n v="285513"/>
    <n v="1"/>
  </r>
  <r>
    <s v="Startup_1557"/>
    <x v="0"/>
    <n v="1"/>
    <n v="5532762"/>
    <n v="2"/>
    <n v="9"/>
    <n v="331"/>
    <n v="22201414"/>
    <n v="36923"/>
    <s v="Medium"/>
    <s v="Hybrid"/>
    <n v="8"/>
    <n v="90.63"/>
    <n v="128316"/>
    <n v="1"/>
  </r>
  <r>
    <s v="Startup_1558"/>
    <x v="2"/>
    <n v="9"/>
    <n v="5389771"/>
    <n v="1"/>
    <n v="14"/>
    <n v="176"/>
    <n v="56075715"/>
    <n v="910801"/>
    <s v="Small"/>
    <s v="B2B"/>
    <n v="4"/>
    <n v="32.75"/>
    <n v="987925"/>
    <n v="1"/>
  </r>
  <r>
    <s v="Startup_1559"/>
    <x v="0"/>
    <n v="10"/>
    <n v="11644324"/>
    <n v="3"/>
    <n v="23"/>
    <n v="359"/>
    <n v="18996309"/>
    <n v="498883"/>
    <s v="Medium"/>
    <s v="B2C"/>
    <n v="6"/>
    <n v="79.77"/>
    <n v="777771"/>
    <n v="1"/>
  </r>
  <r>
    <s v="Startup_1560"/>
    <x v="3"/>
    <n v="2"/>
    <n v="18841959"/>
    <n v="2"/>
    <n v="12"/>
    <n v="837"/>
    <n v="58292329"/>
    <n v="635373"/>
    <s v="Small"/>
    <s v="B2B"/>
    <n v="7"/>
    <n v="41.82"/>
    <n v="15345"/>
    <n v="1"/>
  </r>
  <r>
    <s v="Startup_1561"/>
    <x v="6"/>
    <n v="6"/>
    <n v="570220"/>
    <n v="3"/>
    <n v="23"/>
    <n v="97"/>
    <n v="53545133"/>
    <n v="10411"/>
    <s v="Small"/>
    <s v="B2B"/>
    <n v="2"/>
    <n v="31.93"/>
    <n v="444793"/>
    <n v="1"/>
  </r>
  <r>
    <s v="Startup_1562"/>
    <x v="0"/>
    <n v="7"/>
    <n v="19492929"/>
    <n v="4"/>
    <n v="18"/>
    <n v="662"/>
    <n v="88614536"/>
    <n v="552786"/>
    <s v="Small"/>
    <s v="B2C"/>
    <n v="3"/>
    <n v="5.38"/>
    <n v="120605"/>
    <n v="1"/>
  </r>
  <r>
    <s v="Startup_1563"/>
    <x v="0"/>
    <n v="8"/>
    <n v="18490681"/>
    <n v="4"/>
    <n v="2"/>
    <n v="854"/>
    <n v="90602704"/>
    <n v="12235"/>
    <s v="Medium"/>
    <s v="Hybrid"/>
    <n v="5"/>
    <n v="20.91"/>
    <n v="923382"/>
    <n v="1"/>
  </r>
  <r>
    <s v="Startup_1564"/>
    <x v="3"/>
    <n v="13"/>
    <n v="28428479"/>
    <n v="4"/>
    <n v="27"/>
    <n v="906"/>
    <n v="23835406"/>
    <n v="800623"/>
    <s v="Large"/>
    <s v="Hybrid"/>
    <n v="2"/>
    <n v="95.49"/>
    <n v="7225"/>
    <n v="1"/>
  </r>
  <r>
    <s v="Startup_1565"/>
    <x v="4"/>
    <n v="0"/>
    <n v="4163356"/>
    <n v="1"/>
    <n v="27"/>
    <n v="504"/>
    <n v="7064382"/>
    <n v="868370"/>
    <s v="Small"/>
    <s v="B2B"/>
    <n v="7"/>
    <n v="66.38"/>
    <n v="191083"/>
    <n v="1"/>
  </r>
  <r>
    <s v="Startup_1566"/>
    <x v="3"/>
    <n v="10"/>
    <n v="29044329"/>
    <n v="2"/>
    <n v="29"/>
    <n v="525"/>
    <n v="10365857"/>
    <n v="471335"/>
    <s v="Large"/>
    <s v="B2C"/>
    <n v="7"/>
    <n v="27.77"/>
    <n v="198020"/>
    <n v="1"/>
  </r>
  <r>
    <s v="Startup_1567"/>
    <x v="4"/>
    <n v="7"/>
    <n v="1776770"/>
    <n v="3"/>
    <n v="19"/>
    <n v="961"/>
    <n v="67274923"/>
    <n v="899331"/>
    <s v="Medium"/>
    <s v="B2B"/>
    <n v="5"/>
    <n v="61.59"/>
    <n v="759099"/>
    <n v="1"/>
  </r>
  <r>
    <s v="Startup_1568"/>
    <x v="2"/>
    <n v="3"/>
    <n v="18617047"/>
    <n v="4"/>
    <n v="6"/>
    <n v="256"/>
    <n v="19235952"/>
    <n v="753768"/>
    <s v="Small"/>
    <s v="B2C"/>
    <n v="3"/>
    <n v="38.82"/>
    <n v="226387"/>
    <n v="1"/>
  </r>
  <r>
    <s v="Startup_1569"/>
    <x v="4"/>
    <n v="4"/>
    <n v="42770522"/>
    <n v="4"/>
    <n v="26"/>
    <n v="68"/>
    <n v="87394065"/>
    <n v="575290"/>
    <s v="Small"/>
    <s v="B2C"/>
    <n v="4"/>
    <n v="95.83"/>
    <n v="950204"/>
    <n v="1"/>
  </r>
  <r>
    <s v="Startup_1570"/>
    <x v="0"/>
    <n v="9"/>
    <n v="48003483"/>
    <n v="3"/>
    <n v="14"/>
    <n v="940"/>
    <n v="95483921"/>
    <n v="734433"/>
    <s v="Large"/>
    <s v="B2C"/>
    <n v="4"/>
    <n v="27.73"/>
    <n v="139533"/>
    <n v="1"/>
  </r>
  <r>
    <s v="Startup_1571"/>
    <x v="1"/>
    <n v="10"/>
    <n v="1888930"/>
    <n v="4"/>
    <n v="11"/>
    <n v="345"/>
    <n v="53731780"/>
    <n v="717411"/>
    <s v="Large"/>
    <s v="B2C"/>
    <n v="1"/>
    <n v="72.48"/>
    <n v="236725"/>
    <n v="1"/>
  </r>
  <r>
    <s v="Startup_1572"/>
    <x v="4"/>
    <n v="0"/>
    <n v="12617874"/>
    <n v="3"/>
    <n v="16"/>
    <n v="170"/>
    <n v="28107698"/>
    <n v="624025"/>
    <s v="Medium"/>
    <s v="Hybrid"/>
    <n v="3"/>
    <n v="91.91"/>
    <n v="873869"/>
    <n v="1"/>
  </r>
  <r>
    <s v="Startup_1573"/>
    <x v="2"/>
    <n v="1"/>
    <n v="16875966"/>
    <n v="4"/>
    <n v="22"/>
    <n v="921"/>
    <n v="72469115"/>
    <n v="837630"/>
    <s v="Large"/>
    <s v="B2B"/>
    <n v="4"/>
    <n v="77.2"/>
    <n v="318129"/>
    <n v="1"/>
  </r>
  <r>
    <s v="Startup_1574"/>
    <x v="2"/>
    <n v="1"/>
    <n v="20086754"/>
    <n v="3"/>
    <n v="20"/>
    <n v="151"/>
    <n v="77144316"/>
    <n v="14048"/>
    <s v="Small"/>
    <s v="B2C"/>
    <n v="9"/>
    <n v="74.099999999999994"/>
    <n v="52392"/>
    <n v="1"/>
  </r>
  <r>
    <s v="Startup_1575"/>
    <x v="1"/>
    <n v="8"/>
    <n v="48531287"/>
    <n v="2"/>
    <n v="3"/>
    <n v="283"/>
    <n v="69174207"/>
    <n v="957302"/>
    <s v="Medium"/>
    <s v="B2C"/>
    <n v="9"/>
    <n v="3.2"/>
    <n v="283612"/>
    <n v="1"/>
  </r>
  <r>
    <s v="Startup_1576"/>
    <x v="0"/>
    <n v="5"/>
    <n v="20062771"/>
    <n v="1"/>
    <n v="16"/>
    <n v="47"/>
    <n v="82744562"/>
    <n v="542030"/>
    <s v="Large"/>
    <s v="Hybrid"/>
    <n v="6"/>
    <n v="59.45"/>
    <n v="353728"/>
    <n v="1"/>
  </r>
  <r>
    <s v="Startup_1577"/>
    <x v="1"/>
    <n v="1"/>
    <n v="26155083"/>
    <n v="3"/>
    <n v="6"/>
    <n v="266"/>
    <n v="46827918"/>
    <n v="75933"/>
    <s v="Large"/>
    <s v="Hybrid"/>
    <n v="8"/>
    <n v="36.57"/>
    <n v="452243"/>
    <n v="1"/>
  </r>
  <r>
    <s v="Startup_1578"/>
    <x v="1"/>
    <n v="5"/>
    <n v="20107396"/>
    <n v="1"/>
    <n v="10"/>
    <n v="126"/>
    <n v="8499893"/>
    <n v="677922"/>
    <s v="Small"/>
    <s v="B2C"/>
    <n v="7"/>
    <n v="79.790000000000006"/>
    <n v="304507"/>
    <n v="1"/>
  </r>
  <r>
    <s v="Startup_1579"/>
    <x v="6"/>
    <n v="6"/>
    <n v="17348468"/>
    <n v="4"/>
    <n v="15"/>
    <n v="918"/>
    <n v="62688209"/>
    <n v="634909"/>
    <s v="Small"/>
    <s v="Hybrid"/>
    <n v="9"/>
    <n v="6.26"/>
    <n v="419925"/>
    <n v="1"/>
  </r>
  <r>
    <s v="Startup_1580"/>
    <x v="2"/>
    <n v="7"/>
    <n v="32199273"/>
    <n v="3"/>
    <n v="24"/>
    <n v="457"/>
    <n v="87160249"/>
    <n v="951723"/>
    <s v="Small"/>
    <s v="B2C"/>
    <n v="7"/>
    <n v="12.64"/>
    <n v="526867"/>
    <n v="1"/>
  </r>
  <r>
    <s v="Startup_1581"/>
    <x v="1"/>
    <n v="14"/>
    <n v="31103367"/>
    <n v="2"/>
    <n v="12"/>
    <n v="499"/>
    <n v="9968168"/>
    <n v="8410"/>
    <s v="Medium"/>
    <s v="B2B"/>
    <n v="6"/>
    <n v="16.989999999999998"/>
    <n v="872307"/>
    <n v="1"/>
  </r>
  <r>
    <s v="Startup_1582"/>
    <x v="6"/>
    <n v="11"/>
    <n v="5543884"/>
    <n v="2"/>
    <n v="21"/>
    <n v="266"/>
    <n v="59515482"/>
    <n v="723057"/>
    <s v="Large"/>
    <s v="B2C"/>
    <n v="5"/>
    <n v="51.15"/>
    <n v="105031"/>
    <n v="1"/>
  </r>
  <r>
    <s v="Startup_1583"/>
    <x v="3"/>
    <n v="0"/>
    <n v="651211"/>
    <n v="3"/>
    <n v="0"/>
    <n v="839"/>
    <n v="27787099"/>
    <n v="791095"/>
    <s v="Large"/>
    <s v="B2B"/>
    <n v="2"/>
    <n v="45.29"/>
    <n v="121302"/>
    <n v="1"/>
  </r>
  <r>
    <s v="Startup_1584"/>
    <x v="5"/>
    <n v="5"/>
    <n v="16083675"/>
    <n v="1"/>
    <n v="11"/>
    <n v="695"/>
    <n v="43278948"/>
    <n v="733957"/>
    <s v="Large"/>
    <s v="B2B"/>
    <n v="4"/>
    <n v="31.88"/>
    <n v="304791"/>
    <n v="1"/>
  </r>
  <r>
    <s v="Startup_1585"/>
    <x v="5"/>
    <n v="13"/>
    <n v="19973930"/>
    <n v="3"/>
    <n v="17"/>
    <n v="445"/>
    <n v="61464532"/>
    <n v="884957"/>
    <s v="Large"/>
    <s v="B2C"/>
    <n v="9"/>
    <n v="18.010000000000002"/>
    <n v="940614"/>
    <n v="1"/>
  </r>
  <r>
    <s v="Startup_1586"/>
    <x v="1"/>
    <n v="3"/>
    <n v="32034954"/>
    <n v="3"/>
    <n v="20"/>
    <n v="989"/>
    <n v="46805329"/>
    <n v="473207"/>
    <s v="Small"/>
    <s v="B2B"/>
    <n v="3"/>
    <n v="70.98"/>
    <n v="841943"/>
    <n v="1"/>
  </r>
  <r>
    <s v="Startup_1587"/>
    <x v="4"/>
    <n v="11"/>
    <n v="5730468"/>
    <n v="4"/>
    <n v="28"/>
    <n v="186"/>
    <n v="84171124"/>
    <n v="145005"/>
    <s v="Medium"/>
    <s v="B2C"/>
    <n v="6"/>
    <n v="23.92"/>
    <n v="886802"/>
    <n v="1"/>
  </r>
  <r>
    <s v="Startup_1588"/>
    <x v="4"/>
    <n v="5"/>
    <n v="41242615"/>
    <n v="2"/>
    <n v="2"/>
    <n v="911"/>
    <n v="92300226"/>
    <n v="590853"/>
    <s v="Small"/>
    <s v="Hybrid"/>
    <n v="7"/>
    <n v="86.88"/>
    <n v="53483"/>
    <n v="1"/>
  </r>
  <r>
    <s v="Startup_1589"/>
    <x v="3"/>
    <n v="4"/>
    <n v="555760"/>
    <n v="1"/>
    <n v="15"/>
    <n v="508"/>
    <n v="48080533"/>
    <n v="658877"/>
    <s v="Small"/>
    <s v="B2B"/>
    <n v="6"/>
    <n v="52.72"/>
    <n v="969150"/>
    <n v="1"/>
  </r>
  <r>
    <s v="Startup_1590"/>
    <x v="5"/>
    <n v="1"/>
    <n v="33408550"/>
    <n v="4"/>
    <n v="15"/>
    <n v="73"/>
    <n v="12975805"/>
    <n v="780383"/>
    <s v="Small"/>
    <s v="B2C"/>
    <n v="3"/>
    <n v="50.6"/>
    <n v="756851"/>
    <n v="1"/>
  </r>
  <r>
    <s v="Startup_1591"/>
    <x v="2"/>
    <n v="11"/>
    <n v="36615962"/>
    <n v="2"/>
    <n v="22"/>
    <n v="790"/>
    <n v="26091663"/>
    <n v="977321"/>
    <s v="Medium"/>
    <s v="B2C"/>
    <n v="9"/>
    <n v="17.29"/>
    <n v="206672"/>
    <n v="1"/>
  </r>
  <r>
    <s v="Startup_1592"/>
    <x v="5"/>
    <n v="14"/>
    <n v="25864563"/>
    <n v="4"/>
    <n v="22"/>
    <n v="598"/>
    <n v="76506933"/>
    <n v="260160"/>
    <s v="Small"/>
    <s v="B2B"/>
    <n v="7"/>
    <n v="17.399999999999999"/>
    <n v="316666"/>
    <n v="1"/>
  </r>
  <r>
    <s v="Startup_1593"/>
    <x v="1"/>
    <n v="5"/>
    <n v="34228569"/>
    <n v="2"/>
    <n v="9"/>
    <n v="398"/>
    <n v="32142923"/>
    <n v="968400"/>
    <s v="Medium"/>
    <s v="B2C"/>
    <n v="5"/>
    <n v="90.76"/>
    <n v="585300"/>
    <n v="1"/>
  </r>
  <r>
    <s v="Startup_1594"/>
    <x v="0"/>
    <n v="3"/>
    <n v="19662574"/>
    <n v="4"/>
    <n v="16"/>
    <n v="907"/>
    <n v="71055224"/>
    <n v="403751"/>
    <s v="Small"/>
    <s v="B2B"/>
    <n v="7"/>
    <n v="77.569999999999993"/>
    <n v="540091"/>
    <n v="1"/>
  </r>
  <r>
    <s v="Startup_1595"/>
    <x v="6"/>
    <n v="10"/>
    <n v="14325525"/>
    <n v="4"/>
    <n v="6"/>
    <n v="521"/>
    <n v="74324496"/>
    <n v="355592"/>
    <s v="Small"/>
    <s v="Hybrid"/>
    <n v="8"/>
    <n v="49.49"/>
    <n v="274753"/>
    <n v="1"/>
  </r>
  <r>
    <s v="Startup_1596"/>
    <x v="1"/>
    <n v="4"/>
    <n v="21932149"/>
    <n v="4"/>
    <n v="24"/>
    <n v="298"/>
    <n v="20367384"/>
    <n v="15354"/>
    <s v="Large"/>
    <s v="B2C"/>
    <n v="4"/>
    <n v="37.89"/>
    <n v="267702"/>
    <n v="1"/>
  </r>
  <r>
    <s v="Startup_1597"/>
    <x v="5"/>
    <n v="7"/>
    <n v="2031073"/>
    <n v="4"/>
    <n v="17"/>
    <n v="211"/>
    <n v="98140435"/>
    <n v="174787"/>
    <s v="Small"/>
    <s v="B2B"/>
    <n v="7"/>
    <n v="51.48"/>
    <n v="250071"/>
    <n v="1"/>
  </r>
  <r>
    <s v="Startup_1598"/>
    <x v="3"/>
    <n v="12"/>
    <n v="34689049"/>
    <n v="3"/>
    <n v="0"/>
    <n v="750"/>
    <n v="35788300"/>
    <n v="862017"/>
    <s v="Large"/>
    <s v="Hybrid"/>
    <n v="8"/>
    <n v="18.7"/>
    <n v="478369"/>
    <n v="1"/>
  </r>
  <r>
    <s v="Startup_1599"/>
    <x v="0"/>
    <n v="12"/>
    <n v="31244157"/>
    <n v="4"/>
    <n v="6"/>
    <n v="693"/>
    <n v="29118982"/>
    <n v="592167"/>
    <s v="Large"/>
    <s v="B2C"/>
    <n v="2"/>
    <n v="33.01"/>
    <n v="256482"/>
    <n v="1"/>
  </r>
  <r>
    <s v="Startup_1600"/>
    <x v="1"/>
    <n v="9"/>
    <n v="5872045"/>
    <n v="4"/>
    <n v="28"/>
    <n v="706"/>
    <n v="67708331"/>
    <n v="527725"/>
    <s v="Small"/>
    <s v="B2B"/>
    <n v="1"/>
    <n v="9.3000000000000007"/>
    <n v="172667"/>
    <n v="1"/>
  </r>
  <r>
    <s v="Startup_1601"/>
    <x v="3"/>
    <n v="0"/>
    <n v="30513765"/>
    <n v="4"/>
    <n v="4"/>
    <n v="252"/>
    <n v="49657886"/>
    <n v="665944"/>
    <s v="Medium"/>
    <s v="Hybrid"/>
    <n v="8"/>
    <n v="96.78"/>
    <n v="961704"/>
    <n v="1"/>
  </r>
  <r>
    <s v="Startup_1602"/>
    <x v="4"/>
    <n v="1"/>
    <n v="49621231"/>
    <n v="1"/>
    <n v="11"/>
    <n v="170"/>
    <n v="81927257"/>
    <n v="821316"/>
    <s v="Small"/>
    <s v="B2B"/>
    <n v="2"/>
    <n v="50.45"/>
    <n v="248874"/>
    <n v="1"/>
  </r>
  <r>
    <s v="Startup_1603"/>
    <x v="1"/>
    <n v="14"/>
    <n v="36351127"/>
    <n v="2"/>
    <n v="20"/>
    <n v="207"/>
    <n v="4245217"/>
    <n v="370276"/>
    <s v="Large"/>
    <s v="B2B"/>
    <n v="4"/>
    <n v="68.08"/>
    <n v="219711"/>
    <n v="1"/>
  </r>
  <r>
    <s v="Startup_1604"/>
    <x v="6"/>
    <n v="9"/>
    <n v="19853343"/>
    <n v="2"/>
    <n v="15"/>
    <n v="138"/>
    <n v="35940879"/>
    <n v="721275"/>
    <s v="Large"/>
    <s v="Hybrid"/>
    <n v="8"/>
    <n v="64.52"/>
    <n v="536471"/>
    <n v="1"/>
  </r>
  <r>
    <s v="Startup_1605"/>
    <x v="1"/>
    <n v="12"/>
    <n v="11532806"/>
    <n v="4"/>
    <n v="6"/>
    <n v="334"/>
    <n v="59292346"/>
    <n v="334785"/>
    <s v="Large"/>
    <s v="B2B"/>
    <n v="1"/>
    <n v="53.71"/>
    <n v="371262"/>
    <n v="1"/>
  </r>
  <r>
    <s v="Startup_1606"/>
    <x v="3"/>
    <n v="14"/>
    <n v="44030012"/>
    <n v="4"/>
    <n v="0"/>
    <n v="374"/>
    <n v="65893171"/>
    <n v="10364"/>
    <s v="Medium"/>
    <s v="Hybrid"/>
    <n v="9"/>
    <n v="60.44"/>
    <n v="685331"/>
    <n v="1"/>
  </r>
  <r>
    <s v="Startup_1607"/>
    <x v="6"/>
    <n v="8"/>
    <n v="2926244"/>
    <n v="3"/>
    <n v="21"/>
    <n v="792"/>
    <n v="61554054"/>
    <n v="837184"/>
    <s v="Large"/>
    <s v="Hybrid"/>
    <n v="2"/>
    <n v="81.28"/>
    <n v="251803"/>
    <n v="1"/>
  </r>
  <r>
    <s v="Startup_1608"/>
    <x v="4"/>
    <n v="8"/>
    <n v="46021611"/>
    <n v="2"/>
    <n v="27"/>
    <n v="743"/>
    <n v="76983043"/>
    <n v="347884"/>
    <s v="Medium"/>
    <s v="Hybrid"/>
    <n v="7"/>
    <n v="85.31"/>
    <n v="681187"/>
    <n v="1"/>
  </r>
  <r>
    <s v="Startup_1609"/>
    <x v="6"/>
    <n v="6"/>
    <n v="7388766"/>
    <n v="3"/>
    <n v="22"/>
    <n v="750"/>
    <n v="5864345"/>
    <n v="614097"/>
    <s v="Large"/>
    <s v="B2C"/>
    <n v="2"/>
    <n v="80.86"/>
    <n v="861030"/>
    <n v="1"/>
  </r>
  <r>
    <s v="Startup_1610"/>
    <x v="5"/>
    <n v="4"/>
    <n v="39898294"/>
    <n v="2"/>
    <n v="7"/>
    <n v="241"/>
    <n v="12232906"/>
    <n v="998069"/>
    <s v="Large"/>
    <s v="B2B"/>
    <n v="9"/>
    <n v="34.479999999999997"/>
    <n v="12694"/>
    <n v="1"/>
  </r>
  <r>
    <s v="Startup_1611"/>
    <x v="6"/>
    <n v="14"/>
    <n v="10674520"/>
    <n v="3"/>
    <n v="23"/>
    <n v="638"/>
    <n v="70978191"/>
    <n v="968010"/>
    <s v="Small"/>
    <s v="B2B"/>
    <n v="4"/>
    <n v="55.03"/>
    <n v="359415"/>
    <n v="1"/>
  </r>
  <r>
    <s v="Startup_1612"/>
    <x v="0"/>
    <n v="2"/>
    <n v="6420532"/>
    <n v="3"/>
    <n v="27"/>
    <n v="574"/>
    <n v="37119897"/>
    <n v="523250"/>
    <s v="Large"/>
    <s v="B2B"/>
    <n v="5"/>
    <n v="93.22"/>
    <n v="615885"/>
    <n v="1"/>
  </r>
  <r>
    <s v="Startup_1613"/>
    <x v="1"/>
    <n v="3"/>
    <n v="4470646"/>
    <n v="3"/>
    <n v="28"/>
    <n v="644"/>
    <n v="99905032"/>
    <n v="185728"/>
    <s v="Small"/>
    <s v="Hybrid"/>
    <n v="2"/>
    <n v="55.29"/>
    <n v="70436"/>
    <n v="1"/>
  </r>
  <r>
    <s v="Startup_1614"/>
    <x v="3"/>
    <n v="5"/>
    <n v="5626859"/>
    <n v="3"/>
    <n v="22"/>
    <n v="639"/>
    <n v="17972986"/>
    <n v="157545"/>
    <s v="Medium"/>
    <s v="Hybrid"/>
    <n v="5"/>
    <n v="35.76"/>
    <n v="512171"/>
    <n v="1"/>
  </r>
  <r>
    <s v="Startup_1615"/>
    <x v="1"/>
    <n v="8"/>
    <n v="28439482"/>
    <n v="3"/>
    <n v="25"/>
    <n v="276"/>
    <n v="69446168"/>
    <n v="504164"/>
    <s v="Small"/>
    <s v="Hybrid"/>
    <n v="4"/>
    <n v="37.380000000000003"/>
    <n v="206777"/>
    <n v="1"/>
  </r>
  <r>
    <s v="Startup_1616"/>
    <x v="5"/>
    <n v="13"/>
    <n v="25940966"/>
    <n v="1"/>
    <n v="26"/>
    <n v="919"/>
    <n v="97564660"/>
    <n v="488945"/>
    <s v="Small"/>
    <s v="B2B"/>
    <n v="4"/>
    <n v="82.28"/>
    <n v="751002"/>
    <n v="1"/>
  </r>
  <r>
    <s v="Startup_1617"/>
    <x v="2"/>
    <n v="2"/>
    <n v="43496218"/>
    <n v="2"/>
    <n v="2"/>
    <n v="397"/>
    <n v="12173341"/>
    <n v="130332"/>
    <s v="Large"/>
    <s v="B2C"/>
    <n v="3"/>
    <n v="41.78"/>
    <n v="897366"/>
    <n v="1"/>
  </r>
  <r>
    <s v="Startup_1618"/>
    <x v="1"/>
    <n v="12"/>
    <n v="39474122"/>
    <n v="1"/>
    <n v="19"/>
    <n v="148"/>
    <n v="44348309"/>
    <n v="985757"/>
    <s v="Large"/>
    <s v="B2C"/>
    <n v="7"/>
    <n v="42.93"/>
    <n v="111668"/>
    <n v="1"/>
  </r>
  <r>
    <s v="Startup_1619"/>
    <x v="6"/>
    <n v="10"/>
    <n v="43594813"/>
    <n v="2"/>
    <n v="12"/>
    <n v="319"/>
    <n v="26139407"/>
    <n v="953750"/>
    <s v="Medium"/>
    <s v="B2C"/>
    <n v="8"/>
    <n v="90.29"/>
    <n v="154531"/>
    <n v="1"/>
  </r>
  <r>
    <s v="Startup_1620"/>
    <x v="0"/>
    <n v="2"/>
    <n v="3116342"/>
    <n v="2"/>
    <n v="13"/>
    <n v="166"/>
    <n v="66381978"/>
    <n v="560301"/>
    <s v="Small"/>
    <s v="B2B"/>
    <n v="4"/>
    <n v="76.48"/>
    <n v="940545"/>
    <n v="1"/>
  </r>
  <r>
    <s v="Startup_1621"/>
    <x v="6"/>
    <n v="5"/>
    <n v="8509362"/>
    <n v="4"/>
    <n v="0"/>
    <n v="811"/>
    <n v="72861271"/>
    <n v="899406"/>
    <s v="Small"/>
    <s v="Hybrid"/>
    <n v="9"/>
    <n v="33.14"/>
    <n v="958198"/>
    <n v="1"/>
  </r>
  <r>
    <s v="Startup_1622"/>
    <x v="4"/>
    <n v="8"/>
    <n v="32818184"/>
    <n v="3"/>
    <n v="26"/>
    <n v="27"/>
    <n v="20214093"/>
    <n v="793290"/>
    <s v="Large"/>
    <s v="B2C"/>
    <n v="7"/>
    <n v="20.92"/>
    <n v="288466"/>
    <n v="1"/>
  </r>
  <r>
    <s v="Startup_1623"/>
    <x v="5"/>
    <n v="0"/>
    <n v="12147587"/>
    <n v="3"/>
    <n v="4"/>
    <n v="606"/>
    <n v="89961288"/>
    <n v="501192"/>
    <s v="Medium"/>
    <s v="B2B"/>
    <n v="3"/>
    <n v="49.45"/>
    <n v="737624"/>
    <n v="1"/>
  </r>
  <r>
    <s v="Startup_1624"/>
    <x v="6"/>
    <n v="7"/>
    <n v="2638273"/>
    <n v="4"/>
    <n v="26"/>
    <n v="723"/>
    <n v="99723155"/>
    <n v="361263"/>
    <s v="Medium"/>
    <s v="B2C"/>
    <n v="4"/>
    <n v="14.25"/>
    <n v="927386"/>
    <n v="1"/>
  </r>
  <r>
    <s v="Startup_1625"/>
    <x v="5"/>
    <n v="6"/>
    <n v="35531036"/>
    <n v="4"/>
    <n v="6"/>
    <n v="670"/>
    <n v="23142390"/>
    <n v="41746"/>
    <s v="Large"/>
    <s v="B2C"/>
    <n v="4"/>
    <n v="27.54"/>
    <n v="177048"/>
    <n v="1"/>
  </r>
  <r>
    <s v="Startup_1626"/>
    <x v="5"/>
    <n v="10"/>
    <n v="31573035"/>
    <n v="4"/>
    <n v="28"/>
    <n v="923"/>
    <n v="55894478"/>
    <n v="595255"/>
    <s v="Small"/>
    <s v="Hybrid"/>
    <n v="9"/>
    <n v="13.06"/>
    <n v="472814"/>
    <n v="1"/>
  </r>
  <r>
    <s v="Startup_1627"/>
    <x v="3"/>
    <n v="1"/>
    <n v="109481"/>
    <n v="4"/>
    <n v="7"/>
    <n v="763"/>
    <n v="82421903"/>
    <n v="641706"/>
    <s v="Small"/>
    <s v="Hybrid"/>
    <n v="3"/>
    <n v="2.57"/>
    <n v="333236"/>
    <n v="1"/>
  </r>
  <r>
    <s v="Startup_1628"/>
    <x v="2"/>
    <n v="2"/>
    <n v="37135160"/>
    <n v="2"/>
    <n v="4"/>
    <n v="834"/>
    <n v="94539244"/>
    <n v="663098"/>
    <s v="Small"/>
    <s v="Hybrid"/>
    <n v="6"/>
    <n v="93.08"/>
    <n v="602382"/>
    <n v="1"/>
  </r>
  <r>
    <s v="Startup_1629"/>
    <x v="4"/>
    <n v="6"/>
    <n v="46038252"/>
    <n v="3"/>
    <n v="27"/>
    <n v="99"/>
    <n v="94563884"/>
    <n v="728691"/>
    <s v="Small"/>
    <s v="Hybrid"/>
    <n v="7"/>
    <n v="34.5"/>
    <n v="155319"/>
    <n v="1"/>
  </r>
  <r>
    <s v="Startup_1630"/>
    <x v="6"/>
    <n v="6"/>
    <n v="23749740"/>
    <n v="2"/>
    <n v="28"/>
    <n v="110"/>
    <n v="65582527"/>
    <n v="650035"/>
    <s v="Large"/>
    <s v="B2B"/>
    <n v="6"/>
    <n v="39.35"/>
    <n v="402892"/>
    <n v="1"/>
  </r>
  <r>
    <s v="Startup_1631"/>
    <x v="6"/>
    <n v="5"/>
    <n v="13857514"/>
    <n v="4"/>
    <n v="15"/>
    <n v="552"/>
    <n v="89814570"/>
    <n v="406823"/>
    <s v="Medium"/>
    <s v="B2C"/>
    <n v="9"/>
    <n v="4.29"/>
    <n v="105971"/>
    <n v="1"/>
  </r>
  <r>
    <s v="Startup_1632"/>
    <x v="3"/>
    <n v="14"/>
    <n v="31833042"/>
    <n v="4"/>
    <n v="24"/>
    <n v="371"/>
    <n v="38344519"/>
    <n v="838894"/>
    <s v="Small"/>
    <s v="B2C"/>
    <n v="8"/>
    <n v="69.2"/>
    <n v="756549"/>
    <n v="1"/>
  </r>
  <r>
    <s v="Startup_1633"/>
    <x v="0"/>
    <n v="13"/>
    <n v="40522544"/>
    <n v="4"/>
    <n v="23"/>
    <n v="244"/>
    <n v="38659146"/>
    <n v="313709"/>
    <s v="Large"/>
    <s v="B2B"/>
    <n v="9"/>
    <n v="54.49"/>
    <n v="218829"/>
    <n v="1"/>
  </r>
  <r>
    <s v="Startup_1634"/>
    <x v="4"/>
    <n v="0"/>
    <n v="22140570"/>
    <n v="1"/>
    <n v="24"/>
    <n v="590"/>
    <n v="41538328"/>
    <n v="791744"/>
    <s v="Small"/>
    <s v="B2B"/>
    <n v="9"/>
    <n v="86.65"/>
    <n v="48237"/>
    <n v="1"/>
  </r>
  <r>
    <s v="Startup_1635"/>
    <x v="4"/>
    <n v="1"/>
    <n v="38361203"/>
    <n v="1"/>
    <n v="0"/>
    <n v="771"/>
    <n v="3888038"/>
    <n v="5695"/>
    <s v="Medium"/>
    <s v="B2C"/>
    <n v="8"/>
    <n v="79.930000000000007"/>
    <n v="142984"/>
    <n v="1"/>
  </r>
  <r>
    <s v="Startup_1636"/>
    <x v="0"/>
    <n v="9"/>
    <n v="47846904"/>
    <n v="4"/>
    <n v="21"/>
    <n v="289"/>
    <n v="14879535"/>
    <n v="970841"/>
    <s v="Medium"/>
    <s v="B2C"/>
    <n v="9"/>
    <n v="94.66"/>
    <n v="585408"/>
    <n v="1"/>
  </r>
  <r>
    <s v="Startup_1637"/>
    <x v="4"/>
    <n v="1"/>
    <n v="41239986"/>
    <n v="4"/>
    <n v="29"/>
    <n v="949"/>
    <n v="25859695"/>
    <n v="13121"/>
    <s v="Large"/>
    <s v="Hybrid"/>
    <n v="6"/>
    <n v="68.13"/>
    <n v="348787"/>
    <n v="1"/>
  </r>
  <r>
    <s v="Startup_1638"/>
    <x v="3"/>
    <n v="12"/>
    <n v="26563360"/>
    <n v="1"/>
    <n v="8"/>
    <n v="947"/>
    <n v="83011850"/>
    <n v="915096"/>
    <s v="Small"/>
    <s v="B2C"/>
    <n v="3"/>
    <n v="88.4"/>
    <n v="61554"/>
    <n v="1"/>
  </r>
  <r>
    <s v="Startup_1639"/>
    <x v="0"/>
    <n v="5"/>
    <n v="23758582"/>
    <n v="2"/>
    <n v="2"/>
    <n v="102"/>
    <n v="49895313"/>
    <n v="453796"/>
    <s v="Medium"/>
    <s v="Hybrid"/>
    <n v="7"/>
    <n v="42.02"/>
    <n v="37851"/>
    <n v="1"/>
  </r>
  <r>
    <s v="Startup_1640"/>
    <x v="2"/>
    <n v="13"/>
    <n v="47347291"/>
    <n v="2"/>
    <n v="29"/>
    <n v="66"/>
    <n v="16316389"/>
    <n v="60722"/>
    <s v="Large"/>
    <s v="B2B"/>
    <n v="9"/>
    <n v="18.04"/>
    <n v="466440"/>
    <n v="1"/>
  </r>
  <r>
    <s v="Startup_1641"/>
    <x v="4"/>
    <n v="9"/>
    <n v="13007149"/>
    <n v="2"/>
    <n v="7"/>
    <n v="488"/>
    <n v="33618238"/>
    <n v="960725"/>
    <s v="Small"/>
    <s v="B2C"/>
    <n v="7"/>
    <n v="16.489999999999998"/>
    <n v="236745"/>
    <n v="1"/>
  </r>
  <r>
    <s v="Startup_1642"/>
    <x v="4"/>
    <n v="5"/>
    <n v="22504841"/>
    <n v="2"/>
    <n v="14"/>
    <n v="321"/>
    <n v="64565530"/>
    <n v="408125"/>
    <s v="Large"/>
    <s v="Hybrid"/>
    <n v="9"/>
    <n v="41.01"/>
    <n v="955299"/>
    <n v="1"/>
  </r>
  <r>
    <s v="Startup_1643"/>
    <x v="5"/>
    <n v="5"/>
    <n v="41054195"/>
    <n v="3"/>
    <n v="4"/>
    <n v="30"/>
    <n v="17240468"/>
    <n v="44340"/>
    <s v="Medium"/>
    <s v="B2B"/>
    <n v="7"/>
    <n v="34.94"/>
    <n v="428052"/>
    <n v="1"/>
  </r>
  <r>
    <s v="Startup_1644"/>
    <x v="1"/>
    <n v="4"/>
    <n v="36916230"/>
    <n v="4"/>
    <n v="20"/>
    <n v="145"/>
    <n v="3212874"/>
    <n v="181480"/>
    <s v="Small"/>
    <s v="B2B"/>
    <n v="3"/>
    <n v="74.67"/>
    <n v="920588"/>
    <n v="1"/>
  </r>
  <r>
    <s v="Startup_1645"/>
    <x v="3"/>
    <n v="12"/>
    <n v="38824766"/>
    <n v="4"/>
    <n v="17"/>
    <n v="47"/>
    <n v="75403952"/>
    <n v="123747"/>
    <s v="Medium"/>
    <s v="B2B"/>
    <n v="1"/>
    <n v="14.64"/>
    <n v="643049"/>
    <n v="1"/>
  </r>
  <r>
    <s v="Startup_1646"/>
    <x v="3"/>
    <n v="10"/>
    <n v="12320615"/>
    <n v="4"/>
    <n v="28"/>
    <n v="10"/>
    <n v="21580137"/>
    <n v="284073"/>
    <s v="Small"/>
    <s v="B2C"/>
    <n v="2"/>
    <n v="31.69"/>
    <n v="948449"/>
    <n v="1"/>
  </r>
  <r>
    <s v="Startup_1647"/>
    <x v="6"/>
    <n v="7"/>
    <n v="41674391"/>
    <n v="4"/>
    <n v="3"/>
    <n v="800"/>
    <n v="54006825"/>
    <n v="213782"/>
    <s v="Medium"/>
    <s v="B2C"/>
    <n v="8"/>
    <n v="56.3"/>
    <n v="74200"/>
    <n v="1"/>
  </r>
  <r>
    <s v="Startup_1648"/>
    <x v="4"/>
    <n v="8"/>
    <n v="45505476"/>
    <n v="4"/>
    <n v="21"/>
    <n v="188"/>
    <n v="83932072"/>
    <n v="7041"/>
    <s v="Medium"/>
    <s v="Hybrid"/>
    <n v="7"/>
    <n v="64.42"/>
    <n v="249200"/>
    <n v="1"/>
  </r>
  <r>
    <s v="Startup_1649"/>
    <x v="4"/>
    <n v="12"/>
    <n v="18712539"/>
    <n v="3"/>
    <n v="18"/>
    <n v="436"/>
    <n v="92805692"/>
    <n v="30200"/>
    <s v="Large"/>
    <s v="Hybrid"/>
    <n v="2"/>
    <n v="8.5"/>
    <n v="851890"/>
    <n v="1"/>
  </r>
  <r>
    <s v="Startup_1650"/>
    <x v="5"/>
    <n v="3"/>
    <n v="9053879"/>
    <n v="1"/>
    <n v="14"/>
    <n v="114"/>
    <n v="66577241"/>
    <n v="15115"/>
    <s v="Small"/>
    <s v="B2B"/>
    <n v="8"/>
    <n v="1.1200000000000001"/>
    <n v="158618"/>
    <n v="1"/>
  </r>
  <r>
    <s v="Startup_1651"/>
    <x v="4"/>
    <n v="3"/>
    <n v="48258143"/>
    <n v="4"/>
    <n v="28"/>
    <n v="482"/>
    <n v="78644225"/>
    <n v="516635"/>
    <s v="Medium"/>
    <s v="B2B"/>
    <n v="7"/>
    <n v="94.81"/>
    <n v="96833"/>
    <n v="1"/>
  </r>
  <r>
    <s v="Startup_1652"/>
    <x v="1"/>
    <n v="7"/>
    <n v="20352766"/>
    <n v="2"/>
    <n v="3"/>
    <n v="912"/>
    <n v="55206500"/>
    <n v="647928"/>
    <s v="Large"/>
    <s v="B2C"/>
    <n v="9"/>
    <n v="98.8"/>
    <n v="959693"/>
    <n v="1"/>
  </r>
  <r>
    <s v="Startup_1653"/>
    <x v="2"/>
    <n v="8"/>
    <n v="45828531"/>
    <n v="2"/>
    <n v="10"/>
    <n v="653"/>
    <n v="31361103"/>
    <n v="538258"/>
    <s v="Large"/>
    <s v="B2C"/>
    <n v="2"/>
    <n v="35.47"/>
    <n v="717060"/>
    <n v="1"/>
  </r>
  <r>
    <s v="Startup_1654"/>
    <x v="3"/>
    <n v="14"/>
    <n v="34930369"/>
    <n v="2"/>
    <n v="18"/>
    <n v="410"/>
    <n v="83073090"/>
    <n v="386091"/>
    <s v="Medium"/>
    <s v="B2C"/>
    <n v="8"/>
    <n v="26.74"/>
    <n v="956357"/>
    <n v="1"/>
  </r>
  <r>
    <s v="Startup_1655"/>
    <x v="1"/>
    <n v="12"/>
    <n v="14845530"/>
    <n v="4"/>
    <n v="22"/>
    <n v="39"/>
    <n v="39598873"/>
    <n v="408671"/>
    <s v="Small"/>
    <s v="B2C"/>
    <n v="9"/>
    <n v="75.53"/>
    <n v="538000"/>
    <n v="1"/>
  </r>
  <r>
    <s v="Startup_1656"/>
    <x v="4"/>
    <n v="7"/>
    <n v="36635698"/>
    <n v="1"/>
    <n v="10"/>
    <n v="587"/>
    <n v="44240072"/>
    <n v="460890"/>
    <s v="Medium"/>
    <s v="B2C"/>
    <n v="4"/>
    <n v="42.24"/>
    <n v="117542"/>
    <n v="1"/>
  </r>
  <r>
    <s v="Startup_1657"/>
    <x v="0"/>
    <n v="10"/>
    <n v="28298268"/>
    <n v="3"/>
    <n v="16"/>
    <n v="56"/>
    <n v="13469788"/>
    <n v="524288"/>
    <s v="Small"/>
    <s v="B2B"/>
    <n v="6"/>
    <n v="99.51"/>
    <n v="509484"/>
    <n v="1"/>
  </r>
  <r>
    <s v="Startup_1658"/>
    <x v="4"/>
    <n v="10"/>
    <n v="7599095"/>
    <n v="2"/>
    <n v="3"/>
    <n v="409"/>
    <n v="24992260"/>
    <n v="11956"/>
    <s v="Large"/>
    <s v="Hybrid"/>
    <n v="8"/>
    <n v="53.46"/>
    <n v="382943"/>
    <n v="1"/>
  </r>
  <r>
    <s v="Startup_1659"/>
    <x v="0"/>
    <n v="14"/>
    <n v="6125946"/>
    <n v="4"/>
    <n v="19"/>
    <n v="995"/>
    <n v="30908320"/>
    <n v="901653"/>
    <s v="Medium"/>
    <s v="B2C"/>
    <n v="7"/>
    <n v="44.37"/>
    <n v="883468"/>
    <n v="1"/>
  </r>
  <r>
    <s v="Startup_1660"/>
    <x v="6"/>
    <n v="3"/>
    <n v="21349504"/>
    <n v="4"/>
    <n v="9"/>
    <n v="560"/>
    <n v="48455436"/>
    <n v="753799"/>
    <s v="Medium"/>
    <s v="B2B"/>
    <n v="4"/>
    <n v="6.41"/>
    <n v="366049"/>
    <n v="1"/>
  </r>
  <r>
    <s v="Startup_1661"/>
    <x v="6"/>
    <n v="1"/>
    <n v="28899251"/>
    <n v="3"/>
    <n v="7"/>
    <n v="365"/>
    <n v="74590292"/>
    <n v="109462"/>
    <s v="Large"/>
    <s v="B2C"/>
    <n v="1"/>
    <n v="90.6"/>
    <n v="491777"/>
    <n v="1"/>
  </r>
  <r>
    <s v="Startup_1662"/>
    <x v="3"/>
    <n v="13"/>
    <n v="44249857"/>
    <n v="1"/>
    <n v="12"/>
    <n v="888"/>
    <n v="10707926"/>
    <n v="796406"/>
    <s v="Small"/>
    <s v="Hybrid"/>
    <n v="6"/>
    <n v="98.38"/>
    <n v="578279"/>
    <n v="1"/>
  </r>
  <r>
    <s v="Startup_1663"/>
    <x v="2"/>
    <n v="14"/>
    <n v="22107063"/>
    <n v="4"/>
    <n v="28"/>
    <n v="152"/>
    <n v="30542314"/>
    <n v="618217"/>
    <s v="Large"/>
    <s v="Hybrid"/>
    <n v="1"/>
    <n v="75.989999999999995"/>
    <n v="677587"/>
    <n v="1"/>
  </r>
  <r>
    <s v="Startup_1664"/>
    <x v="2"/>
    <n v="11"/>
    <n v="19464020"/>
    <n v="2"/>
    <n v="1"/>
    <n v="444"/>
    <n v="44250588"/>
    <n v="788510"/>
    <s v="Small"/>
    <s v="Hybrid"/>
    <n v="4"/>
    <n v="43.57"/>
    <n v="708703"/>
    <n v="1"/>
  </r>
  <r>
    <s v="Startup_1665"/>
    <x v="1"/>
    <n v="5"/>
    <n v="18693568"/>
    <n v="1"/>
    <n v="12"/>
    <n v="199"/>
    <n v="56577305"/>
    <n v="23034"/>
    <s v="Large"/>
    <s v="Hybrid"/>
    <n v="8"/>
    <n v="47.15"/>
    <n v="900065"/>
    <n v="1"/>
  </r>
  <r>
    <s v="Startup_1666"/>
    <x v="6"/>
    <n v="2"/>
    <n v="38904169"/>
    <n v="4"/>
    <n v="1"/>
    <n v="432"/>
    <n v="27158402"/>
    <n v="139449"/>
    <s v="Medium"/>
    <s v="Hybrid"/>
    <n v="9"/>
    <n v="69.67"/>
    <n v="880915"/>
    <n v="1"/>
  </r>
  <r>
    <s v="Startup_1667"/>
    <x v="6"/>
    <n v="13"/>
    <n v="5819365"/>
    <n v="1"/>
    <n v="12"/>
    <n v="187"/>
    <n v="70772233"/>
    <n v="415455"/>
    <s v="Medium"/>
    <s v="Hybrid"/>
    <n v="7"/>
    <n v="23.62"/>
    <n v="57724"/>
    <n v="1"/>
  </r>
  <r>
    <s v="Startup_1668"/>
    <x v="6"/>
    <n v="11"/>
    <n v="9715627"/>
    <n v="3"/>
    <n v="16"/>
    <n v="477"/>
    <n v="62584132"/>
    <n v="201845"/>
    <s v="Large"/>
    <s v="B2C"/>
    <n v="4"/>
    <n v="66.69"/>
    <n v="652366"/>
    <n v="1"/>
  </r>
  <r>
    <s v="Startup_1669"/>
    <x v="2"/>
    <n v="1"/>
    <n v="43006227"/>
    <n v="1"/>
    <n v="18"/>
    <n v="855"/>
    <n v="68266108"/>
    <n v="410560"/>
    <s v="Medium"/>
    <s v="Hybrid"/>
    <n v="7"/>
    <n v="12.42"/>
    <n v="767189"/>
    <n v="1"/>
  </r>
  <r>
    <s v="Startup_1670"/>
    <x v="4"/>
    <n v="10"/>
    <n v="8456794"/>
    <n v="3"/>
    <n v="24"/>
    <n v="143"/>
    <n v="39174524"/>
    <n v="657804"/>
    <s v="Large"/>
    <s v="B2C"/>
    <n v="5"/>
    <n v="96.24"/>
    <n v="266115"/>
    <n v="1"/>
  </r>
  <r>
    <s v="Startup_1671"/>
    <x v="1"/>
    <n v="0"/>
    <n v="4079217"/>
    <n v="4"/>
    <n v="20"/>
    <n v="592"/>
    <n v="77033963"/>
    <n v="348738"/>
    <s v="Medium"/>
    <s v="B2C"/>
    <n v="3"/>
    <n v="84.56"/>
    <n v="112943"/>
    <n v="1"/>
  </r>
  <r>
    <s v="Startup_1672"/>
    <x v="3"/>
    <n v="8"/>
    <n v="15059777"/>
    <n v="1"/>
    <n v="6"/>
    <n v="54"/>
    <n v="78978762"/>
    <n v="229097"/>
    <s v="Small"/>
    <s v="B2C"/>
    <n v="3"/>
    <n v="31.74"/>
    <n v="522375"/>
    <n v="1"/>
  </r>
  <r>
    <s v="Startup_1673"/>
    <x v="5"/>
    <n v="6"/>
    <n v="1483179"/>
    <n v="2"/>
    <n v="17"/>
    <n v="282"/>
    <n v="96417659"/>
    <n v="330999"/>
    <s v="Medium"/>
    <s v="B2B"/>
    <n v="7"/>
    <n v="64.47"/>
    <n v="861453"/>
    <n v="1"/>
  </r>
  <r>
    <s v="Startup_1674"/>
    <x v="2"/>
    <n v="9"/>
    <n v="22947241"/>
    <n v="3"/>
    <n v="26"/>
    <n v="295"/>
    <n v="82207225"/>
    <n v="40561"/>
    <s v="Small"/>
    <s v="Hybrid"/>
    <n v="6"/>
    <n v="95.44"/>
    <n v="26626"/>
    <n v="1"/>
  </r>
  <r>
    <s v="Startup_1675"/>
    <x v="5"/>
    <n v="11"/>
    <n v="10751539"/>
    <n v="2"/>
    <n v="13"/>
    <n v="633"/>
    <n v="68590355"/>
    <n v="284039"/>
    <s v="Small"/>
    <s v="B2B"/>
    <n v="8"/>
    <n v="30.89"/>
    <n v="36221"/>
    <n v="1"/>
  </r>
  <r>
    <s v="Startup_1676"/>
    <x v="2"/>
    <n v="8"/>
    <n v="8754117"/>
    <n v="4"/>
    <n v="4"/>
    <n v="182"/>
    <n v="50260174"/>
    <n v="242413"/>
    <s v="Medium"/>
    <s v="Hybrid"/>
    <n v="6"/>
    <n v="30.51"/>
    <n v="552182"/>
    <n v="1"/>
  </r>
  <r>
    <s v="Startup_1677"/>
    <x v="5"/>
    <n v="8"/>
    <n v="25416877"/>
    <n v="4"/>
    <n v="15"/>
    <n v="374"/>
    <n v="45287997"/>
    <n v="638550"/>
    <s v="Large"/>
    <s v="B2C"/>
    <n v="7"/>
    <n v="47.36"/>
    <n v="550979"/>
    <n v="1"/>
  </r>
  <r>
    <s v="Startup_1678"/>
    <x v="6"/>
    <n v="8"/>
    <n v="21014857"/>
    <n v="2"/>
    <n v="18"/>
    <n v="273"/>
    <n v="92036480"/>
    <n v="160590"/>
    <s v="Small"/>
    <s v="Hybrid"/>
    <n v="3"/>
    <n v="20.239999999999998"/>
    <n v="323572"/>
    <n v="1"/>
  </r>
  <r>
    <s v="Startup_1679"/>
    <x v="5"/>
    <n v="2"/>
    <n v="45263378"/>
    <n v="4"/>
    <n v="17"/>
    <n v="170"/>
    <n v="61499906"/>
    <n v="333169"/>
    <s v="Large"/>
    <s v="B2B"/>
    <n v="6"/>
    <n v="92.25"/>
    <n v="516533"/>
    <n v="1"/>
  </r>
  <r>
    <s v="Startup_1680"/>
    <x v="0"/>
    <n v="13"/>
    <n v="45710730"/>
    <n v="4"/>
    <n v="26"/>
    <n v="859"/>
    <n v="71476339"/>
    <n v="796301"/>
    <s v="Small"/>
    <s v="B2B"/>
    <n v="7"/>
    <n v="6.76"/>
    <n v="473976"/>
    <n v="1"/>
  </r>
  <r>
    <s v="Startup_1681"/>
    <x v="3"/>
    <n v="13"/>
    <n v="37963927"/>
    <n v="4"/>
    <n v="9"/>
    <n v="203"/>
    <n v="94662271"/>
    <n v="564039"/>
    <s v="Large"/>
    <s v="Hybrid"/>
    <n v="3"/>
    <n v="95.54"/>
    <n v="939175"/>
    <n v="1"/>
  </r>
  <r>
    <s v="Startup_1682"/>
    <x v="2"/>
    <n v="2"/>
    <n v="3582306"/>
    <n v="1"/>
    <n v="24"/>
    <n v="563"/>
    <n v="26490095"/>
    <n v="504883"/>
    <s v="Large"/>
    <s v="Hybrid"/>
    <n v="8"/>
    <n v="26.47"/>
    <n v="105630"/>
    <n v="1"/>
  </r>
  <r>
    <s v="Startup_1683"/>
    <x v="1"/>
    <n v="9"/>
    <n v="34802863"/>
    <n v="4"/>
    <n v="9"/>
    <n v="601"/>
    <n v="14487268"/>
    <n v="118647"/>
    <s v="Large"/>
    <s v="B2C"/>
    <n v="9"/>
    <n v="13.18"/>
    <n v="627664"/>
    <n v="1"/>
  </r>
  <r>
    <s v="Startup_1684"/>
    <x v="3"/>
    <n v="5"/>
    <n v="34279727"/>
    <n v="3"/>
    <n v="16"/>
    <n v="568"/>
    <n v="31711477"/>
    <n v="64766"/>
    <s v="Medium"/>
    <s v="Hybrid"/>
    <n v="4"/>
    <n v="52.1"/>
    <n v="980506"/>
    <n v="1"/>
  </r>
  <r>
    <s v="Startup_1685"/>
    <x v="3"/>
    <n v="4"/>
    <n v="3214302"/>
    <n v="3"/>
    <n v="15"/>
    <n v="312"/>
    <n v="39062608"/>
    <n v="792682"/>
    <s v="Medium"/>
    <s v="Hybrid"/>
    <n v="2"/>
    <n v="21.52"/>
    <n v="711908"/>
    <n v="1"/>
  </r>
  <r>
    <s v="Startup_1686"/>
    <x v="0"/>
    <n v="13"/>
    <n v="43154252"/>
    <n v="2"/>
    <n v="8"/>
    <n v="98"/>
    <n v="52147607"/>
    <n v="415503"/>
    <s v="Large"/>
    <s v="B2C"/>
    <n v="9"/>
    <n v="37.39"/>
    <n v="268667"/>
    <n v="1"/>
  </r>
  <r>
    <s v="Startup_1687"/>
    <x v="1"/>
    <n v="3"/>
    <n v="40477862"/>
    <n v="2"/>
    <n v="23"/>
    <n v="277"/>
    <n v="76075379"/>
    <n v="894080"/>
    <s v="Small"/>
    <s v="Hybrid"/>
    <n v="2"/>
    <n v="86.88"/>
    <n v="126935"/>
    <n v="1"/>
  </r>
  <r>
    <s v="Startup_1688"/>
    <x v="6"/>
    <n v="2"/>
    <n v="25984122"/>
    <n v="1"/>
    <n v="13"/>
    <n v="960"/>
    <n v="72693159"/>
    <n v="786075"/>
    <s v="Medium"/>
    <s v="Hybrid"/>
    <n v="8"/>
    <n v="33.479999999999997"/>
    <n v="648341"/>
    <n v="1"/>
  </r>
  <r>
    <s v="Startup_1689"/>
    <x v="0"/>
    <n v="2"/>
    <n v="9323804"/>
    <n v="3"/>
    <n v="29"/>
    <n v="860"/>
    <n v="92659357"/>
    <n v="867678"/>
    <s v="Small"/>
    <s v="B2B"/>
    <n v="5"/>
    <n v="1.79"/>
    <n v="916922"/>
    <n v="1"/>
  </r>
  <r>
    <s v="Startup_1690"/>
    <x v="1"/>
    <n v="3"/>
    <n v="29137840"/>
    <n v="4"/>
    <n v="26"/>
    <n v="551"/>
    <n v="22095910"/>
    <n v="219411"/>
    <s v="Large"/>
    <s v="B2C"/>
    <n v="6"/>
    <n v="38.97"/>
    <n v="502838"/>
    <n v="1"/>
  </r>
  <r>
    <s v="Startup_1691"/>
    <x v="1"/>
    <n v="7"/>
    <n v="36932687"/>
    <n v="2"/>
    <n v="8"/>
    <n v="96"/>
    <n v="28816305"/>
    <n v="560870"/>
    <s v="Small"/>
    <s v="Hybrid"/>
    <n v="4"/>
    <n v="90.17"/>
    <n v="106436"/>
    <n v="1"/>
  </r>
  <r>
    <s v="Startup_1692"/>
    <x v="0"/>
    <n v="4"/>
    <n v="15974094"/>
    <n v="1"/>
    <n v="24"/>
    <n v="67"/>
    <n v="96991703"/>
    <n v="126957"/>
    <s v="Medium"/>
    <s v="Hybrid"/>
    <n v="5"/>
    <n v="23.39"/>
    <n v="359822"/>
    <n v="1"/>
  </r>
  <r>
    <s v="Startup_1693"/>
    <x v="3"/>
    <n v="3"/>
    <n v="28410215"/>
    <n v="1"/>
    <n v="3"/>
    <n v="707"/>
    <n v="55612048"/>
    <n v="322103"/>
    <s v="Large"/>
    <s v="B2B"/>
    <n v="7"/>
    <n v="41.19"/>
    <n v="655900"/>
    <n v="1"/>
  </r>
  <r>
    <s v="Startup_1694"/>
    <x v="5"/>
    <n v="2"/>
    <n v="35579741"/>
    <n v="3"/>
    <n v="21"/>
    <n v="424"/>
    <n v="34971427"/>
    <n v="534036"/>
    <s v="Small"/>
    <s v="B2C"/>
    <n v="1"/>
    <n v="31.68"/>
    <n v="916613"/>
    <n v="1"/>
  </r>
  <r>
    <s v="Startup_1695"/>
    <x v="3"/>
    <n v="7"/>
    <n v="18496147"/>
    <n v="4"/>
    <n v="18"/>
    <n v="231"/>
    <n v="80564592"/>
    <n v="979510"/>
    <s v="Large"/>
    <s v="Hybrid"/>
    <n v="8"/>
    <n v="8.91"/>
    <n v="196724"/>
    <n v="1"/>
  </r>
  <r>
    <s v="Startup_1696"/>
    <x v="0"/>
    <n v="6"/>
    <n v="1766430"/>
    <n v="4"/>
    <n v="13"/>
    <n v="981"/>
    <n v="14527620"/>
    <n v="398538"/>
    <s v="Medium"/>
    <s v="B2B"/>
    <n v="5"/>
    <n v="65.77"/>
    <n v="420230"/>
    <n v="1"/>
  </r>
  <r>
    <s v="Startup_1697"/>
    <x v="5"/>
    <n v="2"/>
    <n v="47800029"/>
    <n v="1"/>
    <n v="19"/>
    <n v="673"/>
    <n v="67636503"/>
    <n v="877727"/>
    <s v="Small"/>
    <s v="B2C"/>
    <n v="5"/>
    <n v="32.36"/>
    <n v="8315"/>
    <n v="1"/>
  </r>
  <r>
    <s v="Startup_1698"/>
    <x v="6"/>
    <n v="10"/>
    <n v="12549469"/>
    <n v="2"/>
    <n v="11"/>
    <n v="384"/>
    <n v="85694182"/>
    <n v="701538"/>
    <s v="Small"/>
    <s v="B2C"/>
    <n v="1"/>
    <n v="37.97"/>
    <n v="158977"/>
    <n v="1"/>
  </r>
  <r>
    <s v="Startup_1699"/>
    <x v="0"/>
    <n v="3"/>
    <n v="25183428"/>
    <n v="2"/>
    <n v="27"/>
    <n v="961"/>
    <n v="24730792"/>
    <n v="94935"/>
    <s v="Large"/>
    <s v="B2C"/>
    <n v="8"/>
    <n v="2.89"/>
    <n v="895221"/>
    <n v="1"/>
  </r>
  <r>
    <s v="Startup_1700"/>
    <x v="0"/>
    <n v="4"/>
    <n v="4056919"/>
    <n v="2"/>
    <n v="1"/>
    <n v="303"/>
    <n v="24236465"/>
    <n v="65248"/>
    <s v="Medium"/>
    <s v="B2C"/>
    <n v="1"/>
    <n v="96.93"/>
    <n v="191157"/>
    <n v="1"/>
  </r>
  <r>
    <s v="Startup_1701"/>
    <x v="5"/>
    <n v="5"/>
    <n v="27581938"/>
    <n v="3"/>
    <n v="7"/>
    <n v="893"/>
    <n v="85623874"/>
    <n v="44190"/>
    <s v="Small"/>
    <s v="B2C"/>
    <n v="7"/>
    <n v="64.7"/>
    <n v="578658"/>
    <n v="1"/>
  </r>
  <r>
    <s v="Startup_1702"/>
    <x v="3"/>
    <n v="2"/>
    <n v="47551863"/>
    <n v="2"/>
    <n v="23"/>
    <n v="845"/>
    <n v="3843800"/>
    <n v="480554"/>
    <s v="Small"/>
    <s v="B2B"/>
    <n v="2"/>
    <n v="43.51"/>
    <n v="221282"/>
    <n v="1"/>
  </r>
  <r>
    <s v="Startup_1703"/>
    <x v="2"/>
    <n v="6"/>
    <n v="18890239"/>
    <n v="1"/>
    <n v="14"/>
    <n v="365"/>
    <n v="56483724"/>
    <n v="535267"/>
    <s v="Large"/>
    <s v="B2B"/>
    <n v="1"/>
    <n v="60.1"/>
    <n v="957961"/>
    <n v="1"/>
  </r>
  <r>
    <s v="Startup_1704"/>
    <x v="0"/>
    <n v="1"/>
    <n v="48721271"/>
    <n v="1"/>
    <n v="17"/>
    <n v="915"/>
    <n v="50635564"/>
    <n v="465758"/>
    <s v="Small"/>
    <s v="Hybrid"/>
    <n v="4"/>
    <n v="76.11"/>
    <n v="526800"/>
    <n v="1"/>
  </r>
  <r>
    <s v="Startup_1705"/>
    <x v="1"/>
    <n v="1"/>
    <n v="49684278"/>
    <n v="3"/>
    <n v="16"/>
    <n v="724"/>
    <n v="8873651"/>
    <n v="970537"/>
    <s v="Small"/>
    <s v="Hybrid"/>
    <n v="2"/>
    <n v="61.39"/>
    <n v="398927"/>
    <n v="1"/>
  </r>
  <r>
    <s v="Startup_1706"/>
    <x v="4"/>
    <n v="7"/>
    <n v="26000323"/>
    <n v="4"/>
    <n v="7"/>
    <n v="250"/>
    <n v="27564148"/>
    <n v="892092"/>
    <s v="Large"/>
    <s v="B2C"/>
    <n v="6"/>
    <n v="99.07"/>
    <n v="555530"/>
    <n v="1"/>
  </r>
  <r>
    <s v="Startup_1707"/>
    <x v="2"/>
    <n v="12"/>
    <n v="15584745"/>
    <n v="1"/>
    <n v="29"/>
    <n v="749"/>
    <n v="68191230"/>
    <n v="335623"/>
    <s v="Medium"/>
    <s v="B2B"/>
    <n v="5"/>
    <n v="6.08"/>
    <n v="174321"/>
    <n v="1"/>
  </r>
  <r>
    <s v="Startup_1708"/>
    <x v="2"/>
    <n v="2"/>
    <n v="36602973"/>
    <n v="2"/>
    <n v="10"/>
    <n v="173"/>
    <n v="4234440"/>
    <n v="389138"/>
    <s v="Medium"/>
    <s v="B2C"/>
    <n v="7"/>
    <n v="93.28"/>
    <n v="594752"/>
    <n v="1"/>
  </r>
  <r>
    <s v="Startup_1709"/>
    <x v="4"/>
    <n v="0"/>
    <n v="42179618"/>
    <n v="2"/>
    <n v="13"/>
    <n v="166"/>
    <n v="20622306"/>
    <n v="665714"/>
    <s v="Medium"/>
    <s v="B2B"/>
    <n v="9"/>
    <n v="0.91"/>
    <n v="745394"/>
    <n v="1"/>
  </r>
  <r>
    <s v="Startup_1710"/>
    <x v="0"/>
    <n v="7"/>
    <n v="8818653"/>
    <n v="2"/>
    <n v="23"/>
    <n v="370"/>
    <n v="81376195"/>
    <n v="637931"/>
    <s v="Small"/>
    <s v="B2C"/>
    <n v="3"/>
    <n v="13.54"/>
    <n v="479359"/>
    <n v="1"/>
  </r>
  <r>
    <s v="Startup_1711"/>
    <x v="4"/>
    <n v="7"/>
    <n v="37574029"/>
    <n v="2"/>
    <n v="24"/>
    <n v="774"/>
    <n v="56541860"/>
    <n v="68390"/>
    <s v="Small"/>
    <s v="B2C"/>
    <n v="2"/>
    <n v="69.900000000000006"/>
    <n v="325148"/>
    <n v="1"/>
  </r>
  <r>
    <s v="Startup_1712"/>
    <x v="1"/>
    <n v="5"/>
    <n v="9011981"/>
    <n v="4"/>
    <n v="17"/>
    <n v="153"/>
    <n v="94205690"/>
    <n v="482144"/>
    <s v="Large"/>
    <s v="B2B"/>
    <n v="4"/>
    <n v="33.78"/>
    <n v="857456"/>
    <n v="1"/>
  </r>
  <r>
    <s v="Startup_1713"/>
    <x v="3"/>
    <n v="4"/>
    <n v="25151477"/>
    <n v="3"/>
    <n v="17"/>
    <n v="271"/>
    <n v="49620466"/>
    <n v="974588"/>
    <s v="Large"/>
    <s v="Hybrid"/>
    <n v="7"/>
    <n v="36.4"/>
    <n v="498854"/>
    <n v="1"/>
  </r>
  <r>
    <s v="Startup_1714"/>
    <x v="0"/>
    <n v="2"/>
    <n v="30044581"/>
    <n v="3"/>
    <n v="21"/>
    <n v="331"/>
    <n v="58791736"/>
    <n v="123394"/>
    <s v="Medium"/>
    <s v="B2B"/>
    <n v="2"/>
    <n v="83.02"/>
    <n v="54457"/>
    <n v="1"/>
  </r>
  <r>
    <s v="Startup_1715"/>
    <x v="6"/>
    <n v="0"/>
    <n v="40419003"/>
    <n v="2"/>
    <n v="21"/>
    <n v="805"/>
    <n v="61044101"/>
    <n v="569555"/>
    <s v="Medium"/>
    <s v="B2B"/>
    <n v="9"/>
    <n v="36.01"/>
    <n v="112939"/>
    <n v="1"/>
  </r>
  <r>
    <s v="Startup_1716"/>
    <x v="1"/>
    <n v="6"/>
    <n v="45190239"/>
    <n v="3"/>
    <n v="14"/>
    <n v="246"/>
    <n v="17463631"/>
    <n v="904384"/>
    <s v="Medium"/>
    <s v="B2B"/>
    <n v="9"/>
    <n v="86.17"/>
    <n v="451970"/>
    <n v="1"/>
  </r>
  <r>
    <s v="Startup_1717"/>
    <x v="1"/>
    <n v="6"/>
    <n v="26144524"/>
    <n v="4"/>
    <n v="2"/>
    <n v="266"/>
    <n v="52120600"/>
    <n v="619763"/>
    <s v="Large"/>
    <s v="B2B"/>
    <n v="2"/>
    <n v="16.77"/>
    <n v="555737"/>
    <n v="1"/>
  </r>
  <r>
    <s v="Startup_1718"/>
    <x v="2"/>
    <n v="1"/>
    <n v="47167206"/>
    <n v="1"/>
    <n v="29"/>
    <n v="440"/>
    <n v="26903330"/>
    <n v="289760"/>
    <s v="Large"/>
    <s v="Hybrid"/>
    <n v="1"/>
    <n v="40.869999999999997"/>
    <n v="637277"/>
    <n v="1"/>
  </r>
  <r>
    <s v="Startup_1719"/>
    <x v="6"/>
    <n v="5"/>
    <n v="1837668"/>
    <n v="4"/>
    <n v="28"/>
    <n v="284"/>
    <n v="86657355"/>
    <n v="685964"/>
    <s v="Large"/>
    <s v="B2B"/>
    <n v="4"/>
    <n v="11.99"/>
    <n v="697423"/>
    <n v="1"/>
  </r>
  <r>
    <s v="Startup_1720"/>
    <x v="6"/>
    <n v="2"/>
    <n v="39489391"/>
    <n v="2"/>
    <n v="15"/>
    <n v="729"/>
    <n v="20649809"/>
    <n v="101371"/>
    <s v="Small"/>
    <s v="Hybrid"/>
    <n v="3"/>
    <n v="74.239999999999995"/>
    <n v="380917"/>
    <n v="1"/>
  </r>
  <r>
    <s v="Startup_1721"/>
    <x v="3"/>
    <n v="9"/>
    <n v="46130739"/>
    <n v="3"/>
    <n v="29"/>
    <n v="144"/>
    <n v="58697443"/>
    <n v="614355"/>
    <s v="Small"/>
    <s v="B2C"/>
    <n v="8"/>
    <n v="74.349999999999994"/>
    <n v="268874"/>
    <n v="1"/>
  </r>
  <r>
    <s v="Startup_1722"/>
    <x v="5"/>
    <n v="6"/>
    <n v="24106855"/>
    <n v="4"/>
    <n v="13"/>
    <n v="984"/>
    <n v="62904186"/>
    <n v="213849"/>
    <s v="Small"/>
    <s v="Hybrid"/>
    <n v="3"/>
    <n v="4.6100000000000003"/>
    <n v="554805"/>
    <n v="1"/>
  </r>
  <r>
    <s v="Startup_1723"/>
    <x v="4"/>
    <n v="1"/>
    <n v="27426609"/>
    <n v="2"/>
    <n v="5"/>
    <n v="171"/>
    <n v="60644566"/>
    <n v="574879"/>
    <s v="Medium"/>
    <s v="B2B"/>
    <n v="6"/>
    <n v="6.7"/>
    <n v="819773"/>
    <n v="1"/>
  </r>
  <r>
    <s v="Startup_1724"/>
    <x v="0"/>
    <n v="1"/>
    <n v="37840257"/>
    <n v="2"/>
    <n v="22"/>
    <n v="108"/>
    <n v="5590719"/>
    <n v="691148"/>
    <s v="Large"/>
    <s v="B2C"/>
    <n v="2"/>
    <n v="76.48"/>
    <n v="281754"/>
    <n v="1"/>
  </r>
  <r>
    <s v="Startup_1725"/>
    <x v="3"/>
    <n v="9"/>
    <n v="9520153"/>
    <n v="2"/>
    <n v="16"/>
    <n v="162"/>
    <n v="18392257"/>
    <n v="45803"/>
    <s v="Large"/>
    <s v="Hybrid"/>
    <n v="4"/>
    <n v="20.54"/>
    <n v="854940"/>
    <n v="1"/>
  </r>
  <r>
    <s v="Startup_1726"/>
    <x v="1"/>
    <n v="1"/>
    <n v="5864900"/>
    <n v="2"/>
    <n v="15"/>
    <n v="782"/>
    <n v="23200489"/>
    <n v="352095"/>
    <s v="Small"/>
    <s v="B2B"/>
    <n v="2"/>
    <n v="93.37"/>
    <n v="971458"/>
    <n v="1"/>
  </r>
  <r>
    <s v="Startup_1727"/>
    <x v="0"/>
    <n v="8"/>
    <n v="45517564"/>
    <n v="3"/>
    <n v="1"/>
    <n v="120"/>
    <n v="3476579"/>
    <n v="885306"/>
    <s v="Small"/>
    <s v="Hybrid"/>
    <n v="3"/>
    <n v="24.66"/>
    <n v="377370"/>
    <n v="1"/>
  </r>
  <r>
    <s v="Startup_1728"/>
    <x v="4"/>
    <n v="13"/>
    <n v="34937154"/>
    <n v="1"/>
    <n v="19"/>
    <n v="380"/>
    <n v="89357443"/>
    <n v="773471"/>
    <s v="Medium"/>
    <s v="B2B"/>
    <n v="2"/>
    <n v="80.34"/>
    <n v="776342"/>
    <n v="1"/>
  </r>
  <r>
    <s v="Startup_1729"/>
    <x v="2"/>
    <n v="8"/>
    <n v="45573873"/>
    <n v="2"/>
    <n v="20"/>
    <n v="573"/>
    <n v="21274249"/>
    <n v="619190"/>
    <s v="Small"/>
    <s v="Hybrid"/>
    <n v="2"/>
    <n v="53.13"/>
    <n v="286991"/>
    <n v="1"/>
  </r>
  <r>
    <s v="Startup_1730"/>
    <x v="3"/>
    <n v="8"/>
    <n v="46377166"/>
    <n v="2"/>
    <n v="27"/>
    <n v="343"/>
    <n v="56375902"/>
    <n v="790217"/>
    <s v="Medium"/>
    <s v="B2B"/>
    <n v="4"/>
    <n v="83.71"/>
    <n v="465257"/>
    <n v="1"/>
  </r>
  <r>
    <s v="Startup_1731"/>
    <x v="6"/>
    <n v="8"/>
    <n v="47621220"/>
    <n v="3"/>
    <n v="18"/>
    <n v="964"/>
    <n v="20202444"/>
    <n v="285289"/>
    <s v="Large"/>
    <s v="B2B"/>
    <n v="5"/>
    <n v="49.84"/>
    <n v="505888"/>
    <n v="1"/>
  </r>
  <r>
    <s v="Startup_1732"/>
    <x v="3"/>
    <n v="0"/>
    <n v="14788706"/>
    <n v="1"/>
    <n v="2"/>
    <n v="54"/>
    <n v="40093609"/>
    <n v="555110"/>
    <s v="Small"/>
    <s v="B2C"/>
    <n v="4"/>
    <n v="27.99"/>
    <n v="544699"/>
    <n v="1"/>
  </r>
  <r>
    <s v="Startup_1733"/>
    <x v="3"/>
    <n v="7"/>
    <n v="45438025"/>
    <n v="1"/>
    <n v="10"/>
    <n v="733"/>
    <n v="21583562"/>
    <n v="427873"/>
    <s v="Large"/>
    <s v="B2B"/>
    <n v="1"/>
    <n v="29.4"/>
    <n v="996730"/>
    <n v="1"/>
  </r>
  <r>
    <s v="Startup_1734"/>
    <x v="4"/>
    <n v="1"/>
    <n v="47955409"/>
    <n v="2"/>
    <n v="21"/>
    <n v="936"/>
    <n v="45791739"/>
    <n v="655956"/>
    <s v="Large"/>
    <s v="Hybrid"/>
    <n v="8"/>
    <n v="36.549999999999997"/>
    <n v="535827"/>
    <n v="1"/>
  </r>
  <r>
    <s v="Startup_1735"/>
    <x v="6"/>
    <n v="1"/>
    <n v="42086149"/>
    <n v="4"/>
    <n v="27"/>
    <n v="659"/>
    <n v="87979171"/>
    <n v="264484"/>
    <s v="Large"/>
    <s v="Hybrid"/>
    <n v="8"/>
    <n v="11.98"/>
    <n v="70785"/>
    <n v="1"/>
  </r>
  <r>
    <s v="Startup_1736"/>
    <x v="3"/>
    <n v="4"/>
    <n v="16469239"/>
    <n v="2"/>
    <n v="18"/>
    <n v="134"/>
    <n v="99250302"/>
    <n v="915579"/>
    <s v="Large"/>
    <s v="B2B"/>
    <n v="2"/>
    <n v="48.39"/>
    <n v="658294"/>
    <n v="1"/>
  </r>
  <r>
    <s v="Startup_1737"/>
    <x v="5"/>
    <n v="9"/>
    <n v="26135377"/>
    <n v="1"/>
    <n v="6"/>
    <n v="811"/>
    <n v="1561429"/>
    <n v="266489"/>
    <s v="Medium"/>
    <s v="B2C"/>
    <n v="8"/>
    <n v="20.89"/>
    <n v="715105"/>
    <n v="1"/>
  </r>
  <r>
    <s v="Startup_1738"/>
    <x v="5"/>
    <n v="1"/>
    <n v="45178630"/>
    <n v="3"/>
    <n v="28"/>
    <n v="600"/>
    <n v="14727901"/>
    <n v="571491"/>
    <s v="Small"/>
    <s v="B2C"/>
    <n v="4"/>
    <n v="81.23"/>
    <n v="582183"/>
    <n v="1"/>
  </r>
  <r>
    <s v="Startup_1739"/>
    <x v="1"/>
    <n v="2"/>
    <n v="5401382"/>
    <n v="2"/>
    <n v="27"/>
    <n v="396"/>
    <n v="98260081"/>
    <n v="466981"/>
    <s v="Large"/>
    <s v="B2B"/>
    <n v="9"/>
    <n v="68.180000000000007"/>
    <n v="636687"/>
    <n v="1"/>
  </r>
  <r>
    <s v="Startup_1740"/>
    <x v="3"/>
    <n v="3"/>
    <n v="48972095"/>
    <n v="3"/>
    <n v="9"/>
    <n v="159"/>
    <n v="53962641"/>
    <n v="502257"/>
    <s v="Medium"/>
    <s v="Hybrid"/>
    <n v="6"/>
    <n v="40.92"/>
    <n v="732717"/>
    <n v="1"/>
  </r>
  <r>
    <s v="Startup_1741"/>
    <x v="2"/>
    <n v="10"/>
    <n v="17674862"/>
    <n v="2"/>
    <n v="27"/>
    <n v="629"/>
    <n v="11629324"/>
    <n v="838301"/>
    <s v="Medium"/>
    <s v="B2B"/>
    <n v="3"/>
    <n v="88.16"/>
    <n v="599336"/>
    <n v="1"/>
  </r>
  <r>
    <s v="Startup_1742"/>
    <x v="5"/>
    <n v="3"/>
    <n v="13691297"/>
    <n v="2"/>
    <n v="13"/>
    <n v="968"/>
    <n v="99705675"/>
    <n v="184569"/>
    <s v="Small"/>
    <s v="B2C"/>
    <n v="5"/>
    <n v="72.84"/>
    <n v="845821"/>
    <n v="1"/>
  </r>
  <r>
    <s v="Startup_1743"/>
    <x v="6"/>
    <n v="1"/>
    <n v="4052864"/>
    <n v="3"/>
    <n v="3"/>
    <n v="494"/>
    <n v="38058908"/>
    <n v="172115"/>
    <s v="Medium"/>
    <s v="Hybrid"/>
    <n v="9"/>
    <n v="68.599999999999994"/>
    <n v="903644"/>
    <n v="1"/>
  </r>
  <r>
    <s v="Startup_1744"/>
    <x v="5"/>
    <n v="1"/>
    <n v="37248599"/>
    <n v="2"/>
    <n v="13"/>
    <n v="452"/>
    <n v="6953604"/>
    <n v="699775"/>
    <s v="Large"/>
    <s v="B2C"/>
    <n v="4"/>
    <n v="93.2"/>
    <n v="84672"/>
    <n v="1"/>
  </r>
  <r>
    <s v="Startup_1745"/>
    <x v="1"/>
    <n v="11"/>
    <n v="33312505"/>
    <n v="3"/>
    <n v="10"/>
    <n v="841"/>
    <n v="75011684"/>
    <n v="278083"/>
    <s v="Small"/>
    <s v="Hybrid"/>
    <n v="3"/>
    <n v="46.62"/>
    <n v="147051"/>
    <n v="1"/>
  </r>
  <r>
    <s v="Startup_1746"/>
    <x v="1"/>
    <n v="1"/>
    <n v="15889617"/>
    <n v="2"/>
    <n v="12"/>
    <n v="338"/>
    <n v="47046462"/>
    <n v="602724"/>
    <s v="Medium"/>
    <s v="B2B"/>
    <n v="9"/>
    <n v="76.61"/>
    <n v="614311"/>
    <n v="1"/>
  </r>
  <r>
    <s v="Startup_1747"/>
    <x v="0"/>
    <n v="3"/>
    <n v="33612526"/>
    <n v="3"/>
    <n v="26"/>
    <n v="365"/>
    <n v="45566116"/>
    <n v="392437"/>
    <s v="Small"/>
    <s v="B2B"/>
    <n v="6"/>
    <n v="47.48"/>
    <n v="491544"/>
    <n v="1"/>
  </r>
  <r>
    <s v="Startup_1748"/>
    <x v="5"/>
    <n v="8"/>
    <n v="28650824"/>
    <n v="3"/>
    <n v="10"/>
    <n v="803"/>
    <n v="88577642"/>
    <n v="848870"/>
    <s v="Small"/>
    <s v="Hybrid"/>
    <n v="2"/>
    <n v="57.27"/>
    <n v="460531"/>
    <n v="1"/>
  </r>
  <r>
    <s v="Startup_1749"/>
    <x v="5"/>
    <n v="9"/>
    <n v="13211679"/>
    <n v="4"/>
    <n v="28"/>
    <n v="867"/>
    <n v="57294072"/>
    <n v="597327"/>
    <s v="Small"/>
    <s v="B2B"/>
    <n v="3"/>
    <n v="25.17"/>
    <n v="260132"/>
    <n v="1"/>
  </r>
  <r>
    <s v="Startup_1750"/>
    <x v="6"/>
    <n v="8"/>
    <n v="22363291"/>
    <n v="3"/>
    <n v="24"/>
    <n v="611"/>
    <n v="18070151"/>
    <n v="836834"/>
    <s v="Medium"/>
    <s v="B2B"/>
    <n v="1"/>
    <n v="97.17"/>
    <n v="890321"/>
    <n v="1"/>
  </r>
  <r>
    <s v="Startup_1751"/>
    <x v="6"/>
    <n v="9"/>
    <n v="30194354"/>
    <n v="2"/>
    <n v="29"/>
    <n v="736"/>
    <n v="93642153"/>
    <n v="240458"/>
    <s v="Large"/>
    <s v="Hybrid"/>
    <n v="8"/>
    <n v="58.63"/>
    <n v="543903"/>
    <n v="1"/>
  </r>
  <r>
    <s v="Startup_1752"/>
    <x v="4"/>
    <n v="12"/>
    <n v="15285226"/>
    <n v="4"/>
    <n v="1"/>
    <n v="789"/>
    <n v="13383019"/>
    <n v="218360"/>
    <s v="Medium"/>
    <s v="B2B"/>
    <n v="4"/>
    <n v="7.97"/>
    <n v="683017"/>
    <n v="1"/>
  </r>
  <r>
    <s v="Startup_1753"/>
    <x v="2"/>
    <n v="0"/>
    <n v="7996964"/>
    <n v="3"/>
    <n v="5"/>
    <n v="917"/>
    <n v="59638427"/>
    <n v="626568"/>
    <s v="Large"/>
    <s v="B2B"/>
    <n v="9"/>
    <n v="2.37"/>
    <n v="582172"/>
    <n v="1"/>
  </r>
  <r>
    <s v="Startup_1754"/>
    <x v="6"/>
    <n v="10"/>
    <n v="25487741"/>
    <n v="3"/>
    <n v="2"/>
    <n v="951"/>
    <n v="78192662"/>
    <n v="607817"/>
    <s v="Large"/>
    <s v="B2B"/>
    <n v="4"/>
    <n v="42.66"/>
    <n v="115549"/>
    <n v="1"/>
  </r>
  <r>
    <s v="Startup_1755"/>
    <x v="6"/>
    <n v="1"/>
    <n v="21182851"/>
    <n v="2"/>
    <n v="15"/>
    <n v="140"/>
    <n v="42694648"/>
    <n v="391973"/>
    <s v="Large"/>
    <s v="B2C"/>
    <n v="8"/>
    <n v="62.72"/>
    <n v="247621"/>
    <n v="1"/>
  </r>
  <r>
    <s v="Startup_1756"/>
    <x v="5"/>
    <n v="2"/>
    <n v="24350801"/>
    <n v="1"/>
    <n v="21"/>
    <n v="501"/>
    <n v="75366553"/>
    <n v="836265"/>
    <s v="Medium"/>
    <s v="Hybrid"/>
    <n v="4"/>
    <n v="11.68"/>
    <n v="933998"/>
    <n v="1"/>
  </r>
  <r>
    <s v="Startup_1757"/>
    <x v="0"/>
    <n v="13"/>
    <n v="15893837"/>
    <n v="4"/>
    <n v="8"/>
    <n v="57"/>
    <n v="23476552"/>
    <n v="990573"/>
    <s v="Medium"/>
    <s v="Hybrid"/>
    <n v="6"/>
    <n v="63"/>
    <n v="396829"/>
    <n v="1"/>
  </r>
  <r>
    <s v="Startup_1758"/>
    <x v="5"/>
    <n v="7"/>
    <n v="771047"/>
    <n v="4"/>
    <n v="13"/>
    <n v="191"/>
    <n v="99383747"/>
    <n v="87285"/>
    <s v="Large"/>
    <s v="Hybrid"/>
    <n v="4"/>
    <n v="85.69"/>
    <n v="246455"/>
    <n v="1"/>
  </r>
  <r>
    <s v="Startup_1759"/>
    <x v="5"/>
    <n v="6"/>
    <n v="25824980"/>
    <n v="1"/>
    <n v="16"/>
    <n v="444"/>
    <n v="38426718"/>
    <n v="742697"/>
    <s v="Medium"/>
    <s v="Hybrid"/>
    <n v="8"/>
    <n v="52.54"/>
    <n v="134880"/>
    <n v="1"/>
  </r>
  <r>
    <s v="Startup_1760"/>
    <x v="2"/>
    <n v="7"/>
    <n v="858856"/>
    <n v="4"/>
    <n v="20"/>
    <n v="62"/>
    <n v="92758045"/>
    <n v="176220"/>
    <s v="Small"/>
    <s v="Hybrid"/>
    <n v="1"/>
    <n v="11.32"/>
    <n v="282591"/>
    <n v="1"/>
  </r>
  <r>
    <s v="Startup_1761"/>
    <x v="0"/>
    <n v="13"/>
    <n v="6105246"/>
    <n v="4"/>
    <n v="4"/>
    <n v="158"/>
    <n v="26598526"/>
    <n v="661050"/>
    <s v="Small"/>
    <s v="Hybrid"/>
    <n v="8"/>
    <n v="75.75"/>
    <n v="930639"/>
    <n v="1"/>
  </r>
  <r>
    <s v="Startup_1762"/>
    <x v="3"/>
    <n v="12"/>
    <n v="5961432"/>
    <n v="4"/>
    <n v="15"/>
    <n v="54"/>
    <n v="52322494"/>
    <n v="57888"/>
    <s v="Large"/>
    <s v="B2B"/>
    <n v="4"/>
    <n v="65.3"/>
    <n v="174606"/>
    <n v="1"/>
  </r>
  <r>
    <s v="Startup_1763"/>
    <x v="4"/>
    <n v="14"/>
    <n v="20847902"/>
    <n v="1"/>
    <n v="5"/>
    <n v="928"/>
    <n v="26164558"/>
    <n v="263266"/>
    <s v="Small"/>
    <s v="B2B"/>
    <n v="9"/>
    <n v="90.7"/>
    <n v="565911"/>
    <n v="1"/>
  </r>
  <r>
    <s v="Startup_1764"/>
    <x v="4"/>
    <n v="14"/>
    <n v="13467112"/>
    <n v="4"/>
    <n v="3"/>
    <n v="917"/>
    <n v="51534493"/>
    <n v="944641"/>
    <s v="Large"/>
    <s v="B2C"/>
    <n v="9"/>
    <n v="39.96"/>
    <n v="395858"/>
    <n v="1"/>
  </r>
  <r>
    <s v="Startup_1765"/>
    <x v="2"/>
    <n v="7"/>
    <n v="43836762"/>
    <n v="4"/>
    <n v="14"/>
    <n v="444"/>
    <n v="85172104"/>
    <n v="716113"/>
    <s v="Small"/>
    <s v="B2B"/>
    <n v="2"/>
    <n v="92.45"/>
    <n v="920361"/>
    <n v="1"/>
  </r>
  <r>
    <s v="Startup_1766"/>
    <x v="5"/>
    <n v="10"/>
    <n v="34690527"/>
    <n v="4"/>
    <n v="9"/>
    <n v="546"/>
    <n v="15883907"/>
    <n v="312941"/>
    <s v="Large"/>
    <s v="Hybrid"/>
    <n v="7"/>
    <n v="82.85"/>
    <n v="417334"/>
    <n v="1"/>
  </r>
  <r>
    <s v="Startup_1767"/>
    <x v="1"/>
    <n v="1"/>
    <n v="13411976"/>
    <n v="2"/>
    <n v="20"/>
    <n v="177"/>
    <n v="13389960"/>
    <n v="388307"/>
    <s v="Small"/>
    <s v="Hybrid"/>
    <n v="7"/>
    <n v="30.1"/>
    <n v="14565"/>
    <n v="1"/>
  </r>
  <r>
    <s v="Startup_1768"/>
    <x v="2"/>
    <n v="4"/>
    <n v="36052319"/>
    <n v="1"/>
    <n v="15"/>
    <n v="962"/>
    <n v="15143708"/>
    <n v="383448"/>
    <s v="Small"/>
    <s v="B2B"/>
    <n v="5"/>
    <n v="64.37"/>
    <n v="984195"/>
    <n v="1"/>
  </r>
  <r>
    <s v="Startup_1769"/>
    <x v="4"/>
    <n v="3"/>
    <n v="4660265"/>
    <n v="2"/>
    <n v="13"/>
    <n v="40"/>
    <n v="41979960"/>
    <n v="465786"/>
    <s v="Medium"/>
    <s v="B2B"/>
    <n v="1"/>
    <n v="11.87"/>
    <n v="970745"/>
    <n v="1"/>
  </r>
  <r>
    <s v="Startup_1770"/>
    <x v="6"/>
    <n v="3"/>
    <n v="40372483"/>
    <n v="3"/>
    <n v="15"/>
    <n v="901"/>
    <n v="83948008"/>
    <n v="249636"/>
    <s v="Small"/>
    <s v="B2B"/>
    <n v="9"/>
    <n v="89.24"/>
    <n v="737758"/>
    <n v="1"/>
  </r>
  <r>
    <s v="Startup_1771"/>
    <x v="0"/>
    <n v="11"/>
    <n v="19739590"/>
    <n v="4"/>
    <n v="6"/>
    <n v="443"/>
    <n v="3821261"/>
    <n v="772068"/>
    <s v="Medium"/>
    <s v="B2B"/>
    <n v="8"/>
    <n v="64.349999999999994"/>
    <n v="776797"/>
    <n v="1"/>
  </r>
  <r>
    <s v="Startup_1772"/>
    <x v="0"/>
    <n v="4"/>
    <n v="41036096"/>
    <n v="2"/>
    <n v="21"/>
    <n v="940"/>
    <n v="93656134"/>
    <n v="450688"/>
    <s v="Large"/>
    <s v="B2B"/>
    <n v="6"/>
    <n v="86.05"/>
    <n v="370563"/>
    <n v="1"/>
  </r>
  <r>
    <s v="Startup_1773"/>
    <x v="0"/>
    <n v="1"/>
    <n v="35362360"/>
    <n v="4"/>
    <n v="0"/>
    <n v="9"/>
    <n v="20126187"/>
    <n v="924578"/>
    <s v="Large"/>
    <s v="B2B"/>
    <n v="2"/>
    <n v="43.32"/>
    <n v="444850"/>
    <n v="1"/>
  </r>
  <r>
    <s v="Startup_1774"/>
    <x v="3"/>
    <n v="13"/>
    <n v="2352292"/>
    <n v="4"/>
    <n v="18"/>
    <n v="678"/>
    <n v="11177335"/>
    <n v="568223"/>
    <s v="Large"/>
    <s v="B2C"/>
    <n v="7"/>
    <n v="18.149999999999999"/>
    <n v="713623"/>
    <n v="1"/>
  </r>
  <r>
    <s v="Startup_1775"/>
    <x v="3"/>
    <n v="7"/>
    <n v="32119609"/>
    <n v="3"/>
    <n v="1"/>
    <n v="244"/>
    <n v="57218701"/>
    <n v="760228"/>
    <s v="Small"/>
    <s v="Hybrid"/>
    <n v="5"/>
    <n v="50.31"/>
    <n v="892133"/>
    <n v="1"/>
  </r>
  <r>
    <s v="Startup_1776"/>
    <x v="5"/>
    <n v="9"/>
    <n v="46708713"/>
    <n v="1"/>
    <n v="4"/>
    <n v="733"/>
    <n v="28763853"/>
    <n v="863644"/>
    <s v="Small"/>
    <s v="B2B"/>
    <n v="5"/>
    <n v="10.68"/>
    <n v="386862"/>
    <n v="1"/>
  </r>
  <r>
    <s v="Startup_1777"/>
    <x v="0"/>
    <n v="14"/>
    <n v="16245498"/>
    <n v="3"/>
    <n v="18"/>
    <n v="101"/>
    <n v="53541579"/>
    <n v="241730"/>
    <s v="Large"/>
    <s v="B2C"/>
    <n v="2"/>
    <n v="65.28"/>
    <n v="184158"/>
    <n v="1"/>
  </r>
  <r>
    <s v="Startup_1778"/>
    <x v="4"/>
    <n v="1"/>
    <n v="14023807"/>
    <n v="4"/>
    <n v="21"/>
    <n v="300"/>
    <n v="62781461"/>
    <n v="606852"/>
    <s v="Large"/>
    <s v="B2C"/>
    <n v="6"/>
    <n v="25.4"/>
    <n v="280408"/>
    <n v="1"/>
  </r>
  <r>
    <s v="Startup_1779"/>
    <x v="3"/>
    <n v="13"/>
    <n v="21117941"/>
    <n v="3"/>
    <n v="0"/>
    <n v="856"/>
    <n v="11786317"/>
    <n v="486187"/>
    <s v="Medium"/>
    <s v="Hybrid"/>
    <n v="4"/>
    <n v="47.9"/>
    <n v="392600"/>
    <n v="1"/>
  </r>
  <r>
    <s v="Startup_1780"/>
    <x v="4"/>
    <n v="5"/>
    <n v="33774966"/>
    <n v="4"/>
    <n v="29"/>
    <n v="13"/>
    <n v="64997529"/>
    <n v="708643"/>
    <s v="Medium"/>
    <s v="Hybrid"/>
    <n v="6"/>
    <n v="29.75"/>
    <n v="806025"/>
    <n v="1"/>
  </r>
  <r>
    <s v="Startup_1781"/>
    <x v="2"/>
    <n v="12"/>
    <n v="3817407"/>
    <n v="3"/>
    <n v="10"/>
    <n v="973"/>
    <n v="72037779"/>
    <n v="818096"/>
    <s v="Medium"/>
    <s v="Hybrid"/>
    <n v="2"/>
    <n v="29.07"/>
    <n v="116394"/>
    <n v="1"/>
  </r>
  <r>
    <s v="Startup_1782"/>
    <x v="4"/>
    <n v="0"/>
    <n v="17120191"/>
    <n v="4"/>
    <n v="7"/>
    <n v="314"/>
    <n v="85710372"/>
    <n v="184424"/>
    <s v="Large"/>
    <s v="B2C"/>
    <n v="8"/>
    <n v="38.409999999999997"/>
    <n v="568163"/>
    <n v="1"/>
  </r>
  <r>
    <s v="Startup_1783"/>
    <x v="2"/>
    <n v="3"/>
    <n v="3055920"/>
    <n v="4"/>
    <n v="8"/>
    <n v="355"/>
    <n v="67445596"/>
    <n v="897485"/>
    <s v="Large"/>
    <s v="Hybrid"/>
    <n v="9"/>
    <n v="64.55"/>
    <n v="444694"/>
    <n v="1"/>
  </r>
  <r>
    <s v="Startup_1784"/>
    <x v="6"/>
    <n v="0"/>
    <n v="46462069"/>
    <n v="1"/>
    <n v="20"/>
    <n v="331"/>
    <n v="77593823"/>
    <n v="975101"/>
    <s v="Small"/>
    <s v="B2B"/>
    <n v="2"/>
    <n v="26.05"/>
    <n v="764277"/>
    <n v="1"/>
  </r>
  <r>
    <s v="Startup_1785"/>
    <x v="1"/>
    <n v="7"/>
    <n v="44239341"/>
    <n v="1"/>
    <n v="8"/>
    <n v="563"/>
    <n v="71165242"/>
    <n v="375505"/>
    <s v="Large"/>
    <s v="B2B"/>
    <n v="1"/>
    <n v="95.25"/>
    <n v="387911"/>
    <n v="1"/>
  </r>
  <r>
    <s v="Startup_1786"/>
    <x v="2"/>
    <n v="0"/>
    <n v="24008824"/>
    <n v="2"/>
    <n v="6"/>
    <n v="942"/>
    <n v="88571780"/>
    <n v="900201"/>
    <s v="Small"/>
    <s v="B2B"/>
    <n v="7"/>
    <n v="61.74"/>
    <n v="373968"/>
    <n v="1"/>
  </r>
  <r>
    <s v="Startup_1787"/>
    <x v="1"/>
    <n v="5"/>
    <n v="15910300"/>
    <n v="1"/>
    <n v="7"/>
    <n v="156"/>
    <n v="45732082"/>
    <n v="627808"/>
    <s v="Medium"/>
    <s v="B2B"/>
    <n v="1"/>
    <n v="21.72"/>
    <n v="487696"/>
    <n v="1"/>
  </r>
  <r>
    <s v="Startup_1788"/>
    <x v="6"/>
    <n v="5"/>
    <n v="4589923"/>
    <n v="2"/>
    <n v="15"/>
    <n v="614"/>
    <n v="40450589"/>
    <n v="64854"/>
    <s v="Small"/>
    <s v="B2B"/>
    <n v="7"/>
    <n v="76.849999999999994"/>
    <n v="548707"/>
    <n v="1"/>
  </r>
  <r>
    <s v="Startup_1789"/>
    <x v="4"/>
    <n v="6"/>
    <n v="3968713"/>
    <n v="4"/>
    <n v="24"/>
    <n v="960"/>
    <n v="45974284"/>
    <n v="177664"/>
    <s v="Large"/>
    <s v="B2C"/>
    <n v="8"/>
    <n v="20.69"/>
    <n v="604363"/>
    <n v="1"/>
  </r>
  <r>
    <s v="Startup_1790"/>
    <x v="1"/>
    <n v="7"/>
    <n v="2149868"/>
    <n v="3"/>
    <n v="16"/>
    <n v="592"/>
    <n v="99734"/>
    <n v="357762"/>
    <s v="Large"/>
    <s v="B2C"/>
    <n v="2"/>
    <n v="70.94"/>
    <n v="789993"/>
    <n v="1"/>
  </r>
  <r>
    <s v="Startup_1791"/>
    <x v="5"/>
    <n v="0"/>
    <n v="40718116"/>
    <n v="3"/>
    <n v="22"/>
    <n v="792"/>
    <n v="18113836"/>
    <n v="649823"/>
    <s v="Medium"/>
    <s v="B2B"/>
    <n v="3"/>
    <n v="46.8"/>
    <n v="758293"/>
    <n v="1"/>
  </r>
  <r>
    <s v="Startup_1792"/>
    <x v="1"/>
    <n v="1"/>
    <n v="33384520"/>
    <n v="4"/>
    <n v="10"/>
    <n v="82"/>
    <n v="93918756"/>
    <n v="513886"/>
    <s v="Medium"/>
    <s v="Hybrid"/>
    <n v="2"/>
    <n v="63.5"/>
    <n v="137712"/>
    <n v="1"/>
  </r>
  <r>
    <s v="Startup_1793"/>
    <x v="2"/>
    <n v="10"/>
    <n v="3187863"/>
    <n v="4"/>
    <n v="10"/>
    <n v="702"/>
    <n v="83172014"/>
    <n v="162571"/>
    <s v="Small"/>
    <s v="B2C"/>
    <n v="2"/>
    <n v="20.37"/>
    <n v="913414"/>
    <n v="1"/>
  </r>
  <r>
    <s v="Startup_1794"/>
    <x v="1"/>
    <n v="5"/>
    <n v="25529692"/>
    <n v="1"/>
    <n v="15"/>
    <n v="245"/>
    <n v="45157955"/>
    <n v="195139"/>
    <s v="Medium"/>
    <s v="Hybrid"/>
    <n v="1"/>
    <n v="6.59"/>
    <n v="157123"/>
    <n v="1"/>
  </r>
  <r>
    <s v="Startup_1795"/>
    <x v="2"/>
    <n v="3"/>
    <n v="49026074"/>
    <n v="2"/>
    <n v="6"/>
    <n v="518"/>
    <n v="48255024"/>
    <n v="971992"/>
    <s v="Large"/>
    <s v="B2C"/>
    <n v="4"/>
    <n v="70.489999999999995"/>
    <n v="495606"/>
    <n v="1"/>
  </r>
  <r>
    <s v="Startup_1796"/>
    <x v="3"/>
    <n v="1"/>
    <n v="32081983"/>
    <n v="2"/>
    <n v="13"/>
    <n v="833"/>
    <n v="8536493"/>
    <n v="315698"/>
    <s v="Medium"/>
    <s v="Hybrid"/>
    <n v="2"/>
    <n v="8.65"/>
    <n v="727327"/>
    <n v="1"/>
  </r>
  <r>
    <s v="Startup_1797"/>
    <x v="0"/>
    <n v="3"/>
    <n v="4976806"/>
    <n v="4"/>
    <n v="2"/>
    <n v="90"/>
    <n v="68170176"/>
    <n v="124225"/>
    <s v="Small"/>
    <s v="B2B"/>
    <n v="1"/>
    <n v="34.61"/>
    <n v="717323"/>
    <n v="1"/>
  </r>
  <r>
    <s v="Startup_1798"/>
    <x v="0"/>
    <n v="9"/>
    <n v="11454468"/>
    <n v="1"/>
    <n v="2"/>
    <n v="988"/>
    <n v="81615610"/>
    <n v="438411"/>
    <s v="Medium"/>
    <s v="B2C"/>
    <n v="8"/>
    <n v="89.75"/>
    <n v="979525"/>
    <n v="1"/>
  </r>
  <r>
    <s v="Startup_1799"/>
    <x v="0"/>
    <n v="12"/>
    <n v="287235"/>
    <n v="1"/>
    <n v="23"/>
    <n v="377"/>
    <n v="78211373"/>
    <n v="876759"/>
    <s v="Large"/>
    <s v="B2B"/>
    <n v="7"/>
    <n v="61.57"/>
    <n v="278168"/>
    <n v="1"/>
  </r>
  <r>
    <s v="Startup_1800"/>
    <x v="5"/>
    <n v="14"/>
    <n v="43321722"/>
    <n v="4"/>
    <n v="13"/>
    <n v="639"/>
    <n v="52334091"/>
    <n v="129871"/>
    <s v="Large"/>
    <s v="B2B"/>
    <n v="5"/>
    <n v="35.549999999999997"/>
    <n v="540533"/>
    <n v="1"/>
  </r>
  <r>
    <s v="Startup_1801"/>
    <x v="4"/>
    <n v="9"/>
    <n v="17186021"/>
    <n v="4"/>
    <n v="3"/>
    <n v="30"/>
    <n v="61409919"/>
    <n v="260548"/>
    <s v="Medium"/>
    <s v="B2B"/>
    <n v="8"/>
    <n v="97.8"/>
    <n v="971912"/>
    <n v="1"/>
  </r>
  <r>
    <s v="Startup_1802"/>
    <x v="4"/>
    <n v="12"/>
    <n v="15545127"/>
    <n v="2"/>
    <n v="8"/>
    <n v="955"/>
    <n v="78445372"/>
    <n v="805795"/>
    <s v="Large"/>
    <s v="Hybrid"/>
    <n v="6"/>
    <n v="78.510000000000005"/>
    <n v="663755"/>
    <n v="1"/>
  </r>
  <r>
    <s v="Startup_1803"/>
    <x v="2"/>
    <n v="5"/>
    <n v="42660707"/>
    <n v="3"/>
    <n v="10"/>
    <n v="321"/>
    <n v="43041376"/>
    <n v="117207"/>
    <s v="Small"/>
    <s v="B2C"/>
    <n v="8"/>
    <n v="19.11"/>
    <n v="816512"/>
    <n v="1"/>
  </r>
  <r>
    <s v="Startup_1804"/>
    <x v="4"/>
    <n v="7"/>
    <n v="20522040"/>
    <n v="2"/>
    <n v="9"/>
    <n v="495"/>
    <n v="54948661"/>
    <n v="969688"/>
    <s v="Small"/>
    <s v="B2C"/>
    <n v="6"/>
    <n v="70.069999999999993"/>
    <n v="802815"/>
    <n v="1"/>
  </r>
  <r>
    <s v="Startup_1805"/>
    <x v="2"/>
    <n v="7"/>
    <n v="29391639"/>
    <n v="3"/>
    <n v="12"/>
    <n v="549"/>
    <n v="12644737"/>
    <n v="897858"/>
    <s v="Small"/>
    <s v="B2B"/>
    <n v="2"/>
    <n v="73.069999999999993"/>
    <n v="742838"/>
    <n v="1"/>
  </r>
  <r>
    <s v="Startup_1806"/>
    <x v="1"/>
    <n v="0"/>
    <n v="5231504"/>
    <n v="4"/>
    <n v="10"/>
    <n v="222"/>
    <n v="95494670"/>
    <n v="529398"/>
    <s v="Medium"/>
    <s v="B2C"/>
    <n v="7"/>
    <n v="85.92"/>
    <n v="263217"/>
    <n v="1"/>
  </r>
  <r>
    <s v="Startup_1807"/>
    <x v="6"/>
    <n v="2"/>
    <n v="20253530"/>
    <n v="1"/>
    <n v="22"/>
    <n v="43"/>
    <n v="47747444"/>
    <n v="73984"/>
    <s v="Small"/>
    <s v="Hybrid"/>
    <n v="3"/>
    <n v="31.5"/>
    <n v="441858"/>
    <n v="1"/>
  </r>
  <r>
    <s v="Startup_1808"/>
    <x v="4"/>
    <n v="5"/>
    <n v="44162"/>
    <n v="4"/>
    <n v="26"/>
    <n v="268"/>
    <n v="22512502"/>
    <n v="317067"/>
    <s v="Large"/>
    <s v="B2C"/>
    <n v="2"/>
    <n v="75.45"/>
    <n v="58807"/>
    <n v="1"/>
  </r>
  <r>
    <s v="Startup_1809"/>
    <x v="0"/>
    <n v="10"/>
    <n v="19480978"/>
    <n v="4"/>
    <n v="20"/>
    <n v="192"/>
    <n v="40340612"/>
    <n v="991626"/>
    <s v="Large"/>
    <s v="Hybrid"/>
    <n v="4"/>
    <n v="9.4600000000000009"/>
    <n v="129579"/>
    <n v="1"/>
  </r>
  <r>
    <s v="Startup_1810"/>
    <x v="2"/>
    <n v="0"/>
    <n v="33483606"/>
    <n v="4"/>
    <n v="26"/>
    <n v="898"/>
    <n v="68597554"/>
    <n v="291542"/>
    <s v="Small"/>
    <s v="B2B"/>
    <n v="6"/>
    <n v="51.11"/>
    <n v="240806"/>
    <n v="1"/>
  </r>
  <r>
    <s v="Startup_1811"/>
    <x v="3"/>
    <n v="8"/>
    <n v="3842852"/>
    <n v="4"/>
    <n v="21"/>
    <n v="450"/>
    <n v="95674213"/>
    <n v="240526"/>
    <s v="Small"/>
    <s v="B2B"/>
    <n v="8"/>
    <n v="44.15"/>
    <n v="28701"/>
    <n v="1"/>
  </r>
  <r>
    <s v="Startup_1812"/>
    <x v="3"/>
    <n v="2"/>
    <n v="4498611"/>
    <n v="4"/>
    <n v="6"/>
    <n v="39"/>
    <n v="56491737"/>
    <n v="644365"/>
    <s v="Large"/>
    <s v="B2C"/>
    <n v="3"/>
    <n v="84.27"/>
    <n v="837727"/>
    <n v="1"/>
  </r>
  <r>
    <s v="Startup_1813"/>
    <x v="3"/>
    <n v="1"/>
    <n v="14569351"/>
    <n v="3"/>
    <n v="16"/>
    <n v="155"/>
    <n v="45604309"/>
    <n v="770132"/>
    <s v="Medium"/>
    <s v="B2B"/>
    <n v="1"/>
    <n v="59.41"/>
    <n v="533367"/>
    <n v="1"/>
  </r>
  <r>
    <s v="Startup_1814"/>
    <x v="3"/>
    <n v="9"/>
    <n v="23115788"/>
    <n v="3"/>
    <n v="21"/>
    <n v="954"/>
    <n v="26017197"/>
    <n v="309257"/>
    <s v="Large"/>
    <s v="Hybrid"/>
    <n v="8"/>
    <n v="73.31"/>
    <n v="672255"/>
    <n v="1"/>
  </r>
  <r>
    <s v="Startup_1815"/>
    <x v="3"/>
    <n v="4"/>
    <n v="14887593"/>
    <n v="3"/>
    <n v="26"/>
    <n v="315"/>
    <n v="75134774"/>
    <n v="496151"/>
    <s v="Large"/>
    <s v="Hybrid"/>
    <n v="2"/>
    <n v="36.89"/>
    <n v="997184"/>
    <n v="1"/>
  </r>
  <r>
    <s v="Startup_1816"/>
    <x v="3"/>
    <n v="5"/>
    <n v="4950577"/>
    <n v="4"/>
    <n v="14"/>
    <n v="788"/>
    <n v="77224943"/>
    <n v="975723"/>
    <s v="Large"/>
    <s v="B2C"/>
    <n v="1"/>
    <n v="85.01"/>
    <n v="485653"/>
    <n v="1"/>
  </r>
  <r>
    <s v="Startup_1817"/>
    <x v="0"/>
    <n v="8"/>
    <n v="17482568"/>
    <n v="1"/>
    <n v="2"/>
    <n v="250"/>
    <n v="33646154"/>
    <n v="765886"/>
    <s v="Medium"/>
    <s v="Hybrid"/>
    <n v="1"/>
    <n v="79.040000000000006"/>
    <n v="993414"/>
    <n v="1"/>
  </r>
  <r>
    <s v="Startup_1818"/>
    <x v="0"/>
    <n v="13"/>
    <n v="28092423"/>
    <n v="2"/>
    <n v="10"/>
    <n v="156"/>
    <n v="74346796"/>
    <n v="917423"/>
    <s v="Medium"/>
    <s v="Hybrid"/>
    <n v="3"/>
    <n v="47.87"/>
    <n v="472576"/>
    <n v="1"/>
  </r>
  <r>
    <s v="Startup_1819"/>
    <x v="5"/>
    <n v="1"/>
    <n v="26527300"/>
    <n v="4"/>
    <n v="2"/>
    <n v="181"/>
    <n v="6750339"/>
    <n v="933172"/>
    <s v="Large"/>
    <s v="Hybrid"/>
    <n v="9"/>
    <n v="76.819999999999993"/>
    <n v="311958"/>
    <n v="1"/>
  </r>
  <r>
    <s v="Startup_1820"/>
    <x v="3"/>
    <n v="9"/>
    <n v="26478022"/>
    <n v="3"/>
    <n v="7"/>
    <n v="433"/>
    <n v="24469619"/>
    <n v="227682"/>
    <s v="Large"/>
    <s v="B2B"/>
    <n v="8"/>
    <n v="38.97"/>
    <n v="108101"/>
    <n v="1"/>
  </r>
  <r>
    <s v="Startup_1821"/>
    <x v="0"/>
    <n v="1"/>
    <n v="47417665"/>
    <n v="2"/>
    <n v="27"/>
    <n v="395"/>
    <n v="11712158"/>
    <n v="588744"/>
    <s v="Large"/>
    <s v="B2C"/>
    <n v="2"/>
    <n v="56.2"/>
    <n v="631737"/>
    <n v="1"/>
  </r>
  <r>
    <s v="Startup_1822"/>
    <x v="3"/>
    <n v="2"/>
    <n v="2554210"/>
    <n v="3"/>
    <n v="0"/>
    <n v="826"/>
    <n v="24652365"/>
    <n v="658713"/>
    <s v="Small"/>
    <s v="B2C"/>
    <n v="4"/>
    <n v="7.45"/>
    <n v="463730"/>
    <n v="1"/>
  </r>
  <r>
    <s v="Startup_1823"/>
    <x v="6"/>
    <n v="7"/>
    <n v="15585852"/>
    <n v="3"/>
    <n v="9"/>
    <n v="889"/>
    <n v="51347680"/>
    <n v="991130"/>
    <s v="Small"/>
    <s v="Hybrid"/>
    <n v="5"/>
    <n v="76.67"/>
    <n v="51186"/>
    <n v="1"/>
  </r>
  <r>
    <s v="Startup_1824"/>
    <x v="3"/>
    <n v="11"/>
    <n v="9350146"/>
    <n v="4"/>
    <n v="14"/>
    <n v="316"/>
    <n v="71873854"/>
    <n v="681439"/>
    <s v="Large"/>
    <s v="B2C"/>
    <n v="8"/>
    <n v="43.05"/>
    <n v="303313"/>
    <n v="1"/>
  </r>
  <r>
    <s v="Startup_1825"/>
    <x v="4"/>
    <n v="8"/>
    <n v="12404398"/>
    <n v="1"/>
    <n v="25"/>
    <n v="237"/>
    <n v="2335195"/>
    <n v="315319"/>
    <s v="Large"/>
    <s v="Hybrid"/>
    <n v="2"/>
    <n v="32.880000000000003"/>
    <n v="503265"/>
    <n v="1"/>
  </r>
  <r>
    <s v="Startup_1826"/>
    <x v="1"/>
    <n v="8"/>
    <n v="25480875"/>
    <n v="1"/>
    <n v="1"/>
    <n v="455"/>
    <n v="16202765"/>
    <n v="177698"/>
    <s v="Large"/>
    <s v="Hybrid"/>
    <n v="1"/>
    <n v="87.67"/>
    <n v="155606"/>
    <n v="1"/>
  </r>
  <r>
    <s v="Startup_1827"/>
    <x v="0"/>
    <n v="4"/>
    <n v="2712024"/>
    <n v="3"/>
    <n v="7"/>
    <n v="180"/>
    <n v="2356593"/>
    <n v="25812"/>
    <s v="Large"/>
    <s v="Hybrid"/>
    <n v="2"/>
    <n v="78.599999999999994"/>
    <n v="978045"/>
    <n v="1"/>
  </r>
  <r>
    <s v="Startup_1828"/>
    <x v="1"/>
    <n v="6"/>
    <n v="12165575"/>
    <n v="1"/>
    <n v="13"/>
    <n v="633"/>
    <n v="16026465"/>
    <n v="833284"/>
    <s v="Medium"/>
    <s v="B2C"/>
    <n v="7"/>
    <n v="23.66"/>
    <n v="358715"/>
    <n v="1"/>
  </r>
  <r>
    <s v="Startup_1829"/>
    <x v="5"/>
    <n v="14"/>
    <n v="21076273"/>
    <n v="2"/>
    <n v="12"/>
    <n v="934"/>
    <n v="61819750"/>
    <n v="73303"/>
    <s v="Large"/>
    <s v="Hybrid"/>
    <n v="8"/>
    <n v="84.61"/>
    <n v="178786"/>
    <n v="1"/>
  </r>
  <r>
    <s v="Startup_1830"/>
    <x v="3"/>
    <n v="10"/>
    <n v="31664694"/>
    <n v="3"/>
    <n v="4"/>
    <n v="317"/>
    <n v="92569178"/>
    <n v="473782"/>
    <s v="Large"/>
    <s v="B2B"/>
    <n v="9"/>
    <n v="38.770000000000003"/>
    <n v="923474"/>
    <n v="1"/>
  </r>
  <r>
    <s v="Startup_1831"/>
    <x v="1"/>
    <n v="2"/>
    <n v="32811730"/>
    <n v="1"/>
    <n v="2"/>
    <n v="39"/>
    <n v="83422692"/>
    <n v="232006"/>
    <s v="Medium"/>
    <s v="B2B"/>
    <n v="6"/>
    <n v="56.58"/>
    <n v="137616"/>
    <n v="1"/>
  </r>
  <r>
    <s v="Startup_1832"/>
    <x v="0"/>
    <n v="9"/>
    <n v="42582433"/>
    <n v="3"/>
    <n v="11"/>
    <n v="524"/>
    <n v="69365038"/>
    <n v="853720"/>
    <s v="Small"/>
    <s v="B2B"/>
    <n v="5"/>
    <n v="25.29"/>
    <n v="255661"/>
    <n v="1"/>
  </r>
  <r>
    <s v="Startup_1833"/>
    <x v="6"/>
    <n v="7"/>
    <n v="2699133"/>
    <n v="3"/>
    <n v="13"/>
    <n v="552"/>
    <n v="79657529"/>
    <n v="155801"/>
    <s v="Large"/>
    <s v="B2C"/>
    <n v="6"/>
    <n v="47.39"/>
    <n v="391210"/>
    <n v="1"/>
  </r>
  <r>
    <s v="Startup_1834"/>
    <x v="3"/>
    <n v="8"/>
    <n v="2078400"/>
    <n v="3"/>
    <n v="24"/>
    <n v="558"/>
    <n v="21180867"/>
    <n v="954119"/>
    <s v="Small"/>
    <s v="Hybrid"/>
    <n v="4"/>
    <n v="96.63"/>
    <n v="842607"/>
    <n v="1"/>
  </r>
  <r>
    <s v="Startup_1835"/>
    <x v="0"/>
    <n v="11"/>
    <n v="14894196"/>
    <n v="1"/>
    <n v="9"/>
    <n v="424"/>
    <n v="61381318"/>
    <n v="243160"/>
    <s v="Small"/>
    <s v="B2B"/>
    <n v="1"/>
    <n v="67.239999999999995"/>
    <n v="161947"/>
    <n v="1"/>
  </r>
  <r>
    <s v="Startup_1836"/>
    <x v="4"/>
    <n v="3"/>
    <n v="15980555"/>
    <n v="1"/>
    <n v="29"/>
    <n v="586"/>
    <n v="53899706"/>
    <n v="602827"/>
    <s v="Small"/>
    <s v="Hybrid"/>
    <n v="4"/>
    <n v="94.73"/>
    <n v="114236"/>
    <n v="1"/>
  </r>
  <r>
    <s v="Startup_1837"/>
    <x v="6"/>
    <n v="8"/>
    <n v="27300243"/>
    <n v="1"/>
    <n v="6"/>
    <n v="413"/>
    <n v="42994486"/>
    <n v="336338"/>
    <s v="Small"/>
    <s v="B2C"/>
    <n v="7"/>
    <n v="20.95"/>
    <n v="491818"/>
    <n v="1"/>
  </r>
  <r>
    <s v="Startup_1838"/>
    <x v="4"/>
    <n v="14"/>
    <n v="28796014"/>
    <n v="4"/>
    <n v="27"/>
    <n v="49"/>
    <n v="20181216"/>
    <n v="931035"/>
    <s v="Medium"/>
    <s v="B2B"/>
    <n v="4"/>
    <n v="30.08"/>
    <n v="78706"/>
    <n v="1"/>
  </r>
  <r>
    <s v="Startup_1839"/>
    <x v="6"/>
    <n v="11"/>
    <n v="26343444"/>
    <n v="2"/>
    <n v="8"/>
    <n v="401"/>
    <n v="15283975"/>
    <n v="367178"/>
    <s v="Medium"/>
    <s v="B2B"/>
    <n v="1"/>
    <n v="71.83"/>
    <n v="264967"/>
    <n v="1"/>
  </r>
  <r>
    <s v="Startup_1840"/>
    <x v="6"/>
    <n v="14"/>
    <n v="22937768"/>
    <n v="3"/>
    <n v="13"/>
    <n v="944"/>
    <n v="10387177"/>
    <n v="544444"/>
    <s v="Small"/>
    <s v="B2C"/>
    <n v="7"/>
    <n v="22.11"/>
    <n v="410166"/>
    <n v="1"/>
  </r>
  <r>
    <s v="Startup_1841"/>
    <x v="6"/>
    <n v="4"/>
    <n v="22852035"/>
    <n v="2"/>
    <n v="28"/>
    <n v="921"/>
    <n v="35753428"/>
    <n v="268095"/>
    <s v="Small"/>
    <s v="B2C"/>
    <n v="8"/>
    <n v="18.579999999999998"/>
    <n v="491697"/>
    <n v="1"/>
  </r>
  <r>
    <s v="Startup_1842"/>
    <x v="3"/>
    <n v="3"/>
    <n v="43834019"/>
    <n v="4"/>
    <n v="3"/>
    <n v="898"/>
    <n v="70568780"/>
    <n v="111817"/>
    <s v="Small"/>
    <s v="Hybrid"/>
    <n v="3"/>
    <n v="95.23"/>
    <n v="340821"/>
    <n v="1"/>
  </r>
  <r>
    <s v="Startup_1843"/>
    <x v="6"/>
    <n v="10"/>
    <n v="13018032"/>
    <n v="2"/>
    <n v="15"/>
    <n v="425"/>
    <n v="78376066"/>
    <n v="315295"/>
    <s v="Small"/>
    <s v="B2B"/>
    <n v="3"/>
    <n v="66.59"/>
    <n v="505335"/>
    <n v="1"/>
  </r>
  <r>
    <s v="Startup_1844"/>
    <x v="3"/>
    <n v="0"/>
    <n v="36092326"/>
    <n v="2"/>
    <n v="14"/>
    <n v="548"/>
    <n v="57227430"/>
    <n v="400353"/>
    <s v="Medium"/>
    <s v="B2B"/>
    <n v="3"/>
    <n v="5.24"/>
    <n v="425700"/>
    <n v="1"/>
  </r>
  <r>
    <s v="Startup_1845"/>
    <x v="1"/>
    <n v="2"/>
    <n v="46882954"/>
    <n v="2"/>
    <n v="8"/>
    <n v="146"/>
    <n v="60076685"/>
    <n v="104671"/>
    <s v="Small"/>
    <s v="B2B"/>
    <n v="1"/>
    <n v="50.23"/>
    <n v="933938"/>
    <n v="1"/>
  </r>
  <r>
    <s v="Startup_1846"/>
    <x v="2"/>
    <n v="1"/>
    <n v="15355570"/>
    <n v="2"/>
    <n v="14"/>
    <n v="3"/>
    <n v="64482422"/>
    <n v="793567"/>
    <s v="Large"/>
    <s v="B2C"/>
    <n v="5"/>
    <n v="19.72"/>
    <n v="442354"/>
    <n v="1"/>
  </r>
  <r>
    <s v="Startup_1847"/>
    <x v="0"/>
    <n v="7"/>
    <n v="41478569"/>
    <n v="3"/>
    <n v="25"/>
    <n v="127"/>
    <n v="19303143"/>
    <n v="526075"/>
    <s v="Medium"/>
    <s v="B2C"/>
    <n v="8"/>
    <n v="70.64"/>
    <n v="116637"/>
    <n v="1"/>
  </r>
  <r>
    <s v="Startup_1848"/>
    <x v="4"/>
    <n v="2"/>
    <n v="18242178"/>
    <n v="3"/>
    <n v="18"/>
    <n v="173"/>
    <n v="82565688"/>
    <n v="59485"/>
    <s v="Large"/>
    <s v="B2B"/>
    <n v="4"/>
    <n v="43.73"/>
    <n v="406205"/>
    <n v="1"/>
  </r>
  <r>
    <s v="Startup_1849"/>
    <x v="6"/>
    <n v="3"/>
    <n v="46256141"/>
    <n v="1"/>
    <n v="24"/>
    <n v="898"/>
    <n v="14959639"/>
    <n v="621959"/>
    <s v="Medium"/>
    <s v="Hybrid"/>
    <n v="1"/>
    <n v="25.8"/>
    <n v="117877"/>
    <n v="1"/>
  </r>
  <r>
    <s v="Startup_1850"/>
    <x v="2"/>
    <n v="0"/>
    <n v="49988566"/>
    <n v="1"/>
    <n v="17"/>
    <n v="610"/>
    <n v="82007476"/>
    <n v="150756"/>
    <s v="Medium"/>
    <s v="Hybrid"/>
    <n v="5"/>
    <n v="43.56"/>
    <n v="142502"/>
    <n v="1"/>
  </r>
  <r>
    <s v="Startup_1851"/>
    <x v="3"/>
    <n v="11"/>
    <n v="22992387"/>
    <n v="3"/>
    <n v="29"/>
    <n v="505"/>
    <n v="39721700"/>
    <n v="876881"/>
    <s v="Small"/>
    <s v="Hybrid"/>
    <n v="8"/>
    <n v="71.510000000000005"/>
    <n v="326108"/>
    <n v="1"/>
  </r>
  <r>
    <s v="Startup_1852"/>
    <x v="1"/>
    <n v="12"/>
    <n v="23570553"/>
    <n v="2"/>
    <n v="4"/>
    <n v="469"/>
    <n v="13147203"/>
    <n v="198622"/>
    <s v="Small"/>
    <s v="B2C"/>
    <n v="3"/>
    <n v="10.92"/>
    <n v="52842"/>
    <n v="1"/>
  </r>
  <r>
    <s v="Startup_1853"/>
    <x v="5"/>
    <n v="1"/>
    <n v="2021117"/>
    <n v="1"/>
    <n v="10"/>
    <n v="740"/>
    <n v="54026081"/>
    <n v="123493"/>
    <s v="Medium"/>
    <s v="B2B"/>
    <n v="3"/>
    <n v="69.16"/>
    <n v="725794"/>
    <n v="1"/>
  </r>
  <r>
    <s v="Startup_1854"/>
    <x v="1"/>
    <n v="0"/>
    <n v="17448442"/>
    <n v="4"/>
    <n v="1"/>
    <n v="628"/>
    <n v="87741708"/>
    <n v="202394"/>
    <s v="Small"/>
    <s v="B2C"/>
    <n v="1"/>
    <n v="7.91"/>
    <n v="606127"/>
    <n v="1"/>
  </r>
  <r>
    <s v="Startup_1855"/>
    <x v="6"/>
    <n v="0"/>
    <n v="34007048"/>
    <n v="4"/>
    <n v="7"/>
    <n v="921"/>
    <n v="7016386"/>
    <n v="465368"/>
    <s v="Medium"/>
    <s v="B2C"/>
    <n v="9"/>
    <n v="71.69"/>
    <n v="229543"/>
    <n v="1"/>
  </r>
  <r>
    <s v="Startup_1856"/>
    <x v="1"/>
    <n v="11"/>
    <n v="11393841"/>
    <n v="4"/>
    <n v="5"/>
    <n v="682"/>
    <n v="45100387"/>
    <n v="146558"/>
    <s v="Large"/>
    <s v="B2B"/>
    <n v="8"/>
    <n v="76.28"/>
    <n v="863889"/>
    <n v="1"/>
  </r>
  <r>
    <s v="Startup_1857"/>
    <x v="0"/>
    <n v="7"/>
    <n v="32818006"/>
    <n v="3"/>
    <n v="8"/>
    <n v="784"/>
    <n v="72862968"/>
    <n v="675177"/>
    <s v="Large"/>
    <s v="B2B"/>
    <n v="4"/>
    <n v="43.05"/>
    <n v="9507"/>
    <n v="1"/>
  </r>
  <r>
    <s v="Startup_1858"/>
    <x v="6"/>
    <n v="13"/>
    <n v="25832519"/>
    <n v="3"/>
    <n v="27"/>
    <n v="246"/>
    <n v="23532073"/>
    <n v="891461"/>
    <s v="Large"/>
    <s v="B2C"/>
    <n v="7"/>
    <n v="61.39"/>
    <n v="922910"/>
    <n v="1"/>
  </r>
  <r>
    <s v="Startup_1859"/>
    <x v="0"/>
    <n v="14"/>
    <n v="2019211"/>
    <n v="1"/>
    <n v="26"/>
    <n v="553"/>
    <n v="63849057"/>
    <n v="511511"/>
    <s v="Small"/>
    <s v="B2C"/>
    <n v="6"/>
    <n v="80.209999999999994"/>
    <n v="713359"/>
    <n v="1"/>
  </r>
  <r>
    <s v="Startup_1860"/>
    <x v="5"/>
    <n v="10"/>
    <n v="37793426"/>
    <n v="4"/>
    <n v="18"/>
    <n v="438"/>
    <n v="70469696"/>
    <n v="970778"/>
    <s v="Large"/>
    <s v="B2C"/>
    <n v="6"/>
    <n v="63.43"/>
    <n v="871613"/>
    <n v="1"/>
  </r>
  <r>
    <s v="Startup_1861"/>
    <x v="5"/>
    <n v="1"/>
    <n v="17315310"/>
    <n v="1"/>
    <n v="0"/>
    <n v="840"/>
    <n v="93995448"/>
    <n v="739467"/>
    <s v="Medium"/>
    <s v="Hybrid"/>
    <n v="9"/>
    <n v="55.28"/>
    <n v="349538"/>
    <n v="1"/>
  </r>
  <r>
    <s v="Startup_1862"/>
    <x v="0"/>
    <n v="5"/>
    <n v="38279774"/>
    <n v="2"/>
    <n v="21"/>
    <n v="181"/>
    <n v="28379295"/>
    <n v="633290"/>
    <s v="Small"/>
    <s v="Hybrid"/>
    <n v="9"/>
    <n v="74.67"/>
    <n v="200907"/>
    <n v="1"/>
  </r>
  <r>
    <s v="Startup_1863"/>
    <x v="1"/>
    <n v="4"/>
    <n v="14934411"/>
    <n v="1"/>
    <n v="21"/>
    <n v="333"/>
    <n v="88190301"/>
    <n v="832036"/>
    <s v="Small"/>
    <s v="Hybrid"/>
    <n v="3"/>
    <n v="26.76"/>
    <n v="590598"/>
    <n v="1"/>
  </r>
  <r>
    <s v="Startup_1864"/>
    <x v="0"/>
    <n v="3"/>
    <n v="17568481"/>
    <n v="1"/>
    <n v="21"/>
    <n v="728"/>
    <n v="10464832"/>
    <n v="808301"/>
    <s v="Medium"/>
    <s v="B2B"/>
    <n v="8"/>
    <n v="17.25"/>
    <n v="570219"/>
    <n v="1"/>
  </r>
  <r>
    <s v="Startup_1865"/>
    <x v="6"/>
    <n v="3"/>
    <n v="47421050"/>
    <n v="3"/>
    <n v="23"/>
    <n v="992"/>
    <n v="26654195"/>
    <n v="422814"/>
    <s v="Large"/>
    <s v="Hybrid"/>
    <n v="1"/>
    <n v="35.78"/>
    <n v="231484"/>
    <n v="1"/>
  </r>
  <r>
    <s v="Startup_1866"/>
    <x v="5"/>
    <n v="2"/>
    <n v="10174233"/>
    <n v="2"/>
    <n v="20"/>
    <n v="627"/>
    <n v="95183601"/>
    <n v="889283"/>
    <s v="Small"/>
    <s v="B2B"/>
    <n v="9"/>
    <n v="58.66"/>
    <n v="994227"/>
    <n v="1"/>
  </r>
  <r>
    <s v="Startup_1867"/>
    <x v="1"/>
    <n v="7"/>
    <n v="13849323"/>
    <n v="4"/>
    <n v="21"/>
    <n v="230"/>
    <n v="75510797"/>
    <n v="19824"/>
    <s v="Medium"/>
    <s v="B2C"/>
    <n v="8"/>
    <n v="53.18"/>
    <n v="213098"/>
    <n v="1"/>
  </r>
  <r>
    <s v="Startup_1868"/>
    <x v="6"/>
    <n v="8"/>
    <n v="47969721"/>
    <n v="2"/>
    <n v="26"/>
    <n v="719"/>
    <n v="33050501"/>
    <n v="685745"/>
    <s v="Large"/>
    <s v="B2C"/>
    <n v="4"/>
    <n v="4.55"/>
    <n v="489983"/>
    <n v="1"/>
  </r>
  <r>
    <s v="Startup_1869"/>
    <x v="6"/>
    <n v="1"/>
    <n v="9130753"/>
    <n v="1"/>
    <n v="17"/>
    <n v="361"/>
    <n v="60939826"/>
    <n v="430435"/>
    <s v="Large"/>
    <s v="Hybrid"/>
    <n v="6"/>
    <n v="9.08"/>
    <n v="645615"/>
    <n v="1"/>
  </r>
  <r>
    <s v="Startup_1870"/>
    <x v="0"/>
    <n v="6"/>
    <n v="42757422"/>
    <n v="4"/>
    <n v="15"/>
    <n v="39"/>
    <n v="61218796"/>
    <n v="154812"/>
    <s v="Small"/>
    <s v="Hybrid"/>
    <n v="7"/>
    <n v="83.91"/>
    <n v="678331"/>
    <n v="1"/>
  </r>
  <r>
    <s v="Startup_1871"/>
    <x v="2"/>
    <n v="8"/>
    <n v="43524833"/>
    <n v="3"/>
    <n v="12"/>
    <n v="998"/>
    <n v="97188260"/>
    <n v="818659"/>
    <s v="Large"/>
    <s v="B2C"/>
    <n v="8"/>
    <n v="10.4"/>
    <n v="837781"/>
    <n v="1"/>
  </r>
  <r>
    <s v="Startup_1872"/>
    <x v="2"/>
    <n v="5"/>
    <n v="16527981"/>
    <n v="3"/>
    <n v="27"/>
    <n v="885"/>
    <n v="24780600"/>
    <n v="573414"/>
    <s v="Medium"/>
    <s v="Hybrid"/>
    <n v="4"/>
    <n v="91.44"/>
    <n v="893247"/>
    <n v="1"/>
  </r>
  <r>
    <s v="Startup_1873"/>
    <x v="0"/>
    <n v="6"/>
    <n v="29844984"/>
    <n v="4"/>
    <n v="5"/>
    <n v="813"/>
    <n v="12130188"/>
    <n v="563676"/>
    <s v="Medium"/>
    <s v="B2B"/>
    <n v="5"/>
    <n v="34.14"/>
    <n v="599554"/>
    <n v="1"/>
  </r>
  <r>
    <s v="Startup_1874"/>
    <x v="4"/>
    <n v="14"/>
    <n v="1427241"/>
    <n v="1"/>
    <n v="20"/>
    <n v="140"/>
    <n v="23584034"/>
    <n v="907936"/>
    <s v="Medium"/>
    <s v="B2B"/>
    <n v="4"/>
    <n v="74.42"/>
    <n v="721638"/>
    <n v="1"/>
  </r>
  <r>
    <s v="Startup_1875"/>
    <x v="6"/>
    <n v="3"/>
    <n v="44855146"/>
    <n v="4"/>
    <n v="5"/>
    <n v="860"/>
    <n v="35721079"/>
    <n v="831251"/>
    <s v="Medium"/>
    <s v="B2B"/>
    <n v="5"/>
    <n v="78.86"/>
    <n v="372720"/>
    <n v="1"/>
  </r>
  <r>
    <s v="Startup_1876"/>
    <x v="4"/>
    <n v="10"/>
    <n v="3226453"/>
    <n v="2"/>
    <n v="4"/>
    <n v="247"/>
    <n v="56266655"/>
    <n v="692146"/>
    <s v="Small"/>
    <s v="B2B"/>
    <n v="7"/>
    <n v="65.97"/>
    <n v="300997"/>
    <n v="1"/>
  </r>
  <r>
    <s v="Startup_1877"/>
    <x v="4"/>
    <n v="1"/>
    <n v="11029213"/>
    <n v="4"/>
    <n v="0"/>
    <n v="827"/>
    <n v="25032973"/>
    <n v="70019"/>
    <s v="Medium"/>
    <s v="B2C"/>
    <n v="3"/>
    <n v="78.89"/>
    <n v="981672"/>
    <n v="1"/>
  </r>
  <r>
    <s v="Startup_1878"/>
    <x v="1"/>
    <n v="5"/>
    <n v="41968019"/>
    <n v="4"/>
    <n v="7"/>
    <n v="504"/>
    <n v="90722902"/>
    <n v="696128"/>
    <s v="Small"/>
    <s v="B2B"/>
    <n v="9"/>
    <n v="47.69"/>
    <n v="275496"/>
    <n v="1"/>
  </r>
  <r>
    <s v="Startup_1879"/>
    <x v="3"/>
    <n v="8"/>
    <n v="47080745"/>
    <n v="1"/>
    <n v="24"/>
    <n v="102"/>
    <n v="31845903"/>
    <n v="786456"/>
    <s v="Small"/>
    <s v="B2C"/>
    <n v="8"/>
    <n v="23"/>
    <n v="822697"/>
    <n v="1"/>
  </r>
  <r>
    <s v="Startup_1880"/>
    <x v="3"/>
    <n v="2"/>
    <n v="42655725"/>
    <n v="3"/>
    <n v="22"/>
    <n v="476"/>
    <n v="26796989"/>
    <n v="11433"/>
    <s v="Medium"/>
    <s v="B2B"/>
    <n v="8"/>
    <n v="98.63"/>
    <n v="589815"/>
    <n v="1"/>
  </r>
  <r>
    <s v="Startup_1881"/>
    <x v="5"/>
    <n v="9"/>
    <n v="46674658"/>
    <n v="3"/>
    <n v="11"/>
    <n v="591"/>
    <n v="1428526"/>
    <n v="5159"/>
    <s v="Medium"/>
    <s v="Hybrid"/>
    <n v="7"/>
    <n v="34.630000000000003"/>
    <n v="735819"/>
    <n v="1"/>
  </r>
  <r>
    <s v="Startup_1882"/>
    <x v="3"/>
    <n v="13"/>
    <n v="3088396"/>
    <n v="3"/>
    <n v="16"/>
    <n v="886"/>
    <n v="6483954"/>
    <n v="468511"/>
    <s v="Small"/>
    <s v="Hybrid"/>
    <n v="1"/>
    <n v="1.18"/>
    <n v="897439"/>
    <n v="1"/>
  </r>
  <r>
    <s v="Startup_1883"/>
    <x v="0"/>
    <n v="7"/>
    <n v="22932"/>
    <n v="1"/>
    <n v="6"/>
    <n v="477"/>
    <n v="90455644"/>
    <n v="320099"/>
    <s v="Medium"/>
    <s v="Hybrid"/>
    <n v="7"/>
    <n v="15.62"/>
    <n v="531894"/>
    <n v="1"/>
  </r>
  <r>
    <s v="Startup_1884"/>
    <x v="5"/>
    <n v="13"/>
    <n v="16470032"/>
    <n v="3"/>
    <n v="12"/>
    <n v="214"/>
    <n v="14440552"/>
    <n v="456083"/>
    <s v="Medium"/>
    <s v="Hybrid"/>
    <n v="8"/>
    <n v="28.42"/>
    <n v="609490"/>
    <n v="1"/>
  </r>
  <r>
    <s v="Startup_1885"/>
    <x v="2"/>
    <n v="5"/>
    <n v="20441720"/>
    <n v="2"/>
    <n v="1"/>
    <n v="300"/>
    <n v="19547537"/>
    <n v="413251"/>
    <s v="Medium"/>
    <s v="B2C"/>
    <n v="1"/>
    <n v="69.64"/>
    <n v="476826"/>
    <n v="1"/>
  </r>
  <r>
    <s v="Startup_1886"/>
    <x v="6"/>
    <n v="6"/>
    <n v="14484490"/>
    <n v="1"/>
    <n v="4"/>
    <n v="217"/>
    <n v="90215294"/>
    <n v="787784"/>
    <s v="Small"/>
    <s v="B2B"/>
    <n v="5"/>
    <n v="19.149999999999999"/>
    <n v="909843"/>
    <n v="1"/>
  </r>
  <r>
    <s v="Startup_1887"/>
    <x v="5"/>
    <n v="2"/>
    <n v="19584654"/>
    <n v="2"/>
    <n v="22"/>
    <n v="724"/>
    <n v="41904924"/>
    <n v="644326"/>
    <s v="Large"/>
    <s v="B2B"/>
    <n v="2"/>
    <n v="90.58"/>
    <n v="883305"/>
    <n v="1"/>
  </r>
  <r>
    <s v="Startup_1888"/>
    <x v="5"/>
    <n v="10"/>
    <n v="23048361"/>
    <n v="1"/>
    <n v="21"/>
    <n v="440"/>
    <n v="74780592"/>
    <n v="501029"/>
    <s v="Small"/>
    <s v="Hybrid"/>
    <n v="9"/>
    <n v="62.49"/>
    <n v="20793"/>
    <n v="1"/>
  </r>
  <r>
    <s v="Startup_1889"/>
    <x v="6"/>
    <n v="0"/>
    <n v="24766686"/>
    <n v="3"/>
    <n v="22"/>
    <n v="509"/>
    <n v="48115003"/>
    <n v="982416"/>
    <s v="Medium"/>
    <s v="Hybrid"/>
    <n v="5"/>
    <n v="68.37"/>
    <n v="905612"/>
    <n v="1"/>
  </r>
  <r>
    <s v="Startup_1890"/>
    <x v="2"/>
    <n v="3"/>
    <n v="14438860"/>
    <n v="2"/>
    <n v="11"/>
    <n v="487"/>
    <n v="15027464"/>
    <n v="822741"/>
    <s v="Large"/>
    <s v="B2C"/>
    <n v="7"/>
    <n v="63.03"/>
    <n v="213385"/>
    <n v="1"/>
  </r>
  <r>
    <s v="Startup_1891"/>
    <x v="2"/>
    <n v="5"/>
    <n v="30004239"/>
    <n v="3"/>
    <n v="0"/>
    <n v="715"/>
    <n v="97918424"/>
    <n v="43880"/>
    <s v="Large"/>
    <s v="B2C"/>
    <n v="5"/>
    <n v="32.270000000000003"/>
    <n v="428948"/>
    <n v="1"/>
  </r>
  <r>
    <s v="Startup_1892"/>
    <x v="3"/>
    <n v="6"/>
    <n v="7416784"/>
    <n v="1"/>
    <n v="0"/>
    <n v="818"/>
    <n v="84735250"/>
    <n v="311739"/>
    <s v="Medium"/>
    <s v="B2B"/>
    <n v="6"/>
    <n v="23.42"/>
    <n v="993848"/>
    <n v="1"/>
  </r>
  <r>
    <s v="Startup_1893"/>
    <x v="2"/>
    <n v="12"/>
    <n v="12295121"/>
    <n v="2"/>
    <n v="20"/>
    <n v="209"/>
    <n v="87942004"/>
    <n v="883086"/>
    <s v="Medium"/>
    <s v="Hybrid"/>
    <n v="5"/>
    <n v="67.38"/>
    <n v="98347"/>
    <n v="1"/>
  </r>
  <r>
    <s v="Startup_1894"/>
    <x v="5"/>
    <n v="11"/>
    <n v="44886565"/>
    <n v="2"/>
    <n v="9"/>
    <n v="900"/>
    <n v="91238788"/>
    <n v="526285"/>
    <s v="Large"/>
    <s v="B2B"/>
    <n v="2"/>
    <n v="48.78"/>
    <n v="531726"/>
    <n v="1"/>
  </r>
  <r>
    <s v="Startup_1895"/>
    <x v="5"/>
    <n v="12"/>
    <n v="12118767"/>
    <n v="2"/>
    <n v="21"/>
    <n v="241"/>
    <n v="59961787"/>
    <n v="880103"/>
    <s v="Medium"/>
    <s v="B2B"/>
    <n v="8"/>
    <n v="1.52"/>
    <n v="659693"/>
    <n v="1"/>
  </r>
  <r>
    <s v="Startup_1896"/>
    <x v="0"/>
    <n v="2"/>
    <n v="27581848"/>
    <n v="4"/>
    <n v="9"/>
    <n v="896"/>
    <n v="11793622"/>
    <n v="695408"/>
    <s v="Medium"/>
    <s v="B2B"/>
    <n v="6"/>
    <n v="91.15"/>
    <n v="469203"/>
    <n v="1"/>
  </r>
  <r>
    <s v="Startup_1897"/>
    <x v="6"/>
    <n v="12"/>
    <n v="45589469"/>
    <n v="4"/>
    <n v="27"/>
    <n v="441"/>
    <n v="41877593"/>
    <n v="790667"/>
    <s v="Medium"/>
    <s v="B2C"/>
    <n v="9"/>
    <n v="76.400000000000006"/>
    <n v="988725"/>
    <n v="1"/>
  </r>
  <r>
    <s v="Startup_1898"/>
    <x v="6"/>
    <n v="13"/>
    <n v="36703447"/>
    <n v="1"/>
    <n v="4"/>
    <n v="816"/>
    <n v="12552962"/>
    <n v="882254"/>
    <s v="Medium"/>
    <s v="B2C"/>
    <n v="8"/>
    <n v="93.81"/>
    <n v="358465"/>
    <n v="1"/>
  </r>
  <r>
    <s v="Startup_1899"/>
    <x v="3"/>
    <n v="8"/>
    <n v="8878554"/>
    <n v="4"/>
    <n v="15"/>
    <n v="80"/>
    <n v="43571449"/>
    <n v="951457"/>
    <s v="Large"/>
    <s v="B2B"/>
    <n v="2"/>
    <n v="67.16"/>
    <n v="184280"/>
    <n v="1"/>
  </r>
  <r>
    <s v="Startup_1900"/>
    <x v="0"/>
    <n v="4"/>
    <n v="35033390"/>
    <n v="1"/>
    <n v="29"/>
    <n v="311"/>
    <n v="85957596"/>
    <n v="894780"/>
    <s v="Small"/>
    <s v="Hybrid"/>
    <n v="7"/>
    <n v="63.32"/>
    <n v="561458"/>
    <n v="1"/>
  </r>
  <r>
    <s v="Startup_1901"/>
    <x v="2"/>
    <n v="11"/>
    <n v="17552415"/>
    <n v="1"/>
    <n v="20"/>
    <n v="394"/>
    <n v="83311458"/>
    <n v="691188"/>
    <s v="Small"/>
    <s v="B2B"/>
    <n v="9"/>
    <n v="1.58"/>
    <n v="409975"/>
    <n v="1"/>
  </r>
  <r>
    <s v="Startup_1902"/>
    <x v="3"/>
    <n v="7"/>
    <n v="3130814"/>
    <n v="4"/>
    <n v="2"/>
    <n v="38"/>
    <n v="10207373"/>
    <n v="72187"/>
    <s v="Medium"/>
    <s v="Hybrid"/>
    <n v="4"/>
    <n v="81.849999999999994"/>
    <n v="854444"/>
    <n v="1"/>
  </r>
  <r>
    <s v="Startup_1903"/>
    <x v="0"/>
    <n v="3"/>
    <n v="36357049"/>
    <n v="2"/>
    <n v="21"/>
    <n v="236"/>
    <n v="11407846"/>
    <n v="365736"/>
    <s v="Medium"/>
    <s v="B2C"/>
    <n v="5"/>
    <n v="28.74"/>
    <n v="766908"/>
    <n v="1"/>
  </r>
  <r>
    <s v="Startup_1904"/>
    <x v="1"/>
    <n v="2"/>
    <n v="49672866"/>
    <n v="4"/>
    <n v="9"/>
    <n v="842"/>
    <n v="6073130"/>
    <n v="710679"/>
    <s v="Small"/>
    <s v="Hybrid"/>
    <n v="5"/>
    <n v="14.59"/>
    <n v="66276"/>
    <n v="1"/>
  </r>
  <r>
    <s v="Startup_1905"/>
    <x v="2"/>
    <n v="9"/>
    <n v="1640116"/>
    <n v="1"/>
    <n v="29"/>
    <n v="157"/>
    <n v="40924617"/>
    <n v="237519"/>
    <s v="Medium"/>
    <s v="Hybrid"/>
    <n v="1"/>
    <n v="89.06"/>
    <n v="849162"/>
    <n v="1"/>
  </r>
  <r>
    <s v="Startup_1906"/>
    <x v="1"/>
    <n v="1"/>
    <n v="6795143"/>
    <n v="2"/>
    <n v="9"/>
    <n v="966"/>
    <n v="30798629"/>
    <n v="592112"/>
    <s v="Medium"/>
    <s v="B2C"/>
    <n v="1"/>
    <n v="5.75"/>
    <n v="760253"/>
    <n v="1"/>
  </r>
  <r>
    <s v="Startup_1907"/>
    <x v="2"/>
    <n v="14"/>
    <n v="26471474"/>
    <n v="3"/>
    <n v="24"/>
    <n v="552"/>
    <n v="81092538"/>
    <n v="40057"/>
    <s v="Small"/>
    <s v="B2B"/>
    <n v="4"/>
    <n v="16.489999999999998"/>
    <n v="605397"/>
    <n v="1"/>
  </r>
  <r>
    <s v="Startup_1908"/>
    <x v="4"/>
    <n v="7"/>
    <n v="32392329"/>
    <n v="4"/>
    <n v="11"/>
    <n v="418"/>
    <n v="24477142"/>
    <n v="983176"/>
    <s v="Small"/>
    <s v="B2B"/>
    <n v="4"/>
    <n v="80.75"/>
    <n v="827214"/>
    <n v="1"/>
  </r>
  <r>
    <s v="Startup_1909"/>
    <x v="4"/>
    <n v="2"/>
    <n v="18203280"/>
    <n v="1"/>
    <n v="12"/>
    <n v="496"/>
    <n v="9479236"/>
    <n v="288441"/>
    <s v="Medium"/>
    <s v="B2B"/>
    <n v="5"/>
    <n v="18.12"/>
    <n v="153794"/>
    <n v="1"/>
  </r>
  <r>
    <s v="Startup_1910"/>
    <x v="3"/>
    <n v="2"/>
    <n v="32698799"/>
    <n v="1"/>
    <n v="1"/>
    <n v="666"/>
    <n v="93969440"/>
    <n v="780681"/>
    <s v="Small"/>
    <s v="B2B"/>
    <n v="3"/>
    <n v="31.18"/>
    <n v="289195"/>
    <n v="1"/>
  </r>
  <r>
    <s v="Startup_1911"/>
    <x v="0"/>
    <n v="3"/>
    <n v="22636670"/>
    <n v="4"/>
    <n v="11"/>
    <n v="774"/>
    <n v="79338205"/>
    <n v="99495"/>
    <s v="Large"/>
    <s v="Hybrid"/>
    <n v="2"/>
    <n v="7.32"/>
    <n v="195055"/>
    <n v="1"/>
  </r>
  <r>
    <s v="Startup_1912"/>
    <x v="5"/>
    <n v="2"/>
    <n v="18278946"/>
    <n v="3"/>
    <n v="7"/>
    <n v="922"/>
    <n v="34643317"/>
    <n v="551192"/>
    <s v="Medium"/>
    <s v="B2C"/>
    <n v="7"/>
    <n v="86.14"/>
    <n v="977139"/>
    <n v="1"/>
  </r>
  <r>
    <s v="Startup_1913"/>
    <x v="4"/>
    <n v="5"/>
    <n v="9926131"/>
    <n v="3"/>
    <n v="9"/>
    <n v="986"/>
    <n v="37820421"/>
    <n v="981147"/>
    <s v="Small"/>
    <s v="B2B"/>
    <n v="9"/>
    <n v="86.42"/>
    <n v="632390"/>
    <n v="1"/>
  </r>
  <r>
    <s v="Startup_1914"/>
    <x v="0"/>
    <n v="10"/>
    <n v="40690472"/>
    <n v="2"/>
    <n v="8"/>
    <n v="698"/>
    <n v="51855824"/>
    <n v="519633"/>
    <s v="Large"/>
    <s v="Hybrid"/>
    <n v="8"/>
    <n v="71.53"/>
    <n v="577980"/>
    <n v="1"/>
  </r>
  <r>
    <s v="Startup_1915"/>
    <x v="6"/>
    <n v="3"/>
    <n v="36075513"/>
    <n v="2"/>
    <n v="26"/>
    <n v="359"/>
    <n v="54422368"/>
    <n v="630869"/>
    <s v="Medium"/>
    <s v="B2B"/>
    <n v="7"/>
    <n v="97.08"/>
    <n v="594377"/>
    <n v="1"/>
  </r>
  <r>
    <s v="Startup_1916"/>
    <x v="1"/>
    <n v="0"/>
    <n v="31132049"/>
    <n v="2"/>
    <n v="9"/>
    <n v="937"/>
    <n v="89894670"/>
    <n v="917107"/>
    <s v="Small"/>
    <s v="B2C"/>
    <n v="4"/>
    <n v="87.48"/>
    <n v="715663"/>
    <n v="1"/>
  </r>
  <r>
    <s v="Startup_1917"/>
    <x v="4"/>
    <n v="1"/>
    <n v="3870524"/>
    <n v="2"/>
    <n v="18"/>
    <n v="270"/>
    <n v="25816365"/>
    <n v="765722"/>
    <s v="Large"/>
    <s v="B2C"/>
    <n v="9"/>
    <n v="86.87"/>
    <n v="25777"/>
    <n v="1"/>
  </r>
  <r>
    <s v="Startup_1918"/>
    <x v="5"/>
    <n v="3"/>
    <n v="17083840"/>
    <n v="2"/>
    <n v="14"/>
    <n v="354"/>
    <n v="22617793"/>
    <n v="10832"/>
    <s v="Small"/>
    <s v="B2B"/>
    <n v="9"/>
    <n v="9.48"/>
    <n v="161600"/>
    <n v="1"/>
  </r>
  <r>
    <s v="Startup_1919"/>
    <x v="4"/>
    <n v="8"/>
    <n v="6302750"/>
    <n v="3"/>
    <n v="21"/>
    <n v="299"/>
    <n v="50882454"/>
    <n v="237440"/>
    <s v="Small"/>
    <s v="B2B"/>
    <n v="4"/>
    <n v="14.09"/>
    <n v="21099"/>
    <n v="1"/>
  </r>
  <r>
    <s v="Startup_1920"/>
    <x v="0"/>
    <n v="9"/>
    <n v="25228150"/>
    <n v="3"/>
    <n v="12"/>
    <n v="127"/>
    <n v="3995278"/>
    <n v="463664"/>
    <s v="Large"/>
    <s v="B2B"/>
    <n v="3"/>
    <n v="94"/>
    <n v="171610"/>
    <n v="1"/>
  </r>
  <r>
    <s v="Startup_1921"/>
    <x v="5"/>
    <n v="6"/>
    <n v="40895826"/>
    <n v="1"/>
    <n v="27"/>
    <n v="684"/>
    <n v="51005169"/>
    <n v="229088"/>
    <s v="Large"/>
    <s v="B2C"/>
    <n v="2"/>
    <n v="57.88"/>
    <n v="594277"/>
    <n v="1"/>
  </r>
  <r>
    <s v="Startup_1922"/>
    <x v="1"/>
    <n v="2"/>
    <n v="4710262"/>
    <n v="4"/>
    <n v="8"/>
    <n v="302"/>
    <n v="11028874"/>
    <n v="82906"/>
    <s v="Medium"/>
    <s v="B2C"/>
    <n v="1"/>
    <n v="35.19"/>
    <n v="462180"/>
    <n v="1"/>
  </r>
  <r>
    <s v="Startup_1923"/>
    <x v="1"/>
    <n v="1"/>
    <n v="24681584"/>
    <n v="4"/>
    <n v="27"/>
    <n v="554"/>
    <n v="26838573"/>
    <n v="247763"/>
    <s v="Small"/>
    <s v="B2C"/>
    <n v="7"/>
    <n v="45.43"/>
    <n v="864652"/>
    <n v="1"/>
  </r>
  <r>
    <s v="Startup_1924"/>
    <x v="4"/>
    <n v="13"/>
    <n v="41917116"/>
    <n v="3"/>
    <n v="18"/>
    <n v="806"/>
    <n v="72090485"/>
    <n v="644308"/>
    <s v="Small"/>
    <s v="Hybrid"/>
    <n v="2"/>
    <n v="11.57"/>
    <n v="960837"/>
    <n v="1"/>
  </r>
  <r>
    <s v="Startup_1925"/>
    <x v="1"/>
    <n v="14"/>
    <n v="37856638"/>
    <n v="4"/>
    <n v="16"/>
    <n v="937"/>
    <n v="90249812"/>
    <n v="338184"/>
    <s v="Medium"/>
    <s v="B2B"/>
    <n v="8"/>
    <n v="66.94"/>
    <n v="746621"/>
    <n v="1"/>
  </r>
  <r>
    <s v="Startup_1926"/>
    <x v="4"/>
    <n v="12"/>
    <n v="11938529"/>
    <n v="3"/>
    <n v="3"/>
    <n v="484"/>
    <n v="8436903"/>
    <n v="252375"/>
    <s v="Large"/>
    <s v="B2C"/>
    <n v="9"/>
    <n v="9.34"/>
    <n v="350053"/>
    <n v="1"/>
  </r>
  <r>
    <s v="Startup_1927"/>
    <x v="6"/>
    <n v="9"/>
    <n v="44679688"/>
    <n v="1"/>
    <n v="11"/>
    <n v="106"/>
    <n v="1015859"/>
    <n v="779386"/>
    <s v="Large"/>
    <s v="B2B"/>
    <n v="3"/>
    <n v="15.9"/>
    <n v="489380"/>
    <n v="1"/>
  </r>
  <r>
    <s v="Startup_1928"/>
    <x v="4"/>
    <n v="7"/>
    <n v="5907611"/>
    <n v="4"/>
    <n v="9"/>
    <n v="353"/>
    <n v="53682272"/>
    <n v="523157"/>
    <s v="Medium"/>
    <s v="B2B"/>
    <n v="1"/>
    <n v="89.82"/>
    <n v="13233"/>
    <n v="1"/>
  </r>
  <r>
    <s v="Startup_1929"/>
    <x v="2"/>
    <n v="0"/>
    <n v="3324403"/>
    <n v="2"/>
    <n v="21"/>
    <n v="780"/>
    <n v="29718410"/>
    <n v="97812"/>
    <s v="Large"/>
    <s v="B2C"/>
    <n v="8"/>
    <n v="68.540000000000006"/>
    <n v="8813"/>
    <n v="1"/>
  </r>
  <r>
    <s v="Startup_1930"/>
    <x v="5"/>
    <n v="2"/>
    <n v="12380392"/>
    <n v="1"/>
    <n v="9"/>
    <n v="84"/>
    <n v="63650469"/>
    <n v="245631"/>
    <s v="Small"/>
    <s v="B2B"/>
    <n v="2"/>
    <n v="56.51"/>
    <n v="225103"/>
    <n v="1"/>
  </r>
  <r>
    <s v="Startup_1931"/>
    <x v="6"/>
    <n v="12"/>
    <n v="44092284"/>
    <n v="2"/>
    <n v="22"/>
    <n v="582"/>
    <n v="59378832"/>
    <n v="46294"/>
    <s v="Large"/>
    <s v="Hybrid"/>
    <n v="5"/>
    <n v="48.22"/>
    <n v="804639"/>
    <n v="1"/>
  </r>
  <r>
    <s v="Startup_1932"/>
    <x v="5"/>
    <n v="9"/>
    <n v="28270904"/>
    <n v="1"/>
    <n v="20"/>
    <n v="802"/>
    <n v="92567649"/>
    <n v="553210"/>
    <s v="Small"/>
    <s v="Hybrid"/>
    <n v="2"/>
    <n v="19.170000000000002"/>
    <n v="852672"/>
    <n v="1"/>
  </r>
  <r>
    <s v="Startup_1933"/>
    <x v="4"/>
    <n v="10"/>
    <n v="28526919"/>
    <n v="2"/>
    <n v="12"/>
    <n v="73"/>
    <n v="14545011"/>
    <n v="499867"/>
    <s v="Large"/>
    <s v="Hybrid"/>
    <n v="3"/>
    <n v="34.82"/>
    <n v="767447"/>
    <n v="1"/>
  </r>
  <r>
    <s v="Startup_1934"/>
    <x v="6"/>
    <n v="2"/>
    <n v="19570897"/>
    <n v="4"/>
    <n v="18"/>
    <n v="545"/>
    <n v="65503614"/>
    <n v="301666"/>
    <s v="Large"/>
    <s v="Hybrid"/>
    <n v="2"/>
    <n v="6.43"/>
    <n v="472440"/>
    <n v="1"/>
  </r>
  <r>
    <s v="Startup_1935"/>
    <x v="0"/>
    <n v="3"/>
    <n v="2866394"/>
    <n v="4"/>
    <n v="12"/>
    <n v="75"/>
    <n v="17215639"/>
    <n v="117768"/>
    <s v="Medium"/>
    <s v="B2C"/>
    <n v="5"/>
    <n v="52.05"/>
    <n v="144189"/>
    <n v="1"/>
  </r>
  <r>
    <s v="Startup_1936"/>
    <x v="6"/>
    <n v="14"/>
    <n v="13234408"/>
    <n v="3"/>
    <n v="14"/>
    <n v="980"/>
    <n v="56498089"/>
    <n v="832563"/>
    <s v="Small"/>
    <s v="B2B"/>
    <n v="6"/>
    <n v="75.53"/>
    <n v="141793"/>
    <n v="1"/>
  </r>
  <r>
    <s v="Startup_1937"/>
    <x v="4"/>
    <n v="13"/>
    <n v="13907945"/>
    <n v="4"/>
    <n v="18"/>
    <n v="915"/>
    <n v="15229533"/>
    <n v="180327"/>
    <s v="Medium"/>
    <s v="B2C"/>
    <n v="5"/>
    <n v="57.64"/>
    <n v="588428"/>
    <n v="1"/>
  </r>
  <r>
    <s v="Startup_1938"/>
    <x v="0"/>
    <n v="0"/>
    <n v="43522208"/>
    <n v="4"/>
    <n v="13"/>
    <n v="971"/>
    <n v="36217730"/>
    <n v="372166"/>
    <s v="Medium"/>
    <s v="B2B"/>
    <n v="3"/>
    <n v="97.1"/>
    <n v="328050"/>
    <n v="1"/>
  </r>
  <r>
    <s v="Startup_1939"/>
    <x v="1"/>
    <n v="2"/>
    <n v="9972056"/>
    <n v="1"/>
    <n v="8"/>
    <n v="954"/>
    <n v="24553245"/>
    <n v="491126"/>
    <s v="Small"/>
    <s v="B2B"/>
    <n v="8"/>
    <n v="41.4"/>
    <n v="949275"/>
    <n v="1"/>
  </r>
  <r>
    <s v="Startup_1940"/>
    <x v="1"/>
    <n v="10"/>
    <n v="17216517"/>
    <n v="2"/>
    <n v="17"/>
    <n v="788"/>
    <n v="80761697"/>
    <n v="21698"/>
    <s v="Medium"/>
    <s v="B2C"/>
    <n v="2"/>
    <n v="41.07"/>
    <n v="713390"/>
    <n v="1"/>
  </r>
  <r>
    <s v="Startup_1941"/>
    <x v="2"/>
    <n v="11"/>
    <n v="35342607"/>
    <n v="4"/>
    <n v="27"/>
    <n v="422"/>
    <n v="92865359"/>
    <n v="430878"/>
    <s v="Large"/>
    <s v="B2C"/>
    <n v="1"/>
    <n v="69.180000000000007"/>
    <n v="338785"/>
    <n v="1"/>
  </r>
  <r>
    <s v="Startup_1942"/>
    <x v="2"/>
    <n v="10"/>
    <n v="48304131"/>
    <n v="1"/>
    <n v="18"/>
    <n v="158"/>
    <n v="99528928"/>
    <n v="861954"/>
    <s v="Large"/>
    <s v="B2C"/>
    <n v="3"/>
    <n v="43.71"/>
    <n v="740748"/>
    <n v="1"/>
  </r>
  <r>
    <s v="Startup_1943"/>
    <x v="4"/>
    <n v="8"/>
    <n v="4029993"/>
    <n v="1"/>
    <n v="11"/>
    <n v="876"/>
    <n v="70804252"/>
    <n v="481222"/>
    <s v="Medium"/>
    <s v="B2B"/>
    <n v="3"/>
    <n v="65.34"/>
    <n v="109849"/>
    <n v="1"/>
  </r>
  <r>
    <s v="Startup_1944"/>
    <x v="1"/>
    <n v="4"/>
    <n v="25461142"/>
    <n v="2"/>
    <n v="24"/>
    <n v="99"/>
    <n v="61699865"/>
    <n v="694588"/>
    <s v="Large"/>
    <s v="Hybrid"/>
    <n v="8"/>
    <n v="52.52"/>
    <n v="844738"/>
    <n v="1"/>
  </r>
  <r>
    <s v="Startup_1945"/>
    <x v="5"/>
    <n v="1"/>
    <n v="28189258"/>
    <n v="1"/>
    <n v="0"/>
    <n v="126"/>
    <n v="14493167"/>
    <n v="442095"/>
    <s v="Large"/>
    <s v="Hybrid"/>
    <n v="6"/>
    <n v="39.450000000000003"/>
    <n v="438077"/>
    <n v="1"/>
  </r>
  <r>
    <s v="Startup_1946"/>
    <x v="5"/>
    <n v="9"/>
    <n v="18469339"/>
    <n v="3"/>
    <n v="29"/>
    <n v="267"/>
    <n v="73607185"/>
    <n v="224959"/>
    <s v="Small"/>
    <s v="B2B"/>
    <n v="3"/>
    <n v="0.73"/>
    <n v="905481"/>
    <n v="1"/>
  </r>
  <r>
    <s v="Startup_1947"/>
    <x v="4"/>
    <n v="1"/>
    <n v="5605177"/>
    <n v="2"/>
    <n v="23"/>
    <n v="487"/>
    <n v="51755169"/>
    <n v="225027"/>
    <s v="Medium"/>
    <s v="Hybrid"/>
    <n v="4"/>
    <n v="60.85"/>
    <n v="224263"/>
    <n v="1"/>
  </r>
  <r>
    <s v="Startup_1948"/>
    <x v="0"/>
    <n v="2"/>
    <n v="44973374"/>
    <n v="4"/>
    <n v="17"/>
    <n v="443"/>
    <n v="28788934"/>
    <n v="949841"/>
    <s v="Large"/>
    <s v="B2C"/>
    <n v="6"/>
    <n v="63.99"/>
    <n v="559276"/>
    <n v="1"/>
  </r>
  <r>
    <s v="Startup_1949"/>
    <x v="6"/>
    <n v="11"/>
    <n v="36843349"/>
    <n v="2"/>
    <n v="11"/>
    <n v="359"/>
    <n v="95644164"/>
    <n v="50830"/>
    <s v="Medium"/>
    <s v="B2C"/>
    <n v="1"/>
    <n v="22.59"/>
    <n v="377382"/>
    <n v="1"/>
  </r>
  <r>
    <s v="Startup_1950"/>
    <x v="6"/>
    <n v="8"/>
    <n v="28506393"/>
    <n v="2"/>
    <n v="11"/>
    <n v="15"/>
    <n v="68337027"/>
    <n v="496194"/>
    <s v="Medium"/>
    <s v="B2B"/>
    <n v="1"/>
    <n v="60.53"/>
    <n v="57245"/>
    <n v="1"/>
  </r>
  <r>
    <s v="Startup_1951"/>
    <x v="6"/>
    <n v="6"/>
    <n v="10238869"/>
    <n v="2"/>
    <n v="26"/>
    <n v="179"/>
    <n v="35334584"/>
    <n v="243424"/>
    <s v="Large"/>
    <s v="Hybrid"/>
    <n v="3"/>
    <n v="0.9"/>
    <n v="865413"/>
    <n v="1"/>
  </r>
  <r>
    <s v="Startup_1952"/>
    <x v="5"/>
    <n v="4"/>
    <n v="46636189"/>
    <n v="1"/>
    <n v="21"/>
    <n v="843"/>
    <n v="18694290"/>
    <n v="128300"/>
    <s v="Large"/>
    <s v="Hybrid"/>
    <n v="5"/>
    <n v="84"/>
    <n v="142821"/>
    <n v="1"/>
  </r>
  <r>
    <s v="Startup_1953"/>
    <x v="2"/>
    <n v="7"/>
    <n v="35602113"/>
    <n v="2"/>
    <n v="9"/>
    <n v="38"/>
    <n v="78429988"/>
    <n v="959578"/>
    <s v="Small"/>
    <s v="B2B"/>
    <n v="6"/>
    <n v="64.52"/>
    <n v="375948"/>
    <n v="1"/>
  </r>
  <r>
    <s v="Startup_1954"/>
    <x v="3"/>
    <n v="10"/>
    <n v="32525892"/>
    <n v="1"/>
    <n v="19"/>
    <n v="29"/>
    <n v="44785152"/>
    <n v="784321"/>
    <s v="Large"/>
    <s v="B2B"/>
    <n v="7"/>
    <n v="28.06"/>
    <n v="813813"/>
    <n v="1"/>
  </r>
  <r>
    <s v="Startup_1955"/>
    <x v="2"/>
    <n v="6"/>
    <n v="27097414"/>
    <n v="1"/>
    <n v="8"/>
    <n v="601"/>
    <n v="39613233"/>
    <n v="812210"/>
    <s v="Large"/>
    <s v="Hybrid"/>
    <n v="5"/>
    <n v="30.9"/>
    <n v="605676"/>
    <n v="1"/>
  </r>
  <r>
    <s v="Startup_1956"/>
    <x v="6"/>
    <n v="12"/>
    <n v="19245477"/>
    <n v="2"/>
    <n v="6"/>
    <n v="777"/>
    <n v="53565656"/>
    <n v="697684"/>
    <s v="Large"/>
    <s v="B2B"/>
    <n v="2"/>
    <n v="29.36"/>
    <n v="684985"/>
    <n v="1"/>
  </r>
  <r>
    <s v="Startup_1957"/>
    <x v="0"/>
    <n v="6"/>
    <n v="23893716"/>
    <n v="4"/>
    <n v="20"/>
    <n v="274"/>
    <n v="65596365"/>
    <n v="503414"/>
    <s v="Large"/>
    <s v="Hybrid"/>
    <n v="4"/>
    <n v="2.85"/>
    <n v="747376"/>
    <n v="1"/>
  </r>
  <r>
    <s v="Startup_1958"/>
    <x v="0"/>
    <n v="9"/>
    <n v="17306241"/>
    <n v="2"/>
    <n v="24"/>
    <n v="909"/>
    <n v="40279709"/>
    <n v="796965"/>
    <s v="Small"/>
    <s v="B2C"/>
    <n v="6"/>
    <n v="81.91"/>
    <n v="164544"/>
    <n v="1"/>
  </r>
  <r>
    <s v="Startup_1959"/>
    <x v="2"/>
    <n v="9"/>
    <n v="12600225"/>
    <n v="3"/>
    <n v="0"/>
    <n v="725"/>
    <n v="91383681"/>
    <n v="776822"/>
    <s v="Small"/>
    <s v="B2C"/>
    <n v="1"/>
    <n v="21.8"/>
    <n v="242061"/>
    <n v="1"/>
  </r>
  <r>
    <s v="Startup_1960"/>
    <x v="0"/>
    <n v="13"/>
    <n v="9887041"/>
    <n v="3"/>
    <n v="23"/>
    <n v="204"/>
    <n v="11829409"/>
    <n v="452025"/>
    <s v="Large"/>
    <s v="Hybrid"/>
    <n v="5"/>
    <n v="18.3"/>
    <n v="932614"/>
    <n v="1"/>
  </r>
  <r>
    <s v="Startup_1961"/>
    <x v="1"/>
    <n v="11"/>
    <n v="36727672"/>
    <n v="1"/>
    <n v="25"/>
    <n v="114"/>
    <n v="33376939"/>
    <n v="647924"/>
    <s v="Small"/>
    <s v="B2B"/>
    <n v="1"/>
    <n v="34.590000000000003"/>
    <n v="453604"/>
    <n v="1"/>
  </r>
  <r>
    <s v="Startup_1962"/>
    <x v="6"/>
    <n v="2"/>
    <n v="32556063"/>
    <n v="3"/>
    <n v="13"/>
    <n v="436"/>
    <n v="63556603"/>
    <n v="680135"/>
    <s v="Medium"/>
    <s v="Hybrid"/>
    <n v="3"/>
    <n v="86.11"/>
    <n v="335513"/>
    <n v="1"/>
  </r>
  <r>
    <s v="Startup_1963"/>
    <x v="1"/>
    <n v="10"/>
    <n v="30487662"/>
    <n v="4"/>
    <n v="24"/>
    <n v="619"/>
    <n v="81170384"/>
    <n v="756381"/>
    <s v="Medium"/>
    <s v="B2C"/>
    <n v="2"/>
    <n v="67.510000000000005"/>
    <n v="222714"/>
    <n v="1"/>
  </r>
  <r>
    <s v="Startup_1964"/>
    <x v="6"/>
    <n v="13"/>
    <n v="36419321"/>
    <n v="1"/>
    <n v="9"/>
    <n v="103"/>
    <n v="82058499"/>
    <n v="525284"/>
    <s v="Small"/>
    <s v="B2B"/>
    <n v="7"/>
    <n v="11.77"/>
    <n v="806754"/>
    <n v="1"/>
  </r>
  <r>
    <s v="Startup_1965"/>
    <x v="5"/>
    <n v="1"/>
    <n v="32248850"/>
    <n v="4"/>
    <n v="13"/>
    <n v="695"/>
    <n v="16780241"/>
    <n v="677476"/>
    <s v="Medium"/>
    <s v="Hybrid"/>
    <n v="2"/>
    <n v="52.53"/>
    <n v="796690"/>
    <n v="1"/>
  </r>
  <r>
    <s v="Startup_1966"/>
    <x v="6"/>
    <n v="10"/>
    <n v="47256161"/>
    <n v="3"/>
    <n v="27"/>
    <n v="100"/>
    <n v="16955836"/>
    <n v="738187"/>
    <s v="Large"/>
    <s v="B2C"/>
    <n v="9"/>
    <n v="46.58"/>
    <n v="57203"/>
    <n v="1"/>
  </r>
  <r>
    <s v="Startup_1967"/>
    <x v="6"/>
    <n v="2"/>
    <n v="21403268"/>
    <n v="2"/>
    <n v="8"/>
    <n v="823"/>
    <n v="91154546"/>
    <n v="120890"/>
    <s v="Small"/>
    <s v="B2C"/>
    <n v="8"/>
    <n v="40.520000000000003"/>
    <n v="445113"/>
    <n v="1"/>
  </r>
  <r>
    <s v="Startup_1968"/>
    <x v="0"/>
    <n v="9"/>
    <n v="22235799"/>
    <n v="2"/>
    <n v="22"/>
    <n v="27"/>
    <n v="83233337"/>
    <n v="6576"/>
    <s v="Large"/>
    <s v="B2B"/>
    <n v="6"/>
    <n v="68.52"/>
    <n v="691302"/>
    <n v="1"/>
  </r>
  <r>
    <s v="Startup_1969"/>
    <x v="4"/>
    <n v="12"/>
    <n v="24105123"/>
    <n v="2"/>
    <n v="16"/>
    <n v="730"/>
    <n v="50553023"/>
    <n v="379749"/>
    <s v="Medium"/>
    <s v="B2C"/>
    <n v="9"/>
    <n v="67"/>
    <n v="88785"/>
    <n v="1"/>
  </r>
  <r>
    <s v="Startup_1970"/>
    <x v="1"/>
    <n v="6"/>
    <n v="3809311"/>
    <n v="3"/>
    <n v="18"/>
    <n v="768"/>
    <n v="72869268"/>
    <n v="265568"/>
    <s v="Large"/>
    <s v="B2B"/>
    <n v="3"/>
    <n v="50.99"/>
    <n v="235394"/>
    <n v="1"/>
  </r>
  <r>
    <s v="Startup_1971"/>
    <x v="2"/>
    <n v="7"/>
    <n v="11466803"/>
    <n v="3"/>
    <n v="5"/>
    <n v="656"/>
    <n v="45924849"/>
    <n v="425982"/>
    <s v="Large"/>
    <s v="Hybrid"/>
    <n v="2"/>
    <n v="16.149999999999999"/>
    <n v="287823"/>
    <n v="1"/>
  </r>
  <r>
    <s v="Startup_1972"/>
    <x v="5"/>
    <n v="1"/>
    <n v="17068063"/>
    <n v="4"/>
    <n v="26"/>
    <n v="91"/>
    <n v="28065370"/>
    <n v="78465"/>
    <s v="Medium"/>
    <s v="Hybrid"/>
    <n v="6"/>
    <n v="26.08"/>
    <n v="767206"/>
    <n v="1"/>
  </r>
  <r>
    <s v="Startup_1973"/>
    <x v="5"/>
    <n v="5"/>
    <n v="45464452"/>
    <n v="3"/>
    <n v="22"/>
    <n v="696"/>
    <n v="57213371"/>
    <n v="364436"/>
    <s v="Medium"/>
    <s v="B2B"/>
    <n v="9"/>
    <n v="8.51"/>
    <n v="616067"/>
    <n v="1"/>
  </r>
  <r>
    <s v="Startup_1974"/>
    <x v="4"/>
    <n v="13"/>
    <n v="18103076"/>
    <n v="2"/>
    <n v="10"/>
    <n v="432"/>
    <n v="15232006"/>
    <n v="380972"/>
    <s v="Small"/>
    <s v="Hybrid"/>
    <n v="6"/>
    <n v="16.350000000000001"/>
    <n v="445058"/>
    <n v="1"/>
  </r>
  <r>
    <s v="Startup_1975"/>
    <x v="5"/>
    <n v="4"/>
    <n v="49211411"/>
    <n v="1"/>
    <n v="18"/>
    <n v="52"/>
    <n v="63088489"/>
    <n v="771555"/>
    <s v="Medium"/>
    <s v="Hybrid"/>
    <n v="7"/>
    <n v="3.06"/>
    <n v="77638"/>
    <n v="1"/>
  </r>
  <r>
    <s v="Startup_1976"/>
    <x v="4"/>
    <n v="4"/>
    <n v="17902927"/>
    <n v="3"/>
    <n v="12"/>
    <n v="948"/>
    <n v="55465373"/>
    <n v="294128"/>
    <s v="Medium"/>
    <s v="B2C"/>
    <n v="9"/>
    <n v="7.14"/>
    <n v="773856"/>
    <n v="1"/>
  </r>
  <r>
    <s v="Startup_1977"/>
    <x v="2"/>
    <n v="8"/>
    <n v="35979835"/>
    <n v="1"/>
    <n v="13"/>
    <n v="811"/>
    <n v="5917454"/>
    <n v="167067"/>
    <s v="Medium"/>
    <s v="Hybrid"/>
    <n v="6"/>
    <n v="60.58"/>
    <n v="688922"/>
    <n v="1"/>
  </r>
  <r>
    <s v="Startup_1978"/>
    <x v="6"/>
    <n v="10"/>
    <n v="1182132"/>
    <n v="3"/>
    <n v="27"/>
    <n v="939"/>
    <n v="45165484"/>
    <n v="970765"/>
    <s v="Medium"/>
    <s v="B2B"/>
    <n v="2"/>
    <n v="23.38"/>
    <n v="65081"/>
    <n v="1"/>
  </r>
  <r>
    <s v="Startup_1979"/>
    <x v="3"/>
    <n v="0"/>
    <n v="35462757"/>
    <n v="1"/>
    <n v="2"/>
    <n v="351"/>
    <n v="47805560"/>
    <n v="238486"/>
    <s v="Small"/>
    <s v="B2B"/>
    <n v="4"/>
    <n v="53.94"/>
    <n v="599050"/>
    <n v="1"/>
  </r>
  <r>
    <s v="Startup_1980"/>
    <x v="0"/>
    <n v="4"/>
    <n v="39786394"/>
    <n v="2"/>
    <n v="29"/>
    <n v="392"/>
    <n v="17281605"/>
    <n v="325783"/>
    <s v="Small"/>
    <s v="Hybrid"/>
    <n v="7"/>
    <n v="75.56"/>
    <n v="584232"/>
    <n v="1"/>
  </r>
  <r>
    <s v="Startup_1981"/>
    <x v="1"/>
    <n v="11"/>
    <n v="46201809"/>
    <n v="4"/>
    <n v="6"/>
    <n v="942"/>
    <n v="16549395"/>
    <n v="869011"/>
    <s v="Medium"/>
    <s v="B2C"/>
    <n v="4"/>
    <n v="63.01"/>
    <n v="432596"/>
    <n v="1"/>
  </r>
  <r>
    <s v="Startup_1982"/>
    <x v="1"/>
    <n v="10"/>
    <n v="22554034"/>
    <n v="4"/>
    <n v="8"/>
    <n v="671"/>
    <n v="48727389"/>
    <n v="561010"/>
    <s v="Medium"/>
    <s v="B2B"/>
    <n v="7"/>
    <n v="85.39"/>
    <n v="704776"/>
    <n v="1"/>
  </r>
  <r>
    <s v="Startup_1983"/>
    <x v="4"/>
    <n v="9"/>
    <n v="29829121"/>
    <n v="2"/>
    <n v="26"/>
    <n v="84"/>
    <n v="41235571"/>
    <n v="34989"/>
    <s v="Small"/>
    <s v="B2B"/>
    <n v="2"/>
    <n v="1.56"/>
    <n v="962151"/>
    <n v="1"/>
  </r>
  <r>
    <s v="Startup_1984"/>
    <x v="6"/>
    <n v="10"/>
    <n v="5281063"/>
    <n v="4"/>
    <n v="20"/>
    <n v="782"/>
    <n v="85558307"/>
    <n v="130220"/>
    <s v="Large"/>
    <s v="B2B"/>
    <n v="2"/>
    <n v="45.44"/>
    <n v="453479"/>
    <n v="1"/>
  </r>
  <r>
    <s v="Startup_1985"/>
    <x v="1"/>
    <n v="4"/>
    <n v="24291005"/>
    <n v="2"/>
    <n v="28"/>
    <n v="74"/>
    <n v="31268869"/>
    <n v="113748"/>
    <s v="Medium"/>
    <s v="Hybrid"/>
    <n v="9"/>
    <n v="38.369999999999997"/>
    <n v="305815"/>
    <n v="1"/>
  </r>
  <r>
    <s v="Startup_1986"/>
    <x v="6"/>
    <n v="7"/>
    <n v="20313097"/>
    <n v="2"/>
    <n v="29"/>
    <n v="549"/>
    <n v="92684944"/>
    <n v="256266"/>
    <s v="Large"/>
    <s v="Hybrid"/>
    <n v="5"/>
    <n v="74.69"/>
    <n v="348069"/>
    <n v="1"/>
  </r>
  <r>
    <s v="Startup_1987"/>
    <x v="4"/>
    <n v="12"/>
    <n v="23694696"/>
    <n v="2"/>
    <n v="6"/>
    <n v="206"/>
    <n v="81504820"/>
    <n v="840430"/>
    <s v="Small"/>
    <s v="B2B"/>
    <n v="8"/>
    <n v="38.32"/>
    <n v="85197"/>
    <n v="1"/>
  </r>
  <r>
    <s v="Startup_1988"/>
    <x v="3"/>
    <n v="6"/>
    <n v="27426935"/>
    <n v="4"/>
    <n v="27"/>
    <n v="649"/>
    <n v="58975660"/>
    <n v="125808"/>
    <s v="Large"/>
    <s v="B2C"/>
    <n v="3"/>
    <n v="42.48"/>
    <n v="38210"/>
    <n v="1"/>
  </r>
  <r>
    <s v="Startup_1989"/>
    <x v="6"/>
    <n v="5"/>
    <n v="2278284"/>
    <n v="4"/>
    <n v="12"/>
    <n v="641"/>
    <n v="84555771"/>
    <n v="676340"/>
    <s v="Small"/>
    <s v="Hybrid"/>
    <n v="4"/>
    <n v="36.31"/>
    <n v="238025"/>
    <n v="1"/>
  </r>
  <r>
    <s v="Startup_1990"/>
    <x v="4"/>
    <n v="10"/>
    <n v="21039250"/>
    <n v="4"/>
    <n v="26"/>
    <n v="69"/>
    <n v="15185815"/>
    <n v="80979"/>
    <s v="Small"/>
    <s v="B2C"/>
    <n v="8"/>
    <n v="85.99"/>
    <n v="30776"/>
    <n v="1"/>
  </r>
  <r>
    <s v="Startup_1991"/>
    <x v="1"/>
    <n v="2"/>
    <n v="45415736"/>
    <n v="2"/>
    <n v="23"/>
    <n v="292"/>
    <n v="28225069"/>
    <n v="38479"/>
    <s v="Large"/>
    <s v="Hybrid"/>
    <n v="9"/>
    <n v="29.49"/>
    <n v="644584"/>
    <n v="1"/>
  </r>
  <r>
    <s v="Startup_1992"/>
    <x v="1"/>
    <n v="2"/>
    <n v="28731"/>
    <n v="1"/>
    <n v="8"/>
    <n v="885"/>
    <n v="80543727"/>
    <n v="617863"/>
    <s v="Large"/>
    <s v="B2B"/>
    <n v="6"/>
    <n v="54.44"/>
    <n v="170539"/>
    <n v="1"/>
  </r>
  <r>
    <s v="Startup_1993"/>
    <x v="3"/>
    <n v="5"/>
    <n v="7599346"/>
    <n v="2"/>
    <n v="14"/>
    <n v="651"/>
    <n v="71315781"/>
    <n v="411629"/>
    <s v="Large"/>
    <s v="B2C"/>
    <n v="5"/>
    <n v="72.55"/>
    <n v="225553"/>
    <n v="1"/>
  </r>
  <r>
    <s v="Startup_1994"/>
    <x v="4"/>
    <n v="1"/>
    <n v="45264499"/>
    <n v="4"/>
    <n v="20"/>
    <n v="739"/>
    <n v="45558537"/>
    <n v="665545"/>
    <s v="Large"/>
    <s v="B2C"/>
    <n v="7"/>
    <n v="42.1"/>
    <n v="677259"/>
    <n v="1"/>
  </r>
  <r>
    <s v="Startup_1995"/>
    <x v="3"/>
    <n v="12"/>
    <n v="16517489"/>
    <n v="3"/>
    <n v="11"/>
    <n v="767"/>
    <n v="1190440"/>
    <n v="383737"/>
    <s v="Large"/>
    <s v="B2B"/>
    <n v="2"/>
    <n v="21.06"/>
    <n v="982339"/>
    <n v="1"/>
  </r>
  <r>
    <s v="Startup_1996"/>
    <x v="5"/>
    <n v="6"/>
    <n v="7983266"/>
    <n v="1"/>
    <n v="0"/>
    <n v="660"/>
    <n v="87868924"/>
    <n v="945284"/>
    <s v="Large"/>
    <s v="Hybrid"/>
    <n v="5"/>
    <n v="58.85"/>
    <n v="588989"/>
    <n v="1"/>
  </r>
  <r>
    <s v="Startup_1997"/>
    <x v="2"/>
    <n v="13"/>
    <n v="37208496"/>
    <n v="2"/>
    <n v="13"/>
    <n v="743"/>
    <n v="43263188"/>
    <n v="935442"/>
    <s v="Small"/>
    <s v="B2B"/>
    <n v="9"/>
    <n v="63.03"/>
    <n v="133159"/>
    <n v="1"/>
  </r>
  <r>
    <s v="Startup_1998"/>
    <x v="3"/>
    <n v="0"/>
    <n v="5116420"/>
    <n v="1"/>
    <n v="3"/>
    <n v="278"/>
    <n v="51353344"/>
    <n v="309462"/>
    <s v="Medium"/>
    <s v="B2C"/>
    <n v="9"/>
    <n v="20.5"/>
    <n v="449946"/>
    <n v="1"/>
  </r>
  <r>
    <s v="Startup_1999"/>
    <x v="4"/>
    <n v="4"/>
    <n v="23649198"/>
    <n v="1"/>
    <n v="25"/>
    <n v="719"/>
    <n v="25458355"/>
    <n v="326536"/>
    <s v="Large"/>
    <s v="B2B"/>
    <n v="7"/>
    <n v="28.46"/>
    <n v="528871"/>
    <n v="1"/>
  </r>
  <r>
    <s v="Startup_2000"/>
    <x v="4"/>
    <n v="4"/>
    <n v="48754752"/>
    <n v="2"/>
    <n v="11"/>
    <n v="518"/>
    <n v="75021222"/>
    <n v="32955"/>
    <s v="Medium"/>
    <s v="B2C"/>
    <n v="4"/>
    <n v="4.7300000000000004"/>
    <n v="78317"/>
    <n v="1"/>
  </r>
  <r>
    <s v="Startup_2001"/>
    <x v="1"/>
    <n v="6"/>
    <n v="36964762"/>
    <n v="1"/>
    <n v="6"/>
    <n v="147"/>
    <n v="23302946"/>
    <n v="627376"/>
    <s v="Large"/>
    <s v="B2B"/>
    <n v="8"/>
    <n v="10.59"/>
    <n v="758156"/>
    <n v="1"/>
  </r>
  <r>
    <s v="Startup_2002"/>
    <x v="1"/>
    <n v="9"/>
    <n v="16118689"/>
    <n v="4"/>
    <n v="11"/>
    <n v="921"/>
    <n v="13909556"/>
    <n v="980739"/>
    <s v="Medium"/>
    <s v="Hybrid"/>
    <n v="7"/>
    <n v="11.34"/>
    <n v="249346"/>
    <n v="1"/>
  </r>
  <r>
    <s v="Startup_2003"/>
    <x v="0"/>
    <n v="3"/>
    <n v="1475984"/>
    <n v="3"/>
    <n v="13"/>
    <n v="483"/>
    <n v="58785370"/>
    <n v="390606"/>
    <s v="Large"/>
    <s v="B2B"/>
    <n v="4"/>
    <n v="61.18"/>
    <n v="157195"/>
    <n v="1"/>
  </r>
  <r>
    <s v="Startup_2004"/>
    <x v="3"/>
    <n v="14"/>
    <n v="29379992"/>
    <n v="3"/>
    <n v="29"/>
    <n v="688"/>
    <n v="95849656"/>
    <n v="987859"/>
    <s v="Small"/>
    <s v="B2C"/>
    <n v="2"/>
    <n v="26.15"/>
    <n v="608770"/>
    <n v="1"/>
  </r>
  <r>
    <s v="Startup_2005"/>
    <x v="3"/>
    <n v="2"/>
    <n v="22012837"/>
    <n v="4"/>
    <n v="18"/>
    <n v="673"/>
    <n v="36986948"/>
    <n v="30145"/>
    <s v="Medium"/>
    <s v="B2C"/>
    <n v="2"/>
    <n v="24.82"/>
    <n v="620412"/>
    <n v="1"/>
  </r>
  <r>
    <s v="Startup_2006"/>
    <x v="2"/>
    <n v="5"/>
    <n v="22426606"/>
    <n v="4"/>
    <n v="22"/>
    <n v="786"/>
    <n v="85307902"/>
    <n v="400368"/>
    <s v="Medium"/>
    <s v="B2C"/>
    <n v="3"/>
    <n v="49.22"/>
    <n v="504893"/>
    <n v="1"/>
  </r>
  <r>
    <s v="Startup_2007"/>
    <x v="3"/>
    <n v="0"/>
    <n v="48288162"/>
    <n v="1"/>
    <n v="17"/>
    <n v="205"/>
    <n v="30477155"/>
    <n v="684298"/>
    <s v="Medium"/>
    <s v="B2B"/>
    <n v="1"/>
    <n v="64.75"/>
    <n v="238124"/>
    <n v="1"/>
  </r>
  <r>
    <s v="Startup_2008"/>
    <x v="2"/>
    <n v="2"/>
    <n v="40538716"/>
    <n v="1"/>
    <n v="0"/>
    <n v="780"/>
    <n v="87736870"/>
    <n v="206433"/>
    <s v="Medium"/>
    <s v="Hybrid"/>
    <n v="7"/>
    <n v="17.54"/>
    <n v="222851"/>
    <n v="1"/>
  </r>
  <r>
    <s v="Startup_2009"/>
    <x v="2"/>
    <n v="13"/>
    <n v="7451767"/>
    <n v="3"/>
    <n v="12"/>
    <n v="370"/>
    <n v="7373192"/>
    <n v="670775"/>
    <s v="Large"/>
    <s v="B2C"/>
    <n v="5"/>
    <n v="94.46"/>
    <n v="969011"/>
    <n v="1"/>
  </r>
  <r>
    <s v="Startup_2010"/>
    <x v="3"/>
    <n v="14"/>
    <n v="21383526"/>
    <n v="4"/>
    <n v="8"/>
    <n v="933"/>
    <n v="75545391"/>
    <n v="322254"/>
    <s v="Medium"/>
    <s v="Hybrid"/>
    <n v="8"/>
    <n v="12.03"/>
    <n v="776267"/>
    <n v="1"/>
  </r>
  <r>
    <s v="Startup_2011"/>
    <x v="2"/>
    <n v="6"/>
    <n v="39056778"/>
    <n v="1"/>
    <n v="20"/>
    <n v="12"/>
    <n v="22356060"/>
    <n v="734465"/>
    <s v="Medium"/>
    <s v="B2B"/>
    <n v="1"/>
    <n v="73.59"/>
    <n v="668195"/>
    <n v="1"/>
  </r>
  <r>
    <s v="Startup_2012"/>
    <x v="2"/>
    <n v="1"/>
    <n v="3644860"/>
    <n v="2"/>
    <n v="6"/>
    <n v="663"/>
    <n v="30424619"/>
    <n v="244049"/>
    <s v="Small"/>
    <s v="Hybrid"/>
    <n v="3"/>
    <n v="28.28"/>
    <n v="111281"/>
    <n v="1"/>
  </r>
  <r>
    <s v="Startup_2013"/>
    <x v="2"/>
    <n v="9"/>
    <n v="10763866"/>
    <n v="2"/>
    <n v="0"/>
    <n v="477"/>
    <n v="86607591"/>
    <n v="980845"/>
    <s v="Large"/>
    <s v="B2C"/>
    <n v="2"/>
    <n v="45.91"/>
    <n v="342014"/>
    <n v="1"/>
  </r>
  <r>
    <s v="Startup_2014"/>
    <x v="0"/>
    <n v="9"/>
    <n v="31191764"/>
    <n v="4"/>
    <n v="27"/>
    <n v="522"/>
    <n v="53549678"/>
    <n v="673562"/>
    <s v="Large"/>
    <s v="B2B"/>
    <n v="3"/>
    <n v="78.77"/>
    <n v="353132"/>
    <n v="1"/>
  </r>
  <r>
    <s v="Startup_2015"/>
    <x v="5"/>
    <n v="3"/>
    <n v="33554288"/>
    <n v="1"/>
    <n v="23"/>
    <n v="883"/>
    <n v="23656362"/>
    <n v="215106"/>
    <s v="Medium"/>
    <s v="B2B"/>
    <n v="6"/>
    <n v="50.46"/>
    <n v="981610"/>
    <n v="1"/>
  </r>
  <r>
    <s v="Startup_2016"/>
    <x v="2"/>
    <n v="1"/>
    <n v="13182465"/>
    <n v="1"/>
    <n v="6"/>
    <n v="144"/>
    <n v="41293009"/>
    <n v="503444"/>
    <s v="Medium"/>
    <s v="B2C"/>
    <n v="4"/>
    <n v="98.95"/>
    <n v="421219"/>
    <n v="1"/>
  </r>
  <r>
    <s v="Startup_2017"/>
    <x v="0"/>
    <n v="8"/>
    <n v="28375568"/>
    <n v="1"/>
    <n v="18"/>
    <n v="273"/>
    <n v="63240956"/>
    <n v="334714"/>
    <s v="Medium"/>
    <s v="Hybrid"/>
    <n v="8"/>
    <n v="10.15"/>
    <n v="394045"/>
    <n v="1"/>
  </r>
  <r>
    <s v="Startup_2018"/>
    <x v="1"/>
    <n v="1"/>
    <n v="35756442"/>
    <n v="2"/>
    <n v="25"/>
    <n v="71"/>
    <n v="79558043"/>
    <n v="321838"/>
    <s v="Small"/>
    <s v="B2B"/>
    <n v="5"/>
    <n v="43.75"/>
    <n v="896427"/>
    <n v="1"/>
  </r>
  <r>
    <s v="Startup_2019"/>
    <x v="0"/>
    <n v="3"/>
    <n v="5618901"/>
    <n v="1"/>
    <n v="10"/>
    <n v="718"/>
    <n v="46290406"/>
    <n v="448908"/>
    <s v="Small"/>
    <s v="B2B"/>
    <n v="4"/>
    <n v="88.86"/>
    <n v="701996"/>
    <n v="1"/>
  </r>
  <r>
    <s v="Startup_2020"/>
    <x v="0"/>
    <n v="5"/>
    <n v="12109231"/>
    <n v="1"/>
    <n v="29"/>
    <n v="577"/>
    <n v="67281227"/>
    <n v="441411"/>
    <s v="Large"/>
    <s v="B2C"/>
    <n v="8"/>
    <n v="99.47"/>
    <n v="512159"/>
    <n v="1"/>
  </r>
  <r>
    <s v="Startup_2021"/>
    <x v="5"/>
    <n v="3"/>
    <n v="6255218"/>
    <n v="4"/>
    <n v="4"/>
    <n v="217"/>
    <n v="85631038"/>
    <n v="297807"/>
    <s v="Large"/>
    <s v="B2B"/>
    <n v="1"/>
    <n v="30.51"/>
    <n v="749199"/>
    <n v="1"/>
  </r>
  <r>
    <s v="Startup_2022"/>
    <x v="1"/>
    <n v="4"/>
    <n v="2055614"/>
    <n v="4"/>
    <n v="18"/>
    <n v="916"/>
    <n v="75448352"/>
    <n v="507404"/>
    <s v="Small"/>
    <s v="B2B"/>
    <n v="8"/>
    <n v="69.41"/>
    <n v="87443"/>
    <n v="1"/>
  </r>
  <r>
    <s v="Startup_2023"/>
    <x v="2"/>
    <n v="7"/>
    <n v="18394842"/>
    <n v="4"/>
    <n v="0"/>
    <n v="782"/>
    <n v="40771814"/>
    <n v="790940"/>
    <s v="Small"/>
    <s v="B2B"/>
    <n v="4"/>
    <n v="63.26"/>
    <n v="453877"/>
    <n v="1"/>
  </r>
  <r>
    <s v="Startup_2024"/>
    <x v="0"/>
    <n v="6"/>
    <n v="31153669"/>
    <n v="3"/>
    <n v="10"/>
    <n v="643"/>
    <n v="73849342"/>
    <n v="36898"/>
    <s v="Small"/>
    <s v="Hybrid"/>
    <n v="9"/>
    <n v="1.43"/>
    <n v="454096"/>
    <n v="1"/>
  </r>
  <r>
    <s v="Startup_2025"/>
    <x v="0"/>
    <n v="8"/>
    <n v="39548817"/>
    <n v="1"/>
    <n v="18"/>
    <n v="866"/>
    <n v="4353526"/>
    <n v="879706"/>
    <s v="Medium"/>
    <s v="B2B"/>
    <n v="5"/>
    <n v="15.72"/>
    <n v="919161"/>
    <n v="1"/>
  </r>
  <r>
    <s v="Startup_2026"/>
    <x v="0"/>
    <n v="1"/>
    <n v="2666958"/>
    <n v="3"/>
    <n v="29"/>
    <n v="768"/>
    <n v="36340973"/>
    <n v="531941"/>
    <s v="Small"/>
    <s v="B2C"/>
    <n v="5"/>
    <n v="68.41"/>
    <n v="896364"/>
    <n v="1"/>
  </r>
  <r>
    <s v="Startup_2027"/>
    <x v="2"/>
    <n v="8"/>
    <n v="37711115"/>
    <n v="2"/>
    <n v="18"/>
    <n v="174"/>
    <n v="57164152"/>
    <n v="111000"/>
    <s v="Small"/>
    <s v="Hybrid"/>
    <n v="3"/>
    <n v="23.19"/>
    <n v="589429"/>
    <n v="1"/>
  </r>
  <r>
    <s v="Startup_2028"/>
    <x v="6"/>
    <n v="8"/>
    <n v="31138539"/>
    <n v="4"/>
    <n v="10"/>
    <n v="866"/>
    <n v="26463514"/>
    <n v="495173"/>
    <s v="Medium"/>
    <s v="B2B"/>
    <n v="2"/>
    <n v="3.07"/>
    <n v="289924"/>
    <n v="1"/>
  </r>
  <r>
    <s v="Startup_2029"/>
    <x v="5"/>
    <n v="10"/>
    <n v="41780737"/>
    <n v="1"/>
    <n v="17"/>
    <n v="91"/>
    <n v="38934757"/>
    <n v="106545"/>
    <s v="Medium"/>
    <s v="Hybrid"/>
    <n v="2"/>
    <n v="31.75"/>
    <n v="753161"/>
    <n v="1"/>
  </r>
  <r>
    <s v="Startup_2030"/>
    <x v="0"/>
    <n v="13"/>
    <n v="11168290"/>
    <n v="4"/>
    <n v="12"/>
    <n v="764"/>
    <n v="71101304"/>
    <n v="215508"/>
    <s v="Small"/>
    <s v="B2C"/>
    <n v="1"/>
    <n v="38.479999999999997"/>
    <n v="201679"/>
    <n v="1"/>
  </r>
  <r>
    <s v="Startup_2031"/>
    <x v="4"/>
    <n v="2"/>
    <n v="41706459"/>
    <n v="2"/>
    <n v="11"/>
    <n v="925"/>
    <n v="11455872"/>
    <n v="503542"/>
    <s v="Small"/>
    <s v="B2B"/>
    <n v="1"/>
    <n v="32.799999999999997"/>
    <n v="203682"/>
    <n v="1"/>
  </r>
  <r>
    <s v="Startup_2032"/>
    <x v="5"/>
    <n v="13"/>
    <n v="22142651"/>
    <n v="4"/>
    <n v="21"/>
    <n v="262"/>
    <n v="73264123"/>
    <n v="203988"/>
    <s v="Large"/>
    <s v="B2B"/>
    <n v="8"/>
    <n v="68.760000000000005"/>
    <n v="804531"/>
    <n v="1"/>
  </r>
  <r>
    <s v="Startup_2033"/>
    <x v="0"/>
    <n v="11"/>
    <n v="189334"/>
    <n v="2"/>
    <n v="15"/>
    <n v="309"/>
    <n v="91363981"/>
    <n v="444805"/>
    <s v="Large"/>
    <s v="B2C"/>
    <n v="5"/>
    <n v="73.569999999999993"/>
    <n v="820716"/>
    <n v="1"/>
  </r>
  <r>
    <s v="Startup_2034"/>
    <x v="4"/>
    <n v="2"/>
    <n v="6442263"/>
    <n v="2"/>
    <n v="22"/>
    <n v="295"/>
    <n v="97050505"/>
    <n v="523792"/>
    <s v="Small"/>
    <s v="B2B"/>
    <n v="1"/>
    <n v="98.06"/>
    <n v="435101"/>
    <n v="1"/>
  </r>
  <r>
    <s v="Startup_2035"/>
    <x v="0"/>
    <n v="4"/>
    <n v="9420274"/>
    <n v="4"/>
    <n v="2"/>
    <n v="598"/>
    <n v="50920938"/>
    <n v="501831"/>
    <s v="Medium"/>
    <s v="B2C"/>
    <n v="5"/>
    <n v="10.07"/>
    <n v="626393"/>
    <n v="1"/>
  </r>
  <r>
    <s v="Startup_2036"/>
    <x v="3"/>
    <n v="3"/>
    <n v="21899333"/>
    <n v="3"/>
    <n v="10"/>
    <n v="16"/>
    <n v="64956372"/>
    <n v="229083"/>
    <s v="Medium"/>
    <s v="B2B"/>
    <n v="3"/>
    <n v="97.64"/>
    <n v="430885"/>
    <n v="1"/>
  </r>
  <r>
    <s v="Startup_2037"/>
    <x v="0"/>
    <n v="7"/>
    <n v="43872835"/>
    <n v="3"/>
    <n v="12"/>
    <n v="714"/>
    <n v="80694892"/>
    <n v="554014"/>
    <s v="Small"/>
    <s v="Hybrid"/>
    <n v="4"/>
    <n v="69"/>
    <n v="842502"/>
    <n v="1"/>
  </r>
  <r>
    <s v="Startup_2038"/>
    <x v="0"/>
    <n v="8"/>
    <n v="32564006"/>
    <n v="2"/>
    <n v="26"/>
    <n v="121"/>
    <n v="28287464"/>
    <n v="669511"/>
    <s v="Small"/>
    <s v="B2C"/>
    <n v="2"/>
    <n v="92.48"/>
    <n v="881521"/>
    <n v="1"/>
  </r>
  <r>
    <s v="Startup_2039"/>
    <x v="2"/>
    <n v="6"/>
    <n v="7740313"/>
    <n v="2"/>
    <n v="0"/>
    <n v="21"/>
    <n v="76439006"/>
    <n v="849352"/>
    <s v="Small"/>
    <s v="B2C"/>
    <n v="2"/>
    <n v="26.23"/>
    <n v="948002"/>
    <n v="1"/>
  </r>
  <r>
    <s v="Startup_2040"/>
    <x v="0"/>
    <n v="1"/>
    <n v="2114533"/>
    <n v="4"/>
    <n v="2"/>
    <n v="970"/>
    <n v="17781574"/>
    <n v="52055"/>
    <s v="Small"/>
    <s v="Hybrid"/>
    <n v="9"/>
    <n v="70.17"/>
    <n v="839829"/>
    <n v="1"/>
  </r>
  <r>
    <s v="Startup_2041"/>
    <x v="6"/>
    <n v="9"/>
    <n v="26584214"/>
    <n v="4"/>
    <n v="0"/>
    <n v="307"/>
    <n v="25715004"/>
    <n v="667372"/>
    <s v="Large"/>
    <s v="B2B"/>
    <n v="6"/>
    <n v="17.48"/>
    <n v="654739"/>
    <n v="1"/>
  </r>
  <r>
    <s v="Startup_2042"/>
    <x v="4"/>
    <n v="7"/>
    <n v="13872616"/>
    <n v="2"/>
    <n v="27"/>
    <n v="177"/>
    <n v="33067435"/>
    <n v="50275"/>
    <s v="Large"/>
    <s v="B2C"/>
    <n v="3"/>
    <n v="32.99"/>
    <n v="930001"/>
    <n v="1"/>
  </r>
  <r>
    <s v="Startup_2043"/>
    <x v="5"/>
    <n v="13"/>
    <n v="18169629"/>
    <n v="4"/>
    <n v="11"/>
    <n v="438"/>
    <n v="80273005"/>
    <n v="254225"/>
    <s v="Medium"/>
    <s v="B2B"/>
    <n v="1"/>
    <n v="60.32"/>
    <n v="614562"/>
    <n v="1"/>
  </r>
  <r>
    <s v="Startup_2044"/>
    <x v="6"/>
    <n v="8"/>
    <n v="15777335"/>
    <n v="2"/>
    <n v="17"/>
    <n v="621"/>
    <n v="16919889"/>
    <n v="807910"/>
    <s v="Medium"/>
    <s v="B2B"/>
    <n v="1"/>
    <n v="46.91"/>
    <n v="377526"/>
    <n v="1"/>
  </r>
  <r>
    <s v="Startup_2045"/>
    <x v="6"/>
    <n v="11"/>
    <n v="1870875"/>
    <n v="4"/>
    <n v="28"/>
    <n v="752"/>
    <n v="75420471"/>
    <n v="472446"/>
    <s v="Medium"/>
    <s v="B2B"/>
    <n v="1"/>
    <n v="23.94"/>
    <n v="198734"/>
    <n v="1"/>
  </r>
  <r>
    <s v="Startup_2046"/>
    <x v="2"/>
    <n v="8"/>
    <n v="17195877"/>
    <n v="4"/>
    <n v="17"/>
    <n v="424"/>
    <n v="9838020"/>
    <n v="760419"/>
    <s v="Medium"/>
    <s v="B2B"/>
    <n v="7"/>
    <n v="39.06"/>
    <n v="743564"/>
    <n v="1"/>
  </r>
  <r>
    <s v="Startup_2047"/>
    <x v="1"/>
    <n v="12"/>
    <n v="2719152"/>
    <n v="4"/>
    <n v="12"/>
    <n v="464"/>
    <n v="58480320"/>
    <n v="189185"/>
    <s v="Medium"/>
    <s v="B2B"/>
    <n v="5"/>
    <n v="58.22"/>
    <n v="935183"/>
    <n v="1"/>
  </r>
  <r>
    <s v="Startup_2048"/>
    <x v="6"/>
    <n v="11"/>
    <n v="41866787"/>
    <n v="4"/>
    <n v="4"/>
    <n v="678"/>
    <n v="40236984"/>
    <n v="168338"/>
    <s v="Small"/>
    <s v="B2B"/>
    <n v="8"/>
    <n v="11.24"/>
    <n v="572014"/>
    <n v="1"/>
  </r>
  <r>
    <s v="Startup_2049"/>
    <x v="6"/>
    <n v="4"/>
    <n v="48167961"/>
    <n v="3"/>
    <n v="2"/>
    <n v="277"/>
    <n v="6638994"/>
    <n v="301386"/>
    <s v="Large"/>
    <s v="B2C"/>
    <n v="1"/>
    <n v="51.69"/>
    <n v="52439"/>
    <n v="1"/>
  </r>
  <r>
    <s v="Startup_2050"/>
    <x v="1"/>
    <n v="1"/>
    <n v="25436599"/>
    <n v="1"/>
    <n v="12"/>
    <n v="716"/>
    <n v="12432074"/>
    <n v="184351"/>
    <s v="Large"/>
    <s v="B2B"/>
    <n v="3"/>
    <n v="54.28"/>
    <n v="497854"/>
    <n v="1"/>
  </r>
  <r>
    <s v="Startup_2051"/>
    <x v="4"/>
    <n v="2"/>
    <n v="26608403"/>
    <n v="3"/>
    <n v="8"/>
    <n v="852"/>
    <n v="34219933"/>
    <n v="400822"/>
    <s v="Small"/>
    <s v="B2B"/>
    <n v="6"/>
    <n v="42.27"/>
    <n v="608701"/>
    <n v="1"/>
  </r>
  <r>
    <s v="Startup_2052"/>
    <x v="1"/>
    <n v="13"/>
    <n v="30211986"/>
    <n v="3"/>
    <n v="12"/>
    <n v="742"/>
    <n v="51226085"/>
    <n v="634044"/>
    <s v="Large"/>
    <s v="B2C"/>
    <n v="1"/>
    <n v="72.92"/>
    <n v="25878"/>
    <n v="1"/>
  </r>
  <r>
    <s v="Startup_2053"/>
    <x v="1"/>
    <n v="0"/>
    <n v="37415383"/>
    <n v="4"/>
    <n v="17"/>
    <n v="837"/>
    <n v="95533126"/>
    <n v="841638"/>
    <s v="Large"/>
    <s v="B2C"/>
    <n v="3"/>
    <n v="62.11"/>
    <n v="716668"/>
    <n v="1"/>
  </r>
  <r>
    <s v="Startup_2054"/>
    <x v="6"/>
    <n v="14"/>
    <n v="31421280"/>
    <n v="1"/>
    <n v="7"/>
    <n v="687"/>
    <n v="75411042"/>
    <n v="823902"/>
    <s v="Small"/>
    <s v="B2C"/>
    <n v="1"/>
    <n v="35.26"/>
    <n v="102343"/>
    <n v="1"/>
  </r>
  <r>
    <s v="Startup_2055"/>
    <x v="0"/>
    <n v="0"/>
    <n v="33346372"/>
    <n v="2"/>
    <n v="2"/>
    <n v="926"/>
    <n v="91149838"/>
    <n v="301552"/>
    <s v="Small"/>
    <s v="Hybrid"/>
    <n v="5"/>
    <n v="32.020000000000003"/>
    <n v="386110"/>
    <n v="1"/>
  </r>
  <r>
    <s v="Startup_2056"/>
    <x v="6"/>
    <n v="10"/>
    <n v="42849857"/>
    <n v="4"/>
    <n v="20"/>
    <n v="525"/>
    <n v="72941235"/>
    <n v="514274"/>
    <s v="Small"/>
    <s v="Hybrid"/>
    <n v="2"/>
    <n v="96.94"/>
    <n v="740942"/>
    <n v="1"/>
  </r>
  <r>
    <s v="Startup_2057"/>
    <x v="0"/>
    <n v="7"/>
    <n v="42471217"/>
    <n v="3"/>
    <n v="27"/>
    <n v="483"/>
    <n v="36866628"/>
    <n v="462940"/>
    <s v="Large"/>
    <s v="B2B"/>
    <n v="7"/>
    <n v="36.950000000000003"/>
    <n v="864806"/>
    <n v="1"/>
  </r>
  <r>
    <s v="Startup_2058"/>
    <x v="6"/>
    <n v="11"/>
    <n v="22665014"/>
    <n v="3"/>
    <n v="18"/>
    <n v="183"/>
    <n v="89604587"/>
    <n v="647655"/>
    <s v="Medium"/>
    <s v="Hybrid"/>
    <n v="2"/>
    <n v="19.07"/>
    <n v="506042"/>
    <n v="1"/>
  </r>
  <r>
    <s v="Startup_2059"/>
    <x v="3"/>
    <n v="11"/>
    <n v="46484801"/>
    <n v="1"/>
    <n v="22"/>
    <n v="900"/>
    <n v="91456846"/>
    <n v="816088"/>
    <s v="Small"/>
    <s v="Hybrid"/>
    <n v="9"/>
    <n v="56.68"/>
    <n v="739554"/>
    <n v="1"/>
  </r>
  <r>
    <s v="Startup_2060"/>
    <x v="2"/>
    <n v="1"/>
    <n v="41007780"/>
    <n v="4"/>
    <n v="2"/>
    <n v="287"/>
    <n v="66272772"/>
    <n v="20870"/>
    <s v="Large"/>
    <s v="B2C"/>
    <n v="6"/>
    <n v="23.6"/>
    <n v="832278"/>
    <n v="1"/>
  </r>
  <r>
    <s v="Startup_2061"/>
    <x v="2"/>
    <n v="7"/>
    <n v="21023412"/>
    <n v="1"/>
    <n v="14"/>
    <n v="113"/>
    <n v="61480976"/>
    <n v="956309"/>
    <s v="Medium"/>
    <s v="B2B"/>
    <n v="5"/>
    <n v="93.18"/>
    <n v="152393"/>
    <n v="1"/>
  </r>
  <r>
    <s v="Startup_2062"/>
    <x v="4"/>
    <n v="14"/>
    <n v="45353775"/>
    <n v="1"/>
    <n v="9"/>
    <n v="971"/>
    <n v="92274149"/>
    <n v="179353"/>
    <s v="Small"/>
    <s v="Hybrid"/>
    <n v="8"/>
    <n v="8.2100000000000009"/>
    <n v="362456"/>
    <n v="1"/>
  </r>
  <r>
    <s v="Startup_2063"/>
    <x v="0"/>
    <n v="6"/>
    <n v="7635861"/>
    <n v="1"/>
    <n v="24"/>
    <n v="680"/>
    <n v="99804076"/>
    <n v="949602"/>
    <s v="Small"/>
    <s v="Hybrid"/>
    <n v="1"/>
    <n v="5.26"/>
    <n v="622446"/>
    <n v="1"/>
  </r>
  <r>
    <s v="Startup_2064"/>
    <x v="1"/>
    <n v="1"/>
    <n v="43824663"/>
    <n v="2"/>
    <n v="20"/>
    <n v="485"/>
    <n v="92067743"/>
    <n v="784553"/>
    <s v="Small"/>
    <s v="B2C"/>
    <n v="8"/>
    <n v="14.07"/>
    <n v="300561"/>
    <n v="1"/>
  </r>
  <r>
    <s v="Startup_2065"/>
    <x v="5"/>
    <n v="7"/>
    <n v="28507969"/>
    <n v="2"/>
    <n v="9"/>
    <n v="930"/>
    <n v="67283668"/>
    <n v="866072"/>
    <s v="Medium"/>
    <s v="B2C"/>
    <n v="4"/>
    <n v="12.18"/>
    <n v="719287"/>
    <n v="1"/>
  </r>
  <r>
    <s v="Startup_2066"/>
    <x v="1"/>
    <n v="6"/>
    <n v="49414774"/>
    <n v="4"/>
    <n v="29"/>
    <n v="684"/>
    <n v="61257692"/>
    <n v="641424"/>
    <s v="Medium"/>
    <s v="Hybrid"/>
    <n v="8"/>
    <n v="24.86"/>
    <n v="945001"/>
    <n v="1"/>
  </r>
  <r>
    <s v="Startup_2067"/>
    <x v="6"/>
    <n v="7"/>
    <n v="18033406"/>
    <n v="2"/>
    <n v="11"/>
    <n v="695"/>
    <n v="1698750"/>
    <n v="894873"/>
    <s v="Small"/>
    <s v="Hybrid"/>
    <n v="3"/>
    <n v="64.78"/>
    <n v="535139"/>
    <n v="1"/>
  </r>
  <r>
    <s v="Startup_2068"/>
    <x v="1"/>
    <n v="6"/>
    <n v="47833663"/>
    <n v="1"/>
    <n v="28"/>
    <n v="771"/>
    <n v="59975389"/>
    <n v="704618"/>
    <s v="Medium"/>
    <s v="Hybrid"/>
    <n v="1"/>
    <n v="10.52"/>
    <n v="591248"/>
    <n v="1"/>
  </r>
  <r>
    <s v="Startup_2069"/>
    <x v="3"/>
    <n v="14"/>
    <n v="16788362"/>
    <n v="2"/>
    <n v="11"/>
    <n v="417"/>
    <n v="61349668"/>
    <n v="969422"/>
    <s v="Large"/>
    <s v="B2C"/>
    <n v="1"/>
    <n v="75.23"/>
    <n v="878031"/>
    <n v="1"/>
  </r>
  <r>
    <s v="Startup_2070"/>
    <x v="6"/>
    <n v="7"/>
    <n v="31176715"/>
    <n v="1"/>
    <n v="19"/>
    <n v="732"/>
    <n v="64257286"/>
    <n v="923877"/>
    <s v="Medium"/>
    <s v="B2B"/>
    <n v="7"/>
    <n v="74.709999999999994"/>
    <n v="449058"/>
    <n v="1"/>
  </r>
  <r>
    <s v="Startup_2071"/>
    <x v="3"/>
    <n v="12"/>
    <n v="38852021"/>
    <n v="2"/>
    <n v="16"/>
    <n v="354"/>
    <n v="1995688"/>
    <n v="746011"/>
    <s v="Medium"/>
    <s v="B2B"/>
    <n v="1"/>
    <n v="99.18"/>
    <n v="873168"/>
    <n v="1"/>
  </r>
  <r>
    <s v="Startup_2072"/>
    <x v="6"/>
    <n v="8"/>
    <n v="486501"/>
    <n v="4"/>
    <n v="18"/>
    <n v="780"/>
    <n v="98506361"/>
    <n v="253945"/>
    <s v="Medium"/>
    <s v="B2C"/>
    <n v="2"/>
    <n v="61.93"/>
    <n v="380638"/>
    <n v="1"/>
  </r>
  <r>
    <s v="Startup_2073"/>
    <x v="0"/>
    <n v="8"/>
    <n v="9358162"/>
    <n v="1"/>
    <n v="28"/>
    <n v="906"/>
    <n v="86575378"/>
    <n v="602180"/>
    <s v="Medium"/>
    <s v="B2C"/>
    <n v="5"/>
    <n v="57.25"/>
    <n v="259630"/>
    <n v="1"/>
  </r>
  <r>
    <s v="Startup_2074"/>
    <x v="2"/>
    <n v="6"/>
    <n v="45634352"/>
    <n v="2"/>
    <n v="5"/>
    <n v="954"/>
    <n v="94798552"/>
    <n v="447275"/>
    <s v="Small"/>
    <s v="B2C"/>
    <n v="5"/>
    <n v="83.93"/>
    <n v="922064"/>
    <n v="1"/>
  </r>
  <r>
    <s v="Startup_2075"/>
    <x v="4"/>
    <n v="3"/>
    <n v="38579291"/>
    <n v="3"/>
    <n v="18"/>
    <n v="347"/>
    <n v="4454649"/>
    <n v="757967"/>
    <s v="Small"/>
    <s v="B2B"/>
    <n v="1"/>
    <n v="59.75"/>
    <n v="458536"/>
    <n v="1"/>
  </r>
  <r>
    <s v="Startup_2076"/>
    <x v="4"/>
    <n v="11"/>
    <n v="39777766"/>
    <n v="3"/>
    <n v="23"/>
    <n v="553"/>
    <n v="12256471"/>
    <n v="429015"/>
    <s v="Medium"/>
    <s v="B2C"/>
    <n v="6"/>
    <n v="80.41"/>
    <n v="283553"/>
    <n v="1"/>
  </r>
  <r>
    <s v="Startup_2077"/>
    <x v="2"/>
    <n v="2"/>
    <n v="46340672"/>
    <n v="2"/>
    <n v="4"/>
    <n v="313"/>
    <n v="36531819"/>
    <n v="67092"/>
    <s v="Large"/>
    <s v="B2B"/>
    <n v="8"/>
    <n v="98.18"/>
    <n v="736625"/>
    <n v="1"/>
  </r>
  <r>
    <s v="Startup_2078"/>
    <x v="4"/>
    <n v="9"/>
    <n v="27014547"/>
    <n v="3"/>
    <n v="11"/>
    <n v="412"/>
    <n v="11100691"/>
    <n v="540318"/>
    <s v="Small"/>
    <s v="B2C"/>
    <n v="4"/>
    <n v="49.25"/>
    <n v="598641"/>
    <n v="1"/>
  </r>
  <r>
    <s v="Startup_2079"/>
    <x v="6"/>
    <n v="1"/>
    <n v="25682889"/>
    <n v="3"/>
    <n v="21"/>
    <n v="423"/>
    <n v="24495095"/>
    <n v="681850"/>
    <s v="Medium"/>
    <s v="B2B"/>
    <n v="4"/>
    <n v="27.94"/>
    <n v="706084"/>
    <n v="1"/>
  </r>
  <r>
    <s v="Startup_2080"/>
    <x v="6"/>
    <n v="6"/>
    <n v="4575271"/>
    <n v="2"/>
    <n v="9"/>
    <n v="140"/>
    <n v="20504446"/>
    <n v="229504"/>
    <s v="Small"/>
    <s v="B2B"/>
    <n v="2"/>
    <n v="32.32"/>
    <n v="808675"/>
    <n v="1"/>
  </r>
  <r>
    <s v="Startup_2081"/>
    <x v="5"/>
    <n v="6"/>
    <n v="17474874"/>
    <n v="4"/>
    <n v="29"/>
    <n v="525"/>
    <n v="832373"/>
    <n v="938193"/>
    <s v="Large"/>
    <s v="B2C"/>
    <n v="3"/>
    <n v="28.28"/>
    <n v="683931"/>
    <n v="1"/>
  </r>
  <r>
    <s v="Startup_2082"/>
    <x v="2"/>
    <n v="2"/>
    <n v="14825792"/>
    <n v="2"/>
    <n v="25"/>
    <n v="302"/>
    <n v="28920801"/>
    <n v="678374"/>
    <s v="Large"/>
    <s v="Hybrid"/>
    <n v="5"/>
    <n v="80.150000000000006"/>
    <n v="256839"/>
    <n v="1"/>
  </r>
  <r>
    <s v="Startup_2083"/>
    <x v="3"/>
    <n v="12"/>
    <n v="31179707"/>
    <n v="2"/>
    <n v="5"/>
    <n v="871"/>
    <n v="39827642"/>
    <n v="370933"/>
    <s v="Medium"/>
    <s v="Hybrid"/>
    <n v="6"/>
    <n v="29.94"/>
    <n v="303750"/>
    <n v="1"/>
  </r>
  <r>
    <s v="Startup_2084"/>
    <x v="6"/>
    <n v="6"/>
    <n v="24962796"/>
    <n v="4"/>
    <n v="28"/>
    <n v="920"/>
    <n v="11150490"/>
    <n v="768608"/>
    <s v="Large"/>
    <s v="B2C"/>
    <n v="5"/>
    <n v="62.86"/>
    <n v="239956"/>
    <n v="1"/>
  </r>
  <r>
    <s v="Startup_2085"/>
    <x v="1"/>
    <n v="9"/>
    <n v="45278745"/>
    <n v="3"/>
    <n v="20"/>
    <n v="421"/>
    <n v="82292087"/>
    <n v="961765"/>
    <s v="Small"/>
    <s v="Hybrid"/>
    <n v="2"/>
    <n v="25.78"/>
    <n v="509472"/>
    <n v="1"/>
  </r>
  <r>
    <s v="Startup_2086"/>
    <x v="6"/>
    <n v="4"/>
    <n v="32774730"/>
    <n v="4"/>
    <n v="12"/>
    <n v="394"/>
    <n v="36467782"/>
    <n v="35944"/>
    <s v="Small"/>
    <s v="Hybrid"/>
    <n v="4"/>
    <n v="11.73"/>
    <n v="523565"/>
    <n v="1"/>
  </r>
  <r>
    <s v="Startup_2087"/>
    <x v="0"/>
    <n v="5"/>
    <n v="47627596"/>
    <n v="4"/>
    <n v="10"/>
    <n v="479"/>
    <n v="92304911"/>
    <n v="342703"/>
    <s v="Large"/>
    <s v="Hybrid"/>
    <n v="8"/>
    <n v="33.71"/>
    <n v="144932"/>
    <n v="1"/>
  </r>
  <r>
    <s v="Startup_2088"/>
    <x v="4"/>
    <n v="6"/>
    <n v="29668920"/>
    <n v="2"/>
    <n v="12"/>
    <n v="58"/>
    <n v="63075263"/>
    <n v="109092"/>
    <s v="Medium"/>
    <s v="B2C"/>
    <n v="1"/>
    <n v="21.32"/>
    <n v="746013"/>
    <n v="1"/>
  </r>
  <r>
    <s v="Startup_2089"/>
    <x v="3"/>
    <n v="10"/>
    <n v="11391298"/>
    <n v="1"/>
    <n v="20"/>
    <n v="16"/>
    <n v="40444244"/>
    <n v="684865"/>
    <s v="Medium"/>
    <s v="Hybrid"/>
    <n v="4"/>
    <n v="42.61"/>
    <n v="158775"/>
    <n v="1"/>
  </r>
  <r>
    <s v="Startup_2090"/>
    <x v="3"/>
    <n v="14"/>
    <n v="11332850"/>
    <n v="2"/>
    <n v="6"/>
    <n v="235"/>
    <n v="79987548"/>
    <n v="446531"/>
    <s v="Medium"/>
    <s v="Hybrid"/>
    <n v="8"/>
    <n v="68.64"/>
    <n v="12964"/>
    <n v="1"/>
  </r>
  <r>
    <s v="Startup_2091"/>
    <x v="4"/>
    <n v="7"/>
    <n v="7928360"/>
    <n v="4"/>
    <n v="17"/>
    <n v="544"/>
    <n v="75227990"/>
    <n v="143229"/>
    <s v="Small"/>
    <s v="B2C"/>
    <n v="9"/>
    <n v="27.99"/>
    <n v="816148"/>
    <n v="1"/>
  </r>
  <r>
    <s v="Startup_2092"/>
    <x v="3"/>
    <n v="4"/>
    <n v="5717015"/>
    <n v="1"/>
    <n v="4"/>
    <n v="744"/>
    <n v="10258300"/>
    <n v="371252"/>
    <s v="Small"/>
    <s v="B2C"/>
    <n v="8"/>
    <n v="89.16"/>
    <n v="719764"/>
    <n v="1"/>
  </r>
  <r>
    <s v="Startup_2093"/>
    <x v="1"/>
    <n v="0"/>
    <n v="15531781"/>
    <n v="2"/>
    <n v="21"/>
    <n v="26"/>
    <n v="4110177"/>
    <n v="407914"/>
    <s v="Small"/>
    <s v="B2B"/>
    <n v="2"/>
    <n v="4.87"/>
    <n v="539398"/>
    <n v="1"/>
  </r>
  <r>
    <s v="Startup_2094"/>
    <x v="2"/>
    <n v="3"/>
    <n v="6112117"/>
    <n v="3"/>
    <n v="7"/>
    <n v="162"/>
    <n v="58282005"/>
    <n v="404700"/>
    <s v="Large"/>
    <s v="B2B"/>
    <n v="2"/>
    <n v="84.24"/>
    <n v="924301"/>
    <n v="1"/>
  </r>
  <r>
    <s v="Startup_2095"/>
    <x v="2"/>
    <n v="7"/>
    <n v="38922057"/>
    <n v="1"/>
    <n v="13"/>
    <n v="743"/>
    <n v="6432904"/>
    <n v="361077"/>
    <s v="Large"/>
    <s v="Hybrid"/>
    <n v="2"/>
    <n v="35.42"/>
    <n v="390133"/>
    <n v="1"/>
  </r>
  <r>
    <s v="Startup_2096"/>
    <x v="3"/>
    <n v="2"/>
    <n v="30867278"/>
    <n v="4"/>
    <n v="22"/>
    <n v="95"/>
    <n v="13108764"/>
    <n v="922347"/>
    <s v="Small"/>
    <s v="B2C"/>
    <n v="4"/>
    <n v="80.069999999999993"/>
    <n v="590462"/>
    <n v="1"/>
  </r>
  <r>
    <s v="Startup_2097"/>
    <x v="3"/>
    <n v="13"/>
    <n v="11269484"/>
    <n v="1"/>
    <n v="15"/>
    <n v="355"/>
    <n v="9493865"/>
    <n v="432525"/>
    <s v="Medium"/>
    <s v="Hybrid"/>
    <n v="3"/>
    <n v="63.98"/>
    <n v="166098"/>
    <n v="1"/>
  </r>
  <r>
    <s v="Startup_2098"/>
    <x v="3"/>
    <n v="12"/>
    <n v="21136272"/>
    <n v="3"/>
    <n v="26"/>
    <n v="591"/>
    <n v="42688741"/>
    <n v="693076"/>
    <s v="Medium"/>
    <s v="B2C"/>
    <n v="5"/>
    <n v="73.12"/>
    <n v="863157"/>
    <n v="1"/>
  </r>
  <r>
    <s v="Startup_2099"/>
    <x v="3"/>
    <n v="12"/>
    <n v="43434076"/>
    <n v="2"/>
    <n v="12"/>
    <n v="717"/>
    <n v="71073206"/>
    <n v="936573"/>
    <s v="Small"/>
    <s v="Hybrid"/>
    <n v="3"/>
    <n v="27.5"/>
    <n v="205364"/>
    <n v="1"/>
  </r>
  <r>
    <s v="Startup_2100"/>
    <x v="4"/>
    <n v="7"/>
    <n v="19976656"/>
    <n v="1"/>
    <n v="21"/>
    <n v="910"/>
    <n v="6318915"/>
    <n v="565129"/>
    <s v="Small"/>
    <s v="B2B"/>
    <n v="4"/>
    <n v="5.19"/>
    <n v="874928"/>
    <n v="1"/>
  </r>
  <r>
    <s v="Startup_2101"/>
    <x v="5"/>
    <n v="6"/>
    <n v="41522455"/>
    <n v="1"/>
    <n v="26"/>
    <n v="482"/>
    <n v="36864509"/>
    <n v="650675"/>
    <s v="Medium"/>
    <s v="Hybrid"/>
    <n v="2"/>
    <n v="2.9"/>
    <n v="93463"/>
    <n v="1"/>
  </r>
  <r>
    <s v="Startup_2102"/>
    <x v="2"/>
    <n v="4"/>
    <n v="8792412"/>
    <n v="1"/>
    <n v="28"/>
    <n v="614"/>
    <n v="67216179"/>
    <n v="237680"/>
    <s v="Small"/>
    <s v="B2C"/>
    <n v="2"/>
    <n v="0.27"/>
    <n v="993573"/>
    <n v="1"/>
  </r>
  <r>
    <s v="Startup_2103"/>
    <x v="1"/>
    <n v="8"/>
    <n v="11109016"/>
    <n v="1"/>
    <n v="28"/>
    <n v="430"/>
    <n v="17719521"/>
    <n v="975631"/>
    <s v="Small"/>
    <s v="Hybrid"/>
    <n v="9"/>
    <n v="4.24"/>
    <n v="45142"/>
    <n v="1"/>
  </r>
  <r>
    <s v="Startup_2104"/>
    <x v="2"/>
    <n v="14"/>
    <n v="43665211"/>
    <n v="4"/>
    <n v="25"/>
    <n v="508"/>
    <n v="86968232"/>
    <n v="259656"/>
    <s v="Large"/>
    <s v="B2B"/>
    <n v="2"/>
    <n v="98.76"/>
    <n v="362663"/>
    <n v="1"/>
  </r>
  <r>
    <s v="Startup_2105"/>
    <x v="3"/>
    <n v="0"/>
    <n v="20964885"/>
    <n v="1"/>
    <n v="12"/>
    <n v="225"/>
    <n v="16182788"/>
    <n v="902559"/>
    <s v="Medium"/>
    <s v="Hybrid"/>
    <n v="6"/>
    <n v="94.83"/>
    <n v="670201"/>
    <n v="1"/>
  </r>
  <r>
    <s v="Startup_2106"/>
    <x v="3"/>
    <n v="7"/>
    <n v="34085327"/>
    <n v="4"/>
    <n v="11"/>
    <n v="25"/>
    <n v="8770163"/>
    <n v="198649"/>
    <s v="Large"/>
    <s v="Hybrid"/>
    <n v="3"/>
    <n v="46.73"/>
    <n v="11502"/>
    <n v="1"/>
  </r>
  <r>
    <s v="Startup_2107"/>
    <x v="3"/>
    <n v="4"/>
    <n v="3925134"/>
    <n v="2"/>
    <n v="24"/>
    <n v="727"/>
    <n v="37647224"/>
    <n v="554633"/>
    <s v="Medium"/>
    <s v="Hybrid"/>
    <n v="9"/>
    <n v="97.95"/>
    <n v="706453"/>
    <n v="1"/>
  </r>
  <r>
    <s v="Startup_2108"/>
    <x v="2"/>
    <n v="9"/>
    <n v="3939969"/>
    <n v="2"/>
    <n v="4"/>
    <n v="803"/>
    <n v="99574618"/>
    <n v="380433"/>
    <s v="Medium"/>
    <s v="B2C"/>
    <n v="3"/>
    <n v="46.95"/>
    <n v="636056"/>
    <n v="1"/>
  </r>
  <r>
    <s v="Startup_2109"/>
    <x v="4"/>
    <n v="1"/>
    <n v="38928482"/>
    <n v="2"/>
    <n v="27"/>
    <n v="950"/>
    <n v="14123051"/>
    <n v="104633"/>
    <s v="Small"/>
    <s v="B2B"/>
    <n v="6"/>
    <n v="29.72"/>
    <n v="339947"/>
    <n v="1"/>
  </r>
  <r>
    <s v="Startup_2110"/>
    <x v="6"/>
    <n v="3"/>
    <n v="7435656"/>
    <n v="4"/>
    <n v="3"/>
    <n v="968"/>
    <n v="65942751"/>
    <n v="841210"/>
    <s v="Small"/>
    <s v="B2B"/>
    <n v="6"/>
    <n v="12.18"/>
    <n v="429978"/>
    <n v="1"/>
  </r>
  <r>
    <s v="Startup_2111"/>
    <x v="1"/>
    <n v="2"/>
    <n v="46345350"/>
    <n v="3"/>
    <n v="19"/>
    <n v="562"/>
    <n v="86144861"/>
    <n v="953198"/>
    <s v="Large"/>
    <s v="B2B"/>
    <n v="1"/>
    <n v="74.7"/>
    <n v="620924"/>
    <n v="1"/>
  </r>
  <r>
    <s v="Startup_2112"/>
    <x v="2"/>
    <n v="6"/>
    <n v="46485071"/>
    <n v="4"/>
    <n v="16"/>
    <n v="90"/>
    <n v="93005113"/>
    <n v="786811"/>
    <s v="Large"/>
    <s v="Hybrid"/>
    <n v="4"/>
    <n v="84.65"/>
    <n v="259472"/>
    <n v="1"/>
  </r>
  <r>
    <s v="Startup_2113"/>
    <x v="3"/>
    <n v="10"/>
    <n v="20380613"/>
    <n v="3"/>
    <n v="25"/>
    <n v="251"/>
    <n v="91519175"/>
    <n v="932718"/>
    <s v="Small"/>
    <s v="Hybrid"/>
    <n v="5"/>
    <n v="99.94"/>
    <n v="409995"/>
    <n v="1"/>
  </r>
  <r>
    <s v="Startup_2114"/>
    <x v="1"/>
    <n v="6"/>
    <n v="38464889"/>
    <n v="4"/>
    <n v="12"/>
    <n v="221"/>
    <n v="13886348"/>
    <n v="454285"/>
    <s v="Medium"/>
    <s v="B2B"/>
    <n v="8"/>
    <n v="23.11"/>
    <n v="147078"/>
    <n v="1"/>
  </r>
  <r>
    <s v="Startup_2115"/>
    <x v="3"/>
    <n v="7"/>
    <n v="26675422"/>
    <n v="1"/>
    <n v="1"/>
    <n v="251"/>
    <n v="25824640"/>
    <n v="337555"/>
    <s v="Small"/>
    <s v="Hybrid"/>
    <n v="8"/>
    <n v="90.66"/>
    <n v="975041"/>
    <n v="1"/>
  </r>
  <r>
    <s v="Startup_2116"/>
    <x v="6"/>
    <n v="5"/>
    <n v="7182027"/>
    <n v="2"/>
    <n v="18"/>
    <n v="732"/>
    <n v="26038484"/>
    <n v="979612"/>
    <s v="Large"/>
    <s v="B2C"/>
    <n v="1"/>
    <n v="1.22"/>
    <n v="239255"/>
    <n v="1"/>
  </r>
  <r>
    <s v="Startup_2117"/>
    <x v="1"/>
    <n v="11"/>
    <n v="10267273"/>
    <n v="1"/>
    <n v="16"/>
    <n v="717"/>
    <n v="48091415"/>
    <n v="431418"/>
    <s v="Large"/>
    <s v="B2B"/>
    <n v="7"/>
    <n v="31.48"/>
    <n v="225625"/>
    <n v="1"/>
  </r>
  <r>
    <s v="Startup_2118"/>
    <x v="5"/>
    <n v="8"/>
    <n v="15942195"/>
    <n v="3"/>
    <n v="22"/>
    <n v="811"/>
    <n v="91779001"/>
    <n v="736583"/>
    <s v="Medium"/>
    <s v="B2C"/>
    <n v="3"/>
    <n v="76.64"/>
    <n v="669668"/>
    <n v="1"/>
  </r>
  <r>
    <s v="Startup_2119"/>
    <x v="5"/>
    <n v="8"/>
    <n v="16306717"/>
    <n v="2"/>
    <n v="23"/>
    <n v="151"/>
    <n v="18402544"/>
    <n v="184156"/>
    <s v="Medium"/>
    <s v="B2B"/>
    <n v="5"/>
    <n v="34.79"/>
    <n v="931179"/>
    <n v="1"/>
  </r>
  <r>
    <s v="Startup_2120"/>
    <x v="3"/>
    <n v="0"/>
    <n v="23103988"/>
    <n v="3"/>
    <n v="4"/>
    <n v="452"/>
    <n v="12120309"/>
    <n v="479367"/>
    <s v="Small"/>
    <s v="B2B"/>
    <n v="6"/>
    <n v="49.88"/>
    <n v="725962"/>
    <n v="1"/>
  </r>
  <r>
    <s v="Startup_2121"/>
    <x v="5"/>
    <n v="1"/>
    <n v="22325419"/>
    <n v="4"/>
    <n v="6"/>
    <n v="588"/>
    <n v="34115409"/>
    <n v="428956"/>
    <s v="Large"/>
    <s v="B2C"/>
    <n v="3"/>
    <n v="30.24"/>
    <n v="428036"/>
    <n v="1"/>
  </r>
  <r>
    <s v="Startup_2122"/>
    <x v="5"/>
    <n v="12"/>
    <n v="6583893"/>
    <n v="1"/>
    <n v="25"/>
    <n v="275"/>
    <n v="3567773"/>
    <n v="637092"/>
    <s v="Large"/>
    <s v="Hybrid"/>
    <n v="1"/>
    <n v="26.64"/>
    <n v="50020"/>
    <n v="1"/>
  </r>
  <r>
    <s v="Startup_2123"/>
    <x v="3"/>
    <n v="1"/>
    <n v="23390693"/>
    <n v="4"/>
    <n v="28"/>
    <n v="62"/>
    <n v="14277470"/>
    <n v="917085"/>
    <s v="Small"/>
    <s v="B2C"/>
    <n v="4"/>
    <n v="42.89"/>
    <n v="690473"/>
    <n v="1"/>
  </r>
  <r>
    <s v="Startup_2124"/>
    <x v="0"/>
    <n v="2"/>
    <n v="24249095"/>
    <n v="3"/>
    <n v="12"/>
    <n v="748"/>
    <n v="33123779"/>
    <n v="678237"/>
    <s v="Small"/>
    <s v="Hybrid"/>
    <n v="4"/>
    <n v="25.53"/>
    <n v="543070"/>
    <n v="1"/>
  </r>
  <r>
    <s v="Startup_2125"/>
    <x v="1"/>
    <n v="9"/>
    <n v="39849123"/>
    <n v="4"/>
    <n v="13"/>
    <n v="56"/>
    <n v="64472828"/>
    <n v="693969"/>
    <s v="Small"/>
    <s v="Hybrid"/>
    <n v="6"/>
    <n v="30.65"/>
    <n v="432662"/>
    <n v="1"/>
  </r>
  <r>
    <s v="Startup_2126"/>
    <x v="6"/>
    <n v="6"/>
    <n v="2129659"/>
    <n v="2"/>
    <n v="6"/>
    <n v="397"/>
    <n v="57579940"/>
    <n v="927477"/>
    <s v="Medium"/>
    <s v="Hybrid"/>
    <n v="7"/>
    <n v="3.27"/>
    <n v="273747"/>
    <n v="1"/>
  </r>
  <r>
    <s v="Startup_2127"/>
    <x v="1"/>
    <n v="13"/>
    <n v="34486437"/>
    <n v="3"/>
    <n v="18"/>
    <n v="192"/>
    <n v="29752526"/>
    <n v="654895"/>
    <s v="Large"/>
    <s v="Hybrid"/>
    <n v="1"/>
    <n v="62.73"/>
    <n v="555622"/>
    <n v="1"/>
  </r>
  <r>
    <s v="Startup_2128"/>
    <x v="3"/>
    <n v="11"/>
    <n v="44229923"/>
    <n v="3"/>
    <n v="9"/>
    <n v="325"/>
    <n v="22668655"/>
    <n v="436203"/>
    <s v="Medium"/>
    <s v="B2B"/>
    <n v="1"/>
    <n v="84.24"/>
    <n v="264344"/>
    <n v="1"/>
  </r>
  <r>
    <s v="Startup_2129"/>
    <x v="2"/>
    <n v="10"/>
    <n v="10492035"/>
    <n v="1"/>
    <n v="17"/>
    <n v="45"/>
    <n v="20079482"/>
    <n v="156230"/>
    <s v="Large"/>
    <s v="Hybrid"/>
    <n v="8"/>
    <n v="60.78"/>
    <n v="433240"/>
    <n v="1"/>
  </r>
  <r>
    <s v="Startup_2130"/>
    <x v="0"/>
    <n v="2"/>
    <n v="26177556"/>
    <n v="3"/>
    <n v="14"/>
    <n v="670"/>
    <n v="12121859"/>
    <n v="648939"/>
    <s v="Large"/>
    <s v="B2B"/>
    <n v="6"/>
    <n v="64.400000000000006"/>
    <n v="505112"/>
    <n v="1"/>
  </r>
  <r>
    <s v="Startup_2131"/>
    <x v="5"/>
    <n v="12"/>
    <n v="8070023"/>
    <n v="1"/>
    <n v="23"/>
    <n v="374"/>
    <n v="48576845"/>
    <n v="287149"/>
    <s v="Small"/>
    <s v="B2C"/>
    <n v="1"/>
    <n v="93.28"/>
    <n v="723372"/>
    <n v="1"/>
  </r>
  <r>
    <s v="Startup_2132"/>
    <x v="1"/>
    <n v="8"/>
    <n v="12447412"/>
    <n v="3"/>
    <n v="16"/>
    <n v="728"/>
    <n v="13934122"/>
    <n v="951697"/>
    <s v="Large"/>
    <s v="B2C"/>
    <n v="1"/>
    <n v="71.84"/>
    <n v="876696"/>
    <n v="1"/>
  </r>
  <r>
    <s v="Startup_2133"/>
    <x v="2"/>
    <n v="4"/>
    <n v="44500399"/>
    <n v="3"/>
    <n v="8"/>
    <n v="30"/>
    <n v="74340837"/>
    <n v="104281"/>
    <s v="Large"/>
    <s v="B2C"/>
    <n v="9"/>
    <n v="46.25"/>
    <n v="988223"/>
    <n v="1"/>
  </r>
  <r>
    <s v="Startup_2134"/>
    <x v="4"/>
    <n v="0"/>
    <n v="30696161"/>
    <n v="4"/>
    <n v="14"/>
    <n v="445"/>
    <n v="58006173"/>
    <n v="297910"/>
    <s v="Medium"/>
    <s v="B2C"/>
    <n v="2"/>
    <n v="84.32"/>
    <n v="236089"/>
    <n v="1"/>
  </r>
  <r>
    <s v="Startup_2135"/>
    <x v="4"/>
    <n v="2"/>
    <n v="6035422"/>
    <n v="2"/>
    <n v="24"/>
    <n v="648"/>
    <n v="82738257"/>
    <n v="960392"/>
    <s v="Large"/>
    <s v="B2B"/>
    <n v="8"/>
    <n v="67.180000000000007"/>
    <n v="764295"/>
    <n v="1"/>
  </r>
  <r>
    <s v="Startup_2136"/>
    <x v="4"/>
    <n v="2"/>
    <n v="1738767"/>
    <n v="1"/>
    <n v="4"/>
    <n v="998"/>
    <n v="82008077"/>
    <n v="351281"/>
    <s v="Large"/>
    <s v="B2B"/>
    <n v="7"/>
    <n v="84.8"/>
    <n v="813405"/>
    <n v="1"/>
  </r>
  <r>
    <s v="Startup_2137"/>
    <x v="1"/>
    <n v="5"/>
    <n v="40755853"/>
    <n v="2"/>
    <n v="18"/>
    <n v="583"/>
    <n v="66024430"/>
    <n v="485568"/>
    <s v="Small"/>
    <s v="Hybrid"/>
    <n v="1"/>
    <n v="9.59"/>
    <n v="591041"/>
    <n v="1"/>
  </r>
  <r>
    <s v="Startup_2138"/>
    <x v="0"/>
    <n v="4"/>
    <n v="21028361"/>
    <n v="2"/>
    <n v="20"/>
    <n v="361"/>
    <n v="18223964"/>
    <n v="877310"/>
    <s v="Large"/>
    <s v="Hybrid"/>
    <n v="1"/>
    <n v="72.75"/>
    <n v="160445"/>
    <n v="1"/>
  </r>
  <r>
    <s v="Startup_2139"/>
    <x v="6"/>
    <n v="4"/>
    <n v="33355180"/>
    <n v="3"/>
    <n v="1"/>
    <n v="432"/>
    <n v="19173889"/>
    <n v="333094"/>
    <s v="Small"/>
    <s v="B2B"/>
    <n v="7"/>
    <n v="50.86"/>
    <n v="90529"/>
    <n v="1"/>
  </r>
  <r>
    <s v="Startup_2140"/>
    <x v="5"/>
    <n v="7"/>
    <n v="910679"/>
    <n v="3"/>
    <n v="12"/>
    <n v="815"/>
    <n v="51306308"/>
    <n v="25150"/>
    <s v="Medium"/>
    <s v="B2B"/>
    <n v="4"/>
    <n v="7.5"/>
    <n v="296675"/>
    <n v="1"/>
  </r>
  <r>
    <s v="Startup_2141"/>
    <x v="5"/>
    <n v="4"/>
    <n v="35116025"/>
    <n v="2"/>
    <n v="3"/>
    <n v="97"/>
    <n v="11389714"/>
    <n v="221944"/>
    <s v="Large"/>
    <s v="B2B"/>
    <n v="4"/>
    <n v="88.84"/>
    <n v="404958"/>
    <n v="1"/>
  </r>
  <r>
    <s v="Startup_2142"/>
    <x v="6"/>
    <n v="4"/>
    <n v="4837967"/>
    <n v="3"/>
    <n v="25"/>
    <n v="787"/>
    <n v="68267436"/>
    <n v="810723"/>
    <s v="Large"/>
    <s v="Hybrid"/>
    <n v="3"/>
    <n v="68.150000000000006"/>
    <n v="975879"/>
    <n v="1"/>
  </r>
  <r>
    <s v="Startup_2143"/>
    <x v="1"/>
    <n v="10"/>
    <n v="4277195"/>
    <n v="3"/>
    <n v="6"/>
    <n v="246"/>
    <n v="10698899"/>
    <n v="109829"/>
    <s v="Medium"/>
    <s v="B2B"/>
    <n v="5"/>
    <n v="69.09"/>
    <n v="251655"/>
    <n v="1"/>
  </r>
  <r>
    <s v="Startup_2144"/>
    <x v="0"/>
    <n v="3"/>
    <n v="35139170"/>
    <n v="1"/>
    <n v="25"/>
    <n v="344"/>
    <n v="53979325"/>
    <n v="255046"/>
    <s v="Small"/>
    <s v="B2C"/>
    <n v="7"/>
    <n v="27.99"/>
    <n v="659128"/>
    <n v="1"/>
  </r>
  <r>
    <s v="Startup_2145"/>
    <x v="6"/>
    <n v="13"/>
    <n v="13255450"/>
    <n v="3"/>
    <n v="27"/>
    <n v="945"/>
    <n v="27402909"/>
    <n v="33252"/>
    <s v="Medium"/>
    <s v="B2C"/>
    <n v="2"/>
    <n v="27.8"/>
    <n v="540558"/>
    <n v="1"/>
  </r>
  <r>
    <s v="Startup_2146"/>
    <x v="2"/>
    <n v="13"/>
    <n v="16225458"/>
    <n v="4"/>
    <n v="20"/>
    <n v="181"/>
    <n v="26450483"/>
    <n v="792887"/>
    <s v="Medium"/>
    <s v="Hybrid"/>
    <n v="7"/>
    <n v="89.49"/>
    <n v="482528"/>
    <n v="1"/>
  </r>
  <r>
    <s v="Startup_2147"/>
    <x v="1"/>
    <n v="13"/>
    <n v="2702909"/>
    <n v="2"/>
    <n v="4"/>
    <n v="668"/>
    <n v="97050032"/>
    <n v="13804"/>
    <s v="Small"/>
    <s v="B2C"/>
    <n v="2"/>
    <n v="16.579999999999998"/>
    <n v="542536"/>
    <n v="1"/>
  </r>
  <r>
    <s v="Startup_2148"/>
    <x v="6"/>
    <n v="2"/>
    <n v="21776117"/>
    <n v="4"/>
    <n v="4"/>
    <n v="101"/>
    <n v="56756272"/>
    <n v="960210"/>
    <s v="Medium"/>
    <s v="B2B"/>
    <n v="9"/>
    <n v="71.959999999999994"/>
    <n v="225768"/>
    <n v="1"/>
  </r>
  <r>
    <s v="Startup_2149"/>
    <x v="0"/>
    <n v="0"/>
    <n v="12448578"/>
    <n v="4"/>
    <n v="8"/>
    <n v="528"/>
    <n v="80826456"/>
    <n v="210305"/>
    <s v="Medium"/>
    <s v="Hybrid"/>
    <n v="8"/>
    <n v="99.46"/>
    <n v="97765"/>
    <n v="1"/>
  </r>
  <r>
    <s v="Startup_2150"/>
    <x v="6"/>
    <n v="8"/>
    <n v="20746407"/>
    <n v="2"/>
    <n v="28"/>
    <n v="727"/>
    <n v="62955194"/>
    <n v="754750"/>
    <s v="Small"/>
    <s v="Hybrid"/>
    <n v="7"/>
    <n v="63.41"/>
    <n v="272604"/>
    <n v="1"/>
  </r>
  <r>
    <s v="Startup_2151"/>
    <x v="5"/>
    <n v="4"/>
    <n v="28260042"/>
    <n v="1"/>
    <n v="27"/>
    <n v="498"/>
    <n v="85843369"/>
    <n v="495920"/>
    <s v="Small"/>
    <s v="Hybrid"/>
    <n v="8"/>
    <n v="65.94"/>
    <n v="344481"/>
    <n v="1"/>
  </r>
  <r>
    <s v="Startup_2152"/>
    <x v="4"/>
    <n v="2"/>
    <n v="22948172"/>
    <n v="4"/>
    <n v="25"/>
    <n v="843"/>
    <n v="24247888"/>
    <n v="922287"/>
    <s v="Large"/>
    <s v="B2B"/>
    <n v="5"/>
    <n v="40.24"/>
    <n v="625339"/>
    <n v="1"/>
  </r>
  <r>
    <s v="Startup_2153"/>
    <x v="6"/>
    <n v="2"/>
    <n v="24865998"/>
    <n v="1"/>
    <n v="20"/>
    <n v="887"/>
    <n v="61093895"/>
    <n v="247063"/>
    <s v="Small"/>
    <s v="B2B"/>
    <n v="5"/>
    <n v="54.44"/>
    <n v="178050"/>
    <n v="1"/>
  </r>
  <r>
    <s v="Startup_2154"/>
    <x v="6"/>
    <n v="3"/>
    <n v="24208598"/>
    <n v="1"/>
    <n v="2"/>
    <n v="922"/>
    <n v="42993041"/>
    <n v="430539"/>
    <s v="Small"/>
    <s v="B2B"/>
    <n v="8"/>
    <n v="39.75"/>
    <n v="13522"/>
    <n v="1"/>
  </r>
  <r>
    <s v="Startup_2155"/>
    <x v="0"/>
    <n v="13"/>
    <n v="49364218"/>
    <n v="1"/>
    <n v="2"/>
    <n v="598"/>
    <n v="55998027"/>
    <n v="766353"/>
    <s v="Medium"/>
    <s v="B2B"/>
    <n v="3"/>
    <n v="14.62"/>
    <n v="714730"/>
    <n v="1"/>
  </r>
  <r>
    <s v="Startup_2156"/>
    <x v="6"/>
    <n v="1"/>
    <n v="43037182"/>
    <n v="3"/>
    <n v="7"/>
    <n v="178"/>
    <n v="89079198"/>
    <n v="701545"/>
    <s v="Large"/>
    <s v="B2C"/>
    <n v="9"/>
    <n v="52.27"/>
    <n v="700043"/>
    <n v="1"/>
  </r>
  <r>
    <s v="Startup_2157"/>
    <x v="5"/>
    <n v="3"/>
    <n v="44243189"/>
    <n v="4"/>
    <n v="18"/>
    <n v="637"/>
    <n v="3395947"/>
    <n v="513159"/>
    <s v="Small"/>
    <s v="Hybrid"/>
    <n v="3"/>
    <n v="74.650000000000006"/>
    <n v="685604"/>
    <n v="1"/>
  </r>
  <r>
    <s v="Startup_2158"/>
    <x v="3"/>
    <n v="13"/>
    <n v="50042"/>
    <n v="2"/>
    <n v="12"/>
    <n v="479"/>
    <n v="90080843"/>
    <n v="375689"/>
    <s v="Small"/>
    <s v="B2B"/>
    <n v="9"/>
    <n v="41.16"/>
    <n v="713099"/>
    <n v="1"/>
  </r>
  <r>
    <s v="Startup_2159"/>
    <x v="2"/>
    <n v="2"/>
    <n v="483330"/>
    <n v="2"/>
    <n v="11"/>
    <n v="866"/>
    <n v="66905898"/>
    <n v="354187"/>
    <s v="Large"/>
    <s v="B2C"/>
    <n v="5"/>
    <n v="42.07"/>
    <n v="718169"/>
    <n v="1"/>
  </r>
  <r>
    <s v="Startup_2160"/>
    <x v="1"/>
    <n v="3"/>
    <n v="48985911"/>
    <n v="4"/>
    <n v="10"/>
    <n v="737"/>
    <n v="62065632"/>
    <n v="88473"/>
    <s v="Medium"/>
    <s v="B2C"/>
    <n v="9"/>
    <n v="98.97"/>
    <n v="769373"/>
    <n v="1"/>
  </r>
  <r>
    <s v="Startup_2161"/>
    <x v="1"/>
    <n v="14"/>
    <n v="20177664"/>
    <n v="2"/>
    <n v="19"/>
    <n v="380"/>
    <n v="76580593"/>
    <n v="591258"/>
    <s v="Large"/>
    <s v="Hybrid"/>
    <n v="9"/>
    <n v="2.2799999999999998"/>
    <n v="917873"/>
    <n v="1"/>
  </r>
  <r>
    <s v="Startup_2162"/>
    <x v="0"/>
    <n v="13"/>
    <n v="1368259"/>
    <n v="4"/>
    <n v="7"/>
    <n v="91"/>
    <n v="51021997"/>
    <n v="400276"/>
    <s v="Large"/>
    <s v="B2C"/>
    <n v="9"/>
    <n v="38.94"/>
    <n v="453912"/>
    <n v="1"/>
  </r>
  <r>
    <s v="Startup_2163"/>
    <x v="4"/>
    <n v="2"/>
    <n v="27231966"/>
    <n v="2"/>
    <n v="14"/>
    <n v="89"/>
    <n v="5666847"/>
    <n v="608733"/>
    <s v="Medium"/>
    <s v="Hybrid"/>
    <n v="7"/>
    <n v="5.12"/>
    <n v="529776"/>
    <n v="1"/>
  </r>
  <r>
    <s v="Startup_2164"/>
    <x v="3"/>
    <n v="0"/>
    <n v="21823661"/>
    <n v="3"/>
    <n v="0"/>
    <n v="400"/>
    <n v="52515964"/>
    <n v="899706"/>
    <s v="Small"/>
    <s v="B2C"/>
    <n v="7"/>
    <n v="39.549999999999997"/>
    <n v="360101"/>
    <n v="1"/>
  </r>
  <r>
    <s v="Startup_2165"/>
    <x v="0"/>
    <n v="0"/>
    <n v="31770954"/>
    <n v="1"/>
    <n v="13"/>
    <n v="272"/>
    <n v="96641365"/>
    <n v="56114"/>
    <s v="Large"/>
    <s v="Hybrid"/>
    <n v="5"/>
    <n v="81.319999999999993"/>
    <n v="454249"/>
    <n v="1"/>
  </r>
  <r>
    <s v="Startup_2166"/>
    <x v="5"/>
    <n v="9"/>
    <n v="38417588"/>
    <n v="4"/>
    <n v="18"/>
    <n v="431"/>
    <n v="98215282"/>
    <n v="791585"/>
    <s v="Medium"/>
    <s v="B2C"/>
    <n v="5"/>
    <n v="41.56"/>
    <n v="964046"/>
    <n v="1"/>
  </r>
  <r>
    <s v="Startup_2167"/>
    <x v="2"/>
    <n v="7"/>
    <n v="25155923"/>
    <n v="4"/>
    <n v="11"/>
    <n v="744"/>
    <n v="30886564"/>
    <n v="963207"/>
    <s v="Small"/>
    <s v="B2B"/>
    <n v="8"/>
    <n v="22.29"/>
    <n v="308810"/>
    <n v="1"/>
  </r>
  <r>
    <s v="Startup_2168"/>
    <x v="0"/>
    <n v="11"/>
    <n v="32423502"/>
    <n v="1"/>
    <n v="28"/>
    <n v="387"/>
    <n v="5263507"/>
    <n v="685177"/>
    <s v="Medium"/>
    <s v="B2C"/>
    <n v="3"/>
    <n v="49.72"/>
    <n v="676934"/>
    <n v="1"/>
  </r>
  <r>
    <s v="Startup_2169"/>
    <x v="2"/>
    <n v="1"/>
    <n v="6226403"/>
    <n v="3"/>
    <n v="16"/>
    <n v="893"/>
    <n v="62387914"/>
    <n v="69615"/>
    <s v="Large"/>
    <s v="B2B"/>
    <n v="6"/>
    <n v="14.2"/>
    <n v="5253"/>
    <n v="1"/>
  </r>
  <r>
    <s v="Startup_2170"/>
    <x v="5"/>
    <n v="8"/>
    <n v="18590299"/>
    <n v="4"/>
    <n v="14"/>
    <n v="246"/>
    <n v="16406947"/>
    <n v="570122"/>
    <s v="Large"/>
    <s v="B2C"/>
    <n v="6"/>
    <n v="51.13"/>
    <n v="413732"/>
    <n v="1"/>
  </r>
  <r>
    <s v="Startup_2171"/>
    <x v="0"/>
    <n v="3"/>
    <n v="5800822"/>
    <n v="4"/>
    <n v="17"/>
    <n v="86"/>
    <n v="32484891"/>
    <n v="872431"/>
    <s v="Medium"/>
    <s v="B2B"/>
    <n v="9"/>
    <n v="3.22"/>
    <n v="537412"/>
    <n v="1"/>
  </r>
  <r>
    <s v="Startup_2172"/>
    <x v="3"/>
    <n v="5"/>
    <n v="12184110"/>
    <n v="3"/>
    <n v="19"/>
    <n v="368"/>
    <n v="52397380"/>
    <n v="728024"/>
    <s v="Medium"/>
    <s v="Hybrid"/>
    <n v="7"/>
    <n v="69.77"/>
    <n v="980890"/>
    <n v="1"/>
  </r>
  <r>
    <s v="Startup_2173"/>
    <x v="5"/>
    <n v="5"/>
    <n v="20910383"/>
    <n v="3"/>
    <n v="20"/>
    <n v="725"/>
    <n v="35174785"/>
    <n v="362970"/>
    <s v="Large"/>
    <s v="B2C"/>
    <n v="7"/>
    <n v="88.67"/>
    <n v="739777"/>
    <n v="1"/>
  </r>
  <r>
    <s v="Startup_2174"/>
    <x v="5"/>
    <n v="14"/>
    <n v="35406434"/>
    <n v="1"/>
    <n v="1"/>
    <n v="165"/>
    <n v="89991583"/>
    <n v="169997"/>
    <s v="Medium"/>
    <s v="B2B"/>
    <n v="2"/>
    <n v="72.88"/>
    <n v="887328"/>
    <n v="1"/>
  </r>
  <r>
    <s v="Startup_2175"/>
    <x v="5"/>
    <n v="11"/>
    <n v="47178432"/>
    <n v="2"/>
    <n v="6"/>
    <n v="282"/>
    <n v="61197954"/>
    <n v="513256"/>
    <s v="Small"/>
    <s v="B2B"/>
    <n v="9"/>
    <n v="58.1"/>
    <n v="988828"/>
    <n v="1"/>
  </r>
  <r>
    <s v="Startup_2176"/>
    <x v="0"/>
    <n v="4"/>
    <n v="614921"/>
    <n v="3"/>
    <n v="18"/>
    <n v="691"/>
    <n v="18510376"/>
    <n v="430512"/>
    <s v="Large"/>
    <s v="B2B"/>
    <n v="5"/>
    <n v="31.26"/>
    <n v="441637"/>
    <n v="1"/>
  </r>
  <r>
    <s v="Startup_2177"/>
    <x v="0"/>
    <n v="12"/>
    <n v="33611920"/>
    <n v="3"/>
    <n v="8"/>
    <n v="203"/>
    <n v="29093533"/>
    <n v="656330"/>
    <s v="Large"/>
    <s v="B2B"/>
    <n v="6"/>
    <n v="72.819999999999993"/>
    <n v="765229"/>
    <n v="1"/>
  </r>
  <r>
    <s v="Startup_2178"/>
    <x v="6"/>
    <n v="5"/>
    <n v="44213130"/>
    <n v="4"/>
    <n v="8"/>
    <n v="520"/>
    <n v="87259915"/>
    <n v="615958"/>
    <s v="Large"/>
    <s v="B2B"/>
    <n v="4"/>
    <n v="96.77"/>
    <n v="679026"/>
    <n v="1"/>
  </r>
  <r>
    <s v="Startup_2179"/>
    <x v="0"/>
    <n v="10"/>
    <n v="14427732"/>
    <n v="3"/>
    <n v="6"/>
    <n v="182"/>
    <n v="15170065"/>
    <n v="606574"/>
    <s v="Large"/>
    <s v="B2C"/>
    <n v="8"/>
    <n v="60.91"/>
    <n v="562201"/>
    <n v="1"/>
  </r>
  <r>
    <s v="Startup_2180"/>
    <x v="4"/>
    <n v="14"/>
    <n v="21178818"/>
    <n v="3"/>
    <n v="17"/>
    <n v="509"/>
    <n v="41516082"/>
    <n v="802072"/>
    <s v="Large"/>
    <s v="B2B"/>
    <n v="1"/>
    <n v="13.71"/>
    <n v="492982"/>
    <n v="1"/>
  </r>
  <r>
    <s v="Startup_2181"/>
    <x v="5"/>
    <n v="10"/>
    <n v="4705404"/>
    <n v="2"/>
    <n v="12"/>
    <n v="647"/>
    <n v="42292482"/>
    <n v="763043"/>
    <s v="Small"/>
    <s v="B2B"/>
    <n v="6"/>
    <n v="46.09"/>
    <n v="360057"/>
    <n v="1"/>
  </r>
  <r>
    <s v="Startup_2182"/>
    <x v="4"/>
    <n v="13"/>
    <n v="14971055"/>
    <n v="3"/>
    <n v="4"/>
    <n v="586"/>
    <n v="37028623"/>
    <n v="452985"/>
    <s v="Large"/>
    <s v="B2C"/>
    <n v="1"/>
    <n v="86.06"/>
    <n v="605933"/>
    <n v="1"/>
  </r>
  <r>
    <s v="Startup_2183"/>
    <x v="3"/>
    <n v="3"/>
    <n v="32913268"/>
    <n v="2"/>
    <n v="29"/>
    <n v="920"/>
    <n v="75961473"/>
    <n v="770024"/>
    <s v="Large"/>
    <s v="B2B"/>
    <n v="4"/>
    <n v="95.95"/>
    <n v="271571"/>
    <n v="1"/>
  </r>
  <r>
    <s v="Startup_2184"/>
    <x v="2"/>
    <n v="9"/>
    <n v="35828212"/>
    <n v="4"/>
    <n v="18"/>
    <n v="782"/>
    <n v="17947290"/>
    <n v="247421"/>
    <s v="Small"/>
    <s v="B2B"/>
    <n v="3"/>
    <n v="30.01"/>
    <n v="308081"/>
    <n v="1"/>
  </r>
  <r>
    <s v="Startup_2185"/>
    <x v="3"/>
    <n v="12"/>
    <n v="25836831"/>
    <n v="2"/>
    <n v="24"/>
    <n v="934"/>
    <n v="11662849"/>
    <n v="681002"/>
    <s v="Medium"/>
    <s v="Hybrid"/>
    <n v="4"/>
    <n v="88.8"/>
    <n v="348934"/>
    <n v="1"/>
  </r>
  <r>
    <s v="Startup_2186"/>
    <x v="4"/>
    <n v="3"/>
    <n v="14504806"/>
    <n v="3"/>
    <n v="19"/>
    <n v="512"/>
    <n v="7793199"/>
    <n v="848267"/>
    <s v="Large"/>
    <s v="B2C"/>
    <n v="1"/>
    <n v="38.82"/>
    <n v="41441"/>
    <n v="1"/>
  </r>
  <r>
    <s v="Startup_2187"/>
    <x v="5"/>
    <n v="9"/>
    <n v="2539265"/>
    <n v="2"/>
    <n v="5"/>
    <n v="256"/>
    <n v="15392869"/>
    <n v="438193"/>
    <s v="Medium"/>
    <s v="B2B"/>
    <n v="4"/>
    <n v="86.53"/>
    <n v="458070"/>
    <n v="1"/>
  </r>
  <r>
    <s v="Startup_2188"/>
    <x v="1"/>
    <n v="9"/>
    <n v="30577028"/>
    <n v="4"/>
    <n v="5"/>
    <n v="853"/>
    <n v="76336080"/>
    <n v="393088"/>
    <s v="Medium"/>
    <s v="B2C"/>
    <n v="7"/>
    <n v="37.86"/>
    <n v="999672"/>
    <n v="1"/>
  </r>
  <r>
    <s v="Startup_2189"/>
    <x v="2"/>
    <n v="4"/>
    <n v="19741246"/>
    <n v="3"/>
    <n v="14"/>
    <n v="314"/>
    <n v="55495673"/>
    <n v="430751"/>
    <s v="Small"/>
    <s v="Hybrid"/>
    <n v="5"/>
    <n v="48.04"/>
    <n v="899920"/>
    <n v="1"/>
  </r>
  <r>
    <s v="Startup_2190"/>
    <x v="2"/>
    <n v="11"/>
    <n v="15007359"/>
    <n v="1"/>
    <n v="24"/>
    <n v="691"/>
    <n v="71274579"/>
    <n v="543839"/>
    <s v="Medium"/>
    <s v="Hybrid"/>
    <n v="6"/>
    <n v="7.82"/>
    <n v="261717"/>
    <n v="1"/>
  </r>
  <r>
    <s v="Startup_2191"/>
    <x v="6"/>
    <n v="10"/>
    <n v="39455329"/>
    <n v="1"/>
    <n v="3"/>
    <n v="211"/>
    <n v="70874754"/>
    <n v="881350"/>
    <s v="Small"/>
    <s v="B2C"/>
    <n v="8"/>
    <n v="42.08"/>
    <n v="59357"/>
    <n v="1"/>
  </r>
  <r>
    <s v="Startup_2192"/>
    <x v="0"/>
    <n v="0"/>
    <n v="20321984"/>
    <n v="1"/>
    <n v="25"/>
    <n v="237"/>
    <n v="94029216"/>
    <n v="83512"/>
    <s v="Small"/>
    <s v="Hybrid"/>
    <n v="8"/>
    <n v="5.55"/>
    <n v="331500"/>
    <n v="1"/>
  </r>
  <r>
    <s v="Startup_2193"/>
    <x v="0"/>
    <n v="4"/>
    <n v="49457726"/>
    <n v="4"/>
    <n v="24"/>
    <n v="641"/>
    <n v="82359773"/>
    <n v="682661"/>
    <s v="Medium"/>
    <s v="Hybrid"/>
    <n v="1"/>
    <n v="55.42"/>
    <n v="357902"/>
    <n v="1"/>
  </r>
  <r>
    <s v="Startup_2194"/>
    <x v="6"/>
    <n v="5"/>
    <n v="4977065"/>
    <n v="2"/>
    <n v="16"/>
    <n v="762"/>
    <n v="50771110"/>
    <n v="502737"/>
    <s v="Small"/>
    <s v="B2C"/>
    <n v="2"/>
    <n v="49.9"/>
    <n v="74164"/>
    <n v="1"/>
  </r>
  <r>
    <s v="Startup_2195"/>
    <x v="4"/>
    <n v="14"/>
    <n v="7544529"/>
    <n v="2"/>
    <n v="7"/>
    <n v="809"/>
    <n v="43316630"/>
    <n v="780559"/>
    <s v="Medium"/>
    <s v="Hybrid"/>
    <n v="8"/>
    <n v="59.19"/>
    <n v="87117"/>
    <n v="1"/>
  </r>
  <r>
    <s v="Startup_2196"/>
    <x v="0"/>
    <n v="13"/>
    <n v="23768416"/>
    <n v="3"/>
    <n v="0"/>
    <n v="296"/>
    <n v="84481645"/>
    <n v="674662"/>
    <s v="Small"/>
    <s v="B2B"/>
    <n v="5"/>
    <n v="76.5"/>
    <n v="539555"/>
    <n v="1"/>
  </r>
  <r>
    <s v="Startup_2197"/>
    <x v="2"/>
    <n v="5"/>
    <n v="14571874"/>
    <n v="3"/>
    <n v="1"/>
    <n v="926"/>
    <n v="72173640"/>
    <n v="520099"/>
    <s v="Medium"/>
    <s v="Hybrid"/>
    <n v="4"/>
    <n v="36.880000000000003"/>
    <n v="694280"/>
    <n v="1"/>
  </r>
  <r>
    <s v="Startup_2198"/>
    <x v="0"/>
    <n v="13"/>
    <n v="37475456"/>
    <n v="3"/>
    <n v="1"/>
    <n v="16"/>
    <n v="89291841"/>
    <n v="691098"/>
    <s v="Small"/>
    <s v="B2B"/>
    <n v="7"/>
    <n v="7.28"/>
    <n v="546217"/>
    <n v="1"/>
  </r>
  <r>
    <s v="Startup_2199"/>
    <x v="3"/>
    <n v="12"/>
    <n v="22559520"/>
    <n v="1"/>
    <n v="20"/>
    <n v="293"/>
    <n v="42248337"/>
    <n v="366255"/>
    <s v="Large"/>
    <s v="B2C"/>
    <n v="5"/>
    <n v="33.22"/>
    <n v="118464"/>
    <n v="1"/>
  </r>
  <r>
    <s v="Startup_2200"/>
    <x v="2"/>
    <n v="12"/>
    <n v="18919821"/>
    <n v="2"/>
    <n v="17"/>
    <n v="599"/>
    <n v="74392498"/>
    <n v="294965"/>
    <s v="Large"/>
    <s v="B2C"/>
    <n v="7"/>
    <n v="84.09"/>
    <n v="339682"/>
    <n v="1"/>
  </r>
  <r>
    <s v="Startup_2201"/>
    <x v="3"/>
    <n v="12"/>
    <n v="12698010"/>
    <n v="4"/>
    <n v="9"/>
    <n v="943"/>
    <n v="53149529"/>
    <n v="892359"/>
    <s v="Medium"/>
    <s v="B2B"/>
    <n v="2"/>
    <n v="58.95"/>
    <n v="887180"/>
    <n v="1"/>
  </r>
  <r>
    <s v="Startup_2202"/>
    <x v="3"/>
    <n v="8"/>
    <n v="15848858"/>
    <n v="4"/>
    <n v="26"/>
    <n v="819"/>
    <n v="12322945"/>
    <n v="823033"/>
    <s v="Medium"/>
    <s v="B2B"/>
    <n v="2"/>
    <n v="25.68"/>
    <n v="157519"/>
    <n v="1"/>
  </r>
  <r>
    <s v="Startup_2203"/>
    <x v="3"/>
    <n v="6"/>
    <n v="14383466"/>
    <n v="2"/>
    <n v="26"/>
    <n v="416"/>
    <n v="41566272"/>
    <n v="819382"/>
    <s v="Small"/>
    <s v="B2C"/>
    <n v="7"/>
    <n v="92.92"/>
    <n v="534442"/>
    <n v="1"/>
  </r>
  <r>
    <s v="Startup_2204"/>
    <x v="2"/>
    <n v="8"/>
    <n v="14489928"/>
    <n v="1"/>
    <n v="12"/>
    <n v="853"/>
    <n v="71684629"/>
    <n v="300273"/>
    <s v="Medium"/>
    <s v="Hybrid"/>
    <n v="9"/>
    <n v="17.14"/>
    <n v="73406"/>
    <n v="1"/>
  </r>
  <r>
    <s v="Startup_2205"/>
    <x v="2"/>
    <n v="7"/>
    <n v="22060936"/>
    <n v="2"/>
    <n v="13"/>
    <n v="742"/>
    <n v="94737104"/>
    <n v="19593"/>
    <s v="Small"/>
    <s v="B2B"/>
    <n v="3"/>
    <n v="34.08"/>
    <n v="196729"/>
    <n v="1"/>
  </r>
  <r>
    <s v="Startup_2206"/>
    <x v="2"/>
    <n v="9"/>
    <n v="25511180"/>
    <n v="1"/>
    <n v="28"/>
    <n v="667"/>
    <n v="36176156"/>
    <n v="166405"/>
    <s v="Small"/>
    <s v="Hybrid"/>
    <n v="7"/>
    <n v="0.68"/>
    <n v="936906"/>
    <n v="1"/>
  </r>
  <r>
    <s v="Startup_2207"/>
    <x v="6"/>
    <n v="4"/>
    <n v="16499996"/>
    <n v="3"/>
    <n v="21"/>
    <n v="272"/>
    <n v="20627554"/>
    <n v="644863"/>
    <s v="Small"/>
    <s v="B2C"/>
    <n v="1"/>
    <n v="0.82"/>
    <n v="919670"/>
    <n v="1"/>
  </r>
  <r>
    <s v="Startup_2208"/>
    <x v="0"/>
    <n v="11"/>
    <n v="22240080"/>
    <n v="2"/>
    <n v="9"/>
    <n v="157"/>
    <n v="92102460"/>
    <n v="417517"/>
    <s v="Large"/>
    <s v="Hybrid"/>
    <n v="5"/>
    <n v="48.62"/>
    <n v="28976"/>
    <n v="1"/>
  </r>
  <r>
    <s v="Startup_2209"/>
    <x v="5"/>
    <n v="1"/>
    <n v="38150184"/>
    <n v="2"/>
    <n v="10"/>
    <n v="795"/>
    <n v="44880149"/>
    <n v="815192"/>
    <s v="Large"/>
    <s v="B2B"/>
    <n v="3"/>
    <n v="34.72"/>
    <n v="112973"/>
    <n v="1"/>
  </r>
  <r>
    <s v="Startup_2210"/>
    <x v="3"/>
    <n v="1"/>
    <n v="23706178"/>
    <n v="3"/>
    <n v="12"/>
    <n v="968"/>
    <n v="69425348"/>
    <n v="76191"/>
    <s v="Small"/>
    <s v="B2C"/>
    <n v="9"/>
    <n v="89.06"/>
    <n v="978899"/>
    <n v="1"/>
  </r>
  <r>
    <s v="Startup_2211"/>
    <x v="1"/>
    <n v="2"/>
    <n v="8321803"/>
    <n v="3"/>
    <n v="3"/>
    <n v="133"/>
    <n v="11488168"/>
    <n v="855953"/>
    <s v="Large"/>
    <s v="Hybrid"/>
    <n v="6"/>
    <n v="98.41"/>
    <n v="90371"/>
    <n v="1"/>
  </r>
  <r>
    <s v="Startup_2212"/>
    <x v="4"/>
    <n v="13"/>
    <n v="11142972"/>
    <n v="3"/>
    <n v="11"/>
    <n v="976"/>
    <n v="19167007"/>
    <n v="643767"/>
    <s v="Large"/>
    <s v="B2C"/>
    <n v="9"/>
    <n v="45.21"/>
    <n v="329680"/>
    <n v="1"/>
  </r>
  <r>
    <s v="Startup_2213"/>
    <x v="5"/>
    <n v="5"/>
    <n v="39411798"/>
    <n v="2"/>
    <n v="25"/>
    <n v="508"/>
    <n v="10646740"/>
    <n v="283200"/>
    <s v="Medium"/>
    <s v="Hybrid"/>
    <n v="2"/>
    <n v="18.73"/>
    <n v="563775"/>
    <n v="1"/>
  </r>
  <r>
    <s v="Startup_2214"/>
    <x v="5"/>
    <n v="8"/>
    <n v="44746878"/>
    <n v="3"/>
    <n v="23"/>
    <n v="16"/>
    <n v="97730844"/>
    <n v="252615"/>
    <s v="Large"/>
    <s v="B2B"/>
    <n v="8"/>
    <n v="54.87"/>
    <n v="905323"/>
    <n v="1"/>
  </r>
  <r>
    <s v="Startup_2215"/>
    <x v="3"/>
    <n v="1"/>
    <n v="21862352"/>
    <n v="1"/>
    <n v="10"/>
    <n v="452"/>
    <n v="44885743"/>
    <n v="990890"/>
    <s v="Small"/>
    <s v="Hybrid"/>
    <n v="1"/>
    <n v="46.79"/>
    <n v="801896"/>
    <n v="1"/>
  </r>
  <r>
    <s v="Startup_2216"/>
    <x v="2"/>
    <n v="1"/>
    <n v="16860889"/>
    <n v="4"/>
    <n v="19"/>
    <n v="172"/>
    <n v="42739748"/>
    <n v="369848"/>
    <s v="Large"/>
    <s v="B2B"/>
    <n v="4"/>
    <n v="99.13"/>
    <n v="87147"/>
    <n v="1"/>
  </r>
  <r>
    <s v="Startup_2217"/>
    <x v="2"/>
    <n v="13"/>
    <n v="42616456"/>
    <n v="3"/>
    <n v="2"/>
    <n v="223"/>
    <n v="17204392"/>
    <n v="487736"/>
    <s v="Large"/>
    <s v="B2C"/>
    <n v="6"/>
    <n v="75.38"/>
    <n v="837892"/>
    <n v="1"/>
  </r>
  <r>
    <s v="Startup_2218"/>
    <x v="1"/>
    <n v="8"/>
    <n v="6246684"/>
    <n v="3"/>
    <n v="24"/>
    <n v="77"/>
    <n v="45668658"/>
    <n v="480139"/>
    <s v="Small"/>
    <s v="B2B"/>
    <n v="9"/>
    <n v="50.71"/>
    <n v="360369"/>
    <n v="1"/>
  </r>
  <r>
    <s v="Startup_2219"/>
    <x v="2"/>
    <n v="7"/>
    <n v="6777544"/>
    <n v="4"/>
    <n v="12"/>
    <n v="936"/>
    <n v="62539761"/>
    <n v="428070"/>
    <s v="Large"/>
    <s v="Hybrid"/>
    <n v="6"/>
    <n v="61.59"/>
    <n v="958798"/>
    <n v="1"/>
  </r>
  <r>
    <s v="Startup_2220"/>
    <x v="6"/>
    <n v="7"/>
    <n v="47198970"/>
    <n v="4"/>
    <n v="1"/>
    <n v="137"/>
    <n v="8291349"/>
    <n v="335478"/>
    <s v="Small"/>
    <s v="Hybrid"/>
    <n v="6"/>
    <n v="25.65"/>
    <n v="284891"/>
    <n v="1"/>
  </r>
  <r>
    <s v="Startup_2221"/>
    <x v="6"/>
    <n v="9"/>
    <n v="34465451"/>
    <n v="3"/>
    <n v="10"/>
    <n v="712"/>
    <n v="36962644"/>
    <n v="110978"/>
    <s v="Medium"/>
    <s v="B2B"/>
    <n v="4"/>
    <n v="61.91"/>
    <n v="633142"/>
    <n v="1"/>
  </r>
  <r>
    <s v="Startup_2222"/>
    <x v="0"/>
    <n v="5"/>
    <n v="13870706"/>
    <n v="4"/>
    <n v="15"/>
    <n v="678"/>
    <n v="51446994"/>
    <n v="811171"/>
    <s v="Small"/>
    <s v="B2C"/>
    <n v="2"/>
    <n v="55.94"/>
    <n v="599218"/>
    <n v="1"/>
  </r>
  <r>
    <s v="Startup_2223"/>
    <x v="5"/>
    <n v="10"/>
    <n v="12338521"/>
    <n v="2"/>
    <n v="1"/>
    <n v="32"/>
    <n v="98597515"/>
    <n v="842546"/>
    <s v="Small"/>
    <s v="B2B"/>
    <n v="5"/>
    <n v="36.26"/>
    <n v="819938"/>
    <n v="1"/>
  </r>
  <r>
    <s v="Startup_2224"/>
    <x v="2"/>
    <n v="5"/>
    <n v="36720889"/>
    <n v="4"/>
    <n v="27"/>
    <n v="10"/>
    <n v="25682833"/>
    <n v="324254"/>
    <s v="Small"/>
    <s v="B2B"/>
    <n v="6"/>
    <n v="75.75"/>
    <n v="298032"/>
    <n v="1"/>
  </r>
  <r>
    <s v="Startup_2225"/>
    <x v="6"/>
    <n v="13"/>
    <n v="24648508"/>
    <n v="3"/>
    <n v="27"/>
    <n v="24"/>
    <n v="34756302"/>
    <n v="488567"/>
    <s v="Medium"/>
    <s v="B2C"/>
    <n v="3"/>
    <n v="81.63"/>
    <n v="392365"/>
    <n v="1"/>
  </r>
  <r>
    <s v="Startup_2226"/>
    <x v="0"/>
    <n v="11"/>
    <n v="31094165"/>
    <n v="4"/>
    <n v="22"/>
    <n v="13"/>
    <n v="43670159"/>
    <n v="163843"/>
    <s v="Small"/>
    <s v="Hybrid"/>
    <n v="4"/>
    <n v="49.67"/>
    <n v="999824"/>
    <n v="1"/>
  </r>
  <r>
    <s v="Startup_2227"/>
    <x v="0"/>
    <n v="5"/>
    <n v="5846973"/>
    <n v="3"/>
    <n v="25"/>
    <n v="78"/>
    <n v="5588304"/>
    <n v="550903"/>
    <s v="Medium"/>
    <s v="Hybrid"/>
    <n v="7"/>
    <n v="46.03"/>
    <n v="88777"/>
    <n v="1"/>
  </r>
  <r>
    <s v="Startup_2228"/>
    <x v="5"/>
    <n v="8"/>
    <n v="29504111"/>
    <n v="1"/>
    <n v="29"/>
    <n v="873"/>
    <n v="25068598"/>
    <n v="537564"/>
    <s v="Medium"/>
    <s v="B2C"/>
    <n v="9"/>
    <n v="56.24"/>
    <n v="418535"/>
    <n v="1"/>
  </r>
  <r>
    <s v="Startup_2229"/>
    <x v="0"/>
    <n v="12"/>
    <n v="9401015"/>
    <n v="4"/>
    <n v="12"/>
    <n v="744"/>
    <n v="60179293"/>
    <n v="50644"/>
    <s v="Medium"/>
    <s v="B2C"/>
    <n v="2"/>
    <n v="59.44"/>
    <n v="601979"/>
    <n v="1"/>
  </r>
  <r>
    <s v="Startup_2230"/>
    <x v="1"/>
    <n v="14"/>
    <n v="43345984"/>
    <n v="3"/>
    <n v="7"/>
    <n v="308"/>
    <n v="24042925"/>
    <n v="486110"/>
    <s v="Medium"/>
    <s v="B2B"/>
    <n v="6"/>
    <n v="50.39"/>
    <n v="392776"/>
    <n v="1"/>
  </r>
  <r>
    <s v="Startup_2231"/>
    <x v="6"/>
    <n v="11"/>
    <n v="1632191"/>
    <n v="1"/>
    <n v="6"/>
    <n v="390"/>
    <n v="55928280"/>
    <n v="81137"/>
    <s v="Large"/>
    <s v="Hybrid"/>
    <n v="9"/>
    <n v="46.88"/>
    <n v="146188"/>
    <n v="1"/>
  </r>
  <r>
    <s v="Startup_2232"/>
    <x v="0"/>
    <n v="0"/>
    <n v="5269259"/>
    <n v="3"/>
    <n v="19"/>
    <n v="313"/>
    <n v="55845121"/>
    <n v="860835"/>
    <s v="Medium"/>
    <s v="Hybrid"/>
    <n v="9"/>
    <n v="53.07"/>
    <n v="723341"/>
    <n v="1"/>
  </r>
  <r>
    <s v="Startup_2233"/>
    <x v="0"/>
    <n v="1"/>
    <n v="8506336"/>
    <n v="1"/>
    <n v="9"/>
    <n v="677"/>
    <n v="38404488"/>
    <n v="655323"/>
    <s v="Small"/>
    <s v="Hybrid"/>
    <n v="5"/>
    <n v="87.06"/>
    <n v="928870"/>
    <n v="1"/>
  </r>
  <r>
    <s v="Startup_2234"/>
    <x v="6"/>
    <n v="5"/>
    <n v="3734992"/>
    <n v="2"/>
    <n v="23"/>
    <n v="424"/>
    <n v="94130350"/>
    <n v="568424"/>
    <s v="Small"/>
    <s v="B2C"/>
    <n v="1"/>
    <n v="96.91"/>
    <n v="943030"/>
    <n v="1"/>
  </r>
  <r>
    <s v="Startup_2235"/>
    <x v="1"/>
    <n v="8"/>
    <n v="42663100"/>
    <n v="3"/>
    <n v="12"/>
    <n v="889"/>
    <n v="16598258"/>
    <n v="239035"/>
    <s v="Small"/>
    <s v="Hybrid"/>
    <n v="2"/>
    <n v="58.5"/>
    <n v="894041"/>
    <n v="1"/>
  </r>
  <r>
    <s v="Startup_2236"/>
    <x v="1"/>
    <n v="9"/>
    <n v="10800341"/>
    <n v="4"/>
    <n v="28"/>
    <n v="933"/>
    <n v="77167434"/>
    <n v="77606"/>
    <s v="Small"/>
    <s v="Hybrid"/>
    <n v="3"/>
    <n v="54.89"/>
    <n v="802646"/>
    <n v="1"/>
  </r>
  <r>
    <s v="Startup_2237"/>
    <x v="6"/>
    <n v="8"/>
    <n v="42291465"/>
    <n v="4"/>
    <n v="8"/>
    <n v="512"/>
    <n v="36693337"/>
    <n v="876942"/>
    <s v="Large"/>
    <s v="B2C"/>
    <n v="6"/>
    <n v="76.099999999999994"/>
    <n v="632835"/>
    <n v="1"/>
  </r>
  <r>
    <s v="Startup_2238"/>
    <x v="3"/>
    <n v="7"/>
    <n v="34889631"/>
    <n v="3"/>
    <n v="8"/>
    <n v="312"/>
    <n v="75308702"/>
    <n v="366169"/>
    <s v="Large"/>
    <s v="B2C"/>
    <n v="4"/>
    <n v="79.31"/>
    <n v="795072"/>
    <n v="1"/>
  </r>
  <r>
    <s v="Startup_2239"/>
    <x v="1"/>
    <n v="7"/>
    <n v="3514131"/>
    <n v="2"/>
    <n v="6"/>
    <n v="153"/>
    <n v="52473687"/>
    <n v="843754"/>
    <s v="Small"/>
    <s v="B2B"/>
    <n v="7"/>
    <n v="46.42"/>
    <n v="720057"/>
    <n v="1"/>
  </r>
  <r>
    <s v="Startup_2240"/>
    <x v="3"/>
    <n v="2"/>
    <n v="6609814"/>
    <n v="4"/>
    <n v="0"/>
    <n v="905"/>
    <n v="29394881"/>
    <n v="873500"/>
    <s v="Large"/>
    <s v="B2C"/>
    <n v="9"/>
    <n v="75.12"/>
    <n v="454312"/>
    <n v="1"/>
  </r>
  <r>
    <s v="Startup_2241"/>
    <x v="6"/>
    <n v="0"/>
    <n v="40187120"/>
    <n v="2"/>
    <n v="16"/>
    <n v="178"/>
    <n v="7423207"/>
    <n v="67068"/>
    <s v="Small"/>
    <s v="Hybrid"/>
    <n v="3"/>
    <n v="21.84"/>
    <n v="115291"/>
    <n v="1"/>
  </r>
  <r>
    <s v="Startup_2242"/>
    <x v="2"/>
    <n v="2"/>
    <n v="46625452"/>
    <n v="4"/>
    <n v="23"/>
    <n v="540"/>
    <n v="14050738"/>
    <n v="495576"/>
    <s v="Large"/>
    <s v="B2C"/>
    <n v="7"/>
    <n v="38.96"/>
    <n v="94744"/>
    <n v="1"/>
  </r>
  <r>
    <s v="Startup_2243"/>
    <x v="2"/>
    <n v="6"/>
    <n v="42609916"/>
    <n v="1"/>
    <n v="26"/>
    <n v="288"/>
    <n v="52979891"/>
    <n v="556911"/>
    <s v="Medium"/>
    <s v="B2B"/>
    <n v="4"/>
    <n v="72.88"/>
    <n v="651196"/>
    <n v="1"/>
  </r>
  <r>
    <s v="Startup_2244"/>
    <x v="2"/>
    <n v="3"/>
    <n v="13132250"/>
    <n v="2"/>
    <n v="16"/>
    <n v="420"/>
    <n v="21776974"/>
    <n v="106238"/>
    <s v="Medium"/>
    <s v="B2B"/>
    <n v="8"/>
    <n v="80.03"/>
    <n v="840171"/>
    <n v="1"/>
  </r>
  <r>
    <s v="Startup_2245"/>
    <x v="6"/>
    <n v="14"/>
    <n v="20584331"/>
    <n v="4"/>
    <n v="28"/>
    <n v="12"/>
    <n v="56685228"/>
    <n v="109986"/>
    <s v="Medium"/>
    <s v="Hybrid"/>
    <n v="2"/>
    <n v="61.74"/>
    <n v="450584"/>
    <n v="1"/>
  </r>
  <r>
    <s v="Startup_2246"/>
    <x v="6"/>
    <n v="7"/>
    <n v="6540152"/>
    <n v="4"/>
    <n v="27"/>
    <n v="588"/>
    <n v="5043440"/>
    <n v="758291"/>
    <s v="Small"/>
    <s v="Hybrid"/>
    <n v="9"/>
    <n v="40.909999999999997"/>
    <n v="953238"/>
    <n v="1"/>
  </r>
  <r>
    <s v="Startup_2247"/>
    <x v="0"/>
    <n v="3"/>
    <n v="8975328"/>
    <n v="2"/>
    <n v="25"/>
    <n v="945"/>
    <n v="12645492"/>
    <n v="442620"/>
    <s v="Small"/>
    <s v="Hybrid"/>
    <n v="6"/>
    <n v="83.55"/>
    <n v="877449"/>
    <n v="1"/>
  </r>
  <r>
    <s v="Startup_2248"/>
    <x v="2"/>
    <n v="3"/>
    <n v="47826552"/>
    <n v="1"/>
    <n v="29"/>
    <n v="597"/>
    <n v="77735031"/>
    <n v="360438"/>
    <s v="Large"/>
    <s v="Hybrid"/>
    <n v="2"/>
    <n v="50.41"/>
    <n v="943185"/>
    <n v="1"/>
  </r>
  <r>
    <s v="Startup_2249"/>
    <x v="1"/>
    <n v="9"/>
    <n v="30606881"/>
    <n v="2"/>
    <n v="4"/>
    <n v="730"/>
    <n v="90234164"/>
    <n v="526433"/>
    <s v="Large"/>
    <s v="B2C"/>
    <n v="9"/>
    <n v="95.92"/>
    <n v="819627"/>
    <n v="1"/>
  </r>
  <r>
    <s v="Startup_2250"/>
    <x v="5"/>
    <n v="1"/>
    <n v="45216578"/>
    <n v="1"/>
    <n v="15"/>
    <n v="409"/>
    <n v="45868523"/>
    <n v="918152"/>
    <s v="Small"/>
    <s v="Hybrid"/>
    <n v="8"/>
    <n v="91.11"/>
    <n v="738103"/>
    <n v="1"/>
  </r>
  <r>
    <s v="Startup_2251"/>
    <x v="5"/>
    <n v="10"/>
    <n v="42428882"/>
    <n v="4"/>
    <n v="9"/>
    <n v="348"/>
    <n v="28172169"/>
    <n v="691381"/>
    <s v="Medium"/>
    <s v="B2C"/>
    <n v="2"/>
    <n v="13.56"/>
    <n v="711637"/>
    <n v="1"/>
  </r>
  <r>
    <s v="Startup_2252"/>
    <x v="3"/>
    <n v="6"/>
    <n v="42141800"/>
    <n v="2"/>
    <n v="11"/>
    <n v="616"/>
    <n v="76073896"/>
    <n v="772431"/>
    <s v="Small"/>
    <s v="B2B"/>
    <n v="7"/>
    <n v="39.950000000000003"/>
    <n v="27733"/>
    <n v="1"/>
  </r>
  <r>
    <s v="Startup_2253"/>
    <x v="6"/>
    <n v="12"/>
    <n v="17796894"/>
    <n v="1"/>
    <n v="26"/>
    <n v="142"/>
    <n v="10495855"/>
    <n v="507867"/>
    <s v="Small"/>
    <s v="B2C"/>
    <n v="5"/>
    <n v="64.59"/>
    <n v="794921"/>
    <n v="1"/>
  </r>
  <r>
    <s v="Startup_2254"/>
    <x v="5"/>
    <n v="9"/>
    <n v="46148206"/>
    <n v="3"/>
    <n v="13"/>
    <n v="815"/>
    <n v="39868315"/>
    <n v="38546"/>
    <s v="Large"/>
    <s v="B2C"/>
    <n v="2"/>
    <n v="30.55"/>
    <n v="577577"/>
    <n v="1"/>
  </r>
  <r>
    <s v="Startup_2255"/>
    <x v="4"/>
    <n v="6"/>
    <n v="6526084"/>
    <n v="1"/>
    <n v="23"/>
    <n v="325"/>
    <n v="51239187"/>
    <n v="398185"/>
    <s v="Large"/>
    <s v="B2B"/>
    <n v="9"/>
    <n v="43.64"/>
    <n v="833780"/>
    <n v="1"/>
  </r>
  <r>
    <s v="Startup_2256"/>
    <x v="6"/>
    <n v="2"/>
    <n v="14151180"/>
    <n v="2"/>
    <n v="27"/>
    <n v="599"/>
    <n v="40920968"/>
    <n v="614684"/>
    <s v="Small"/>
    <s v="Hybrid"/>
    <n v="9"/>
    <n v="55.07"/>
    <n v="819318"/>
    <n v="1"/>
  </r>
  <r>
    <s v="Startup_2257"/>
    <x v="2"/>
    <n v="0"/>
    <n v="25583393"/>
    <n v="4"/>
    <n v="20"/>
    <n v="372"/>
    <n v="48512148"/>
    <n v="923628"/>
    <s v="Small"/>
    <s v="Hybrid"/>
    <n v="5"/>
    <n v="72.73"/>
    <n v="48954"/>
    <n v="1"/>
  </r>
  <r>
    <s v="Startup_2258"/>
    <x v="1"/>
    <n v="6"/>
    <n v="33725249"/>
    <n v="2"/>
    <n v="22"/>
    <n v="472"/>
    <n v="27834192"/>
    <n v="442115"/>
    <s v="Large"/>
    <s v="B2B"/>
    <n v="4"/>
    <n v="27.28"/>
    <n v="942535"/>
    <n v="1"/>
  </r>
  <r>
    <s v="Startup_2259"/>
    <x v="3"/>
    <n v="8"/>
    <n v="17344995"/>
    <n v="1"/>
    <n v="11"/>
    <n v="910"/>
    <n v="84471051"/>
    <n v="63556"/>
    <s v="Small"/>
    <s v="Hybrid"/>
    <n v="5"/>
    <n v="45.68"/>
    <n v="498315"/>
    <n v="1"/>
  </r>
  <r>
    <s v="Startup_2260"/>
    <x v="1"/>
    <n v="7"/>
    <n v="1711130"/>
    <n v="1"/>
    <n v="20"/>
    <n v="659"/>
    <n v="70342409"/>
    <n v="78666"/>
    <s v="Small"/>
    <s v="B2C"/>
    <n v="7"/>
    <n v="88.23"/>
    <n v="578847"/>
    <n v="1"/>
  </r>
  <r>
    <s v="Startup_2261"/>
    <x v="6"/>
    <n v="11"/>
    <n v="17452424"/>
    <n v="3"/>
    <n v="14"/>
    <n v="822"/>
    <n v="68018347"/>
    <n v="984159"/>
    <s v="Large"/>
    <s v="B2C"/>
    <n v="7"/>
    <n v="96.39"/>
    <n v="81101"/>
    <n v="1"/>
  </r>
  <r>
    <s v="Startup_2262"/>
    <x v="0"/>
    <n v="10"/>
    <n v="39557423"/>
    <n v="1"/>
    <n v="2"/>
    <n v="923"/>
    <n v="94516344"/>
    <n v="988945"/>
    <s v="Medium"/>
    <s v="B2C"/>
    <n v="8"/>
    <n v="36.75"/>
    <n v="871854"/>
    <n v="1"/>
  </r>
  <r>
    <s v="Startup_2263"/>
    <x v="5"/>
    <n v="11"/>
    <n v="38382611"/>
    <n v="4"/>
    <n v="17"/>
    <n v="582"/>
    <n v="24534078"/>
    <n v="283044"/>
    <s v="Small"/>
    <s v="Hybrid"/>
    <n v="5"/>
    <n v="73.739999999999995"/>
    <n v="515529"/>
    <n v="1"/>
  </r>
  <r>
    <s v="Startup_2264"/>
    <x v="0"/>
    <n v="11"/>
    <n v="29206801"/>
    <n v="2"/>
    <n v="18"/>
    <n v="933"/>
    <n v="62138984"/>
    <n v="849611"/>
    <s v="Small"/>
    <s v="B2B"/>
    <n v="1"/>
    <n v="30.76"/>
    <n v="892279"/>
    <n v="1"/>
  </r>
  <r>
    <s v="Startup_2265"/>
    <x v="3"/>
    <n v="4"/>
    <n v="29077374"/>
    <n v="4"/>
    <n v="24"/>
    <n v="254"/>
    <n v="61218032"/>
    <n v="782202"/>
    <s v="Small"/>
    <s v="Hybrid"/>
    <n v="6"/>
    <n v="60.95"/>
    <n v="82640"/>
    <n v="1"/>
  </r>
  <r>
    <s v="Startup_2266"/>
    <x v="5"/>
    <n v="3"/>
    <n v="46311968"/>
    <n v="1"/>
    <n v="18"/>
    <n v="764"/>
    <n v="13495278"/>
    <n v="892061"/>
    <s v="Large"/>
    <s v="B2B"/>
    <n v="3"/>
    <n v="12.75"/>
    <n v="267587"/>
    <n v="1"/>
  </r>
  <r>
    <s v="Startup_2267"/>
    <x v="5"/>
    <n v="12"/>
    <n v="25920446"/>
    <n v="3"/>
    <n v="23"/>
    <n v="121"/>
    <n v="40259128"/>
    <n v="583777"/>
    <s v="Medium"/>
    <s v="Hybrid"/>
    <n v="9"/>
    <n v="50.99"/>
    <n v="79564"/>
    <n v="1"/>
  </r>
  <r>
    <s v="Startup_2268"/>
    <x v="6"/>
    <n v="11"/>
    <n v="18636386"/>
    <n v="4"/>
    <n v="20"/>
    <n v="519"/>
    <n v="24229349"/>
    <n v="16724"/>
    <s v="Medium"/>
    <s v="B2B"/>
    <n v="9"/>
    <n v="31.4"/>
    <n v="437577"/>
    <n v="1"/>
  </r>
  <r>
    <s v="Startup_2269"/>
    <x v="5"/>
    <n v="11"/>
    <n v="4773288"/>
    <n v="3"/>
    <n v="0"/>
    <n v="817"/>
    <n v="61121364"/>
    <n v="21035"/>
    <s v="Large"/>
    <s v="B2B"/>
    <n v="1"/>
    <n v="70.89"/>
    <n v="989561"/>
    <n v="1"/>
  </r>
  <r>
    <s v="Startup_2270"/>
    <x v="5"/>
    <n v="6"/>
    <n v="32943137"/>
    <n v="1"/>
    <n v="27"/>
    <n v="284"/>
    <n v="15835824"/>
    <n v="965841"/>
    <s v="Medium"/>
    <s v="B2C"/>
    <n v="6"/>
    <n v="37.979999999999997"/>
    <n v="756824"/>
    <n v="1"/>
  </r>
  <r>
    <s v="Startup_2271"/>
    <x v="6"/>
    <n v="4"/>
    <n v="13198198"/>
    <n v="3"/>
    <n v="24"/>
    <n v="549"/>
    <n v="95494466"/>
    <n v="895484"/>
    <s v="Large"/>
    <s v="Hybrid"/>
    <n v="4"/>
    <n v="13.71"/>
    <n v="771320"/>
    <n v="1"/>
  </r>
  <r>
    <s v="Startup_2272"/>
    <x v="1"/>
    <n v="5"/>
    <n v="7324273"/>
    <n v="3"/>
    <n v="27"/>
    <n v="305"/>
    <n v="93638723"/>
    <n v="951641"/>
    <s v="Large"/>
    <s v="B2B"/>
    <n v="5"/>
    <n v="67.53"/>
    <n v="560647"/>
    <n v="1"/>
  </r>
  <r>
    <s v="Startup_2273"/>
    <x v="0"/>
    <n v="11"/>
    <n v="1346007"/>
    <n v="4"/>
    <n v="10"/>
    <n v="975"/>
    <n v="94035441"/>
    <n v="763361"/>
    <s v="Small"/>
    <s v="Hybrid"/>
    <n v="6"/>
    <n v="99.03"/>
    <n v="124764"/>
    <n v="1"/>
  </r>
  <r>
    <s v="Startup_2274"/>
    <x v="1"/>
    <n v="14"/>
    <n v="49181791"/>
    <n v="4"/>
    <n v="25"/>
    <n v="64"/>
    <n v="48555984"/>
    <n v="180253"/>
    <s v="Medium"/>
    <s v="B2C"/>
    <n v="8"/>
    <n v="65.260000000000005"/>
    <n v="374890"/>
    <n v="1"/>
  </r>
  <r>
    <s v="Startup_2275"/>
    <x v="4"/>
    <n v="4"/>
    <n v="38087921"/>
    <n v="2"/>
    <n v="29"/>
    <n v="325"/>
    <n v="8166244"/>
    <n v="170145"/>
    <s v="Medium"/>
    <s v="B2B"/>
    <n v="7"/>
    <n v="25.12"/>
    <n v="997465"/>
    <n v="1"/>
  </r>
  <r>
    <s v="Startup_2276"/>
    <x v="0"/>
    <n v="10"/>
    <n v="18162028"/>
    <n v="3"/>
    <n v="24"/>
    <n v="148"/>
    <n v="81624148"/>
    <n v="338257"/>
    <s v="Large"/>
    <s v="Hybrid"/>
    <n v="6"/>
    <n v="12.83"/>
    <n v="391288"/>
    <n v="1"/>
  </r>
  <r>
    <s v="Startup_2277"/>
    <x v="6"/>
    <n v="2"/>
    <n v="25957893"/>
    <n v="3"/>
    <n v="17"/>
    <n v="264"/>
    <n v="87854312"/>
    <n v="402911"/>
    <s v="Small"/>
    <s v="B2B"/>
    <n v="4"/>
    <n v="90.72"/>
    <n v="952305"/>
    <n v="1"/>
  </r>
  <r>
    <s v="Startup_2278"/>
    <x v="0"/>
    <n v="0"/>
    <n v="37080104"/>
    <n v="4"/>
    <n v="8"/>
    <n v="19"/>
    <n v="62202543"/>
    <n v="853656"/>
    <s v="Medium"/>
    <s v="Hybrid"/>
    <n v="2"/>
    <n v="34.840000000000003"/>
    <n v="574408"/>
    <n v="1"/>
  </r>
  <r>
    <s v="Startup_2279"/>
    <x v="4"/>
    <n v="0"/>
    <n v="28562784"/>
    <n v="3"/>
    <n v="19"/>
    <n v="769"/>
    <n v="83260034"/>
    <n v="232482"/>
    <s v="Medium"/>
    <s v="B2B"/>
    <n v="2"/>
    <n v="91.55"/>
    <n v="33426"/>
    <n v="1"/>
  </r>
  <r>
    <s v="Startup_2280"/>
    <x v="5"/>
    <n v="4"/>
    <n v="40411519"/>
    <n v="1"/>
    <n v="4"/>
    <n v="796"/>
    <n v="88435317"/>
    <n v="781430"/>
    <s v="Medium"/>
    <s v="B2B"/>
    <n v="8"/>
    <n v="65.599999999999994"/>
    <n v="649055"/>
    <n v="1"/>
  </r>
  <r>
    <s v="Startup_2281"/>
    <x v="3"/>
    <n v="14"/>
    <n v="9243718"/>
    <n v="3"/>
    <n v="2"/>
    <n v="745"/>
    <n v="6983720"/>
    <n v="314611"/>
    <s v="Medium"/>
    <s v="B2C"/>
    <n v="4"/>
    <n v="50.57"/>
    <n v="35801"/>
    <n v="1"/>
  </r>
  <r>
    <s v="Startup_2282"/>
    <x v="0"/>
    <n v="6"/>
    <n v="20369158"/>
    <n v="4"/>
    <n v="27"/>
    <n v="278"/>
    <n v="21349123"/>
    <n v="923976"/>
    <s v="Medium"/>
    <s v="Hybrid"/>
    <n v="8"/>
    <n v="33.51"/>
    <n v="824465"/>
    <n v="1"/>
  </r>
  <r>
    <s v="Startup_2283"/>
    <x v="5"/>
    <n v="4"/>
    <n v="7871226"/>
    <n v="1"/>
    <n v="19"/>
    <n v="56"/>
    <n v="6828817"/>
    <n v="361647"/>
    <s v="Medium"/>
    <s v="B2B"/>
    <n v="7"/>
    <n v="45.46"/>
    <n v="532789"/>
    <n v="1"/>
  </r>
  <r>
    <s v="Startup_2284"/>
    <x v="0"/>
    <n v="0"/>
    <n v="7288528"/>
    <n v="2"/>
    <n v="23"/>
    <n v="14"/>
    <n v="23069918"/>
    <n v="749134"/>
    <s v="Medium"/>
    <s v="B2C"/>
    <n v="6"/>
    <n v="21.85"/>
    <n v="769197"/>
    <n v="1"/>
  </r>
  <r>
    <s v="Startup_2285"/>
    <x v="6"/>
    <n v="11"/>
    <n v="20844897"/>
    <n v="2"/>
    <n v="15"/>
    <n v="263"/>
    <n v="56039038"/>
    <n v="578698"/>
    <s v="Medium"/>
    <s v="B2C"/>
    <n v="4"/>
    <n v="62.7"/>
    <n v="775244"/>
    <n v="1"/>
  </r>
  <r>
    <s v="Startup_2286"/>
    <x v="1"/>
    <n v="7"/>
    <n v="37380804"/>
    <n v="4"/>
    <n v="21"/>
    <n v="99"/>
    <n v="27423695"/>
    <n v="709874"/>
    <s v="Small"/>
    <s v="Hybrid"/>
    <n v="6"/>
    <n v="57.45"/>
    <n v="800540"/>
    <n v="1"/>
  </r>
  <r>
    <s v="Startup_2287"/>
    <x v="5"/>
    <n v="12"/>
    <n v="44053627"/>
    <n v="3"/>
    <n v="16"/>
    <n v="392"/>
    <n v="15652825"/>
    <n v="405684"/>
    <s v="Small"/>
    <s v="B2C"/>
    <n v="8"/>
    <n v="69.69"/>
    <n v="103856"/>
    <n v="1"/>
  </r>
  <r>
    <s v="Startup_2288"/>
    <x v="3"/>
    <n v="14"/>
    <n v="20583296"/>
    <n v="1"/>
    <n v="22"/>
    <n v="748"/>
    <n v="50043679"/>
    <n v="749019"/>
    <s v="Large"/>
    <s v="Hybrid"/>
    <n v="3"/>
    <n v="43.3"/>
    <n v="248176"/>
    <n v="1"/>
  </r>
  <r>
    <s v="Startup_2289"/>
    <x v="6"/>
    <n v="9"/>
    <n v="36586366"/>
    <n v="1"/>
    <n v="6"/>
    <n v="44"/>
    <n v="4560860"/>
    <n v="646444"/>
    <s v="Small"/>
    <s v="B2C"/>
    <n v="9"/>
    <n v="90.74"/>
    <n v="489140"/>
    <n v="1"/>
  </r>
  <r>
    <s v="Startup_2290"/>
    <x v="5"/>
    <n v="10"/>
    <n v="39681891"/>
    <n v="1"/>
    <n v="10"/>
    <n v="453"/>
    <n v="22332925"/>
    <n v="843205"/>
    <s v="Small"/>
    <s v="B2C"/>
    <n v="9"/>
    <n v="88.66"/>
    <n v="892646"/>
    <n v="1"/>
  </r>
  <r>
    <s v="Startup_2291"/>
    <x v="3"/>
    <n v="10"/>
    <n v="49584677"/>
    <n v="1"/>
    <n v="3"/>
    <n v="690"/>
    <n v="67117017"/>
    <n v="342901"/>
    <s v="Large"/>
    <s v="B2C"/>
    <n v="8"/>
    <n v="39.14"/>
    <n v="865424"/>
    <n v="1"/>
  </r>
  <r>
    <s v="Startup_2292"/>
    <x v="6"/>
    <n v="12"/>
    <n v="19577263"/>
    <n v="1"/>
    <n v="22"/>
    <n v="481"/>
    <n v="77116741"/>
    <n v="245095"/>
    <s v="Large"/>
    <s v="B2C"/>
    <n v="6"/>
    <n v="90.12"/>
    <n v="412623"/>
    <n v="1"/>
  </r>
  <r>
    <s v="Startup_2293"/>
    <x v="2"/>
    <n v="2"/>
    <n v="33954890"/>
    <n v="3"/>
    <n v="25"/>
    <n v="83"/>
    <n v="81402579"/>
    <n v="33756"/>
    <s v="Small"/>
    <s v="B2B"/>
    <n v="3"/>
    <n v="19"/>
    <n v="81839"/>
    <n v="1"/>
  </r>
  <r>
    <s v="Startup_2294"/>
    <x v="5"/>
    <n v="8"/>
    <n v="37265282"/>
    <n v="3"/>
    <n v="29"/>
    <n v="57"/>
    <n v="31608031"/>
    <n v="878237"/>
    <s v="Small"/>
    <s v="B2B"/>
    <n v="2"/>
    <n v="51.31"/>
    <n v="539639"/>
    <n v="1"/>
  </r>
  <r>
    <s v="Startup_2295"/>
    <x v="1"/>
    <n v="5"/>
    <n v="13946546"/>
    <n v="3"/>
    <n v="29"/>
    <n v="490"/>
    <n v="91601859"/>
    <n v="525919"/>
    <s v="Large"/>
    <s v="B2C"/>
    <n v="9"/>
    <n v="45.11"/>
    <n v="811163"/>
    <n v="1"/>
  </r>
  <r>
    <s v="Startup_2296"/>
    <x v="2"/>
    <n v="12"/>
    <n v="35806711"/>
    <n v="1"/>
    <n v="23"/>
    <n v="955"/>
    <n v="70707162"/>
    <n v="943553"/>
    <s v="Large"/>
    <s v="B2B"/>
    <n v="5"/>
    <n v="13.43"/>
    <n v="586174"/>
    <n v="1"/>
  </r>
  <r>
    <s v="Startup_2297"/>
    <x v="0"/>
    <n v="0"/>
    <n v="39520535"/>
    <n v="1"/>
    <n v="2"/>
    <n v="206"/>
    <n v="76514049"/>
    <n v="545153"/>
    <s v="Large"/>
    <s v="Hybrid"/>
    <n v="9"/>
    <n v="30.16"/>
    <n v="174436"/>
    <n v="1"/>
  </r>
  <r>
    <s v="Startup_2298"/>
    <x v="0"/>
    <n v="2"/>
    <n v="6233812"/>
    <n v="2"/>
    <n v="9"/>
    <n v="715"/>
    <n v="14840383"/>
    <n v="223601"/>
    <s v="Medium"/>
    <s v="Hybrid"/>
    <n v="4"/>
    <n v="16.03"/>
    <n v="118633"/>
    <n v="1"/>
  </r>
  <r>
    <s v="Startup_2299"/>
    <x v="0"/>
    <n v="13"/>
    <n v="6839989"/>
    <n v="3"/>
    <n v="23"/>
    <n v="25"/>
    <n v="21220495"/>
    <n v="508129"/>
    <s v="Small"/>
    <s v="B2C"/>
    <n v="6"/>
    <n v="0.66"/>
    <n v="652728"/>
    <n v="1"/>
  </r>
  <r>
    <s v="Startup_2300"/>
    <x v="2"/>
    <n v="5"/>
    <n v="8462142"/>
    <n v="4"/>
    <n v="21"/>
    <n v="151"/>
    <n v="46897810"/>
    <n v="985131"/>
    <s v="Small"/>
    <s v="B2B"/>
    <n v="1"/>
    <n v="61.13"/>
    <n v="62312"/>
    <n v="1"/>
  </r>
  <r>
    <s v="Startup_2301"/>
    <x v="4"/>
    <n v="7"/>
    <n v="45108838"/>
    <n v="2"/>
    <n v="5"/>
    <n v="883"/>
    <n v="17254785"/>
    <n v="598658"/>
    <s v="Medium"/>
    <s v="B2B"/>
    <n v="4"/>
    <n v="25"/>
    <n v="707750"/>
    <n v="1"/>
  </r>
  <r>
    <s v="Startup_2302"/>
    <x v="4"/>
    <n v="7"/>
    <n v="45903008"/>
    <n v="3"/>
    <n v="28"/>
    <n v="689"/>
    <n v="81537"/>
    <n v="758595"/>
    <s v="Large"/>
    <s v="Hybrid"/>
    <n v="7"/>
    <n v="49.14"/>
    <n v="148575"/>
    <n v="1"/>
  </r>
  <r>
    <s v="Startup_2303"/>
    <x v="0"/>
    <n v="4"/>
    <n v="39189403"/>
    <n v="4"/>
    <n v="5"/>
    <n v="524"/>
    <n v="66239900"/>
    <n v="307670"/>
    <s v="Small"/>
    <s v="Hybrid"/>
    <n v="8"/>
    <n v="28.94"/>
    <n v="990560"/>
    <n v="1"/>
  </r>
  <r>
    <s v="Startup_2304"/>
    <x v="1"/>
    <n v="6"/>
    <n v="48584380"/>
    <n v="3"/>
    <n v="12"/>
    <n v="120"/>
    <n v="8132265"/>
    <n v="733090"/>
    <s v="Large"/>
    <s v="Hybrid"/>
    <n v="3"/>
    <n v="3.67"/>
    <n v="59006"/>
    <n v="1"/>
  </r>
  <r>
    <s v="Startup_2305"/>
    <x v="1"/>
    <n v="0"/>
    <n v="3874097"/>
    <n v="3"/>
    <n v="17"/>
    <n v="888"/>
    <n v="29485806"/>
    <n v="916028"/>
    <s v="Small"/>
    <s v="Hybrid"/>
    <n v="5"/>
    <n v="95.62"/>
    <n v="928414"/>
    <n v="1"/>
  </r>
  <r>
    <s v="Startup_2306"/>
    <x v="4"/>
    <n v="11"/>
    <n v="39813048"/>
    <n v="3"/>
    <n v="25"/>
    <n v="389"/>
    <n v="20270887"/>
    <n v="169120"/>
    <s v="Small"/>
    <s v="Hybrid"/>
    <n v="6"/>
    <n v="93.71"/>
    <n v="155443"/>
    <n v="1"/>
  </r>
  <r>
    <s v="Startup_2307"/>
    <x v="3"/>
    <n v="9"/>
    <n v="1014249"/>
    <n v="3"/>
    <n v="20"/>
    <n v="706"/>
    <n v="9904646"/>
    <n v="803439"/>
    <s v="Large"/>
    <s v="B2B"/>
    <n v="6"/>
    <n v="44.08"/>
    <n v="362331"/>
    <n v="1"/>
  </r>
  <r>
    <s v="Startup_2308"/>
    <x v="1"/>
    <n v="8"/>
    <n v="28045675"/>
    <n v="1"/>
    <n v="12"/>
    <n v="836"/>
    <n v="6582673"/>
    <n v="90301"/>
    <s v="Small"/>
    <s v="B2B"/>
    <n v="6"/>
    <n v="57.33"/>
    <n v="189354"/>
    <n v="1"/>
  </r>
  <r>
    <s v="Startup_2309"/>
    <x v="4"/>
    <n v="7"/>
    <n v="21187247"/>
    <n v="2"/>
    <n v="5"/>
    <n v="246"/>
    <n v="57263773"/>
    <n v="104732"/>
    <s v="Small"/>
    <s v="Hybrid"/>
    <n v="5"/>
    <n v="5"/>
    <n v="814130"/>
    <n v="1"/>
  </r>
  <r>
    <s v="Startup_2310"/>
    <x v="2"/>
    <n v="1"/>
    <n v="28869196"/>
    <n v="1"/>
    <n v="17"/>
    <n v="936"/>
    <n v="67985105"/>
    <n v="378104"/>
    <s v="Large"/>
    <s v="B2C"/>
    <n v="8"/>
    <n v="67.69"/>
    <n v="423403"/>
    <n v="1"/>
  </r>
  <r>
    <s v="Startup_2311"/>
    <x v="3"/>
    <n v="4"/>
    <n v="29839813"/>
    <n v="1"/>
    <n v="17"/>
    <n v="784"/>
    <n v="6221783"/>
    <n v="817606"/>
    <s v="Medium"/>
    <s v="Hybrid"/>
    <n v="5"/>
    <n v="8.42"/>
    <n v="436655"/>
    <n v="1"/>
  </r>
  <r>
    <s v="Startup_2312"/>
    <x v="4"/>
    <n v="11"/>
    <n v="49793289"/>
    <n v="2"/>
    <n v="25"/>
    <n v="498"/>
    <n v="71703997"/>
    <n v="576436"/>
    <s v="Medium"/>
    <s v="Hybrid"/>
    <n v="3"/>
    <n v="35.53"/>
    <n v="793688"/>
    <n v="1"/>
  </r>
  <r>
    <s v="Startup_2313"/>
    <x v="6"/>
    <n v="11"/>
    <n v="15931018"/>
    <n v="2"/>
    <n v="8"/>
    <n v="677"/>
    <n v="37989190"/>
    <n v="380980"/>
    <s v="Small"/>
    <s v="Hybrid"/>
    <n v="8"/>
    <n v="23.62"/>
    <n v="41486"/>
    <n v="1"/>
  </r>
  <r>
    <s v="Startup_2314"/>
    <x v="6"/>
    <n v="5"/>
    <n v="14270641"/>
    <n v="2"/>
    <n v="6"/>
    <n v="90"/>
    <n v="38970761"/>
    <n v="495333"/>
    <s v="Medium"/>
    <s v="B2C"/>
    <n v="5"/>
    <n v="0.13"/>
    <n v="565267"/>
    <n v="1"/>
  </r>
  <r>
    <s v="Startup_2315"/>
    <x v="5"/>
    <n v="0"/>
    <n v="11660109"/>
    <n v="4"/>
    <n v="7"/>
    <n v="511"/>
    <n v="44295774"/>
    <n v="432044"/>
    <s v="Medium"/>
    <s v="B2C"/>
    <n v="6"/>
    <n v="47.58"/>
    <n v="994429"/>
    <n v="1"/>
  </r>
  <r>
    <s v="Startup_2316"/>
    <x v="5"/>
    <n v="1"/>
    <n v="44003217"/>
    <n v="1"/>
    <n v="5"/>
    <n v="601"/>
    <n v="71248182"/>
    <n v="442777"/>
    <s v="Medium"/>
    <s v="Hybrid"/>
    <n v="8"/>
    <n v="73.540000000000006"/>
    <n v="886516"/>
    <n v="1"/>
  </r>
  <r>
    <s v="Startup_2317"/>
    <x v="3"/>
    <n v="11"/>
    <n v="22496935"/>
    <n v="4"/>
    <n v="12"/>
    <n v="331"/>
    <n v="67686395"/>
    <n v="119211"/>
    <s v="Small"/>
    <s v="Hybrid"/>
    <n v="4"/>
    <n v="10.28"/>
    <n v="246710"/>
    <n v="1"/>
  </r>
  <r>
    <s v="Startup_2318"/>
    <x v="2"/>
    <n v="12"/>
    <n v="15186233"/>
    <n v="1"/>
    <n v="9"/>
    <n v="873"/>
    <n v="88563782"/>
    <n v="288194"/>
    <s v="Large"/>
    <s v="Hybrid"/>
    <n v="8"/>
    <n v="95.86"/>
    <n v="249341"/>
    <n v="1"/>
  </r>
  <r>
    <s v="Startup_2319"/>
    <x v="2"/>
    <n v="4"/>
    <n v="15904661"/>
    <n v="4"/>
    <n v="26"/>
    <n v="46"/>
    <n v="48956634"/>
    <n v="127845"/>
    <s v="Medium"/>
    <s v="B2C"/>
    <n v="2"/>
    <n v="43.55"/>
    <n v="23626"/>
    <n v="1"/>
  </r>
  <r>
    <s v="Startup_2320"/>
    <x v="3"/>
    <n v="12"/>
    <n v="28997082"/>
    <n v="2"/>
    <n v="3"/>
    <n v="25"/>
    <n v="88562171"/>
    <n v="30821"/>
    <s v="Large"/>
    <s v="B2C"/>
    <n v="8"/>
    <n v="54.68"/>
    <n v="280590"/>
    <n v="1"/>
  </r>
  <r>
    <s v="Startup_2321"/>
    <x v="6"/>
    <n v="1"/>
    <n v="464708"/>
    <n v="1"/>
    <n v="23"/>
    <n v="35"/>
    <n v="68563376"/>
    <n v="197839"/>
    <s v="Large"/>
    <s v="Hybrid"/>
    <n v="1"/>
    <n v="42.3"/>
    <n v="548591"/>
    <n v="1"/>
  </r>
  <r>
    <s v="Startup_2322"/>
    <x v="6"/>
    <n v="5"/>
    <n v="5271652"/>
    <n v="1"/>
    <n v="13"/>
    <n v="736"/>
    <n v="49434313"/>
    <n v="13502"/>
    <s v="Large"/>
    <s v="Hybrid"/>
    <n v="9"/>
    <n v="74.78"/>
    <n v="455976"/>
    <n v="1"/>
  </r>
  <r>
    <s v="Startup_2323"/>
    <x v="4"/>
    <n v="12"/>
    <n v="39965810"/>
    <n v="4"/>
    <n v="10"/>
    <n v="99"/>
    <n v="9119052"/>
    <n v="576726"/>
    <s v="Large"/>
    <s v="B2C"/>
    <n v="1"/>
    <n v="99.24"/>
    <n v="336493"/>
    <n v="1"/>
  </r>
  <r>
    <s v="Startup_2324"/>
    <x v="3"/>
    <n v="8"/>
    <n v="49520679"/>
    <n v="1"/>
    <n v="3"/>
    <n v="139"/>
    <n v="16328084"/>
    <n v="783745"/>
    <s v="Medium"/>
    <s v="B2B"/>
    <n v="6"/>
    <n v="59.44"/>
    <n v="232390"/>
    <n v="1"/>
  </r>
  <r>
    <s v="Startup_2325"/>
    <x v="2"/>
    <n v="4"/>
    <n v="10806948"/>
    <n v="3"/>
    <n v="4"/>
    <n v="754"/>
    <n v="34849996"/>
    <n v="415800"/>
    <s v="Medium"/>
    <s v="Hybrid"/>
    <n v="1"/>
    <n v="81.64"/>
    <n v="177857"/>
    <n v="1"/>
  </r>
  <r>
    <s v="Startup_2326"/>
    <x v="5"/>
    <n v="3"/>
    <n v="35636968"/>
    <n v="2"/>
    <n v="13"/>
    <n v="801"/>
    <n v="49803074"/>
    <n v="675281"/>
    <s v="Medium"/>
    <s v="B2C"/>
    <n v="4"/>
    <n v="88.15"/>
    <n v="116791"/>
    <n v="1"/>
  </r>
  <r>
    <s v="Startup_2327"/>
    <x v="4"/>
    <n v="9"/>
    <n v="35486725"/>
    <n v="2"/>
    <n v="15"/>
    <n v="298"/>
    <n v="17430321"/>
    <n v="244481"/>
    <s v="Small"/>
    <s v="B2B"/>
    <n v="5"/>
    <n v="49.77"/>
    <n v="678193"/>
    <n v="1"/>
  </r>
  <r>
    <s v="Startup_2328"/>
    <x v="5"/>
    <n v="11"/>
    <n v="11791745"/>
    <n v="2"/>
    <n v="25"/>
    <n v="909"/>
    <n v="31635733"/>
    <n v="911661"/>
    <s v="Small"/>
    <s v="B2C"/>
    <n v="9"/>
    <n v="45.67"/>
    <n v="41872"/>
    <n v="1"/>
  </r>
  <r>
    <s v="Startup_2329"/>
    <x v="2"/>
    <n v="12"/>
    <n v="2746280"/>
    <n v="3"/>
    <n v="27"/>
    <n v="760"/>
    <n v="73926732"/>
    <n v="799310"/>
    <s v="Large"/>
    <s v="B2B"/>
    <n v="6"/>
    <n v="95.2"/>
    <n v="963956"/>
    <n v="1"/>
  </r>
  <r>
    <s v="Startup_2330"/>
    <x v="2"/>
    <n v="4"/>
    <n v="5151362"/>
    <n v="4"/>
    <n v="10"/>
    <n v="24"/>
    <n v="78742646"/>
    <n v="5453"/>
    <s v="Medium"/>
    <s v="B2B"/>
    <n v="8"/>
    <n v="15.53"/>
    <n v="703441"/>
    <n v="1"/>
  </r>
  <r>
    <s v="Startup_2331"/>
    <x v="0"/>
    <n v="1"/>
    <n v="39042043"/>
    <n v="4"/>
    <n v="14"/>
    <n v="457"/>
    <n v="8884720"/>
    <n v="424276"/>
    <s v="Large"/>
    <s v="B2C"/>
    <n v="8"/>
    <n v="15.73"/>
    <n v="960543"/>
    <n v="1"/>
  </r>
  <r>
    <s v="Startup_2332"/>
    <x v="4"/>
    <n v="9"/>
    <n v="7205904"/>
    <n v="4"/>
    <n v="25"/>
    <n v="741"/>
    <n v="4284519"/>
    <n v="919635"/>
    <s v="Large"/>
    <s v="B2C"/>
    <n v="2"/>
    <n v="40.479999999999997"/>
    <n v="430832"/>
    <n v="1"/>
  </r>
  <r>
    <s v="Startup_2333"/>
    <x v="1"/>
    <n v="7"/>
    <n v="32418203"/>
    <n v="4"/>
    <n v="21"/>
    <n v="74"/>
    <n v="89697056"/>
    <n v="330762"/>
    <s v="Medium"/>
    <s v="Hybrid"/>
    <n v="9"/>
    <n v="4.04"/>
    <n v="905463"/>
    <n v="1"/>
  </r>
  <r>
    <s v="Startup_2334"/>
    <x v="3"/>
    <n v="8"/>
    <n v="37052879"/>
    <n v="3"/>
    <n v="9"/>
    <n v="383"/>
    <n v="80473333"/>
    <n v="853522"/>
    <s v="Large"/>
    <s v="Hybrid"/>
    <n v="5"/>
    <n v="59.33"/>
    <n v="989912"/>
    <n v="1"/>
  </r>
  <r>
    <s v="Startup_2335"/>
    <x v="3"/>
    <n v="12"/>
    <n v="49904214"/>
    <n v="2"/>
    <n v="18"/>
    <n v="282"/>
    <n v="47128091"/>
    <n v="354719"/>
    <s v="Small"/>
    <s v="B2C"/>
    <n v="9"/>
    <n v="67.87"/>
    <n v="148215"/>
    <n v="1"/>
  </r>
  <r>
    <s v="Startup_2336"/>
    <x v="5"/>
    <n v="5"/>
    <n v="25904993"/>
    <n v="4"/>
    <n v="22"/>
    <n v="95"/>
    <n v="65460319"/>
    <n v="465194"/>
    <s v="Small"/>
    <s v="Hybrid"/>
    <n v="2"/>
    <n v="5.8"/>
    <n v="655385"/>
    <n v="1"/>
  </r>
  <r>
    <s v="Startup_2337"/>
    <x v="0"/>
    <n v="6"/>
    <n v="15926113"/>
    <n v="2"/>
    <n v="28"/>
    <n v="203"/>
    <n v="35425429"/>
    <n v="972775"/>
    <s v="Large"/>
    <s v="B2C"/>
    <n v="2"/>
    <n v="91.91"/>
    <n v="812628"/>
    <n v="1"/>
  </r>
  <r>
    <s v="Startup_2338"/>
    <x v="1"/>
    <n v="10"/>
    <n v="26937714"/>
    <n v="4"/>
    <n v="14"/>
    <n v="483"/>
    <n v="2858047"/>
    <n v="952104"/>
    <s v="Small"/>
    <s v="B2B"/>
    <n v="2"/>
    <n v="61.91"/>
    <n v="270809"/>
    <n v="1"/>
  </r>
  <r>
    <s v="Startup_2339"/>
    <x v="1"/>
    <n v="14"/>
    <n v="27730999"/>
    <n v="1"/>
    <n v="27"/>
    <n v="797"/>
    <n v="57830073"/>
    <n v="689096"/>
    <s v="Large"/>
    <s v="B2C"/>
    <n v="5"/>
    <n v="46.06"/>
    <n v="166019"/>
    <n v="1"/>
  </r>
  <r>
    <s v="Startup_2340"/>
    <x v="3"/>
    <n v="7"/>
    <n v="3898575"/>
    <n v="2"/>
    <n v="15"/>
    <n v="619"/>
    <n v="44030690"/>
    <n v="988549"/>
    <s v="Medium"/>
    <s v="B2B"/>
    <n v="5"/>
    <n v="86.29"/>
    <n v="482839"/>
    <n v="1"/>
  </r>
  <r>
    <s v="Startup_2341"/>
    <x v="1"/>
    <n v="2"/>
    <n v="30821273"/>
    <n v="1"/>
    <n v="3"/>
    <n v="985"/>
    <n v="69023240"/>
    <n v="53147"/>
    <s v="Large"/>
    <s v="B2B"/>
    <n v="6"/>
    <n v="83.52"/>
    <n v="312458"/>
    <n v="1"/>
  </r>
  <r>
    <s v="Startup_2342"/>
    <x v="3"/>
    <n v="2"/>
    <n v="38765167"/>
    <n v="1"/>
    <n v="4"/>
    <n v="503"/>
    <n v="79146653"/>
    <n v="729484"/>
    <s v="Large"/>
    <s v="Hybrid"/>
    <n v="7"/>
    <n v="39.32"/>
    <n v="169884"/>
    <n v="1"/>
  </r>
  <r>
    <s v="Startup_2343"/>
    <x v="1"/>
    <n v="7"/>
    <n v="36524499"/>
    <n v="4"/>
    <n v="26"/>
    <n v="500"/>
    <n v="87690962"/>
    <n v="939101"/>
    <s v="Small"/>
    <s v="Hybrid"/>
    <n v="4"/>
    <n v="31.8"/>
    <n v="889185"/>
    <n v="1"/>
  </r>
  <r>
    <s v="Startup_2344"/>
    <x v="3"/>
    <n v="14"/>
    <n v="48437938"/>
    <n v="2"/>
    <n v="5"/>
    <n v="99"/>
    <n v="83861190"/>
    <n v="148367"/>
    <s v="Large"/>
    <s v="B2B"/>
    <n v="1"/>
    <n v="28.79"/>
    <n v="743587"/>
    <n v="1"/>
  </r>
  <r>
    <s v="Startup_2345"/>
    <x v="4"/>
    <n v="13"/>
    <n v="46388264"/>
    <n v="4"/>
    <n v="24"/>
    <n v="233"/>
    <n v="92501564"/>
    <n v="618507"/>
    <s v="Medium"/>
    <s v="B2C"/>
    <n v="5"/>
    <n v="67.97"/>
    <n v="480971"/>
    <n v="1"/>
  </r>
  <r>
    <s v="Startup_2346"/>
    <x v="2"/>
    <n v="4"/>
    <n v="4268500"/>
    <n v="2"/>
    <n v="6"/>
    <n v="477"/>
    <n v="27674824"/>
    <n v="581433"/>
    <s v="Large"/>
    <s v="Hybrid"/>
    <n v="5"/>
    <n v="17.18"/>
    <n v="148317"/>
    <n v="1"/>
  </r>
  <r>
    <s v="Startup_2347"/>
    <x v="1"/>
    <n v="6"/>
    <n v="34967253"/>
    <n v="3"/>
    <n v="24"/>
    <n v="662"/>
    <n v="78500285"/>
    <n v="773343"/>
    <s v="Medium"/>
    <s v="Hybrid"/>
    <n v="7"/>
    <n v="94.88"/>
    <n v="562935"/>
    <n v="1"/>
  </r>
  <r>
    <s v="Startup_2348"/>
    <x v="5"/>
    <n v="0"/>
    <n v="25024852"/>
    <n v="3"/>
    <n v="26"/>
    <n v="897"/>
    <n v="55659483"/>
    <n v="20008"/>
    <s v="Medium"/>
    <s v="B2C"/>
    <n v="2"/>
    <n v="11.4"/>
    <n v="789689"/>
    <n v="1"/>
  </r>
  <r>
    <s v="Startup_2349"/>
    <x v="3"/>
    <n v="5"/>
    <n v="37028404"/>
    <n v="2"/>
    <n v="0"/>
    <n v="120"/>
    <n v="74843375"/>
    <n v="958352"/>
    <s v="Large"/>
    <s v="B2B"/>
    <n v="5"/>
    <n v="52.55"/>
    <n v="416881"/>
    <n v="1"/>
  </r>
  <r>
    <s v="Startup_2350"/>
    <x v="0"/>
    <n v="12"/>
    <n v="2586090"/>
    <n v="4"/>
    <n v="26"/>
    <n v="785"/>
    <n v="7546745"/>
    <n v="466634"/>
    <s v="Small"/>
    <s v="B2B"/>
    <n v="2"/>
    <n v="11.47"/>
    <n v="375837"/>
    <n v="1"/>
  </r>
  <r>
    <s v="Startup_2351"/>
    <x v="5"/>
    <n v="2"/>
    <n v="45755694"/>
    <n v="3"/>
    <n v="13"/>
    <n v="933"/>
    <n v="87110818"/>
    <n v="977183"/>
    <s v="Large"/>
    <s v="B2C"/>
    <n v="5"/>
    <n v="97.86"/>
    <n v="406017"/>
    <n v="1"/>
  </r>
  <r>
    <s v="Startup_2352"/>
    <x v="5"/>
    <n v="12"/>
    <n v="29675692"/>
    <n v="2"/>
    <n v="21"/>
    <n v="486"/>
    <n v="17280309"/>
    <n v="855595"/>
    <s v="Large"/>
    <s v="Hybrid"/>
    <n v="9"/>
    <n v="76.72"/>
    <n v="485889"/>
    <n v="1"/>
  </r>
  <r>
    <s v="Startup_2353"/>
    <x v="6"/>
    <n v="3"/>
    <n v="26170429"/>
    <n v="4"/>
    <n v="13"/>
    <n v="536"/>
    <n v="58452397"/>
    <n v="653373"/>
    <s v="Large"/>
    <s v="Hybrid"/>
    <n v="1"/>
    <n v="72.75"/>
    <n v="560855"/>
    <n v="1"/>
  </r>
  <r>
    <s v="Startup_2354"/>
    <x v="6"/>
    <n v="6"/>
    <n v="45108041"/>
    <n v="3"/>
    <n v="1"/>
    <n v="713"/>
    <n v="38801538"/>
    <n v="846477"/>
    <s v="Small"/>
    <s v="B2B"/>
    <n v="2"/>
    <n v="47.16"/>
    <n v="166159"/>
    <n v="1"/>
  </r>
  <r>
    <s v="Startup_2355"/>
    <x v="1"/>
    <n v="11"/>
    <n v="8906035"/>
    <n v="3"/>
    <n v="6"/>
    <n v="93"/>
    <n v="16980876"/>
    <n v="12562"/>
    <s v="Small"/>
    <s v="Hybrid"/>
    <n v="4"/>
    <n v="9.0500000000000007"/>
    <n v="349701"/>
    <n v="1"/>
  </r>
  <r>
    <s v="Startup_2356"/>
    <x v="2"/>
    <n v="14"/>
    <n v="21385702"/>
    <n v="3"/>
    <n v="23"/>
    <n v="411"/>
    <n v="13757224"/>
    <n v="508906"/>
    <s v="Large"/>
    <s v="B2C"/>
    <n v="8"/>
    <n v="31.96"/>
    <n v="563943"/>
    <n v="1"/>
  </r>
  <r>
    <s v="Startup_2357"/>
    <x v="5"/>
    <n v="12"/>
    <n v="34917880"/>
    <n v="2"/>
    <n v="20"/>
    <n v="878"/>
    <n v="22611934"/>
    <n v="620635"/>
    <s v="Medium"/>
    <s v="B2B"/>
    <n v="5"/>
    <n v="18.78"/>
    <n v="973392"/>
    <n v="1"/>
  </r>
  <r>
    <s v="Startup_2358"/>
    <x v="2"/>
    <n v="8"/>
    <n v="40697585"/>
    <n v="2"/>
    <n v="21"/>
    <n v="280"/>
    <n v="5283249"/>
    <n v="600315"/>
    <s v="Large"/>
    <s v="B2C"/>
    <n v="4"/>
    <n v="7.75"/>
    <n v="244897"/>
    <n v="1"/>
  </r>
  <r>
    <s v="Startup_2359"/>
    <x v="4"/>
    <n v="9"/>
    <n v="1091913"/>
    <n v="4"/>
    <n v="27"/>
    <n v="609"/>
    <n v="41371475"/>
    <n v="119932"/>
    <s v="Large"/>
    <s v="B2C"/>
    <n v="9"/>
    <n v="20.7"/>
    <n v="562526"/>
    <n v="1"/>
  </r>
  <r>
    <s v="Startup_2360"/>
    <x v="3"/>
    <n v="10"/>
    <n v="31074867"/>
    <n v="4"/>
    <n v="10"/>
    <n v="191"/>
    <n v="7442437"/>
    <n v="326850"/>
    <s v="Large"/>
    <s v="B2B"/>
    <n v="1"/>
    <n v="27.76"/>
    <n v="809547"/>
    <n v="1"/>
  </r>
  <r>
    <s v="Startup_2361"/>
    <x v="3"/>
    <n v="1"/>
    <n v="44483307"/>
    <n v="4"/>
    <n v="4"/>
    <n v="674"/>
    <n v="36123665"/>
    <n v="376154"/>
    <s v="Small"/>
    <s v="Hybrid"/>
    <n v="6"/>
    <n v="63.38"/>
    <n v="496833"/>
    <n v="1"/>
  </r>
  <r>
    <s v="Startup_2362"/>
    <x v="5"/>
    <n v="3"/>
    <n v="39880690"/>
    <n v="2"/>
    <n v="0"/>
    <n v="223"/>
    <n v="18844495"/>
    <n v="974759"/>
    <s v="Medium"/>
    <s v="B2B"/>
    <n v="4"/>
    <n v="71.13"/>
    <n v="740558"/>
    <n v="1"/>
  </r>
  <r>
    <s v="Startup_2363"/>
    <x v="1"/>
    <n v="8"/>
    <n v="33672032"/>
    <n v="1"/>
    <n v="8"/>
    <n v="620"/>
    <n v="50472100"/>
    <n v="628565"/>
    <s v="Large"/>
    <s v="Hybrid"/>
    <n v="6"/>
    <n v="95.74"/>
    <n v="965266"/>
    <n v="1"/>
  </r>
  <r>
    <s v="Startup_2364"/>
    <x v="4"/>
    <n v="3"/>
    <n v="29904521"/>
    <n v="4"/>
    <n v="6"/>
    <n v="248"/>
    <n v="86906577"/>
    <n v="62845"/>
    <s v="Medium"/>
    <s v="B2C"/>
    <n v="5"/>
    <n v="92.86"/>
    <n v="620136"/>
    <n v="1"/>
  </r>
  <r>
    <s v="Startup_2365"/>
    <x v="5"/>
    <n v="0"/>
    <n v="23042914"/>
    <n v="2"/>
    <n v="8"/>
    <n v="329"/>
    <n v="26889956"/>
    <n v="407594"/>
    <s v="Medium"/>
    <s v="B2C"/>
    <n v="6"/>
    <n v="65.42"/>
    <n v="927812"/>
    <n v="1"/>
  </r>
  <r>
    <s v="Startup_2366"/>
    <x v="5"/>
    <n v="9"/>
    <n v="19673371"/>
    <n v="2"/>
    <n v="23"/>
    <n v="221"/>
    <n v="78898110"/>
    <n v="890417"/>
    <s v="Small"/>
    <s v="Hybrid"/>
    <n v="2"/>
    <n v="6.37"/>
    <n v="494979"/>
    <n v="1"/>
  </r>
  <r>
    <s v="Startup_2367"/>
    <x v="5"/>
    <n v="3"/>
    <n v="21645865"/>
    <n v="3"/>
    <n v="2"/>
    <n v="739"/>
    <n v="52234073"/>
    <n v="589331"/>
    <s v="Medium"/>
    <s v="Hybrid"/>
    <n v="7"/>
    <n v="68.16"/>
    <n v="553352"/>
    <n v="1"/>
  </r>
  <r>
    <s v="Startup_2368"/>
    <x v="2"/>
    <n v="12"/>
    <n v="34459202"/>
    <n v="2"/>
    <n v="12"/>
    <n v="899"/>
    <n v="62596522"/>
    <n v="429395"/>
    <s v="Large"/>
    <s v="B2B"/>
    <n v="3"/>
    <n v="92.61"/>
    <n v="556877"/>
    <n v="1"/>
  </r>
  <r>
    <s v="Startup_2369"/>
    <x v="2"/>
    <n v="14"/>
    <n v="39139387"/>
    <n v="4"/>
    <n v="15"/>
    <n v="805"/>
    <n v="391691"/>
    <n v="55411"/>
    <s v="Small"/>
    <s v="Hybrid"/>
    <n v="6"/>
    <n v="72.89"/>
    <n v="976920"/>
    <n v="1"/>
  </r>
  <r>
    <s v="Startup_2370"/>
    <x v="5"/>
    <n v="14"/>
    <n v="27435456"/>
    <n v="3"/>
    <n v="29"/>
    <n v="283"/>
    <n v="13541060"/>
    <n v="44270"/>
    <s v="Large"/>
    <s v="B2C"/>
    <n v="2"/>
    <n v="73.650000000000006"/>
    <n v="357663"/>
    <n v="1"/>
  </r>
  <r>
    <s v="Startup_2371"/>
    <x v="1"/>
    <n v="1"/>
    <n v="23053885"/>
    <n v="1"/>
    <n v="24"/>
    <n v="470"/>
    <n v="32662036"/>
    <n v="811602"/>
    <s v="Large"/>
    <s v="B2C"/>
    <n v="4"/>
    <n v="5.71"/>
    <n v="336203"/>
    <n v="1"/>
  </r>
  <r>
    <s v="Startup_2372"/>
    <x v="0"/>
    <n v="12"/>
    <n v="47014258"/>
    <n v="4"/>
    <n v="15"/>
    <n v="592"/>
    <n v="73298362"/>
    <n v="470012"/>
    <s v="Large"/>
    <s v="B2C"/>
    <n v="2"/>
    <n v="8.6999999999999993"/>
    <n v="941116"/>
    <n v="1"/>
  </r>
  <r>
    <s v="Startup_2373"/>
    <x v="3"/>
    <n v="4"/>
    <n v="13342848"/>
    <n v="3"/>
    <n v="9"/>
    <n v="559"/>
    <n v="76226584"/>
    <n v="330737"/>
    <s v="Large"/>
    <s v="B2B"/>
    <n v="5"/>
    <n v="43.55"/>
    <n v="285007"/>
    <n v="1"/>
  </r>
  <r>
    <s v="Startup_2374"/>
    <x v="5"/>
    <n v="2"/>
    <n v="32648083"/>
    <n v="2"/>
    <n v="6"/>
    <n v="159"/>
    <n v="38582295"/>
    <n v="130361"/>
    <s v="Medium"/>
    <s v="B2B"/>
    <n v="9"/>
    <n v="29.54"/>
    <n v="300483"/>
    <n v="1"/>
  </r>
  <r>
    <s v="Startup_2375"/>
    <x v="4"/>
    <n v="8"/>
    <n v="10604999"/>
    <n v="2"/>
    <n v="18"/>
    <n v="267"/>
    <n v="26962792"/>
    <n v="568608"/>
    <s v="Large"/>
    <s v="B2C"/>
    <n v="2"/>
    <n v="69.19"/>
    <n v="259150"/>
    <n v="1"/>
  </r>
  <r>
    <s v="Startup_2376"/>
    <x v="3"/>
    <n v="5"/>
    <n v="6424713"/>
    <n v="2"/>
    <n v="28"/>
    <n v="496"/>
    <n v="37043331"/>
    <n v="221469"/>
    <s v="Medium"/>
    <s v="Hybrid"/>
    <n v="2"/>
    <n v="10.44"/>
    <n v="691534"/>
    <n v="1"/>
  </r>
  <r>
    <s v="Startup_2377"/>
    <x v="2"/>
    <n v="8"/>
    <n v="3674902"/>
    <n v="3"/>
    <n v="5"/>
    <n v="165"/>
    <n v="94245512"/>
    <n v="526100"/>
    <s v="Large"/>
    <s v="B2C"/>
    <n v="7"/>
    <n v="95.42"/>
    <n v="364861"/>
    <n v="1"/>
  </r>
  <r>
    <s v="Startup_2378"/>
    <x v="3"/>
    <n v="13"/>
    <n v="26206815"/>
    <n v="4"/>
    <n v="23"/>
    <n v="309"/>
    <n v="28287575"/>
    <n v="629741"/>
    <s v="Large"/>
    <s v="B2C"/>
    <n v="4"/>
    <n v="62.34"/>
    <n v="129659"/>
    <n v="1"/>
  </r>
  <r>
    <s v="Startup_2379"/>
    <x v="4"/>
    <n v="7"/>
    <n v="20612660"/>
    <n v="1"/>
    <n v="21"/>
    <n v="85"/>
    <n v="58468865"/>
    <n v="806860"/>
    <s v="Medium"/>
    <s v="B2C"/>
    <n v="9"/>
    <n v="58.42"/>
    <n v="860156"/>
    <n v="1"/>
  </r>
  <r>
    <s v="Startup_2380"/>
    <x v="4"/>
    <n v="2"/>
    <n v="15109374"/>
    <n v="4"/>
    <n v="9"/>
    <n v="830"/>
    <n v="89942177"/>
    <n v="503489"/>
    <s v="Small"/>
    <s v="Hybrid"/>
    <n v="8"/>
    <n v="48.97"/>
    <n v="272762"/>
    <n v="1"/>
  </r>
  <r>
    <s v="Startup_2381"/>
    <x v="1"/>
    <n v="6"/>
    <n v="35557308"/>
    <n v="1"/>
    <n v="0"/>
    <n v="742"/>
    <n v="9279930"/>
    <n v="245078"/>
    <s v="Large"/>
    <s v="Hybrid"/>
    <n v="3"/>
    <n v="21.6"/>
    <n v="226505"/>
    <n v="1"/>
  </r>
  <r>
    <s v="Startup_2382"/>
    <x v="6"/>
    <n v="4"/>
    <n v="33209111"/>
    <n v="4"/>
    <n v="11"/>
    <n v="320"/>
    <n v="76315107"/>
    <n v="42539"/>
    <s v="Small"/>
    <s v="B2C"/>
    <n v="2"/>
    <n v="57.48"/>
    <n v="635590"/>
    <n v="1"/>
  </r>
  <r>
    <s v="Startup_2383"/>
    <x v="5"/>
    <n v="0"/>
    <n v="37660238"/>
    <n v="3"/>
    <n v="0"/>
    <n v="487"/>
    <n v="6734565"/>
    <n v="235405"/>
    <s v="Small"/>
    <s v="Hybrid"/>
    <n v="7"/>
    <n v="55.68"/>
    <n v="124380"/>
    <n v="1"/>
  </r>
  <r>
    <s v="Startup_2384"/>
    <x v="5"/>
    <n v="8"/>
    <n v="40677857"/>
    <n v="4"/>
    <n v="25"/>
    <n v="113"/>
    <n v="50676418"/>
    <n v="947855"/>
    <s v="Medium"/>
    <s v="Hybrid"/>
    <n v="1"/>
    <n v="80.930000000000007"/>
    <n v="98302"/>
    <n v="1"/>
  </r>
  <r>
    <s v="Startup_2385"/>
    <x v="4"/>
    <n v="4"/>
    <n v="5630451"/>
    <n v="4"/>
    <n v="16"/>
    <n v="858"/>
    <n v="20174853"/>
    <n v="153533"/>
    <s v="Large"/>
    <s v="B2C"/>
    <n v="3"/>
    <n v="77.150000000000006"/>
    <n v="162678"/>
    <n v="1"/>
  </r>
  <r>
    <s v="Startup_2386"/>
    <x v="6"/>
    <n v="8"/>
    <n v="45307145"/>
    <n v="2"/>
    <n v="23"/>
    <n v="207"/>
    <n v="86489687"/>
    <n v="24029"/>
    <s v="Medium"/>
    <s v="B2C"/>
    <n v="3"/>
    <n v="63.5"/>
    <n v="376477"/>
    <n v="1"/>
  </r>
  <r>
    <s v="Startup_2387"/>
    <x v="1"/>
    <n v="7"/>
    <n v="31071155"/>
    <n v="3"/>
    <n v="24"/>
    <n v="76"/>
    <n v="58074647"/>
    <n v="210028"/>
    <s v="Large"/>
    <s v="B2B"/>
    <n v="5"/>
    <n v="42.94"/>
    <n v="244869"/>
    <n v="1"/>
  </r>
  <r>
    <s v="Startup_2388"/>
    <x v="2"/>
    <n v="2"/>
    <n v="36680193"/>
    <n v="4"/>
    <n v="18"/>
    <n v="402"/>
    <n v="14764295"/>
    <n v="307259"/>
    <s v="Small"/>
    <s v="B2C"/>
    <n v="1"/>
    <n v="45.43"/>
    <n v="992692"/>
    <n v="1"/>
  </r>
  <r>
    <s v="Startup_2389"/>
    <x v="5"/>
    <n v="1"/>
    <n v="44934371"/>
    <n v="2"/>
    <n v="7"/>
    <n v="711"/>
    <n v="59048159"/>
    <n v="80777"/>
    <s v="Medium"/>
    <s v="B2C"/>
    <n v="8"/>
    <n v="72.709999999999994"/>
    <n v="742712"/>
    <n v="1"/>
  </r>
  <r>
    <s v="Startup_2390"/>
    <x v="5"/>
    <n v="7"/>
    <n v="24512444"/>
    <n v="2"/>
    <n v="21"/>
    <n v="188"/>
    <n v="88157808"/>
    <n v="924932"/>
    <s v="Medium"/>
    <s v="B2B"/>
    <n v="7"/>
    <n v="50.5"/>
    <n v="476794"/>
    <n v="1"/>
  </r>
  <r>
    <s v="Startup_2391"/>
    <x v="3"/>
    <n v="12"/>
    <n v="16154375"/>
    <n v="4"/>
    <n v="26"/>
    <n v="356"/>
    <n v="91810473"/>
    <n v="564919"/>
    <s v="Small"/>
    <s v="Hybrid"/>
    <n v="2"/>
    <n v="51.13"/>
    <n v="179091"/>
    <n v="1"/>
  </r>
  <r>
    <s v="Startup_2392"/>
    <x v="0"/>
    <n v="8"/>
    <n v="48146080"/>
    <n v="1"/>
    <n v="7"/>
    <n v="49"/>
    <n v="9100862"/>
    <n v="544762"/>
    <s v="Large"/>
    <s v="B2B"/>
    <n v="1"/>
    <n v="98.07"/>
    <n v="142132"/>
    <n v="1"/>
  </r>
  <r>
    <s v="Startup_2393"/>
    <x v="5"/>
    <n v="2"/>
    <n v="24014004"/>
    <n v="2"/>
    <n v="27"/>
    <n v="218"/>
    <n v="69754493"/>
    <n v="660622"/>
    <s v="Medium"/>
    <s v="Hybrid"/>
    <n v="4"/>
    <n v="69.930000000000007"/>
    <n v="397563"/>
    <n v="1"/>
  </r>
  <r>
    <s v="Startup_2394"/>
    <x v="4"/>
    <n v="7"/>
    <n v="39985414"/>
    <n v="4"/>
    <n v="6"/>
    <n v="564"/>
    <n v="73943848"/>
    <n v="36815"/>
    <s v="Large"/>
    <s v="B2C"/>
    <n v="4"/>
    <n v="98.66"/>
    <n v="343545"/>
    <n v="1"/>
  </r>
  <r>
    <s v="Startup_2395"/>
    <x v="3"/>
    <n v="4"/>
    <n v="9837851"/>
    <n v="1"/>
    <n v="19"/>
    <n v="464"/>
    <n v="98708710"/>
    <n v="156719"/>
    <s v="Large"/>
    <s v="B2C"/>
    <n v="1"/>
    <n v="22.56"/>
    <n v="634530"/>
    <n v="1"/>
  </r>
  <r>
    <s v="Startup_2396"/>
    <x v="6"/>
    <n v="12"/>
    <n v="26316141"/>
    <n v="2"/>
    <n v="13"/>
    <n v="513"/>
    <n v="92279468"/>
    <n v="495911"/>
    <s v="Small"/>
    <s v="B2B"/>
    <n v="1"/>
    <n v="26.73"/>
    <n v="73116"/>
    <n v="1"/>
  </r>
  <r>
    <s v="Startup_2397"/>
    <x v="3"/>
    <n v="14"/>
    <n v="24957076"/>
    <n v="1"/>
    <n v="25"/>
    <n v="251"/>
    <n v="66452702"/>
    <n v="857996"/>
    <s v="Large"/>
    <s v="Hybrid"/>
    <n v="8"/>
    <n v="46.23"/>
    <n v="737240"/>
    <n v="1"/>
  </r>
  <r>
    <s v="Startup_2398"/>
    <x v="2"/>
    <n v="2"/>
    <n v="13000347"/>
    <n v="4"/>
    <n v="6"/>
    <n v="231"/>
    <n v="54152184"/>
    <n v="825041"/>
    <s v="Large"/>
    <s v="B2C"/>
    <n v="2"/>
    <n v="87.81"/>
    <n v="155959"/>
    <n v="1"/>
  </r>
  <r>
    <s v="Startup_2399"/>
    <x v="0"/>
    <n v="10"/>
    <n v="25461971"/>
    <n v="3"/>
    <n v="17"/>
    <n v="354"/>
    <n v="70143429"/>
    <n v="503170"/>
    <s v="Large"/>
    <s v="B2C"/>
    <n v="8"/>
    <n v="4.55"/>
    <n v="960214"/>
    <n v="1"/>
  </r>
  <r>
    <s v="Startup_2400"/>
    <x v="0"/>
    <n v="13"/>
    <n v="45787046"/>
    <n v="4"/>
    <n v="0"/>
    <n v="805"/>
    <n v="8603561"/>
    <n v="983227"/>
    <s v="Small"/>
    <s v="B2C"/>
    <n v="2"/>
    <n v="35.93"/>
    <n v="414324"/>
    <n v="1"/>
  </r>
  <r>
    <s v="Startup_2401"/>
    <x v="0"/>
    <n v="0"/>
    <n v="42462331"/>
    <n v="4"/>
    <n v="24"/>
    <n v="745"/>
    <n v="94736399"/>
    <n v="811753"/>
    <s v="Medium"/>
    <s v="B2B"/>
    <n v="1"/>
    <n v="17.88"/>
    <n v="284874"/>
    <n v="1"/>
  </r>
  <r>
    <s v="Startup_2402"/>
    <x v="3"/>
    <n v="0"/>
    <n v="9727886"/>
    <n v="1"/>
    <n v="14"/>
    <n v="419"/>
    <n v="61410773"/>
    <n v="83820"/>
    <s v="Large"/>
    <s v="B2B"/>
    <n v="8"/>
    <n v="96.4"/>
    <n v="471064"/>
    <n v="1"/>
  </r>
  <r>
    <s v="Startup_2403"/>
    <x v="4"/>
    <n v="13"/>
    <n v="9243717"/>
    <n v="2"/>
    <n v="22"/>
    <n v="517"/>
    <n v="7984225"/>
    <n v="279460"/>
    <s v="Medium"/>
    <s v="B2B"/>
    <n v="3"/>
    <n v="99.46"/>
    <n v="867711"/>
    <n v="1"/>
  </r>
  <r>
    <s v="Startup_2404"/>
    <x v="6"/>
    <n v="0"/>
    <n v="4225391"/>
    <n v="3"/>
    <n v="21"/>
    <n v="56"/>
    <n v="18369682"/>
    <n v="666281"/>
    <s v="Large"/>
    <s v="B2C"/>
    <n v="2"/>
    <n v="69.069999999999993"/>
    <n v="981228"/>
    <n v="1"/>
  </r>
  <r>
    <s v="Startup_2405"/>
    <x v="6"/>
    <n v="1"/>
    <n v="45545815"/>
    <n v="1"/>
    <n v="22"/>
    <n v="951"/>
    <n v="11558173"/>
    <n v="132267"/>
    <s v="Large"/>
    <s v="B2B"/>
    <n v="9"/>
    <n v="5.65"/>
    <n v="803343"/>
    <n v="1"/>
  </r>
  <r>
    <s v="Startup_2406"/>
    <x v="1"/>
    <n v="8"/>
    <n v="19534890"/>
    <n v="4"/>
    <n v="28"/>
    <n v="736"/>
    <n v="52167578"/>
    <n v="160418"/>
    <s v="Large"/>
    <s v="B2B"/>
    <n v="6"/>
    <n v="72.599999999999994"/>
    <n v="949247"/>
    <n v="1"/>
  </r>
  <r>
    <s v="Startup_2407"/>
    <x v="4"/>
    <n v="2"/>
    <n v="34320487"/>
    <n v="2"/>
    <n v="11"/>
    <n v="214"/>
    <n v="79002214"/>
    <n v="222161"/>
    <s v="Medium"/>
    <s v="Hybrid"/>
    <n v="4"/>
    <n v="30.48"/>
    <n v="878280"/>
    <n v="1"/>
  </r>
  <r>
    <s v="Startup_2408"/>
    <x v="2"/>
    <n v="14"/>
    <n v="29546218"/>
    <n v="4"/>
    <n v="5"/>
    <n v="473"/>
    <n v="2408121"/>
    <n v="625900"/>
    <s v="Large"/>
    <s v="Hybrid"/>
    <n v="1"/>
    <n v="77.989999999999995"/>
    <n v="510894"/>
    <n v="1"/>
  </r>
  <r>
    <s v="Startup_2409"/>
    <x v="4"/>
    <n v="0"/>
    <n v="7785069"/>
    <n v="2"/>
    <n v="10"/>
    <n v="324"/>
    <n v="44915274"/>
    <n v="857046"/>
    <s v="Medium"/>
    <s v="B2C"/>
    <n v="7"/>
    <n v="34.6"/>
    <n v="422483"/>
    <n v="1"/>
  </r>
  <r>
    <s v="Startup_2410"/>
    <x v="6"/>
    <n v="3"/>
    <n v="5235231"/>
    <n v="2"/>
    <n v="27"/>
    <n v="409"/>
    <n v="8664001"/>
    <n v="926966"/>
    <s v="Large"/>
    <s v="B2C"/>
    <n v="9"/>
    <n v="58.14"/>
    <n v="308088"/>
    <n v="1"/>
  </r>
  <r>
    <s v="Startup_2411"/>
    <x v="6"/>
    <n v="8"/>
    <n v="4076248"/>
    <n v="3"/>
    <n v="1"/>
    <n v="241"/>
    <n v="73302275"/>
    <n v="79807"/>
    <s v="Large"/>
    <s v="B2C"/>
    <n v="4"/>
    <n v="49.5"/>
    <n v="700882"/>
    <n v="1"/>
  </r>
  <r>
    <s v="Startup_2412"/>
    <x v="4"/>
    <n v="13"/>
    <n v="26141721"/>
    <n v="4"/>
    <n v="23"/>
    <n v="992"/>
    <n v="39931827"/>
    <n v="206635"/>
    <s v="Medium"/>
    <s v="B2B"/>
    <n v="8"/>
    <n v="46.36"/>
    <n v="923611"/>
    <n v="1"/>
  </r>
  <r>
    <s v="Startup_2413"/>
    <x v="3"/>
    <n v="4"/>
    <n v="31526174"/>
    <n v="1"/>
    <n v="19"/>
    <n v="362"/>
    <n v="83938930"/>
    <n v="970023"/>
    <s v="Large"/>
    <s v="Hybrid"/>
    <n v="7"/>
    <n v="23.47"/>
    <n v="286887"/>
    <n v="1"/>
  </r>
  <r>
    <s v="Startup_2414"/>
    <x v="6"/>
    <n v="12"/>
    <n v="14661939"/>
    <n v="4"/>
    <n v="11"/>
    <n v="174"/>
    <n v="11634120"/>
    <n v="167902"/>
    <s v="Large"/>
    <s v="B2B"/>
    <n v="3"/>
    <n v="64.760000000000005"/>
    <n v="594418"/>
    <n v="1"/>
  </r>
  <r>
    <s v="Startup_2415"/>
    <x v="6"/>
    <n v="4"/>
    <n v="11130989"/>
    <n v="2"/>
    <n v="16"/>
    <n v="700"/>
    <n v="86677719"/>
    <n v="917905"/>
    <s v="Medium"/>
    <s v="B2B"/>
    <n v="7"/>
    <n v="98.94"/>
    <n v="478320"/>
    <n v="1"/>
  </r>
  <r>
    <s v="Startup_2416"/>
    <x v="5"/>
    <n v="2"/>
    <n v="7430014"/>
    <n v="4"/>
    <n v="17"/>
    <n v="228"/>
    <n v="87805960"/>
    <n v="150708"/>
    <s v="Small"/>
    <s v="Hybrid"/>
    <n v="4"/>
    <n v="83.97"/>
    <n v="429125"/>
    <n v="1"/>
  </r>
  <r>
    <s v="Startup_2417"/>
    <x v="5"/>
    <n v="8"/>
    <n v="4612520"/>
    <n v="4"/>
    <n v="21"/>
    <n v="970"/>
    <n v="33895487"/>
    <n v="172424"/>
    <s v="Small"/>
    <s v="B2C"/>
    <n v="3"/>
    <n v="87.56"/>
    <n v="736743"/>
    <n v="1"/>
  </r>
  <r>
    <s v="Startup_2418"/>
    <x v="0"/>
    <n v="13"/>
    <n v="29581790"/>
    <n v="2"/>
    <n v="0"/>
    <n v="605"/>
    <n v="74793227"/>
    <n v="953451"/>
    <s v="Medium"/>
    <s v="Hybrid"/>
    <n v="9"/>
    <n v="43.77"/>
    <n v="13904"/>
    <n v="1"/>
  </r>
  <r>
    <s v="Startup_2419"/>
    <x v="3"/>
    <n v="5"/>
    <n v="30124984"/>
    <n v="4"/>
    <n v="7"/>
    <n v="682"/>
    <n v="26624156"/>
    <n v="176329"/>
    <s v="Large"/>
    <s v="Hybrid"/>
    <n v="5"/>
    <n v="67.77"/>
    <n v="268412"/>
    <n v="1"/>
  </r>
  <r>
    <s v="Startup_2420"/>
    <x v="0"/>
    <n v="10"/>
    <n v="45330817"/>
    <n v="1"/>
    <n v="17"/>
    <n v="637"/>
    <n v="21846301"/>
    <n v="68339"/>
    <s v="Large"/>
    <s v="Hybrid"/>
    <n v="2"/>
    <n v="58.82"/>
    <n v="556970"/>
    <n v="1"/>
  </r>
  <r>
    <s v="Startup_2421"/>
    <x v="2"/>
    <n v="6"/>
    <n v="27443832"/>
    <n v="2"/>
    <n v="2"/>
    <n v="646"/>
    <n v="53691594"/>
    <n v="757773"/>
    <s v="Large"/>
    <s v="Hybrid"/>
    <n v="1"/>
    <n v="15.63"/>
    <n v="789157"/>
    <n v="1"/>
  </r>
  <r>
    <s v="Startup_2422"/>
    <x v="2"/>
    <n v="14"/>
    <n v="14974745"/>
    <n v="1"/>
    <n v="18"/>
    <n v="967"/>
    <n v="72601640"/>
    <n v="278717"/>
    <s v="Small"/>
    <s v="B2C"/>
    <n v="2"/>
    <n v="80.319999999999993"/>
    <n v="916135"/>
    <n v="1"/>
  </r>
  <r>
    <s v="Startup_2423"/>
    <x v="0"/>
    <n v="8"/>
    <n v="7841883"/>
    <n v="4"/>
    <n v="2"/>
    <n v="303"/>
    <n v="20049012"/>
    <n v="870007"/>
    <s v="Small"/>
    <s v="B2C"/>
    <n v="7"/>
    <n v="47.57"/>
    <n v="899782"/>
    <n v="1"/>
  </r>
  <r>
    <s v="Startup_2424"/>
    <x v="1"/>
    <n v="10"/>
    <n v="38018062"/>
    <n v="4"/>
    <n v="4"/>
    <n v="850"/>
    <n v="53197134"/>
    <n v="15590"/>
    <s v="Small"/>
    <s v="B2B"/>
    <n v="2"/>
    <n v="12.56"/>
    <n v="358323"/>
    <n v="1"/>
  </r>
  <r>
    <s v="Startup_2425"/>
    <x v="3"/>
    <n v="5"/>
    <n v="14748277"/>
    <n v="3"/>
    <n v="16"/>
    <n v="634"/>
    <n v="78207530"/>
    <n v="20091"/>
    <s v="Large"/>
    <s v="B2C"/>
    <n v="4"/>
    <n v="5.1100000000000003"/>
    <n v="119656"/>
    <n v="1"/>
  </r>
  <r>
    <s v="Startup_2426"/>
    <x v="4"/>
    <n v="9"/>
    <n v="23576980"/>
    <n v="3"/>
    <n v="27"/>
    <n v="4"/>
    <n v="47733039"/>
    <n v="552662"/>
    <s v="Small"/>
    <s v="Hybrid"/>
    <n v="3"/>
    <n v="68.52"/>
    <n v="671200"/>
    <n v="1"/>
  </r>
  <r>
    <s v="Startup_2427"/>
    <x v="6"/>
    <n v="4"/>
    <n v="32890769"/>
    <n v="4"/>
    <n v="14"/>
    <n v="117"/>
    <n v="76217567"/>
    <n v="151982"/>
    <s v="Large"/>
    <s v="Hybrid"/>
    <n v="2"/>
    <n v="79.31"/>
    <n v="848394"/>
    <n v="1"/>
  </r>
  <r>
    <s v="Startup_2428"/>
    <x v="2"/>
    <n v="12"/>
    <n v="39154748"/>
    <n v="4"/>
    <n v="14"/>
    <n v="294"/>
    <n v="79201986"/>
    <n v="460223"/>
    <s v="Small"/>
    <s v="Hybrid"/>
    <n v="3"/>
    <n v="31.49"/>
    <n v="371273"/>
    <n v="1"/>
  </r>
  <r>
    <s v="Startup_2429"/>
    <x v="2"/>
    <n v="3"/>
    <n v="32472865"/>
    <n v="1"/>
    <n v="18"/>
    <n v="675"/>
    <n v="45492500"/>
    <n v="581401"/>
    <s v="Medium"/>
    <s v="Hybrid"/>
    <n v="7"/>
    <n v="42.64"/>
    <n v="805014"/>
    <n v="1"/>
  </r>
  <r>
    <s v="Startup_2430"/>
    <x v="2"/>
    <n v="1"/>
    <n v="37475270"/>
    <n v="1"/>
    <n v="9"/>
    <n v="992"/>
    <n v="44147579"/>
    <n v="292836"/>
    <s v="Medium"/>
    <s v="Hybrid"/>
    <n v="1"/>
    <n v="43.07"/>
    <n v="189907"/>
    <n v="1"/>
  </r>
  <r>
    <s v="Startup_2431"/>
    <x v="4"/>
    <n v="3"/>
    <n v="47511579"/>
    <n v="3"/>
    <n v="10"/>
    <n v="429"/>
    <n v="38881169"/>
    <n v="685735"/>
    <s v="Small"/>
    <s v="Hybrid"/>
    <n v="4"/>
    <n v="21.18"/>
    <n v="216412"/>
    <n v="1"/>
  </r>
  <r>
    <s v="Startup_2432"/>
    <x v="0"/>
    <n v="10"/>
    <n v="46189886"/>
    <n v="3"/>
    <n v="9"/>
    <n v="284"/>
    <n v="32866863"/>
    <n v="952892"/>
    <s v="Large"/>
    <s v="B2C"/>
    <n v="8"/>
    <n v="5.79"/>
    <n v="327935"/>
    <n v="1"/>
  </r>
  <r>
    <s v="Startup_2433"/>
    <x v="0"/>
    <n v="1"/>
    <n v="46981072"/>
    <n v="1"/>
    <n v="19"/>
    <n v="155"/>
    <n v="29940645"/>
    <n v="144827"/>
    <s v="Large"/>
    <s v="B2C"/>
    <n v="6"/>
    <n v="96.02"/>
    <n v="88195"/>
    <n v="1"/>
  </r>
  <r>
    <s v="Startup_2434"/>
    <x v="3"/>
    <n v="7"/>
    <n v="27748239"/>
    <n v="3"/>
    <n v="27"/>
    <n v="769"/>
    <n v="26476308"/>
    <n v="874053"/>
    <s v="Large"/>
    <s v="Hybrid"/>
    <n v="6"/>
    <n v="29.53"/>
    <n v="637431"/>
    <n v="1"/>
  </r>
  <r>
    <s v="Startup_2435"/>
    <x v="1"/>
    <n v="14"/>
    <n v="20336605"/>
    <n v="1"/>
    <n v="22"/>
    <n v="469"/>
    <n v="23348904"/>
    <n v="165682"/>
    <s v="Medium"/>
    <s v="Hybrid"/>
    <n v="5"/>
    <n v="68.91"/>
    <n v="228461"/>
    <n v="1"/>
  </r>
  <r>
    <s v="Startup_2436"/>
    <x v="1"/>
    <n v="13"/>
    <n v="7838745"/>
    <n v="2"/>
    <n v="13"/>
    <n v="762"/>
    <n v="5930765"/>
    <n v="445808"/>
    <s v="Small"/>
    <s v="B2B"/>
    <n v="6"/>
    <n v="15.87"/>
    <n v="288315"/>
    <n v="1"/>
  </r>
  <r>
    <s v="Startup_2437"/>
    <x v="5"/>
    <n v="7"/>
    <n v="27333890"/>
    <n v="4"/>
    <n v="12"/>
    <n v="570"/>
    <n v="57335806"/>
    <n v="93312"/>
    <s v="Small"/>
    <s v="B2B"/>
    <n v="3"/>
    <n v="70.86"/>
    <n v="170616"/>
    <n v="1"/>
  </r>
  <r>
    <s v="Startup_2438"/>
    <x v="5"/>
    <n v="11"/>
    <n v="18079400"/>
    <n v="3"/>
    <n v="25"/>
    <n v="929"/>
    <n v="10795278"/>
    <n v="485847"/>
    <s v="Medium"/>
    <s v="B2B"/>
    <n v="9"/>
    <n v="86.64"/>
    <n v="513232"/>
    <n v="1"/>
  </r>
  <r>
    <s v="Startup_2439"/>
    <x v="4"/>
    <n v="9"/>
    <n v="6841829"/>
    <n v="4"/>
    <n v="15"/>
    <n v="218"/>
    <n v="54905086"/>
    <n v="405950"/>
    <s v="Small"/>
    <s v="B2C"/>
    <n v="4"/>
    <n v="45.11"/>
    <n v="62865"/>
    <n v="1"/>
  </r>
  <r>
    <s v="Startup_2440"/>
    <x v="1"/>
    <n v="11"/>
    <n v="7406695"/>
    <n v="4"/>
    <n v="1"/>
    <n v="978"/>
    <n v="33910370"/>
    <n v="588377"/>
    <s v="Large"/>
    <s v="Hybrid"/>
    <n v="6"/>
    <n v="95.85"/>
    <n v="540392"/>
    <n v="1"/>
  </r>
  <r>
    <s v="Startup_2441"/>
    <x v="3"/>
    <n v="3"/>
    <n v="32685281"/>
    <n v="2"/>
    <n v="7"/>
    <n v="289"/>
    <n v="9608036"/>
    <n v="472898"/>
    <s v="Small"/>
    <s v="B2B"/>
    <n v="2"/>
    <n v="23.69"/>
    <n v="948225"/>
    <n v="1"/>
  </r>
  <r>
    <s v="Startup_2442"/>
    <x v="4"/>
    <n v="4"/>
    <n v="15755201"/>
    <n v="3"/>
    <n v="3"/>
    <n v="295"/>
    <n v="23267976"/>
    <n v="562078"/>
    <s v="Small"/>
    <s v="Hybrid"/>
    <n v="7"/>
    <n v="97"/>
    <n v="370603"/>
    <n v="1"/>
  </r>
  <r>
    <s v="Startup_2443"/>
    <x v="3"/>
    <n v="12"/>
    <n v="18912996"/>
    <n v="4"/>
    <n v="4"/>
    <n v="788"/>
    <n v="90021156"/>
    <n v="659859"/>
    <s v="Small"/>
    <s v="Hybrid"/>
    <n v="6"/>
    <n v="77.010000000000005"/>
    <n v="318491"/>
    <n v="1"/>
  </r>
  <r>
    <s v="Startup_2444"/>
    <x v="2"/>
    <n v="0"/>
    <n v="44309912"/>
    <n v="3"/>
    <n v="12"/>
    <n v="761"/>
    <n v="32004365"/>
    <n v="7258"/>
    <s v="Large"/>
    <s v="B2C"/>
    <n v="7"/>
    <n v="48.55"/>
    <n v="508244"/>
    <n v="1"/>
  </r>
  <r>
    <s v="Startup_2445"/>
    <x v="6"/>
    <n v="0"/>
    <n v="45424488"/>
    <n v="2"/>
    <n v="22"/>
    <n v="50"/>
    <n v="67566595"/>
    <n v="877908"/>
    <s v="Medium"/>
    <s v="B2C"/>
    <n v="4"/>
    <n v="40.869999999999997"/>
    <n v="609557"/>
    <n v="1"/>
  </r>
  <r>
    <s v="Startup_2446"/>
    <x v="0"/>
    <n v="13"/>
    <n v="31848317"/>
    <n v="1"/>
    <n v="21"/>
    <n v="719"/>
    <n v="61163482"/>
    <n v="556356"/>
    <s v="Large"/>
    <s v="Hybrid"/>
    <n v="2"/>
    <n v="46.61"/>
    <n v="575934"/>
    <n v="1"/>
  </r>
  <r>
    <s v="Startup_2447"/>
    <x v="5"/>
    <n v="0"/>
    <n v="26660336"/>
    <n v="4"/>
    <n v="21"/>
    <n v="787"/>
    <n v="59693541"/>
    <n v="84923"/>
    <s v="Medium"/>
    <s v="B2B"/>
    <n v="6"/>
    <n v="24.97"/>
    <n v="99002"/>
    <n v="1"/>
  </r>
  <r>
    <s v="Startup_2448"/>
    <x v="6"/>
    <n v="4"/>
    <n v="42413674"/>
    <n v="4"/>
    <n v="20"/>
    <n v="552"/>
    <n v="30200591"/>
    <n v="296513"/>
    <s v="Medium"/>
    <s v="Hybrid"/>
    <n v="5"/>
    <n v="1.24"/>
    <n v="916031"/>
    <n v="1"/>
  </r>
  <r>
    <s v="Startup_2449"/>
    <x v="3"/>
    <n v="1"/>
    <n v="10017065"/>
    <n v="3"/>
    <n v="9"/>
    <n v="765"/>
    <n v="80114855"/>
    <n v="772926"/>
    <s v="Large"/>
    <s v="B2B"/>
    <n v="5"/>
    <n v="43.97"/>
    <n v="789299"/>
    <n v="1"/>
  </r>
  <r>
    <s v="Startup_2450"/>
    <x v="1"/>
    <n v="4"/>
    <n v="46700608"/>
    <n v="3"/>
    <n v="16"/>
    <n v="974"/>
    <n v="68372515"/>
    <n v="213714"/>
    <s v="Medium"/>
    <s v="Hybrid"/>
    <n v="9"/>
    <n v="67.53"/>
    <n v="122294"/>
    <n v="1"/>
  </r>
  <r>
    <s v="Startup_2451"/>
    <x v="2"/>
    <n v="7"/>
    <n v="42167926"/>
    <n v="2"/>
    <n v="8"/>
    <n v="26"/>
    <n v="19793289"/>
    <n v="488418"/>
    <s v="Medium"/>
    <s v="B2C"/>
    <n v="4"/>
    <n v="85.02"/>
    <n v="175951"/>
    <n v="1"/>
  </r>
  <r>
    <s v="Startup_2452"/>
    <x v="1"/>
    <n v="4"/>
    <n v="18975269"/>
    <n v="4"/>
    <n v="4"/>
    <n v="767"/>
    <n v="64718721"/>
    <n v="684299"/>
    <s v="Large"/>
    <s v="B2B"/>
    <n v="4"/>
    <n v="81.17"/>
    <n v="275621"/>
    <n v="1"/>
  </r>
  <r>
    <s v="Startup_2453"/>
    <x v="4"/>
    <n v="6"/>
    <n v="12638398"/>
    <n v="2"/>
    <n v="21"/>
    <n v="997"/>
    <n v="8335921"/>
    <n v="426523"/>
    <s v="Large"/>
    <s v="Hybrid"/>
    <n v="4"/>
    <n v="89.65"/>
    <n v="616632"/>
    <n v="1"/>
  </r>
  <r>
    <s v="Startup_2454"/>
    <x v="0"/>
    <n v="12"/>
    <n v="38847926"/>
    <n v="4"/>
    <n v="2"/>
    <n v="35"/>
    <n v="66064398"/>
    <n v="360287"/>
    <s v="Medium"/>
    <s v="B2B"/>
    <n v="4"/>
    <n v="0.53"/>
    <n v="844866"/>
    <n v="1"/>
  </r>
  <r>
    <s v="Startup_2455"/>
    <x v="4"/>
    <n v="12"/>
    <n v="22128857"/>
    <n v="4"/>
    <n v="19"/>
    <n v="128"/>
    <n v="15443418"/>
    <n v="847069"/>
    <s v="Large"/>
    <s v="Hybrid"/>
    <n v="7"/>
    <n v="26.15"/>
    <n v="782207"/>
    <n v="1"/>
  </r>
  <r>
    <s v="Startup_2456"/>
    <x v="3"/>
    <n v="12"/>
    <n v="28819503"/>
    <n v="4"/>
    <n v="9"/>
    <n v="886"/>
    <n v="8852636"/>
    <n v="552692"/>
    <s v="Large"/>
    <s v="B2B"/>
    <n v="8"/>
    <n v="16.25"/>
    <n v="396937"/>
    <n v="1"/>
  </r>
  <r>
    <s v="Startup_2457"/>
    <x v="6"/>
    <n v="7"/>
    <n v="40071438"/>
    <n v="2"/>
    <n v="19"/>
    <n v="968"/>
    <n v="13458037"/>
    <n v="599659"/>
    <s v="Large"/>
    <s v="B2B"/>
    <n v="6"/>
    <n v="26.85"/>
    <n v="502496"/>
    <n v="1"/>
  </r>
  <r>
    <s v="Startup_2458"/>
    <x v="4"/>
    <n v="2"/>
    <n v="9858176"/>
    <n v="1"/>
    <n v="3"/>
    <n v="125"/>
    <n v="78693968"/>
    <n v="621884"/>
    <s v="Small"/>
    <s v="Hybrid"/>
    <n v="9"/>
    <n v="1.63"/>
    <n v="34478"/>
    <n v="1"/>
  </r>
  <r>
    <s v="Startup_2459"/>
    <x v="0"/>
    <n v="5"/>
    <n v="1958886"/>
    <n v="3"/>
    <n v="16"/>
    <n v="534"/>
    <n v="42855406"/>
    <n v="989127"/>
    <s v="Large"/>
    <s v="B2C"/>
    <n v="4"/>
    <n v="28.71"/>
    <n v="540006"/>
    <n v="1"/>
  </r>
  <r>
    <s v="Startup_2460"/>
    <x v="3"/>
    <n v="4"/>
    <n v="11996267"/>
    <n v="3"/>
    <n v="19"/>
    <n v="615"/>
    <n v="59498914"/>
    <n v="208435"/>
    <s v="Small"/>
    <s v="B2B"/>
    <n v="9"/>
    <n v="73.260000000000005"/>
    <n v="976016"/>
    <n v="1"/>
  </r>
  <r>
    <s v="Startup_2461"/>
    <x v="0"/>
    <n v="12"/>
    <n v="42973840"/>
    <n v="1"/>
    <n v="18"/>
    <n v="23"/>
    <n v="73270752"/>
    <n v="305401"/>
    <s v="Large"/>
    <s v="B2C"/>
    <n v="7"/>
    <n v="0.49"/>
    <n v="380405"/>
    <n v="1"/>
  </r>
  <r>
    <s v="Startup_2462"/>
    <x v="6"/>
    <n v="12"/>
    <n v="29213467"/>
    <n v="1"/>
    <n v="1"/>
    <n v="700"/>
    <n v="15626276"/>
    <n v="123274"/>
    <s v="Large"/>
    <s v="Hybrid"/>
    <n v="4"/>
    <n v="64.3"/>
    <n v="847740"/>
    <n v="1"/>
  </r>
  <r>
    <s v="Startup_2463"/>
    <x v="5"/>
    <n v="0"/>
    <n v="3259326"/>
    <n v="2"/>
    <n v="0"/>
    <n v="826"/>
    <n v="11168686"/>
    <n v="717522"/>
    <s v="Medium"/>
    <s v="Hybrid"/>
    <n v="6"/>
    <n v="55.11"/>
    <n v="120754"/>
    <n v="1"/>
  </r>
  <r>
    <s v="Startup_2464"/>
    <x v="1"/>
    <n v="10"/>
    <n v="26313932"/>
    <n v="1"/>
    <n v="5"/>
    <n v="293"/>
    <n v="25687256"/>
    <n v="103291"/>
    <s v="Small"/>
    <s v="B2B"/>
    <n v="2"/>
    <n v="56.32"/>
    <n v="806963"/>
    <n v="1"/>
  </r>
  <r>
    <s v="Startup_2465"/>
    <x v="2"/>
    <n v="6"/>
    <n v="38366587"/>
    <n v="1"/>
    <n v="10"/>
    <n v="207"/>
    <n v="62068301"/>
    <n v="262762"/>
    <s v="Medium"/>
    <s v="B2B"/>
    <n v="8"/>
    <n v="73.13"/>
    <n v="370549"/>
    <n v="1"/>
  </r>
  <r>
    <s v="Startup_2466"/>
    <x v="1"/>
    <n v="10"/>
    <n v="7385976"/>
    <n v="2"/>
    <n v="15"/>
    <n v="148"/>
    <n v="35370699"/>
    <n v="97704"/>
    <s v="Small"/>
    <s v="Hybrid"/>
    <n v="9"/>
    <n v="98.23"/>
    <n v="388500"/>
    <n v="1"/>
  </r>
  <r>
    <s v="Startup_2467"/>
    <x v="1"/>
    <n v="6"/>
    <n v="4650382"/>
    <n v="3"/>
    <n v="20"/>
    <n v="782"/>
    <n v="96748242"/>
    <n v="283416"/>
    <s v="Small"/>
    <s v="B2C"/>
    <n v="6"/>
    <n v="51.12"/>
    <n v="966050"/>
    <n v="1"/>
  </r>
  <r>
    <s v="Startup_2468"/>
    <x v="3"/>
    <n v="2"/>
    <n v="13978871"/>
    <n v="2"/>
    <n v="22"/>
    <n v="8"/>
    <n v="30312890"/>
    <n v="135412"/>
    <s v="Large"/>
    <s v="B2C"/>
    <n v="4"/>
    <n v="18.899999999999999"/>
    <n v="114662"/>
    <n v="1"/>
  </r>
  <r>
    <s v="Startup_2469"/>
    <x v="3"/>
    <n v="13"/>
    <n v="11744327"/>
    <n v="2"/>
    <n v="28"/>
    <n v="171"/>
    <n v="66063165"/>
    <n v="550366"/>
    <s v="Large"/>
    <s v="B2C"/>
    <n v="5"/>
    <n v="91.45"/>
    <n v="651431"/>
    <n v="1"/>
  </r>
  <r>
    <s v="Startup_2470"/>
    <x v="3"/>
    <n v="1"/>
    <n v="16338553"/>
    <n v="1"/>
    <n v="8"/>
    <n v="279"/>
    <n v="11617631"/>
    <n v="251800"/>
    <s v="Large"/>
    <s v="B2C"/>
    <n v="1"/>
    <n v="59.77"/>
    <n v="463717"/>
    <n v="1"/>
  </r>
  <r>
    <s v="Startup_2471"/>
    <x v="3"/>
    <n v="12"/>
    <n v="48076790"/>
    <n v="2"/>
    <n v="21"/>
    <n v="984"/>
    <n v="39169033"/>
    <n v="996692"/>
    <s v="Small"/>
    <s v="Hybrid"/>
    <n v="8"/>
    <n v="70.63"/>
    <n v="839317"/>
    <n v="1"/>
  </r>
  <r>
    <s v="Startup_2472"/>
    <x v="2"/>
    <n v="11"/>
    <n v="35704599"/>
    <n v="1"/>
    <n v="13"/>
    <n v="705"/>
    <n v="18596133"/>
    <n v="972199"/>
    <s v="Medium"/>
    <s v="Hybrid"/>
    <n v="2"/>
    <n v="73.150000000000006"/>
    <n v="328337"/>
    <n v="1"/>
  </r>
  <r>
    <s v="Startup_2473"/>
    <x v="6"/>
    <n v="13"/>
    <n v="16107262"/>
    <n v="1"/>
    <n v="1"/>
    <n v="660"/>
    <n v="22722258"/>
    <n v="13808"/>
    <s v="Large"/>
    <s v="B2C"/>
    <n v="2"/>
    <n v="97.91"/>
    <n v="760296"/>
    <n v="1"/>
  </r>
  <r>
    <s v="Startup_2474"/>
    <x v="5"/>
    <n v="12"/>
    <n v="11695322"/>
    <n v="1"/>
    <n v="11"/>
    <n v="282"/>
    <n v="82139496"/>
    <n v="110545"/>
    <s v="Small"/>
    <s v="B2C"/>
    <n v="6"/>
    <n v="75.91"/>
    <n v="658166"/>
    <n v="1"/>
  </r>
  <r>
    <s v="Startup_2475"/>
    <x v="5"/>
    <n v="7"/>
    <n v="29266020"/>
    <n v="2"/>
    <n v="6"/>
    <n v="111"/>
    <n v="57861130"/>
    <n v="919945"/>
    <s v="Small"/>
    <s v="B2C"/>
    <n v="3"/>
    <n v="44.68"/>
    <n v="15560"/>
    <n v="1"/>
  </r>
  <r>
    <s v="Startup_2476"/>
    <x v="4"/>
    <n v="9"/>
    <n v="37114912"/>
    <n v="2"/>
    <n v="23"/>
    <n v="130"/>
    <n v="62770539"/>
    <n v="238514"/>
    <s v="Medium"/>
    <s v="B2B"/>
    <n v="5"/>
    <n v="82.89"/>
    <n v="585207"/>
    <n v="1"/>
  </r>
  <r>
    <s v="Startup_2477"/>
    <x v="0"/>
    <n v="14"/>
    <n v="5344130"/>
    <n v="3"/>
    <n v="7"/>
    <n v="771"/>
    <n v="52927088"/>
    <n v="345356"/>
    <s v="Large"/>
    <s v="B2B"/>
    <n v="9"/>
    <n v="39.92"/>
    <n v="861591"/>
    <n v="1"/>
  </r>
  <r>
    <s v="Startup_2478"/>
    <x v="3"/>
    <n v="3"/>
    <n v="6447333"/>
    <n v="2"/>
    <n v="1"/>
    <n v="628"/>
    <n v="59602289"/>
    <n v="887329"/>
    <s v="Medium"/>
    <s v="Hybrid"/>
    <n v="2"/>
    <n v="67.97"/>
    <n v="873053"/>
    <n v="1"/>
  </r>
  <r>
    <s v="Startup_2479"/>
    <x v="6"/>
    <n v="12"/>
    <n v="23686097"/>
    <n v="4"/>
    <n v="15"/>
    <n v="20"/>
    <n v="2884553"/>
    <n v="51514"/>
    <s v="Medium"/>
    <s v="B2B"/>
    <n v="9"/>
    <n v="22.98"/>
    <n v="340537"/>
    <n v="1"/>
  </r>
  <r>
    <s v="Startup_2480"/>
    <x v="3"/>
    <n v="9"/>
    <n v="49283050"/>
    <n v="3"/>
    <n v="28"/>
    <n v="876"/>
    <n v="97775133"/>
    <n v="647557"/>
    <s v="Small"/>
    <s v="B2B"/>
    <n v="1"/>
    <n v="62.57"/>
    <n v="449130"/>
    <n v="1"/>
  </r>
  <r>
    <s v="Startup_2481"/>
    <x v="6"/>
    <n v="9"/>
    <n v="27314963"/>
    <n v="1"/>
    <n v="21"/>
    <n v="522"/>
    <n v="25825105"/>
    <n v="659918"/>
    <s v="Large"/>
    <s v="B2C"/>
    <n v="8"/>
    <n v="50.07"/>
    <n v="916866"/>
    <n v="1"/>
  </r>
  <r>
    <s v="Startup_2482"/>
    <x v="6"/>
    <n v="11"/>
    <n v="17670719"/>
    <n v="1"/>
    <n v="15"/>
    <n v="541"/>
    <n v="57394852"/>
    <n v="85248"/>
    <s v="Medium"/>
    <s v="Hybrid"/>
    <n v="8"/>
    <n v="87.44"/>
    <n v="413121"/>
    <n v="1"/>
  </r>
  <r>
    <s v="Startup_2483"/>
    <x v="2"/>
    <n v="13"/>
    <n v="47977691"/>
    <n v="3"/>
    <n v="28"/>
    <n v="704"/>
    <n v="41536517"/>
    <n v="435965"/>
    <s v="Large"/>
    <s v="Hybrid"/>
    <n v="9"/>
    <n v="14.24"/>
    <n v="553471"/>
    <n v="1"/>
  </r>
  <r>
    <s v="Startup_2484"/>
    <x v="3"/>
    <n v="10"/>
    <n v="24061187"/>
    <n v="4"/>
    <n v="15"/>
    <n v="279"/>
    <n v="77855309"/>
    <n v="754281"/>
    <s v="Large"/>
    <s v="B2C"/>
    <n v="3"/>
    <n v="12.44"/>
    <n v="523786"/>
    <n v="1"/>
  </r>
  <r>
    <s v="Startup_2485"/>
    <x v="4"/>
    <n v="1"/>
    <n v="22677655"/>
    <n v="2"/>
    <n v="21"/>
    <n v="704"/>
    <n v="10146888"/>
    <n v="450574"/>
    <s v="Small"/>
    <s v="B2B"/>
    <n v="2"/>
    <n v="14.52"/>
    <n v="665378"/>
    <n v="1"/>
  </r>
  <r>
    <s v="Startup_2486"/>
    <x v="1"/>
    <n v="3"/>
    <n v="33775417"/>
    <n v="2"/>
    <n v="1"/>
    <n v="617"/>
    <n v="98059578"/>
    <n v="572755"/>
    <s v="Medium"/>
    <s v="B2B"/>
    <n v="3"/>
    <n v="8.43"/>
    <n v="285537"/>
    <n v="1"/>
  </r>
  <r>
    <s v="Startup_2487"/>
    <x v="6"/>
    <n v="13"/>
    <n v="8435913"/>
    <n v="1"/>
    <n v="2"/>
    <n v="571"/>
    <n v="31686160"/>
    <n v="629496"/>
    <s v="Medium"/>
    <s v="Hybrid"/>
    <n v="4"/>
    <n v="96.69"/>
    <n v="194527"/>
    <n v="1"/>
  </r>
  <r>
    <s v="Startup_2488"/>
    <x v="1"/>
    <n v="3"/>
    <n v="22227282"/>
    <n v="2"/>
    <n v="18"/>
    <n v="286"/>
    <n v="20728457"/>
    <n v="913595"/>
    <s v="Small"/>
    <s v="B2B"/>
    <n v="8"/>
    <n v="13.06"/>
    <n v="551499"/>
    <n v="1"/>
  </r>
  <r>
    <s v="Startup_2489"/>
    <x v="5"/>
    <n v="9"/>
    <n v="12033212"/>
    <n v="2"/>
    <n v="20"/>
    <n v="708"/>
    <n v="23568255"/>
    <n v="699188"/>
    <s v="Medium"/>
    <s v="B2B"/>
    <n v="5"/>
    <n v="35.53"/>
    <n v="833282"/>
    <n v="1"/>
  </r>
  <r>
    <s v="Startup_2490"/>
    <x v="2"/>
    <n v="11"/>
    <n v="34572546"/>
    <n v="1"/>
    <n v="24"/>
    <n v="536"/>
    <n v="14399370"/>
    <n v="987012"/>
    <s v="Large"/>
    <s v="B2C"/>
    <n v="6"/>
    <n v="73"/>
    <n v="369143"/>
    <n v="1"/>
  </r>
  <r>
    <s v="Startup_2491"/>
    <x v="0"/>
    <n v="2"/>
    <n v="1487144"/>
    <n v="1"/>
    <n v="6"/>
    <n v="686"/>
    <n v="44814258"/>
    <n v="825068"/>
    <s v="Large"/>
    <s v="B2C"/>
    <n v="2"/>
    <n v="12.06"/>
    <n v="462814"/>
    <n v="1"/>
  </r>
  <r>
    <s v="Startup_2492"/>
    <x v="6"/>
    <n v="11"/>
    <n v="36783570"/>
    <n v="4"/>
    <n v="29"/>
    <n v="595"/>
    <n v="29499532"/>
    <n v="260812"/>
    <s v="Small"/>
    <s v="Hybrid"/>
    <n v="8"/>
    <n v="18.78"/>
    <n v="583959"/>
    <n v="1"/>
  </r>
  <r>
    <s v="Startup_2493"/>
    <x v="2"/>
    <n v="10"/>
    <n v="32800420"/>
    <n v="2"/>
    <n v="5"/>
    <n v="953"/>
    <n v="55078040"/>
    <n v="597914"/>
    <s v="Medium"/>
    <s v="B2B"/>
    <n v="8"/>
    <n v="26.81"/>
    <n v="472877"/>
    <n v="1"/>
  </r>
  <r>
    <s v="Startup_2494"/>
    <x v="2"/>
    <n v="4"/>
    <n v="16185857"/>
    <n v="1"/>
    <n v="20"/>
    <n v="947"/>
    <n v="44118791"/>
    <n v="209202"/>
    <s v="Medium"/>
    <s v="Hybrid"/>
    <n v="3"/>
    <n v="32.29"/>
    <n v="647759"/>
    <n v="1"/>
  </r>
  <r>
    <s v="Startup_2495"/>
    <x v="4"/>
    <n v="9"/>
    <n v="34731496"/>
    <n v="2"/>
    <n v="15"/>
    <n v="325"/>
    <n v="99619460"/>
    <n v="783571"/>
    <s v="Small"/>
    <s v="Hybrid"/>
    <n v="1"/>
    <n v="13.23"/>
    <n v="644541"/>
    <n v="1"/>
  </r>
  <r>
    <s v="Startup_2496"/>
    <x v="1"/>
    <n v="9"/>
    <n v="5617367"/>
    <n v="2"/>
    <n v="29"/>
    <n v="397"/>
    <n v="11533815"/>
    <n v="196390"/>
    <s v="Small"/>
    <s v="B2B"/>
    <n v="6"/>
    <n v="12.26"/>
    <n v="800759"/>
    <n v="1"/>
  </r>
  <r>
    <s v="Startup_2497"/>
    <x v="0"/>
    <n v="14"/>
    <n v="43281924"/>
    <n v="4"/>
    <n v="20"/>
    <n v="52"/>
    <n v="46668060"/>
    <n v="63391"/>
    <s v="Medium"/>
    <s v="B2C"/>
    <n v="7"/>
    <n v="80.56"/>
    <n v="998842"/>
    <n v="1"/>
  </r>
  <r>
    <s v="Startup_2498"/>
    <x v="4"/>
    <n v="3"/>
    <n v="44655784"/>
    <n v="2"/>
    <n v="3"/>
    <n v="14"/>
    <n v="28000118"/>
    <n v="456158"/>
    <s v="Large"/>
    <s v="B2C"/>
    <n v="1"/>
    <n v="18.36"/>
    <n v="526933"/>
    <n v="1"/>
  </r>
  <r>
    <s v="Startup_2499"/>
    <x v="5"/>
    <n v="4"/>
    <n v="33420818"/>
    <n v="1"/>
    <n v="2"/>
    <n v="367"/>
    <n v="55270882"/>
    <n v="526138"/>
    <s v="Large"/>
    <s v="B2C"/>
    <n v="5"/>
    <n v="82.33"/>
    <n v="671158"/>
    <n v="1"/>
  </r>
  <r>
    <s v="Startup_2500"/>
    <x v="4"/>
    <n v="14"/>
    <n v="37982614"/>
    <n v="3"/>
    <n v="22"/>
    <n v="196"/>
    <n v="43836648"/>
    <n v="650054"/>
    <s v="Medium"/>
    <s v="B2B"/>
    <n v="7"/>
    <n v="27.83"/>
    <n v="372158"/>
    <n v="1"/>
  </r>
  <r>
    <s v="Startup_2501"/>
    <x v="1"/>
    <n v="0"/>
    <n v="19503839"/>
    <n v="4"/>
    <n v="27"/>
    <n v="836"/>
    <n v="9583180"/>
    <n v="291103"/>
    <s v="Medium"/>
    <s v="B2C"/>
    <n v="1"/>
    <n v="70.28"/>
    <n v="143970"/>
    <n v="1"/>
  </r>
  <r>
    <s v="Startup_2502"/>
    <x v="1"/>
    <n v="7"/>
    <n v="36025108"/>
    <n v="2"/>
    <n v="28"/>
    <n v="256"/>
    <n v="12104115"/>
    <n v="730368"/>
    <s v="Small"/>
    <s v="B2C"/>
    <n v="2"/>
    <n v="7.31"/>
    <n v="153790"/>
    <n v="1"/>
  </r>
  <r>
    <s v="Startup_2503"/>
    <x v="1"/>
    <n v="0"/>
    <n v="18184898"/>
    <n v="1"/>
    <n v="11"/>
    <n v="707"/>
    <n v="78995637"/>
    <n v="482218"/>
    <s v="Medium"/>
    <s v="B2C"/>
    <n v="3"/>
    <n v="77.41"/>
    <n v="258210"/>
    <n v="1"/>
  </r>
  <r>
    <s v="Startup_2504"/>
    <x v="3"/>
    <n v="7"/>
    <n v="30260193"/>
    <n v="1"/>
    <n v="29"/>
    <n v="550"/>
    <n v="51837243"/>
    <n v="950913"/>
    <s v="Medium"/>
    <s v="B2B"/>
    <n v="8"/>
    <n v="61.71"/>
    <n v="986134"/>
    <n v="1"/>
  </r>
  <r>
    <s v="Startup_2505"/>
    <x v="6"/>
    <n v="6"/>
    <n v="18346011"/>
    <n v="1"/>
    <n v="27"/>
    <n v="835"/>
    <n v="79456386"/>
    <n v="906043"/>
    <s v="Medium"/>
    <s v="B2B"/>
    <n v="2"/>
    <n v="73.83"/>
    <n v="263447"/>
    <n v="1"/>
  </r>
  <r>
    <s v="Startup_2506"/>
    <x v="3"/>
    <n v="14"/>
    <n v="49870303"/>
    <n v="1"/>
    <n v="27"/>
    <n v="959"/>
    <n v="55813941"/>
    <n v="762669"/>
    <s v="Large"/>
    <s v="B2B"/>
    <n v="7"/>
    <n v="16.61"/>
    <n v="750575"/>
    <n v="1"/>
  </r>
  <r>
    <s v="Startup_2507"/>
    <x v="6"/>
    <n v="2"/>
    <n v="19244892"/>
    <n v="4"/>
    <n v="23"/>
    <n v="167"/>
    <n v="17960499"/>
    <n v="170196"/>
    <s v="Medium"/>
    <s v="B2B"/>
    <n v="7"/>
    <n v="87.53"/>
    <n v="670983"/>
    <n v="1"/>
  </r>
  <r>
    <s v="Startup_2508"/>
    <x v="5"/>
    <n v="9"/>
    <n v="97337"/>
    <n v="1"/>
    <n v="13"/>
    <n v="638"/>
    <n v="53528737"/>
    <n v="598502"/>
    <s v="Medium"/>
    <s v="B2B"/>
    <n v="5"/>
    <n v="33.81"/>
    <n v="564045"/>
    <n v="1"/>
  </r>
  <r>
    <s v="Startup_2509"/>
    <x v="4"/>
    <n v="0"/>
    <n v="4341544"/>
    <n v="2"/>
    <n v="28"/>
    <n v="948"/>
    <n v="29756598"/>
    <n v="181159"/>
    <s v="Large"/>
    <s v="B2C"/>
    <n v="5"/>
    <n v="6.78"/>
    <n v="20019"/>
    <n v="1"/>
  </r>
  <r>
    <s v="Startup_2510"/>
    <x v="2"/>
    <n v="2"/>
    <n v="22516263"/>
    <n v="2"/>
    <n v="15"/>
    <n v="537"/>
    <n v="12941452"/>
    <n v="650378"/>
    <s v="Large"/>
    <s v="B2B"/>
    <n v="4"/>
    <n v="50.99"/>
    <n v="475836"/>
    <n v="1"/>
  </r>
  <r>
    <s v="Startup_2511"/>
    <x v="6"/>
    <n v="9"/>
    <n v="26657331"/>
    <n v="1"/>
    <n v="29"/>
    <n v="685"/>
    <n v="3348068"/>
    <n v="540653"/>
    <s v="Medium"/>
    <s v="B2B"/>
    <n v="9"/>
    <n v="6.59"/>
    <n v="858192"/>
    <n v="1"/>
  </r>
  <r>
    <s v="Startup_2512"/>
    <x v="3"/>
    <n v="11"/>
    <n v="132855"/>
    <n v="2"/>
    <n v="9"/>
    <n v="135"/>
    <n v="84728287"/>
    <n v="528812"/>
    <s v="Medium"/>
    <s v="B2C"/>
    <n v="6"/>
    <n v="1.59"/>
    <n v="511202"/>
    <n v="1"/>
  </r>
  <r>
    <s v="Startup_2513"/>
    <x v="4"/>
    <n v="1"/>
    <n v="15741212"/>
    <n v="3"/>
    <n v="26"/>
    <n v="360"/>
    <n v="75854260"/>
    <n v="333785"/>
    <s v="Large"/>
    <s v="B2B"/>
    <n v="5"/>
    <n v="71.540000000000006"/>
    <n v="88560"/>
    <n v="1"/>
  </r>
  <r>
    <s v="Startup_2514"/>
    <x v="1"/>
    <n v="11"/>
    <n v="42464630"/>
    <n v="3"/>
    <n v="20"/>
    <n v="302"/>
    <n v="94430374"/>
    <n v="713188"/>
    <s v="Large"/>
    <s v="Hybrid"/>
    <n v="3"/>
    <n v="3.21"/>
    <n v="424399"/>
    <n v="1"/>
  </r>
  <r>
    <s v="Startup_2515"/>
    <x v="0"/>
    <n v="3"/>
    <n v="33797292"/>
    <n v="3"/>
    <n v="21"/>
    <n v="537"/>
    <n v="97519366"/>
    <n v="599061"/>
    <s v="Medium"/>
    <s v="B2B"/>
    <n v="3"/>
    <n v="32.99"/>
    <n v="995092"/>
    <n v="1"/>
  </r>
  <r>
    <s v="Startup_2516"/>
    <x v="4"/>
    <n v="6"/>
    <n v="15891933"/>
    <n v="2"/>
    <n v="29"/>
    <n v="924"/>
    <n v="31484922"/>
    <n v="283552"/>
    <s v="Large"/>
    <s v="B2C"/>
    <n v="9"/>
    <n v="69.45"/>
    <n v="671783"/>
    <n v="1"/>
  </r>
  <r>
    <s v="Startup_2517"/>
    <x v="2"/>
    <n v="0"/>
    <n v="25070257"/>
    <n v="2"/>
    <n v="2"/>
    <n v="428"/>
    <n v="68165102"/>
    <n v="533863"/>
    <s v="Medium"/>
    <s v="Hybrid"/>
    <n v="5"/>
    <n v="22.61"/>
    <n v="122849"/>
    <n v="1"/>
  </r>
  <r>
    <s v="Startup_2518"/>
    <x v="3"/>
    <n v="11"/>
    <n v="26845405"/>
    <n v="1"/>
    <n v="9"/>
    <n v="752"/>
    <n v="93307306"/>
    <n v="235762"/>
    <s v="Large"/>
    <s v="B2B"/>
    <n v="7"/>
    <n v="99.68"/>
    <n v="321778"/>
    <n v="1"/>
  </r>
  <r>
    <s v="Startup_2519"/>
    <x v="5"/>
    <n v="12"/>
    <n v="6296811"/>
    <n v="4"/>
    <n v="6"/>
    <n v="5"/>
    <n v="12609183"/>
    <n v="211171"/>
    <s v="Small"/>
    <s v="B2B"/>
    <n v="4"/>
    <n v="27.12"/>
    <n v="478019"/>
    <n v="1"/>
  </r>
  <r>
    <s v="Startup_2520"/>
    <x v="6"/>
    <n v="12"/>
    <n v="37446194"/>
    <n v="4"/>
    <n v="10"/>
    <n v="358"/>
    <n v="71226288"/>
    <n v="605339"/>
    <s v="Small"/>
    <s v="Hybrid"/>
    <n v="6"/>
    <n v="43.91"/>
    <n v="656366"/>
    <n v="1"/>
  </r>
  <r>
    <s v="Startup_2521"/>
    <x v="5"/>
    <n v="7"/>
    <n v="30512978"/>
    <n v="2"/>
    <n v="2"/>
    <n v="315"/>
    <n v="47848413"/>
    <n v="475544"/>
    <s v="Medium"/>
    <s v="B2B"/>
    <n v="3"/>
    <n v="62.39"/>
    <n v="339105"/>
    <n v="1"/>
  </r>
  <r>
    <s v="Startup_2522"/>
    <x v="0"/>
    <n v="5"/>
    <n v="36985870"/>
    <n v="1"/>
    <n v="28"/>
    <n v="557"/>
    <n v="52548787"/>
    <n v="324867"/>
    <s v="Medium"/>
    <s v="B2B"/>
    <n v="3"/>
    <n v="5.85"/>
    <n v="867750"/>
    <n v="1"/>
  </r>
  <r>
    <s v="Startup_2523"/>
    <x v="6"/>
    <n v="7"/>
    <n v="39128210"/>
    <n v="3"/>
    <n v="27"/>
    <n v="743"/>
    <n v="8697320"/>
    <n v="121395"/>
    <s v="Medium"/>
    <s v="B2B"/>
    <n v="6"/>
    <n v="33.69"/>
    <n v="810022"/>
    <n v="1"/>
  </r>
  <r>
    <s v="Startup_2524"/>
    <x v="6"/>
    <n v="5"/>
    <n v="41566891"/>
    <n v="2"/>
    <n v="0"/>
    <n v="69"/>
    <n v="1195031"/>
    <n v="990126"/>
    <s v="Large"/>
    <s v="Hybrid"/>
    <n v="7"/>
    <n v="28.95"/>
    <n v="410699"/>
    <n v="1"/>
  </r>
  <r>
    <s v="Startup_2525"/>
    <x v="5"/>
    <n v="12"/>
    <n v="13388687"/>
    <n v="2"/>
    <n v="25"/>
    <n v="417"/>
    <n v="29088993"/>
    <n v="889549"/>
    <s v="Large"/>
    <s v="B2B"/>
    <n v="5"/>
    <n v="31.93"/>
    <n v="149482"/>
    <n v="1"/>
  </r>
  <r>
    <s v="Startup_2526"/>
    <x v="2"/>
    <n v="8"/>
    <n v="41217030"/>
    <n v="2"/>
    <n v="1"/>
    <n v="418"/>
    <n v="50772442"/>
    <n v="884115"/>
    <s v="Medium"/>
    <s v="B2B"/>
    <n v="7"/>
    <n v="89.25"/>
    <n v="527033"/>
    <n v="1"/>
  </r>
  <r>
    <s v="Startup_2527"/>
    <x v="2"/>
    <n v="3"/>
    <n v="12565170"/>
    <n v="1"/>
    <n v="4"/>
    <n v="722"/>
    <n v="8098849"/>
    <n v="990857"/>
    <s v="Medium"/>
    <s v="B2B"/>
    <n v="4"/>
    <n v="56.8"/>
    <n v="796010"/>
    <n v="1"/>
  </r>
  <r>
    <s v="Startup_2528"/>
    <x v="2"/>
    <n v="4"/>
    <n v="20563549"/>
    <n v="1"/>
    <n v="24"/>
    <n v="37"/>
    <n v="43845505"/>
    <n v="557985"/>
    <s v="Medium"/>
    <s v="B2B"/>
    <n v="4"/>
    <n v="83.38"/>
    <n v="772738"/>
    <n v="1"/>
  </r>
  <r>
    <s v="Startup_2529"/>
    <x v="5"/>
    <n v="8"/>
    <n v="3697702"/>
    <n v="4"/>
    <n v="25"/>
    <n v="764"/>
    <n v="95802539"/>
    <n v="754267"/>
    <s v="Small"/>
    <s v="B2B"/>
    <n v="7"/>
    <n v="26.99"/>
    <n v="472731"/>
    <n v="1"/>
  </r>
  <r>
    <s v="Startup_2530"/>
    <x v="2"/>
    <n v="13"/>
    <n v="19577932"/>
    <n v="1"/>
    <n v="29"/>
    <n v="335"/>
    <n v="57952535"/>
    <n v="362926"/>
    <s v="Large"/>
    <s v="Hybrid"/>
    <n v="9"/>
    <n v="54.42"/>
    <n v="670302"/>
    <n v="1"/>
  </r>
  <r>
    <s v="Startup_2531"/>
    <x v="5"/>
    <n v="4"/>
    <n v="36678626"/>
    <n v="2"/>
    <n v="16"/>
    <n v="494"/>
    <n v="97510467"/>
    <n v="5425"/>
    <s v="Medium"/>
    <s v="Hybrid"/>
    <n v="4"/>
    <n v="54.86"/>
    <n v="157420"/>
    <n v="1"/>
  </r>
  <r>
    <s v="Startup_2532"/>
    <x v="5"/>
    <n v="1"/>
    <n v="41969814"/>
    <n v="4"/>
    <n v="18"/>
    <n v="998"/>
    <n v="39366401"/>
    <n v="990500"/>
    <s v="Large"/>
    <s v="B2C"/>
    <n v="1"/>
    <n v="75.23"/>
    <n v="872952"/>
    <n v="1"/>
  </r>
  <r>
    <s v="Startup_2533"/>
    <x v="3"/>
    <n v="14"/>
    <n v="21017375"/>
    <n v="3"/>
    <n v="17"/>
    <n v="754"/>
    <n v="78299803"/>
    <n v="722470"/>
    <s v="Small"/>
    <s v="Hybrid"/>
    <n v="3"/>
    <n v="42.45"/>
    <n v="749673"/>
    <n v="1"/>
  </r>
  <r>
    <s v="Startup_2534"/>
    <x v="2"/>
    <n v="9"/>
    <n v="10275524"/>
    <n v="4"/>
    <n v="3"/>
    <n v="60"/>
    <n v="29087213"/>
    <n v="774449"/>
    <s v="Small"/>
    <s v="B2C"/>
    <n v="9"/>
    <n v="45.5"/>
    <n v="596002"/>
    <n v="1"/>
  </r>
  <r>
    <s v="Startup_2535"/>
    <x v="5"/>
    <n v="8"/>
    <n v="20585991"/>
    <n v="2"/>
    <n v="23"/>
    <n v="852"/>
    <n v="67704101"/>
    <n v="874529"/>
    <s v="Small"/>
    <s v="Hybrid"/>
    <n v="8"/>
    <n v="18.77"/>
    <n v="548114"/>
    <n v="1"/>
  </r>
  <r>
    <s v="Startup_2536"/>
    <x v="2"/>
    <n v="14"/>
    <n v="32242891"/>
    <n v="2"/>
    <n v="3"/>
    <n v="439"/>
    <n v="3895041"/>
    <n v="412738"/>
    <s v="Large"/>
    <s v="B2C"/>
    <n v="8"/>
    <n v="12.89"/>
    <n v="492527"/>
    <n v="1"/>
  </r>
  <r>
    <s v="Startup_2537"/>
    <x v="5"/>
    <n v="7"/>
    <n v="32911322"/>
    <n v="2"/>
    <n v="8"/>
    <n v="994"/>
    <n v="10127214"/>
    <n v="596637"/>
    <s v="Large"/>
    <s v="B2B"/>
    <n v="7"/>
    <n v="29.34"/>
    <n v="994125"/>
    <n v="1"/>
  </r>
  <r>
    <s v="Startup_2538"/>
    <x v="6"/>
    <n v="5"/>
    <n v="37066417"/>
    <n v="3"/>
    <n v="5"/>
    <n v="177"/>
    <n v="31784498"/>
    <n v="651247"/>
    <s v="Medium"/>
    <s v="Hybrid"/>
    <n v="4"/>
    <n v="71.42"/>
    <n v="202890"/>
    <n v="1"/>
  </r>
  <r>
    <s v="Startup_2539"/>
    <x v="6"/>
    <n v="4"/>
    <n v="19616076"/>
    <n v="3"/>
    <n v="3"/>
    <n v="879"/>
    <n v="83356914"/>
    <n v="205555"/>
    <s v="Medium"/>
    <s v="Hybrid"/>
    <n v="6"/>
    <n v="66.88"/>
    <n v="196888"/>
    <n v="1"/>
  </r>
  <r>
    <s v="Startup_2540"/>
    <x v="1"/>
    <n v="2"/>
    <n v="32298527"/>
    <n v="2"/>
    <n v="24"/>
    <n v="797"/>
    <n v="61058071"/>
    <n v="433052"/>
    <s v="Medium"/>
    <s v="Hybrid"/>
    <n v="4"/>
    <n v="87.81"/>
    <n v="949724"/>
    <n v="1"/>
  </r>
  <r>
    <s v="Startup_2541"/>
    <x v="6"/>
    <n v="13"/>
    <n v="19720302"/>
    <n v="2"/>
    <n v="10"/>
    <n v="568"/>
    <n v="95699146"/>
    <n v="439484"/>
    <s v="Large"/>
    <s v="Hybrid"/>
    <n v="4"/>
    <n v="93.22"/>
    <n v="903260"/>
    <n v="1"/>
  </r>
  <r>
    <s v="Startup_2542"/>
    <x v="6"/>
    <n v="3"/>
    <n v="44545839"/>
    <n v="3"/>
    <n v="3"/>
    <n v="849"/>
    <n v="37382245"/>
    <n v="919230"/>
    <s v="Small"/>
    <s v="Hybrid"/>
    <n v="9"/>
    <n v="19.46"/>
    <n v="592609"/>
    <n v="1"/>
  </r>
  <r>
    <s v="Startup_2543"/>
    <x v="4"/>
    <n v="5"/>
    <n v="23985491"/>
    <n v="3"/>
    <n v="17"/>
    <n v="836"/>
    <n v="33193885"/>
    <n v="864125"/>
    <s v="Medium"/>
    <s v="Hybrid"/>
    <n v="5"/>
    <n v="70.709999999999994"/>
    <n v="449789"/>
    <n v="1"/>
  </r>
  <r>
    <s v="Startup_2544"/>
    <x v="0"/>
    <n v="3"/>
    <n v="43109115"/>
    <n v="2"/>
    <n v="27"/>
    <n v="27"/>
    <n v="50386173"/>
    <n v="676516"/>
    <s v="Medium"/>
    <s v="B2C"/>
    <n v="3"/>
    <n v="52.94"/>
    <n v="741998"/>
    <n v="1"/>
  </r>
  <r>
    <s v="Startup_2545"/>
    <x v="0"/>
    <n v="11"/>
    <n v="34865638"/>
    <n v="1"/>
    <n v="0"/>
    <n v="23"/>
    <n v="83774986"/>
    <n v="965611"/>
    <s v="Medium"/>
    <s v="Hybrid"/>
    <n v="3"/>
    <n v="53.84"/>
    <n v="382146"/>
    <n v="1"/>
  </r>
  <r>
    <s v="Startup_2546"/>
    <x v="3"/>
    <n v="14"/>
    <n v="45944750"/>
    <n v="2"/>
    <n v="27"/>
    <n v="393"/>
    <n v="8558348"/>
    <n v="95707"/>
    <s v="Medium"/>
    <s v="B2B"/>
    <n v="3"/>
    <n v="93.57"/>
    <n v="700972"/>
    <n v="1"/>
  </r>
  <r>
    <s v="Startup_2547"/>
    <x v="0"/>
    <n v="5"/>
    <n v="29591811"/>
    <n v="2"/>
    <n v="7"/>
    <n v="746"/>
    <n v="50421449"/>
    <n v="222040"/>
    <s v="Large"/>
    <s v="B2C"/>
    <n v="5"/>
    <n v="69.790000000000006"/>
    <n v="488306"/>
    <n v="1"/>
  </r>
  <r>
    <s v="Startup_2548"/>
    <x v="4"/>
    <n v="12"/>
    <n v="9191201"/>
    <n v="1"/>
    <n v="28"/>
    <n v="595"/>
    <n v="70682372"/>
    <n v="94615"/>
    <s v="Large"/>
    <s v="Hybrid"/>
    <n v="2"/>
    <n v="34.840000000000003"/>
    <n v="637638"/>
    <n v="1"/>
  </r>
  <r>
    <s v="Startup_2549"/>
    <x v="5"/>
    <n v="12"/>
    <n v="2451978"/>
    <n v="2"/>
    <n v="27"/>
    <n v="393"/>
    <n v="28331706"/>
    <n v="411268"/>
    <s v="Small"/>
    <s v="B2C"/>
    <n v="7"/>
    <n v="77.03"/>
    <n v="570667"/>
    <n v="1"/>
  </r>
  <r>
    <s v="Startup_2550"/>
    <x v="3"/>
    <n v="0"/>
    <n v="26252030"/>
    <n v="3"/>
    <n v="18"/>
    <n v="766"/>
    <n v="60687809"/>
    <n v="952664"/>
    <s v="Medium"/>
    <s v="Hybrid"/>
    <n v="9"/>
    <n v="52.94"/>
    <n v="259884"/>
    <n v="1"/>
  </r>
  <r>
    <s v="Startup_2551"/>
    <x v="6"/>
    <n v="1"/>
    <n v="24708311"/>
    <n v="2"/>
    <n v="2"/>
    <n v="174"/>
    <n v="98628230"/>
    <n v="27039"/>
    <s v="Small"/>
    <s v="Hybrid"/>
    <n v="9"/>
    <n v="83.55"/>
    <n v="479388"/>
    <n v="1"/>
  </r>
  <r>
    <s v="Startup_2552"/>
    <x v="6"/>
    <n v="9"/>
    <n v="20280643"/>
    <n v="1"/>
    <n v="22"/>
    <n v="41"/>
    <n v="45171614"/>
    <n v="379790"/>
    <s v="Medium"/>
    <s v="B2C"/>
    <n v="1"/>
    <n v="32.47"/>
    <n v="399462"/>
    <n v="1"/>
  </r>
  <r>
    <s v="Startup_2553"/>
    <x v="3"/>
    <n v="11"/>
    <n v="7475623"/>
    <n v="2"/>
    <n v="17"/>
    <n v="739"/>
    <n v="14993728"/>
    <n v="75479"/>
    <s v="Large"/>
    <s v="B2C"/>
    <n v="7"/>
    <n v="37.86"/>
    <n v="676035"/>
    <n v="1"/>
  </r>
  <r>
    <s v="Startup_2554"/>
    <x v="5"/>
    <n v="7"/>
    <n v="29424744"/>
    <n v="2"/>
    <n v="20"/>
    <n v="388"/>
    <n v="45885981"/>
    <n v="407790"/>
    <s v="Medium"/>
    <s v="B2C"/>
    <n v="4"/>
    <n v="20.36"/>
    <n v="406321"/>
    <n v="1"/>
  </r>
  <r>
    <s v="Startup_2555"/>
    <x v="0"/>
    <n v="10"/>
    <n v="49971252"/>
    <n v="2"/>
    <n v="22"/>
    <n v="625"/>
    <n v="79754118"/>
    <n v="801392"/>
    <s v="Small"/>
    <s v="B2C"/>
    <n v="7"/>
    <n v="60.26"/>
    <n v="331581"/>
    <n v="1"/>
  </r>
  <r>
    <s v="Startup_2556"/>
    <x v="3"/>
    <n v="14"/>
    <n v="2394088"/>
    <n v="3"/>
    <n v="5"/>
    <n v="919"/>
    <n v="27817385"/>
    <n v="416444"/>
    <s v="Large"/>
    <s v="Hybrid"/>
    <n v="1"/>
    <n v="80.88"/>
    <n v="41342"/>
    <n v="1"/>
  </r>
  <r>
    <s v="Startup_2557"/>
    <x v="6"/>
    <n v="10"/>
    <n v="5995225"/>
    <n v="3"/>
    <n v="1"/>
    <n v="705"/>
    <n v="92442695"/>
    <n v="57037"/>
    <s v="Small"/>
    <s v="B2C"/>
    <n v="1"/>
    <n v="60.87"/>
    <n v="266646"/>
    <n v="1"/>
  </r>
  <r>
    <s v="Startup_2558"/>
    <x v="5"/>
    <n v="7"/>
    <n v="7465284"/>
    <n v="2"/>
    <n v="0"/>
    <n v="946"/>
    <n v="11222542"/>
    <n v="890937"/>
    <s v="Large"/>
    <s v="B2B"/>
    <n v="2"/>
    <n v="95.6"/>
    <n v="552948"/>
    <n v="1"/>
  </r>
  <r>
    <s v="Startup_2559"/>
    <x v="4"/>
    <n v="6"/>
    <n v="33203873"/>
    <n v="3"/>
    <n v="0"/>
    <n v="372"/>
    <n v="16385856"/>
    <n v="662418"/>
    <s v="Medium"/>
    <s v="B2B"/>
    <n v="3"/>
    <n v="22.65"/>
    <n v="900423"/>
    <n v="1"/>
  </r>
  <r>
    <s v="Startup_2560"/>
    <x v="2"/>
    <n v="3"/>
    <n v="38840398"/>
    <n v="2"/>
    <n v="28"/>
    <n v="882"/>
    <n v="92448801"/>
    <n v="429956"/>
    <s v="Large"/>
    <s v="B2C"/>
    <n v="4"/>
    <n v="96.5"/>
    <n v="672216"/>
    <n v="1"/>
  </r>
  <r>
    <s v="Startup_2561"/>
    <x v="3"/>
    <n v="8"/>
    <n v="41859254"/>
    <n v="1"/>
    <n v="19"/>
    <n v="384"/>
    <n v="12262294"/>
    <n v="558725"/>
    <s v="Small"/>
    <s v="B2C"/>
    <n v="8"/>
    <n v="15.13"/>
    <n v="328743"/>
    <n v="1"/>
  </r>
  <r>
    <s v="Startup_2562"/>
    <x v="2"/>
    <n v="11"/>
    <n v="3306412"/>
    <n v="1"/>
    <n v="22"/>
    <n v="128"/>
    <n v="40379244"/>
    <n v="677053"/>
    <s v="Small"/>
    <s v="B2C"/>
    <n v="5"/>
    <n v="30.39"/>
    <n v="444563"/>
    <n v="1"/>
  </r>
  <r>
    <s v="Startup_2563"/>
    <x v="6"/>
    <n v="4"/>
    <n v="11514443"/>
    <n v="1"/>
    <n v="19"/>
    <n v="815"/>
    <n v="67849174"/>
    <n v="20439"/>
    <s v="Small"/>
    <s v="B2C"/>
    <n v="8"/>
    <n v="55.38"/>
    <n v="894245"/>
    <n v="1"/>
  </r>
  <r>
    <s v="Startup_2564"/>
    <x v="3"/>
    <n v="10"/>
    <n v="27406072"/>
    <n v="1"/>
    <n v="1"/>
    <n v="625"/>
    <n v="4184214"/>
    <n v="386394"/>
    <s v="Large"/>
    <s v="Hybrid"/>
    <n v="8"/>
    <n v="27.1"/>
    <n v="44212"/>
    <n v="1"/>
  </r>
  <r>
    <s v="Startup_2565"/>
    <x v="5"/>
    <n v="7"/>
    <n v="37537737"/>
    <n v="2"/>
    <n v="14"/>
    <n v="794"/>
    <n v="72131836"/>
    <n v="60673"/>
    <s v="Small"/>
    <s v="Hybrid"/>
    <n v="7"/>
    <n v="65.790000000000006"/>
    <n v="542010"/>
    <n v="1"/>
  </r>
  <r>
    <s v="Startup_2566"/>
    <x v="5"/>
    <n v="7"/>
    <n v="14786070"/>
    <n v="3"/>
    <n v="21"/>
    <n v="97"/>
    <n v="31362337"/>
    <n v="988610"/>
    <s v="Large"/>
    <s v="B2B"/>
    <n v="7"/>
    <n v="38.270000000000003"/>
    <n v="633477"/>
    <n v="1"/>
  </r>
  <r>
    <s v="Startup_2567"/>
    <x v="6"/>
    <n v="7"/>
    <n v="31342488"/>
    <n v="4"/>
    <n v="20"/>
    <n v="945"/>
    <n v="6365545"/>
    <n v="761866"/>
    <s v="Medium"/>
    <s v="Hybrid"/>
    <n v="7"/>
    <n v="34.909999999999997"/>
    <n v="843774"/>
    <n v="1"/>
  </r>
  <r>
    <s v="Startup_2568"/>
    <x v="2"/>
    <n v="9"/>
    <n v="34447962"/>
    <n v="1"/>
    <n v="25"/>
    <n v="528"/>
    <n v="91204252"/>
    <n v="959034"/>
    <s v="Small"/>
    <s v="B2C"/>
    <n v="6"/>
    <n v="73.849999999999994"/>
    <n v="845497"/>
    <n v="1"/>
  </r>
  <r>
    <s v="Startup_2569"/>
    <x v="6"/>
    <n v="13"/>
    <n v="44047540"/>
    <n v="2"/>
    <n v="29"/>
    <n v="844"/>
    <n v="82546448"/>
    <n v="746338"/>
    <s v="Medium"/>
    <s v="Hybrid"/>
    <n v="7"/>
    <n v="70.22"/>
    <n v="354284"/>
    <n v="1"/>
  </r>
  <r>
    <s v="Startup_2570"/>
    <x v="0"/>
    <n v="8"/>
    <n v="46899060"/>
    <n v="1"/>
    <n v="12"/>
    <n v="947"/>
    <n v="80926635"/>
    <n v="364761"/>
    <s v="Small"/>
    <s v="B2B"/>
    <n v="7"/>
    <n v="69.34"/>
    <n v="189012"/>
    <n v="1"/>
  </r>
  <r>
    <s v="Startup_2571"/>
    <x v="6"/>
    <n v="14"/>
    <n v="37364001"/>
    <n v="1"/>
    <n v="13"/>
    <n v="469"/>
    <n v="66192147"/>
    <n v="871955"/>
    <s v="Medium"/>
    <s v="Hybrid"/>
    <n v="2"/>
    <n v="74.66"/>
    <n v="28229"/>
    <n v="1"/>
  </r>
  <r>
    <s v="Startup_2572"/>
    <x v="1"/>
    <n v="4"/>
    <n v="15565487"/>
    <n v="3"/>
    <n v="7"/>
    <n v="395"/>
    <n v="42012439"/>
    <n v="469471"/>
    <s v="Large"/>
    <s v="B2C"/>
    <n v="8"/>
    <n v="93.77"/>
    <n v="872995"/>
    <n v="1"/>
  </r>
  <r>
    <s v="Startup_2573"/>
    <x v="0"/>
    <n v="7"/>
    <n v="12510508"/>
    <n v="3"/>
    <n v="16"/>
    <n v="789"/>
    <n v="5390140"/>
    <n v="289324"/>
    <s v="Small"/>
    <s v="B2B"/>
    <n v="4"/>
    <n v="93.5"/>
    <n v="559718"/>
    <n v="1"/>
  </r>
  <r>
    <s v="Startup_2574"/>
    <x v="2"/>
    <n v="10"/>
    <n v="11869491"/>
    <n v="3"/>
    <n v="28"/>
    <n v="223"/>
    <n v="51198552"/>
    <n v="282701"/>
    <s v="Small"/>
    <s v="B2B"/>
    <n v="6"/>
    <n v="62.38"/>
    <n v="117314"/>
    <n v="1"/>
  </r>
  <r>
    <s v="Startup_2575"/>
    <x v="6"/>
    <n v="14"/>
    <n v="45877587"/>
    <n v="4"/>
    <n v="8"/>
    <n v="181"/>
    <n v="11486424"/>
    <n v="37321"/>
    <s v="Large"/>
    <s v="B2C"/>
    <n v="5"/>
    <n v="22.4"/>
    <n v="873260"/>
    <n v="1"/>
  </r>
  <r>
    <s v="Startup_2576"/>
    <x v="6"/>
    <n v="6"/>
    <n v="39149834"/>
    <n v="1"/>
    <n v="9"/>
    <n v="223"/>
    <n v="80036570"/>
    <n v="604631"/>
    <s v="Large"/>
    <s v="B2C"/>
    <n v="8"/>
    <n v="31.33"/>
    <n v="268534"/>
    <n v="1"/>
  </r>
  <r>
    <s v="Startup_2577"/>
    <x v="4"/>
    <n v="7"/>
    <n v="12294828"/>
    <n v="4"/>
    <n v="25"/>
    <n v="492"/>
    <n v="81518002"/>
    <n v="250838"/>
    <s v="Large"/>
    <s v="B2C"/>
    <n v="9"/>
    <n v="78.3"/>
    <n v="414283"/>
    <n v="1"/>
  </r>
  <r>
    <s v="Startup_2578"/>
    <x v="5"/>
    <n v="13"/>
    <n v="28463640"/>
    <n v="4"/>
    <n v="16"/>
    <n v="822"/>
    <n v="77004815"/>
    <n v="836474"/>
    <s v="Medium"/>
    <s v="Hybrid"/>
    <n v="9"/>
    <n v="92.99"/>
    <n v="680855"/>
    <n v="1"/>
  </r>
  <r>
    <s v="Startup_2579"/>
    <x v="1"/>
    <n v="3"/>
    <n v="47581385"/>
    <n v="1"/>
    <n v="18"/>
    <n v="195"/>
    <n v="16419920"/>
    <n v="509237"/>
    <s v="Small"/>
    <s v="B2B"/>
    <n v="9"/>
    <n v="57.87"/>
    <n v="306403"/>
    <n v="1"/>
  </r>
  <r>
    <s v="Startup_2580"/>
    <x v="2"/>
    <n v="11"/>
    <n v="48768936"/>
    <n v="4"/>
    <n v="25"/>
    <n v="169"/>
    <n v="40353840"/>
    <n v="913870"/>
    <s v="Small"/>
    <s v="Hybrid"/>
    <n v="1"/>
    <n v="52.66"/>
    <n v="169631"/>
    <n v="1"/>
  </r>
  <r>
    <s v="Startup_2581"/>
    <x v="1"/>
    <n v="14"/>
    <n v="17218532"/>
    <n v="1"/>
    <n v="16"/>
    <n v="56"/>
    <n v="47123186"/>
    <n v="250300"/>
    <s v="Large"/>
    <s v="Hybrid"/>
    <n v="9"/>
    <n v="57.68"/>
    <n v="9992"/>
    <n v="1"/>
  </r>
  <r>
    <s v="Startup_2582"/>
    <x v="5"/>
    <n v="7"/>
    <n v="47407459"/>
    <n v="2"/>
    <n v="16"/>
    <n v="31"/>
    <n v="61137568"/>
    <n v="111490"/>
    <s v="Medium"/>
    <s v="Hybrid"/>
    <n v="6"/>
    <n v="34.22"/>
    <n v="546121"/>
    <n v="1"/>
  </r>
  <r>
    <s v="Startup_2583"/>
    <x v="1"/>
    <n v="10"/>
    <n v="7994817"/>
    <n v="1"/>
    <n v="0"/>
    <n v="653"/>
    <n v="23555365"/>
    <n v="754781"/>
    <s v="Large"/>
    <s v="B2B"/>
    <n v="4"/>
    <n v="31.79"/>
    <n v="978876"/>
    <n v="1"/>
  </r>
  <r>
    <s v="Startup_2584"/>
    <x v="2"/>
    <n v="4"/>
    <n v="48579039"/>
    <n v="2"/>
    <n v="0"/>
    <n v="105"/>
    <n v="20076163"/>
    <n v="92124"/>
    <s v="Small"/>
    <s v="Hybrid"/>
    <n v="1"/>
    <n v="32.74"/>
    <n v="438853"/>
    <n v="1"/>
  </r>
  <r>
    <s v="Startup_2585"/>
    <x v="0"/>
    <n v="7"/>
    <n v="23984682"/>
    <n v="1"/>
    <n v="27"/>
    <n v="333"/>
    <n v="83364572"/>
    <n v="435256"/>
    <s v="Large"/>
    <s v="Hybrid"/>
    <n v="6"/>
    <n v="10.11"/>
    <n v="75391"/>
    <n v="1"/>
  </r>
  <r>
    <s v="Startup_2586"/>
    <x v="2"/>
    <n v="14"/>
    <n v="31428565"/>
    <n v="3"/>
    <n v="2"/>
    <n v="68"/>
    <n v="75653341"/>
    <n v="413953"/>
    <s v="Small"/>
    <s v="B2B"/>
    <n v="5"/>
    <n v="32.15"/>
    <n v="541584"/>
    <n v="1"/>
  </r>
  <r>
    <s v="Startup_2587"/>
    <x v="3"/>
    <n v="14"/>
    <n v="7980124"/>
    <n v="1"/>
    <n v="19"/>
    <n v="140"/>
    <n v="344495"/>
    <n v="527505"/>
    <s v="Large"/>
    <s v="Hybrid"/>
    <n v="1"/>
    <n v="52.48"/>
    <n v="644430"/>
    <n v="1"/>
  </r>
  <r>
    <s v="Startup_2588"/>
    <x v="4"/>
    <n v="3"/>
    <n v="30342313"/>
    <n v="4"/>
    <n v="3"/>
    <n v="648"/>
    <n v="28080311"/>
    <n v="59090"/>
    <s v="Medium"/>
    <s v="B2B"/>
    <n v="2"/>
    <n v="42.98"/>
    <n v="584202"/>
    <n v="1"/>
  </r>
  <r>
    <s v="Startup_2589"/>
    <x v="6"/>
    <n v="11"/>
    <n v="48356818"/>
    <n v="4"/>
    <n v="17"/>
    <n v="479"/>
    <n v="12177875"/>
    <n v="716900"/>
    <s v="Large"/>
    <s v="B2B"/>
    <n v="7"/>
    <n v="56.99"/>
    <n v="950618"/>
    <n v="1"/>
  </r>
  <r>
    <s v="Startup_2590"/>
    <x v="4"/>
    <n v="12"/>
    <n v="30495329"/>
    <n v="4"/>
    <n v="12"/>
    <n v="841"/>
    <n v="6983044"/>
    <n v="341285"/>
    <s v="Large"/>
    <s v="B2B"/>
    <n v="3"/>
    <n v="36.619999999999997"/>
    <n v="926493"/>
    <n v="1"/>
  </r>
  <r>
    <s v="Startup_2591"/>
    <x v="1"/>
    <n v="2"/>
    <n v="5741807"/>
    <n v="4"/>
    <n v="27"/>
    <n v="383"/>
    <n v="3712351"/>
    <n v="286487"/>
    <s v="Small"/>
    <s v="B2C"/>
    <n v="8"/>
    <n v="87.69"/>
    <n v="144861"/>
    <n v="1"/>
  </r>
  <r>
    <s v="Startup_2592"/>
    <x v="1"/>
    <n v="10"/>
    <n v="25599479"/>
    <n v="4"/>
    <n v="14"/>
    <n v="58"/>
    <n v="90371394"/>
    <n v="902462"/>
    <s v="Small"/>
    <s v="B2B"/>
    <n v="5"/>
    <n v="41.54"/>
    <n v="450529"/>
    <n v="1"/>
  </r>
  <r>
    <s v="Startup_2593"/>
    <x v="2"/>
    <n v="0"/>
    <n v="25315093"/>
    <n v="3"/>
    <n v="15"/>
    <n v="777"/>
    <n v="5573342"/>
    <n v="68474"/>
    <s v="Medium"/>
    <s v="B2C"/>
    <n v="5"/>
    <n v="38.44"/>
    <n v="895150"/>
    <n v="1"/>
  </r>
  <r>
    <s v="Startup_2594"/>
    <x v="4"/>
    <n v="13"/>
    <n v="38381547"/>
    <n v="2"/>
    <n v="4"/>
    <n v="751"/>
    <n v="75165289"/>
    <n v="426522"/>
    <s v="Large"/>
    <s v="B2C"/>
    <n v="4"/>
    <n v="26.06"/>
    <n v="727433"/>
    <n v="1"/>
  </r>
  <r>
    <s v="Startup_2595"/>
    <x v="6"/>
    <n v="11"/>
    <n v="25662908"/>
    <n v="1"/>
    <n v="13"/>
    <n v="781"/>
    <n v="53032133"/>
    <n v="565670"/>
    <s v="Large"/>
    <s v="B2B"/>
    <n v="7"/>
    <n v="10.44"/>
    <n v="381546"/>
    <n v="1"/>
  </r>
  <r>
    <s v="Startup_2596"/>
    <x v="0"/>
    <n v="5"/>
    <n v="20293430"/>
    <n v="2"/>
    <n v="1"/>
    <n v="89"/>
    <n v="25865958"/>
    <n v="829062"/>
    <s v="Small"/>
    <s v="B2C"/>
    <n v="4"/>
    <n v="35.28"/>
    <n v="762644"/>
    <n v="1"/>
  </r>
  <r>
    <s v="Startup_2597"/>
    <x v="1"/>
    <n v="12"/>
    <n v="35696140"/>
    <n v="1"/>
    <n v="12"/>
    <n v="415"/>
    <n v="15531107"/>
    <n v="729622"/>
    <s v="Medium"/>
    <s v="B2B"/>
    <n v="8"/>
    <n v="85.93"/>
    <n v="369460"/>
    <n v="1"/>
  </r>
  <r>
    <s v="Startup_2598"/>
    <x v="4"/>
    <n v="9"/>
    <n v="34719570"/>
    <n v="3"/>
    <n v="23"/>
    <n v="215"/>
    <n v="16725194"/>
    <n v="295080"/>
    <s v="Small"/>
    <s v="B2B"/>
    <n v="6"/>
    <n v="25.35"/>
    <n v="347134"/>
    <n v="1"/>
  </r>
  <r>
    <s v="Startup_2599"/>
    <x v="4"/>
    <n v="4"/>
    <n v="43770579"/>
    <n v="1"/>
    <n v="7"/>
    <n v="225"/>
    <n v="7068448"/>
    <n v="837551"/>
    <s v="Small"/>
    <s v="B2C"/>
    <n v="5"/>
    <n v="5.51"/>
    <n v="849194"/>
    <n v="1"/>
  </r>
  <r>
    <s v="Startup_2600"/>
    <x v="5"/>
    <n v="10"/>
    <n v="3774037"/>
    <n v="2"/>
    <n v="9"/>
    <n v="683"/>
    <n v="81015795"/>
    <n v="385288"/>
    <s v="Small"/>
    <s v="B2B"/>
    <n v="6"/>
    <n v="43.65"/>
    <n v="537638"/>
    <n v="1"/>
  </r>
  <r>
    <s v="Startup_2601"/>
    <x v="0"/>
    <n v="8"/>
    <n v="10785120"/>
    <n v="2"/>
    <n v="4"/>
    <n v="365"/>
    <n v="56423258"/>
    <n v="977590"/>
    <s v="Small"/>
    <s v="B2B"/>
    <n v="1"/>
    <n v="51.07"/>
    <n v="995518"/>
    <n v="1"/>
  </r>
  <r>
    <s v="Startup_2602"/>
    <x v="0"/>
    <n v="11"/>
    <n v="30243556"/>
    <n v="2"/>
    <n v="27"/>
    <n v="701"/>
    <n v="78559210"/>
    <n v="741180"/>
    <s v="Medium"/>
    <s v="B2C"/>
    <n v="4"/>
    <n v="0.8"/>
    <n v="604293"/>
    <n v="1"/>
  </r>
  <r>
    <s v="Startup_2603"/>
    <x v="0"/>
    <n v="6"/>
    <n v="11499787"/>
    <n v="1"/>
    <n v="9"/>
    <n v="310"/>
    <n v="18360488"/>
    <n v="202449"/>
    <s v="Medium"/>
    <s v="B2C"/>
    <n v="4"/>
    <n v="18.39"/>
    <n v="213755"/>
    <n v="1"/>
  </r>
  <r>
    <s v="Startup_2604"/>
    <x v="2"/>
    <n v="2"/>
    <n v="10484629"/>
    <n v="3"/>
    <n v="15"/>
    <n v="306"/>
    <n v="14544126"/>
    <n v="225348"/>
    <s v="Large"/>
    <s v="B2C"/>
    <n v="6"/>
    <n v="89.75"/>
    <n v="572530"/>
    <n v="1"/>
  </r>
  <r>
    <s v="Startup_2605"/>
    <x v="1"/>
    <n v="4"/>
    <n v="623415"/>
    <n v="4"/>
    <n v="16"/>
    <n v="789"/>
    <n v="35054214"/>
    <n v="777846"/>
    <s v="Small"/>
    <s v="Hybrid"/>
    <n v="8"/>
    <n v="31.81"/>
    <n v="627865"/>
    <n v="1"/>
  </r>
  <r>
    <s v="Startup_2606"/>
    <x v="6"/>
    <n v="14"/>
    <n v="19169521"/>
    <n v="3"/>
    <n v="19"/>
    <n v="215"/>
    <n v="75891780"/>
    <n v="197642"/>
    <s v="Medium"/>
    <s v="Hybrid"/>
    <n v="5"/>
    <n v="23.04"/>
    <n v="331080"/>
    <n v="1"/>
  </r>
  <r>
    <s v="Startup_2607"/>
    <x v="1"/>
    <n v="12"/>
    <n v="14891899"/>
    <n v="2"/>
    <n v="15"/>
    <n v="967"/>
    <n v="8382410"/>
    <n v="713321"/>
    <s v="Medium"/>
    <s v="B2B"/>
    <n v="4"/>
    <n v="32.700000000000003"/>
    <n v="269728"/>
    <n v="1"/>
  </r>
  <r>
    <s v="Startup_2608"/>
    <x v="4"/>
    <n v="1"/>
    <n v="7424304"/>
    <n v="3"/>
    <n v="22"/>
    <n v="514"/>
    <n v="24240344"/>
    <n v="745201"/>
    <s v="Small"/>
    <s v="Hybrid"/>
    <n v="4"/>
    <n v="26.07"/>
    <n v="920666"/>
    <n v="1"/>
  </r>
  <r>
    <s v="Startup_2609"/>
    <x v="5"/>
    <n v="3"/>
    <n v="14195866"/>
    <n v="4"/>
    <n v="12"/>
    <n v="771"/>
    <n v="90565630"/>
    <n v="815443"/>
    <s v="Medium"/>
    <s v="B2B"/>
    <n v="2"/>
    <n v="30.72"/>
    <n v="991965"/>
    <n v="1"/>
  </r>
  <r>
    <s v="Startup_2610"/>
    <x v="0"/>
    <n v="9"/>
    <n v="47039463"/>
    <n v="2"/>
    <n v="18"/>
    <n v="151"/>
    <n v="57896007"/>
    <n v="987097"/>
    <s v="Medium"/>
    <s v="B2B"/>
    <n v="5"/>
    <n v="55.69"/>
    <n v="550636"/>
    <n v="1"/>
  </r>
  <r>
    <s v="Startup_2611"/>
    <x v="5"/>
    <n v="11"/>
    <n v="41969205"/>
    <n v="1"/>
    <n v="11"/>
    <n v="321"/>
    <n v="60047528"/>
    <n v="34051"/>
    <s v="Small"/>
    <s v="B2B"/>
    <n v="1"/>
    <n v="47.12"/>
    <n v="430741"/>
    <n v="1"/>
  </r>
  <r>
    <s v="Startup_2612"/>
    <x v="0"/>
    <n v="5"/>
    <n v="49602559"/>
    <n v="3"/>
    <n v="14"/>
    <n v="638"/>
    <n v="5768791"/>
    <n v="773425"/>
    <s v="Small"/>
    <s v="B2B"/>
    <n v="3"/>
    <n v="45.89"/>
    <n v="910397"/>
    <n v="1"/>
  </r>
  <r>
    <s v="Startup_2613"/>
    <x v="6"/>
    <n v="1"/>
    <n v="47672851"/>
    <n v="1"/>
    <n v="26"/>
    <n v="364"/>
    <n v="73253381"/>
    <n v="276720"/>
    <s v="Large"/>
    <s v="B2C"/>
    <n v="5"/>
    <n v="2.56"/>
    <n v="884347"/>
    <n v="1"/>
  </r>
  <r>
    <s v="Startup_2614"/>
    <x v="2"/>
    <n v="1"/>
    <n v="13407617"/>
    <n v="1"/>
    <n v="28"/>
    <n v="364"/>
    <n v="55686748"/>
    <n v="534553"/>
    <s v="Small"/>
    <s v="Hybrid"/>
    <n v="6"/>
    <n v="54.54"/>
    <n v="262172"/>
    <n v="1"/>
  </r>
  <r>
    <s v="Startup_2615"/>
    <x v="4"/>
    <n v="13"/>
    <n v="7861927"/>
    <n v="4"/>
    <n v="1"/>
    <n v="835"/>
    <n v="2025093"/>
    <n v="483717"/>
    <s v="Large"/>
    <s v="B2C"/>
    <n v="6"/>
    <n v="48.32"/>
    <n v="317204"/>
    <n v="1"/>
  </r>
  <r>
    <s v="Startup_2616"/>
    <x v="5"/>
    <n v="10"/>
    <n v="30714303"/>
    <n v="1"/>
    <n v="17"/>
    <n v="613"/>
    <n v="63186538"/>
    <n v="967454"/>
    <s v="Large"/>
    <s v="B2B"/>
    <n v="6"/>
    <n v="72.84"/>
    <n v="15214"/>
    <n v="1"/>
  </r>
  <r>
    <s v="Startup_2617"/>
    <x v="0"/>
    <n v="6"/>
    <n v="35265190"/>
    <n v="1"/>
    <n v="12"/>
    <n v="987"/>
    <n v="3526150"/>
    <n v="706622"/>
    <s v="Small"/>
    <s v="Hybrid"/>
    <n v="6"/>
    <n v="72.77"/>
    <n v="340690"/>
    <n v="1"/>
  </r>
  <r>
    <s v="Startup_2618"/>
    <x v="6"/>
    <n v="10"/>
    <n v="29919787"/>
    <n v="3"/>
    <n v="9"/>
    <n v="916"/>
    <n v="37729304"/>
    <n v="280498"/>
    <s v="Medium"/>
    <s v="B2C"/>
    <n v="2"/>
    <n v="89.15"/>
    <n v="575417"/>
    <n v="1"/>
  </r>
  <r>
    <s v="Startup_2619"/>
    <x v="6"/>
    <n v="7"/>
    <n v="36838200"/>
    <n v="3"/>
    <n v="1"/>
    <n v="142"/>
    <n v="65046067"/>
    <n v="163898"/>
    <s v="Small"/>
    <s v="Hybrid"/>
    <n v="7"/>
    <n v="24.55"/>
    <n v="245413"/>
    <n v="1"/>
  </r>
  <r>
    <s v="Startup_2620"/>
    <x v="3"/>
    <n v="8"/>
    <n v="14571751"/>
    <n v="3"/>
    <n v="24"/>
    <n v="177"/>
    <n v="18232993"/>
    <n v="738358"/>
    <s v="Small"/>
    <s v="B2B"/>
    <n v="4"/>
    <n v="30.53"/>
    <n v="615058"/>
    <n v="1"/>
  </r>
  <r>
    <s v="Startup_2621"/>
    <x v="6"/>
    <n v="8"/>
    <n v="20883782"/>
    <n v="3"/>
    <n v="17"/>
    <n v="786"/>
    <n v="3321197"/>
    <n v="433240"/>
    <s v="Large"/>
    <s v="Hybrid"/>
    <n v="8"/>
    <n v="24.34"/>
    <n v="929121"/>
    <n v="1"/>
  </r>
  <r>
    <s v="Startup_2622"/>
    <x v="1"/>
    <n v="14"/>
    <n v="43905803"/>
    <n v="4"/>
    <n v="16"/>
    <n v="838"/>
    <n v="36726250"/>
    <n v="639541"/>
    <s v="Medium"/>
    <s v="Hybrid"/>
    <n v="1"/>
    <n v="54.15"/>
    <n v="676454"/>
    <n v="1"/>
  </r>
  <r>
    <s v="Startup_2623"/>
    <x v="6"/>
    <n v="3"/>
    <n v="5594911"/>
    <n v="1"/>
    <n v="7"/>
    <n v="568"/>
    <n v="35872019"/>
    <n v="542131"/>
    <s v="Medium"/>
    <s v="B2B"/>
    <n v="1"/>
    <n v="74.5"/>
    <n v="902543"/>
    <n v="1"/>
  </r>
  <r>
    <s v="Startup_2624"/>
    <x v="1"/>
    <n v="2"/>
    <n v="47777580"/>
    <n v="3"/>
    <n v="22"/>
    <n v="567"/>
    <n v="99921855"/>
    <n v="136905"/>
    <s v="Medium"/>
    <s v="Hybrid"/>
    <n v="3"/>
    <n v="44.61"/>
    <n v="971141"/>
    <n v="1"/>
  </r>
  <r>
    <s v="Startup_2625"/>
    <x v="3"/>
    <n v="0"/>
    <n v="18643181"/>
    <n v="2"/>
    <n v="10"/>
    <n v="817"/>
    <n v="91706979"/>
    <n v="725268"/>
    <s v="Medium"/>
    <s v="B2B"/>
    <n v="3"/>
    <n v="91.64"/>
    <n v="370985"/>
    <n v="1"/>
  </r>
  <r>
    <s v="Startup_2626"/>
    <x v="3"/>
    <n v="6"/>
    <n v="42631621"/>
    <n v="1"/>
    <n v="0"/>
    <n v="891"/>
    <n v="42723692"/>
    <n v="687543"/>
    <s v="Medium"/>
    <s v="B2C"/>
    <n v="5"/>
    <n v="21.36"/>
    <n v="565622"/>
    <n v="1"/>
  </r>
  <r>
    <s v="Startup_2627"/>
    <x v="2"/>
    <n v="1"/>
    <n v="44481838"/>
    <n v="1"/>
    <n v="1"/>
    <n v="88"/>
    <n v="22173940"/>
    <n v="370798"/>
    <s v="Small"/>
    <s v="Hybrid"/>
    <n v="4"/>
    <n v="24.79"/>
    <n v="187105"/>
    <n v="1"/>
  </r>
  <r>
    <s v="Startup_2628"/>
    <x v="1"/>
    <n v="7"/>
    <n v="39259403"/>
    <n v="3"/>
    <n v="7"/>
    <n v="582"/>
    <n v="78590912"/>
    <n v="877802"/>
    <s v="Medium"/>
    <s v="B2C"/>
    <n v="6"/>
    <n v="25.35"/>
    <n v="855780"/>
    <n v="1"/>
  </r>
  <r>
    <s v="Startup_2629"/>
    <x v="5"/>
    <n v="8"/>
    <n v="45412122"/>
    <n v="3"/>
    <n v="17"/>
    <n v="71"/>
    <n v="14347595"/>
    <n v="477491"/>
    <s v="Large"/>
    <s v="B2B"/>
    <n v="7"/>
    <n v="42.15"/>
    <n v="459877"/>
    <n v="1"/>
  </r>
  <r>
    <s v="Startup_2630"/>
    <x v="2"/>
    <n v="11"/>
    <n v="20434516"/>
    <n v="2"/>
    <n v="14"/>
    <n v="929"/>
    <n v="34639869"/>
    <n v="13977"/>
    <s v="Large"/>
    <s v="B2C"/>
    <n v="8"/>
    <n v="42.49"/>
    <n v="479013"/>
    <n v="1"/>
  </r>
  <r>
    <s v="Startup_2631"/>
    <x v="0"/>
    <n v="0"/>
    <n v="29698856"/>
    <n v="1"/>
    <n v="27"/>
    <n v="122"/>
    <n v="24808249"/>
    <n v="105943"/>
    <s v="Small"/>
    <s v="B2B"/>
    <n v="7"/>
    <n v="92.92"/>
    <n v="747200"/>
    <n v="1"/>
  </r>
  <r>
    <s v="Startup_2632"/>
    <x v="0"/>
    <n v="11"/>
    <n v="19124161"/>
    <n v="3"/>
    <n v="20"/>
    <n v="363"/>
    <n v="89170251"/>
    <n v="568773"/>
    <s v="Medium"/>
    <s v="B2B"/>
    <n v="8"/>
    <n v="2.78"/>
    <n v="405304"/>
    <n v="1"/>
  </r>
  <r>
    <s v="Startup_2633"/>
    <x v="6"/>
    <n v="11"/>
    <n v="18567435"/>
    <n v="2"/>
    <n v="24"/>
    <n v="13"/>
    <n v="7011106"/>
    <n v="280357"/>
    <s v="Large"/>
    <s v="B2B"/>
    <n v="8"/>
    <n v="22.63"/>
    <n v="46530"/>
    <n v="1"/>
  </r>
  <r>
    <s v="Startup_2634"/>
    <x v="2"/>
    <n v="14"/>
    <n v="2060970"/>
    <n v="3"/>
    <n v="29"/>
    <n v="136"/>
    <n v="27120026"/>
    <n v="574571"/>
    <s v="Large"/>
    <s v="B2C"/>
    <n v="1"/>
    <n v="33.909999999999997"/>
    <n v="109818"/>
    <n v="1"/>
  </r>
  <r>
    <s v="Startup_2635"/>
    <x v="0"/>
    <n v="5"/>
    <n v="20623302"/>
    <n v="3"/>
    <n v="8"/>
    <n v="763"/>
    <n v="97851100"/>
    <n v="957584"/>
    <s v="Small"/>
    <s v="B2C"/>
    <n v="6"/>
    <n v="28.32"/>
    <n v="238658"/>
    <n v="1"/>
  </r>
  <r>
    <s v="Startup_2636"/>
    <x v="4"/>
    <n v="8"/>
    <n v="46494066"/>
    <n v="1"/>
    <n v="9"/>
    <n v="907"/>
    <n v="62688817"/>
    <n v="665394"/>
    <s v="Medium"/>
    <s v="Hybrid"/>
    <n v="4"/>
    <n v="64.33"/>
    <n v="929749"/>
    <n v="1"/>
  </r>
  <r>
    <s v="Startup_2637"/>
    <x v="2"/>
    <n v="9"/>
    <n v="9296143"/>
    <n v="1"/>
    <n v="5"/>
    <n v="961"/>
    <n v="33893058"/>
    <n v="424503"/>
    <s v="Small"/>
    <s v="B2B"/>
    <n v="9"/>
    <n v="35.9"/>
    <n v="569606"/>
    <n v="1"/>
  </r>
  <r>
    <s v="Startup_2638"/>
    <x v="3"/>
    <n v="3"/>
    <n v="40477330"/>
    <n v="4"/>
    <n v="13"/>
    <n v="587"/>
    <n v="68572276"/>
    <n v="17241"/>
    <s v="Large"/>
    <s v="B2B"/>
    <n v="7"/>
    <n v="73.510000000000005"/>
    <n v="236861"/>
    <n v="1"/>
  </r>
  <r>
    <s v="Startup_2639"/>
    <x v="0"/>
    <n v="14"/>
    <n v="34205316"/>
    <n v="4"/>
    <n v="12"/>
    <n v="137"/>
    <n v="40876887"/>
    <n v="451374"/>
    <s v="Small"/>
    <s v="B2C"/>
    <n v="7"/>
    <n v="71.42"/>
    <n v="192366"/>
    <n v="1"/>
  </r>
  <r>
    <s v="Startup_2640"/>
    <x v="5"/>
    <n v="11"/>
    <n v="25163406"/>
    <n v="1"/>
    <n v="8"/>
    <n v="89"/>
    <n v="77810819"/>
    <n v="292650"/>
    <s v="Large"/>
    <s v="B2B"/>
    <n v="8"/>
    <n v="64.12"/>
    <n v="597645"/>
    <n v="1"/>
  </r>
  <r>
    <s v="Startup_2641"/>
    <x v="6"/>
    <n v="10"/>
    <n v="9192069"/>
    <n v="4"/>
    <n v="25"/>
    <n v="385"/>
    <n v="33720453"/>
    <n v="288333"/>
    <s v="Large"/>
    <s v="Hybrid"/>
    <n v="9"/>
    <n v="85.91"/>
    <n v="602020"/>
    <n v="1"/>
  </r>
  <r>
    <s v="Startup_2642"/>
    <x v="4"/>
    <n v="1"/>
    <n v="38279913"/>
    <n v="1"/>
    <n v="29"/>
    <n v="322"/>
    <n v="86527380"/>
    <n v="393605"/>
    <s v="Large"/>
    <s v="B2B"/>
    <n v="9"/>
    <n v="60.39"/>
    <n v="810734"/>
    <n v="1"/>
  </r>
  <r>
    <s v="Startup_2643"/>
    <x v="4"/>
    <n v="14"/>
    <n v="44714412"/>
    <n v="4"/>
    <n v="20"/>
    <n v="839"/>
    <n v="19575740"/>
    <n v="251581"/>
    <s v="Medium"/>
    <s v="Hybrid"/>
    <n v="7"/>
    <n v="98.97"/>
    <n v="190369"/>
    <n v="1"/>
  </r>
  <r>
    <s v="Startup_2644"/>
    <x v="3"/>
    <n v="11"/>
    <n v="39411361"/>
    <n v="4"/>
    <n v="17"/>
    <n v="373"/>
    <n v="21112424"/>
    <n v="740077"/>
    <s v="Large"/>
    <s v="B2B"/>
    <n v="3"/>
    <n v="9.5500000000000007"/>
    <n v="947018"/>
    <n v="1"/>
  </r>
  <r>
    <s v="Startup_2645"/>
    <x v="2"/>
    <n v="3"/>
    <n v="41094277"/>
    <n v="4"/>
    <n v="14"/>
    <n v="788"/>
    <n v="80763842"/>
    <n v="856077"/>
    <s v="Small"/>
    <s v="Hybrid"/>
    <n v="5"/>
    <n v="81.09"/>
    <n v="804189"/>
    <n v="1"/>
  </r>
  <r>
    <s v="Startup_2646"/>
    <x v="4"/>
    <n v="2"/>
    <n v="14605725"/>
    <n v="4"/>
    <n v="5"/>
    <n v="987"/>
    <n v="4627147"/>
    <n v="305887"/>
    <s v="Medium"/>
    <s v="Hybrid"/>
    <n v="7"/>
    <n v="27.97"/>
    <n v="880664"/>
    <n v="1"/>
  </r>
  <r>
    <s v="Startup_2647"/>
    <x v="1"/>
    <n v="6"/>
    <n v="12792575"/>
    <n v="1"/>
    <n v="15"/>
    <n v="18"/>
    <n v="98637312"/>
    <n v="998653"/>
    <s v="Medium"/>
    <s v="Hybrid"/>
    <n v="1"/>
    <n v="64.099999999999994"/>
    <n v="246424"/>
    <n v="1"/>
  </r>
  <r>
    <s v="Startup_2648"/>
    <x v="0"/>
    <n v="5"/>
    <n v="11562275"/>
    <n v="3"/>
    <n v="22"/>
    <n v="345"/>
    <n v="75193604"/>
    <n v="515377"/>
    <s v="Medium"/>
    <s v="B2B"/>
    <n v="2"/>
    <n v="93.21"/>
    <n v="799915"/>
    <n v="1"/>
  </r>
  <r>
    <s v="Startup_2649"/>
    <x v="4"/>
    <n v="13"/>
    <n v="32695858"/>
    <n v="3"/>
    <n v="24"/>
    <n v="960"/>
    <n v="26657299"/>
    <n v="574190"/>
    <s v="Medium"/>
    <s v="B2C"/>
    <n v="5"/>
    <n v="49.38"/>
    <n v="626451"/>
    <n v="1"/>
  </r>
  <r>
    <s v="Startup_2650"/>
    <x v="6"/>
    <n v="4"/>
    <n v="18669556"/>
    <n v="1"/>
    <n v="0"/>
    <n v="278"/>
    <n v="59651663"/>
    <n v="165377"/>
    <s v="Medium"/>
    <s v="Hybrid"/>
    <n v="8"/>
    <n v="38.83"/>
    <n v="506744"/>
    <n v="1"/>
  </r>
  <r>
    <s v="Startup_2651"/>
    <x v="4"/>
    <n v="0"/>
    <n v="1385154"/>
    <n v="2"/>
    <n v="2"/>
    <n v="282"/>
    <n v="11928921"/>
    <n v="763131"/>
    <s v="Small"/>
    <s v="B2C"/>
    <n v="2"/>
    <n v="91.05"/>
    <n v="323158"/>
    <n v="1"/>
  </r>
  <r>
    <s v="Startup_2652"/>
    <x v="5"/>
    <n v="10"/>
    <n v="38838763"/>
    <n v="3"/>
    <n v="8"/>
    <n v="252"/>
    <n v="28494273"/>
    <n v="203284"/>
    <s v="Large"/>
    <s v="B2B"/>
    <n v="4"/>
    <n v="72"/>
    <n v="877840"/>
    <n v="1"/>
  </r>
  <r>
    <s v="Startup_2653"/>
    <x v="5"/>
    <n v="6"/>
    <n v="18987203"/>
    <n v="3"/>
    <n v="0"/>
    <n v="710"/>
    <n v="15282434"/>
    <n v="134438"/>
    <s v="Medium"/>
    <s v="Hybrid"/>
    <n v="9"/>
    <n v="17.37"/>
    <n v="983948"/>
    <n v="1"/>
  </r>
  <r>
    <s v="Startup_2654"/>
    <x v="1"/>
    <n v="3"/>
    <n v="51459"/>
    <n v="1"/>
    <n v="12"/>
    <n v="630"/>
    <n v="32395353"/>
    <n v="246955"/>
    <s v="Medium"/>
    <s v="B2B"/>
    <n v="9"/>
    <n v="92.84"/>
    <n v="491523"/>
    <n v="1"/>
  </r>
  <r>
    <s v="Startup_2655"/>
    <x v="0"/>
    <n v="6"/>
    <n v="9047297"/>
    <n v="4"/>
    <n v="0"/>
    <n v="404"/>
    <n v="7029114"/>
    <n v="780140"/>
    <s v="Small"/>
    <s v="B2B"/>
    <n v="8"/>
    <n v="72.75"/>
    <n v="275837"/>
    <n v="1"/>
  </r>
  <r>
    <s v="Startup_2656"/>
    <x v="2"/>
    <n v="5"/>
    <n v="44615398"/>
    <n v="4"/>
    <n v="20"/>
    <n v="738"/>
    <n v="70721531"/>
    <n v="425552"/>
    <s v="Large"/>
    <s v="B2C"/>
    <n v="7"/>
    <n v="59"/>
    <n v="832398"/>
    <n v="1"/>
  </r>
  <r>
    <s v="Startup_2657"/>
    <x v="2"/>
    <n v="2"/>
    <n v="19131541"/>
    <n v="2"/>
    <n v="8"/>
    <n v="983"/>
    <n v="55411423"/>
    <n v="890072"/>
    <s v="Small"/>
    <s v="B2B"/>
    <n v="3"/>
    <n v="7.23"/>
    <n v="784329"/>
    <n v="1"/>
  </r>
  <r>
    <s v="Startup_2658"/>
    <x v="5"/>
    <n v="11"/>
    <n v="4339867"/>
    <n v="2"/>
    <n v="22"/>
    <n v="578"/>
    <n v="16898834"/>
    <n v="145188"/>
    <s v="Large"/>
    <s v="Hybrid"/>
    <n v="8"/>
    <n v="64.48"/>
    <n v="838550"/>
    <n v="1"/>
  </r>
  <r>
    <s v="Startup_2659"/>
    <x v="5"/>
    <n v="11"/>
    <n v="41157377"/>
    <n v="1"/>
    <n v="7"/>
    <n v="394"/>
    <n v="76055092"/>
    <n v="32666"/>
    <s v="Medium"/>
    <s v="Hybrid"/>
    <n v="1"/>
    <n v="77.42"/>
    <n v="14976"/>
    <n v="1"/>
  </r>
  <r>
    <s v="Startup_2660"/>
    <x v="2"/>
    <n v="0"/>
    <n v="47712283"/>
    <n v="2"/>
    <n v="1"/>
    <n v="833"/>
    <n v="45811855"/>
    <n v="447018"/>
    <s v="Large"/>
    <s v="Hybrid"/>
    <n v="1"/>
    <n v="53.3"/>
    <n v="701341"/>
    <n v="1"/>
  </r>
  <r>
    <s v="Startup_2661"/>
    <x v="1"/>
    <n v="3"/>
    <n v="23064330"/>
    <n v="2"/>
    <n v="4"/>
    <n v="83"/>
    <n v="83259942"/>
    <n v="877215"/>
    <s v="Small"/>
    <s v="B2C"/>
    <n v="4"/>
    <n v="80.63"/>
    <n v="685471"/>
    <n v="1"/>
  </r>
  <r>
    <s v="Startup_2662"/>
    <x v="4"/>
    <n v="8"/>
    <n v="10957214"/>
    <n v="3"/>
    <n v="1"/>
    <n v="525"/>
    <n v="69571101"/>
    <n v="720987"/>
    <s v="Small"/>
    <s v="Hybrid"/>
    <n v="1"/>
    <n v="8.4600000000000009"/>
    <n v="109427"/>
    <n v="1"/>
  </r>
  <r>
    <s v="Startup_2663"/>
    <x v="5"/>
    <n v="1"/>
    <n v="39741108"/>
    <n v="1"/>
    <n v="10"/>
    <n v="192"/>
    <n v="85655370"/>
    <n v="264848"/>
    <s v="Medium"/>
    <s v="B2C"/>
    <n v="6"/>
    <n v="16.45"/>
    <n v="658546"/>
    <n v="1"/>
  </r>
  <r>
    <s v="Startup_2664"/>
    <x v="2"/>
    <n v="13"/>
    <n v="13670472"/>
    <n v="1"/>
    <n v="25"/>
    <n v="712"/>
    <n v="90436915"/>
    <n v="366642"/>
    <s v="Medium"/>
    <s v="B2B"/>
    <n v="8"/>
    <n v="10.81"/>
    <n v="186760"/>
    <n v="1"/>
  </r>
  <r>
    <s v="Startup_2665"/>
    <x v="3"/>
    <n v="7"/>
    <n v="6810005"/>
    <n v="3"/>
    <n v="24"/>
    <n v="609"/>
    <n v="52658467"/>
    <n v="192690"/>
    <s v="Small"/>
    <s v="B2C"/>
    <n v="8"/>
    <n v="53.62"/>
    <n v="830905"/>
    <n v="1"/>
  </r>
  <r>
    <s v="Startup_2666"/>
    <x v="6"/>
    <n v="7"/>
    <n v="35196980"/>
    <n v="3"/>
    <n v="8"/>
    <n v="525"/>
    <n v="81185456"/>
    <n v="796125"/>
    <s v="Medium"/>
    <s v="Hybrid"/>
    <n v="8"/>
    <n v="88.07"/>
    <n v="651231"/>
    <n v="1"/>
  </r>
  <r>
    <s v="Startup_2667"/>
    <x v="2"/>
    <n v="12"/>
    <n v="30178206"/>
    <n v="4"/>
    <n v="14"/>
    <n v="67"/>
    <n v="53016902"/>
    <n v="270099"/>
    <s v="Medium"/>
    <s v="B2B"/>
    <n v="4"/>
    <n v="21.57"/>
    <n v="926674"/>
    <n v="1"/>
  </r>
  <r>
    <s v="Startup_2668"/>
    <x v="1"/>
    <n v="8"/>
    <n v="21146616"/>
    <n v="1"/>
    <n v="9"/>
    <n v="771"/>
    <n v="38833366"/>
    <n v="190763"/>
    <s v="Small"/>
    <s v="Hybrid"/>
    <n v="2"/>
    <n v="94.06"/>
    <n v="929829"/>
    <n v="1"/>
  </r>
  <r>
    <s v="Startup_2669"/>
    <x v="4"/>
    <n v="6"/>
    <n v="41478116"/>
    <n v="3"/>
    <n v="6"/>
    <n v="616"/>
    <n v="14608551"/>
    <n v="294460"/>
    <s v="Medium"/>
    <s v="B2C"/>
    <n v="9"/>
    <n v="11.59"/>
    <n v="278543"/>
    <n v="1"/>
  </r>
  <r>
    <s v="Startup_2670"/>
    <x v="1"/>
    <n v="8"/>
    <n v="32144943"/>
    <n v="1"/>
    <n v="29"/>
    <n v="199"/>
    <n v="37558782"/>
    <n v="951794"/>
    <s v="Medium"/>
    <s v="B2C"/>
    <n v="6"/>
    <n v="58.57"/>
    <n v="416781"/>
    <n v="1"/>
  </r>
  <r>
    <s v="Startup_2671"/>
    <x v="5"/>
    <n v="10"/>
    <n v="22306176"/>
    <n v="4"/>
    <n v="20"/>
    <n v="261"/>
    <n v="4130223"/>
    <n v="597295"/>
    <s v="Large"/>
    <s v="Hybrid"/>
    <n v="3"/>
    <n v="20.25"/>
    <n v="781244"/>
    <n v="1"/>
  </r>
  <r>
    <s v="Startup_2672"/>
    <x v="0"/>
    <n v="7"/>
    <n v="21342086"/>
    <n v="4"/>
    <n v="9"/>
    <n v="310"/>
    <n v="43354158"/>
    <n v="798157"/>
    <s v="Large"/>
    <s v="B2B"/>
    <n v="5"/>
    <n v="75.86"/>
    <n v="765814"/>
    <n v="1"/>
  </r>
  <r>
    <s v="Startup_2673"/>
    <x v="3"/>
    <n v="12"/>
    <n v="43941608"/>
    <n v="1"/>
    <n v="23"/>
    <n v="170"/>
    <n v="76272963"/>
    <n v="200217"/>
    <s v="Small"/>
    <s v="Hybrid"/>
    <n v="5"/>
    <n v="26.05"/>
    <n v="757406"/>
    <n v="1"/>
  </r>
  <r>
    <s v="Startup_2674"/>
    <x v="1"/>
    <n v="12"/>
    <n v="7371622"/>
    <n v="2"/>
    <n v="21"/>
    <n v="725"/>
    <n v="81801940"/>
    <n v="248398"/>
    <s v="Small"/>
    <s v="B2C"/>
    <n v="7"/>
    <n v="98.56"/>
    <n v="911602"/>
    <n v="1"/>
  </r>
  <r>
    <s v="Startup_2675"/>
    <x v="5"/>
    <n v="9"/>
    <n v="10241439"/>
    <n v="2"/>
    <n v="17"/>
    <n v="795"/>
    <n v="34849701"/>
    <n v="464534"/>
    <s v="Small"/>
    <s v="B2C"/>
    <n v="1"/>
    <n v="90.31"/>
    <n v="101535"/>
    <n v="1"/>
  </r>
  <r>
    <s v="Startup_2676"/>
    <x v="2"/>
    <n v="5"/>
    <n v="22724796"/>
    <n v="2"/>
    <n v="21"/>
    <n v="583"/>
    <n v="39349685"/>
    <n v="781355"/>
    <s v="Large"/>
    <s v="Hybrid"/>
    <n v="3"/>
    <n v="19.82"/>
    <n v="161039"/>
    <n v="1"/>
  </r>
  <r>
    <s v="Startup_2677"/>
    <x v="3"/>
    <n v="5"/>
    <n v="35770812"/>
    <n v="4"/>
    <n v="29"/>
    <n v="795"/>
    <n v="69244290"/>
    <n v="232676"/>
    <s v="Large"/>
    <s v="B2B"/>
    <n v="8"/>
    <n v="97.79"/>
    <n v="43591"/>
    <n v="1"/>
  </r>
  <r>
    <s v="Startup_2678"/>
    <x v="4"/>
    <n v="2"/>
    <n v="26412115"/>
    <n v="1"/>
    <n v="19"/>
    <n v="126"/>
    <n v="17413569"/>
    <n v="417905"/>
    <s v="Large"/>
    <s v="Hybrid"/>
    <n v="7"/>
    <n v="7.89"/>
    <n v="854278"/>
    <n v="1"/>
  </r>
  <r>
    <s v="Startup_2679"/>
    <x v="1"/>
    <n v="12"/>
    <n v="42978939"/>
    <n v="4"/>
    <n v="18"/>
    <n v="276"/>
    <n v="16718050"/>
    <n v="912922"/>
    <s v="Small"/>
    <s v="B2C"/>
    <n v="1"/>
    <n v="84.1"/>
    <n v="756026"/>
    <n v="1"/>
  </r>
  <r>
    <s v="Startup_2680"/>
    <x v="3"/>
    <n v="10"/>
    <n v="12901209"/>
    <n v="2"/>
    <n v="28"/>
    <n v="777"/>
    <n v="64642364"/>
    <n v="788881"/>
    <s v="Large"/>
    <s v="B2B"/>
    <n v="9"/>
    <n v="22.16"/>
    <n v="594823"/>
    <n v="1"/>
  </r>
  <r>
    <s v="Startup_2681"/>
    <x v="5"/>
    <n v="6"/>
    <n v="8400326"/>
    <n v="3"/>
    <n v="25"/>
    <n v="447"/>
    <n v="9045727"/>
    <n v="962674"/>
    <s v="Small"/>
    <s v="B2B"/>
    <n v="6"/>
    <n v="37"/>
    <n v="897512"/>
    <n v="1"/>
  </r>
  <r>
    <s v="Startup_2682"/>
    <x v="5"/>
    <n v="2"/>
    <n v="32229358"/>
    <n v="1"/>
    <n v="3"/>
    <n v="572"/>
    <n v="98528438"/>
    <n v="772801"/>
    <s v="Large"/>
    <s v="B2C"/>
    <n v="5"/>
    <n v="62.48"/>
    <n v="490432"/>
    <n v="1"/>
  </r>
  <r>
    <s v="Startup_2683"/>
    <x v="6"/>
    <n v="8"/>
    <n v="46974803"/>
    <n v="3"/>
    <n v="20"/>
    <n v="13"/>
    <n v="57787499"/>
    <n v="64841"/>
    <s v="Medium"/>
    <s v="Hybrid"/>
    <n v="1"/>
    <n v="94.13"/>
    <n v="528216"/>
    <n v="1"/>
  </r>
  <r>
    <s v="Startup_2684"/>
    <x v="5"/>
    <n v="7"/>
    <n v="29439632"/>
    <n v="1"/>
    <n v="18"/>
    <n v="253"/>
    <n v="79421109"/>
    <n v="191725"/>
    <s v="Small"/>
    <s v="Hybrid"/>
    <n v="1"/>
    <n v="25.56"/>
    <n v="311025"/>
    <n v="1"/>
  </r>
  <r>
    <s v="Startup_2685"/>
    <x v="0"/>
    <n v="8"/>
    <n v="27575280"/>
    <n v="2"/>
    <n v="12"/>
    <n v="518"/>
    <n v="63733031"/>
    <n v="638224"/>
    <s v="Medium"/>
    <s v="B2C"/>
    <n v="1"/>
    <n v="69.64"/>
    <n v="156219"/>
    <n v="1"/>
  </r>
  <r>
    <s v="Startup_2686"/>
    <x v="1"/>
    <n v="2"/>
    <n v="19588335"/>
    <n v="1"/>
    <n v="19"/>
    <n v="899"/>
    <n v="17737154"/>
    <n v="327446"/>
    <s v="Small"/>
    <s v="Hybrid"/>
    <n v="4"/>
    <n v="48.37"/>
    <n v="117959"/>
    <n v="1"/>
  </r>
  <r>
    <s v="Startup_2687"/>
    <x v="0"/>
    <n v="1"/>
    <n v="39316405"/>
    <n v="3"/>
    <n v="21"/>
    <n v="84"/>
    <n v="34927465"/>
    <n v="502039"/>
    <s v="Medium"/>
    <s v="Hybrid"/>
    <n v="7"/>
    <n v="77.06"/>
    <n v="70624"/>
    <n v="1"/>
  </r>
  <r>
    <s v="Startup_2688"/>
    <x v="2"/>
    <n v="13"/>
    <n v="2607862"/>
    <n v="3"/>
    <n v="20"/>
    <n v="270"/>
    <n v="34090150"/>
    <n v="725856"/>
    <s v="Medium"/>
    <s v="B2C"/>
    <n v="3"/>
    <n v="98.87"/>
    <n v="638014"/>
    <n v="1"/>
  </r>
  <r>
    <s v="Startup_2689"/>
    <x v="2"/>
    <n v="7"/>
    <n v="43300107"/>
    <n v="2"/>
    <n v="15"/>
    <n v="133"/>
    <n v="16032707"/>
    <n v="746020"/>
    <s v="Small"/>
    <s v="B2B"/>
    <n v="4"/>
    <n v="94.69"/>
    <n v="256583"/>
    <n v="1"/>
  </r>
  <r>
    <s v="Startup_2690"/>
    <x v="5"/>
    <n v="1"/>
    <n v="19491016"/>
    <n v="4"/>
    <n v="9"/>
    <n v="979"/>
    <n v="36124581"/>
    <n v="455264"/>
    <s v="Large"/>
    <s v="Hybrid"/>
    <n v="6"/>
    <n v="35.659999999999997"/>
    <n v="418442"/>
    <n v="1"/>
  </r>
  <r>
    <s v="Startup_2691"/>
    <x v="6"/>
    <n v="7"/>
    <n v="48775939"/>
    <n v="2"/>
    <n v="15"/>
    <n v="6"/>
    <n v="69513414"/>
    <n v="513741"/>
    <s v="Small"/>
    <s v="Hybrid"/>
    <n v="3"/>
    <n v="36.270000000000003"/>
    <n v="988734"/>
    <n v="1"/>
  </r>
  <r>
    <s v="Startup_2692"/>
    <x v="1"/>
    <n v="1"/>
    <n v="9657423"/>
    <n v="3"/>
    <n v="24"/>
    <n v="231"/>
    <n v="12153327"/>
    <n v="690367"/>
    <s v="Small"/>
    <s v="B2C"/>
    <n v="7"/>
    <n v="10.14"/>
    <n v="862165"/>
    <n v="1"/>
  </r>
  <r>
    <s v="Startup_2693"/>
    <x v="4"/>
    <n v="7"/>
    <n v="5551112"/>
    <n v="1"/>
    <n v="21"/>
    <n v="183"/>
    <n v="32743521"/>
    <n v="863163"/>
    <s v="Medium"/>
    <s v="Hybrid"/>
    <n v="2"/>
    <n v="85.41"/>
    <n v="494032"/>
    <n v="1"/>
  </r>
  <r>
    <s v="Startup_2694"/>
    <x v="4"/>
    <n v="11"/>
    <n v="1780408"/>
    <n v="4"/>
    <n v="3"/>
    <n v="493"/>
    <n v="14083487"/>
    <n v="348043"/>
    <s v="Medium"/>
    <s v="Hybrid"/>
    <n v="4"/>
    <n v="24.59"/>
    <n v="13551"/>
    <n v="1"/>
  </r>
  <r>
    <s v="Startup_2695"/>
    <x v="6"/>
    <n v="14"/>
    <n v="41374068"/>
    <n v="4"/>
    <n v="21"/>
    <n v="648"/>
    <n v="43920771"/>
    <n v="744832"/>
    <s v="Large"/>
    <s v="B2C"/>
    <n v="5"/>
    <n v="44.49"/>
    <n v="213453"/>
    <n v="1"/>
  </r>
  <r>
    <s v="Startup_2696"/>
    <x v="0"/>
    <n v="11"/>
    <n v="34322694"/>
    <n v="4"/>
    <n v="17"/>
    <n v="637"/>
    <n v="15654348"/>
    <n v="760062"/>
    <s v="Large"/>
    <s v="B2C"/>
    <n v="5"/>
    <n v="64.53"/>
    <n v="993930"/>
    <n v="1"/>
  </r>
  <r>
    <s v="Startup_2697"/>
    <x v="4"/>
    <n v="3"/>
    <n v="1871097"/>
    <n v="3"/>
    <n v="12"/>
    <n v="503"/>
    <n v="61510150"/>
    <n v="839956"/>
    <s v="Medium"/>
    <s v="Hybrid"/>
    <n v="8"/>
    <n v="93.04"/>
    <n v="815612"/>
    <n v="1"/>
  </r>
  <r>
    <s v="Startup_2698"/>
    <x v="1"/>
    <n v="13"/>
    <n v="40317929"/>
    <n v="3"/>
    <n v="26"/>
    <n v="700"/>
    <n v="86155684"/>
    <n v="615909"/>
    <s v="Large"/>
    <s v="B2C"/>
    <n v="2"/>
    <n v="4.74"/>
    <n v="472823"/>
    <n v="1"/>
  </r>
  <r>
    <s v="Startup_2699"/>
    <x v="0"/>
    <n v="5"/>
    <n v="45900704"/>
    <n v="2"/>
    <n v="18"/>
    <n v="49"/>
    <n v="51391502"/>
    <n v="773149"/>
    <s v="Large"/>
    <s v="B2B"/>
    <n v="1"/>
    <n v="53.62"/>
    <n v="574661"/>
    <n v="1"/>
  </r>
  <r>
    <s v="Startup_2700"/>
    <x v="0"/>
    <n v="11"/>
    <n v="46133448"/>
    <n v="4"/>
    <n v="7"/>
    <n v="501"/>
    <n v="47008407"/>
    <n v="872478"/>
    <s v="Large"/>
    <s v="B2B"/>
    <n v="3"/>
    <n v="77.12"/>
    <n v="889080"/>
    <n v="1"/>
  </r>
  <r>
    <s v="Startup_2701"/>
    <x v="2"/>
    <n v="13"/>
    <n v="49628500"/>
    <n v="2"/>
    <n v="13"/>
    <n v="786"/>
    <n v="94402426"/>
    <n v="105115"/>
    <s v="Large"/>
    <s v="B2B"/>
    <n v="6"/>
    <n v="95.87"/>
    <n v="954637"/>
    <n v="1"/>
  </r>
  <r>
    <s v="Startup_2702"/>
    <x v="3"/>
    <n v="14"/>
    <n v="28322717"/>
    <n v="4"/>
    <n v="1"/>
    <n v="445"/>
    <n v="63788852"/>
    <n v="779159"/>
    <s v="Medium"/>
    <s v="B2C"/>
    <n v="6"/>
    <n v="27.39"/>
    <n v="872828"/>
    <n v="1"/>
  </r>
  <r>
    <s v="Startup_2703"/>
    <x v="4"/>
    <n v="5"/>
    <n v="32977976"/>
    <n v="2"/>
    <n v="11"/>
    <n v="267"/>
    <n v="50292284"/>
    <n v="181564"/>
    <s v="Large"/>
    <s v="Hybrid"/>
    <n v="5"/>
    <n v="27.1"/>
    <n v="878639"/>
    <n v="1"/>
  </r>
  <r>
    <s v="Startup_2704"/>
    <x v="1"/>
    <n v="10"/>
    <n v="24654529"/>
    <n v="1"/>
    <n v="22"/>
    <n v="60"/>
    <n v="14889048"/>
    <n v="894488"/>
    <s v="Small"/>
    <s v="B2B"/>
    <n v="1"/>
    <n v="87.08"/>
    <n v="26097"/>
    <n v="1"/>
  </r>
  <r>
    <s v="Startup_2705"/>
    <x v="6"/>
    <n v="10"/>
    <n v="46676982"/>
    <n v="1"/>
    <n v="16"/>
    <n v="976"/>
    <n v="38989219"/>
    <n v="133674"/>
    <s v="Large"/>
    <s v="B2C"/>
    <n v="6"/>
    <n v="82.19"/>
    <n v="8189"/>
    <n v="1"/>
  </r>
  <r>
    <s v="Startup_2706"/>
    <x v="6"/>
    <n v="4"/>
    <n v="20842831"/>
    <n v="1"/>
    <n v="1"/>
    <n v="373"/>
    <n v="70603311"/>
    <n v="615107"/>
    <s v="Small"/>
    <s v="Hybrid"/>
    <n v="4"/>
    <n v="2.95"/>
    <n v="323277"/>
    <n v="1"/>
  </r>
  <r>
    <s v="Startup_2707"/>
    <x v="1"/>
    <n v="8"/>
    <n v="41993499"/>
    <n v="2"/>
    <n v="5"/>
    <n v="617"/>
    <n v="87888574"/>
    <n v="796245"/>
    <s v="Large"/>
    <s v="Hybrid"/>
    <n v="4"/>
    <n v="89"/>
    <n v="336392"/>
    <n v="1"/>
  </r>
  <r>
    <s v="Startup_2708"/>
    <x v="2"/>
    <n v="2"/>
    <n v="49734280"/>
    <n v="3"/>
    <n v="10"/>
    <n v="328"/>
    <n v="99423801"/>
    <n v="178864"/>
    <s v="Medium"/>
    <s v="B2C"/>
    <n v="4"/>
    <n v="20.47"/>
    <n v="615967"/>
    <n v="1"/>
  </r>
  <r>
    <s v="Startup_2709"/>
    <x v="0"/>
    <n v="5"/>
    <n v="15689004"/>
    <n v="2"/>
    <n v="9"/>
    <n v="723"/>
    <n v="56879221"/>
    <n v="124563"/>
    <s v="Medium"/>
    <s v="Hybrid"/>
    <n v="3"/>
    <n v="42.41"/>
    <n v="396681"/>
    <n v="1"/>
  </r>
  <r>
    <s v="Startup_2710"/>
    <x v="5"/>
    <n v="3"/>
    <n v="41540249"/>
    <n v="1"/>
    <n v="18"/>
    <n v="696"/>
    <n v="56755000"/>
    <n v="128177"/>
    <s v="Small"/>
    <s v="B2B"/>
    <n v="9"/>
    <n v="27.34"/>
    <n v="49991"/>
    <n v="1"/>
  </r>
  <r>
    <s v="Startup_2711"/>
    <x v="0"/>
    <n v="1"/>
    <n v="31346809"/>
    <n v="3"/>
    <n v="10"/>
    <n v="399"/>
    <n v="27510555"/>
    <n v="981695"/>
    <s v="Large"/>
    <s v="Hybrid"/>
    <n v="2"/>
    <n v="84.01"/>
    <n v="379149"/>
    <n v="1"/>
  </r>
  <r>
    <s v="Startup_2712"/>
    <x v="6"/>
    <n v="14"/>
    <n v="25867776"/>
    <n v="1"/>
    <n v="2"/>
    <n v="719"/>
    <n v="57350670"/>
    <n v="667668"/>
    <s v="Large"/>
    <s v="B2C"/>
    <n v="1"/>
    <n v="95.63"/>
    <n v="786247"/>
    <n v="1"/>
  </r>
  <r>
    <s v="Startup_2713"/>
    <x v="4"/>
    <n v="9"/>
    <n v="7649953"/>
    <n v="2"/>
    <n v="23"/>
    <n v="518"/>
    <n v="17915633"/>
    <n v="434580"/>
    <s v="Large"/>
    <s v="Hybrid"/>
    <n v="5"/>
    <n v="64.94"/>
    <n v="311339"/>
    <n v="1"/>
  </r>
  <r>
    <s v="Startup_2714"/>
    <x v="0"/>
    <n v="13"/>
    <n v="18139503"/>
    <n v="4"/>
    <n v="11"/>
    <n v="546"/>
    <n v="55400808"/>
    <n v="192370"/>
    <s v="Large"/>
    <s v="B2B"/>
    <n v="9"/>
    <n v="4.32"/>
    <n v="810205"/>
    <n v="1"/>
  </r>
  <r>
    <s v="Startup_2715"/>
    <x v="6"/>
    <n v="7"/>
    <n v="5892874"/>
    <n v="4"/>
    <n v="4"/>
    <n v="380"/>
    <n v="78375898"/>
    <n v="862547"/>
    <s v="Medium"/>
    <s v="B2B"/>
    <n v="1"/>
    <n v="64.28"/>
    <n v="764200"/>
    <n v="1"/>
  </r>
  <r>
    <s v="Startup_2716"/>
    <x v="1"/>
    <n v="3"/>
    <n v="1666725"/>
    <n v="1"/>
    <n v="4"/>
    <n v="664"/>
    <n v="8952699"/>
    <n v="873395"/>
    <s v="Large"/>
    <s v="B2B"/>
    <n v="6"/>
    <n v="76.28"/>
    <n v="70601"/>
    <n v="1"/>
  </r>
  <r>
    <s v="Startup_2717"/>
    <x v="4"/>
    <n v="14"/>
    <n v="28246728"/>
    <n v="1"/>
    <n v="4"/>
    <n v="560"/>
    <n v="42185973"/>
    <n v="240504"/>
    <s v="Small"/>
    <s v="B2C"/>
    <n v="3"/>
    <n v="79.75"/>
    <n v="648108"/>
    <n v="1"/>
  </r>
  <r>
    <s v="Startup_2718"/>
    <x v="1"/>
    <n v="2"/>
    <n v="35983644"/>
    <n v="3"/>
    <n v="16"/>
    <n v="87"/>
    <n v="44143023"/>
    <n v="136658"/>
    <s v="Large"/>
    <s v="Hybrid"/>
    <n v="6"/>
    <n v="21.42"/>
    <n v="279251"/>
    <n v="1"/>
  </r>
  <r>
    <s v="Startup_2719"/>
    <x v="5"/>
    <n v="2"/>
    <n v="27585674"/>
    <n v="4"/>
    <n v="2"/>
    <n v="883"/>
    <n v="69768649"/>
    <n v="630969"/>
    <s v="Large"/>
    <s v="B2C"/>
    <n v="8"/>
    <n v="89.67"/>
    <n v="935468"/>
    <n v="1"/>
  </r>
  <r>
    <s v="Startup_2720"/>
    <x v="0"/>
    <n v="0"/>
    <n v="26658874"/>
    <n v="1"/>
    <n v="11"/>
    <n v="32"/>
    <n v="80652096"/>
    <n v="896198"/>
    <s v="Small"/>
    <s v="B2C"/>
    <n v="7"/>
    <n v="23.64"/>
    <n v="770943"/>
    <n v="1"/>
  </r>
  <r>
    <s v="Startup_2721"/>
    <x v="3"/>
    <n v="4"/>
    <n v="28779390"/>
    <n v="4"/>
    <n v="1"/>
    <n v="968"/>
    <n v="81134002"/>
    <n v="599969"/>
    <s v="Medium"/>
    <s v="B2C"/>
    <n v="5"/>
    <n v="78.069999999999993"/>
    <n v="838320"/>
    <n v="1"/>
  </r>
  <r>
    <s v="Startup_2722"/>
    <x v="2"/>
    <n v="9"/>
    <n v="31778601"/>
    <n v="1"/>
    <n v="29"/>
    <n v="516"/>
    <n v="74088826"/>
    <n v="365413"/>
    <s v="Small"/>
    <s v="B2C"/>
    <n v="9"/>
    <n v="85.65"/>
    <n v="512241"/>
    <n v="1"/>
  </r>
  <r>
    <s v="Startup_2723"/>
    <x v="5"/>
    <n v="4"/>
    <n v="4308874"/>
    <n v="1"/>
    <n v="0"/>
    <n v="612"/>
    <n v="49296017"/>
    <n v="210398"/>
    <s v="Medium"/>
    <s v="Hybrid"/>
    <n v="9"/>
    <n v="79.75"/>
    <n v="570673"/>
    <n v="1"/>
  </r>
  <r>
    <s v="Startup_2724"/>
    <x v="4"/>
    <n v="4"/>
    <n v="44409511"/>
    <n v="3"/>
    <n v="21"/>
    <n v="74"/>
    <n v="80745654"/>
    <n v="558559"/>
    <s v="Large"/>
    <s v="B2C"/>
    <n v="9"/>
    <n v="68.489999999999995"/>
    <n v="721053"/>
    <n v="1"/>
  </r>
  <r>
    <s v="Startup_2725"/>
    <x v="1"/>
    <n v="9"/>
    <n v="4878331"/>
    <n v="2"/>
    <n v="27"/>
    <n v="920"/>
    <n v="67252687"/>
    <n v="114796"/>
    <s v="Large"/>
    <s v="B2B"/>
    <n v="5"/>
    <n v="83.13"/>
    <n v="849549"/>
    <n v="1"/>
  </r>
  <r>
    <s v="Startup_2726"/>
    <x v="2"/>
    <n v="2"/>
    <n v="9764156"/>
    <n v="2"/>
    <n v="11"/>
    <n v="605"/>
    <n v="72978695"/>
    <n v="18737"/>
    <s v="Medium"/>
    <s v="Hybrid"/>
    <n v="3"/>
    <n v="83.36"/>
    <n v="660599"/>
    <n v="1"/>
  </r>
  <r>
    <s v="Startup_2727"/>
    <x v="4"/>
    <n v="10"/>
    <n v="34404719"/>
    <n v="2"/>
    <n v="18"/>
    <n v="17"/>
    <n v="43322976"/>
    <n v="704414"/>
    <s v="Large"/>
    <s v="B2B"/>
    <n v="6"/>
    <n v="40.96"/>
    <n v="542694"/>
    <n v="1"/>
  </r>
  <r>
    <s v="Startup_2728"/>
    <x v="4"/>
    <n v="12"/>
    <n v="32561421"/>
    <n v="4"/>
    <n v="27"/>
    <n v="354"/>
    <n v="8842065"/>
    <n v="232674"/>
    <s v="Medium"/>
    <s v="B2C"/>
    <n v="8"/>
    <n v="26.35"/>
    <n v="506894"/>
    <n v="1"/>
  </r>
  <r>
    <s v="Startup_2729"/>
    <x v="5"/>
    <n v="7"/>
    <n v="15791029"/>
    <n v="4"/>
    <n v="29"/>
    <n v="749"/>
    <n v="35853985"/>
    <n v="576725"/>
    <s v="Small"/>
    <s v="B2C"/>
    <n v="6"/>
    <n v="66.34"/>
    <n v="81389"/>
    <n v="1"/>
  </r>
  <r>
    <s v="Startup_2730"/>
    <x v="0"/>
    <n v="7"/>
    <n v="19139839"/>
    <n v="4"/>
    <n v="25"/>
    <n v="831"/>
    <n v="14533523"/>
    <n v="6379"/>
    <s v="Medium"/>
    <s v="Hybrid"/>
    <n v="4"/>
    <n v="73.95"/>
    <n v="214022"/>
    <n v="1"/>
  </r>
  <r>
    <s v="Startup_2731"/>
    <x v="5"/>
    <n v="1"/>
    <n v="47634655"/>
    <n v="1"/>
    <n v="20"/>
    <n v="566"/>
    <n v="755358"/>
    <n v="791505"/>
    <s v="Medium"/>
    <s v="B2B"/>
    <n v="4"/>
    <n v="88.65"/>
    <n v="801971"/>
    <n v="1"/>
  </r>
  <r>
    <s v="Startup_2732"/>
    <x v="3"/>
    <n v="14"/>
    <n v="30541725"/>
    <n v="1"/>
    <n v="3"/>
    <n v="132"/>
    <n v="33670926"/>
    <n v="529159"/>
    <s v="Medium"/>
    <s v="B2B"/>
    <n v="4"/>
    <n v="69.14"/>
    <n v="432093"/>
    <n v="1"/>
  </r>
  <r>
    <s v="Startup_2733"/>
    <x v="3"/>
    <n v="6"/>
    <n v="40025766"/>
    <n v="4"/>
    <n v="2"/>
    <n v="184"/>
    <n v="57785687"/>
    <n v="367801"/>
    <s v="Large"/>
    <s v="B2B"/>
    <n v="9"/>
    <n v="69.900000000000006"/>
    <n v="44367"/>
    <n v="1"/>
  </r>
  <r>
    <s v="Startup_2734"/>
    <x v="2"/>
    <n v="4"/>
    <n v="10738954"/>
    <n v="3"/>
    <n v="15"/>
    <n v="871"/>
    <n v="63504219"/>
    <n v="422414"/>
    <s v="Small"/>
    <s v="Hybrid"/>
    <n v="5"/>
    <n v="6.66"/>
    <n v="177344"/>
    <n v="1"/>
  </r>
  <r>
    <s v="Startup_2735"/>
    <x v="5"/>
    <n v="2"/>
    <n v="31612533"/>
    <n v="2"/>
    <n v="21"/>
    <n v="212"/>
    <n v="2080139"/>
    <n v="664371"/>
    <s v="Small"/>
    <s v="Hybrid"/>
    <n v="4"/>
    <n v="56.19"/>
    <n v="196581"/>
    <n v="1"/>
  </r>
  <r>
    <s v="Startup_2736"/>
    <x v="2"/>
    <n v="3"/>
    <n v="6175428"/>
    <n v="3"/>
    <n v="21"/>
    <n v="211"/>
    <n v="55640582"/>
    <n v="176107"/>
    <s v="Medium"/>
    <s v="B2B"/>
    <n v="4"/>
    <n v="4.78"/>
    <n v="750873"/>
    <n v="1"/>
  </r>
  <r>
    <s v="Startup_2737"/>
    <x v="4"/>
    <n v="13"/>
    <n v="6032597"/>
    <n v="4"/>
    <n v="25"/>
    <n v="621"/>
    <n v="59250859"/>
    <n v="381946"/>
    <s v="Medium"/>
    <s v="B2B"/>
    <n v="9"/>
    <n v="12.92"/>
    <n v="9070"/>
    <n v="1"/>
  </r>
  <r>
    <s v="Startup_2738"/>
    <x v="4"/>
    <n v="11"/>
    <n v="40789817"/>
    <n v="3"/>
    <n v="2"/>
    <n v="630"/>
    <n v="72894368"/>
    <n v="848257"/>
    <s v="Large"/>
    <s v="Hybrid"/>
    <n v="1"/>
    <n v="87.96"/>
    <n v="955563"/>
    <n v="1"/>
  </r>
  <r>
    <s v="Startup_2739"/>
    <x v="4"/>
    <n v="6"/>
    <n v="35656390"/>
    <n v="1"/>
    <n v="27"/>
    <n v="459"/>
    <n v="48972849"/>
    <n v="612175"/>
    <s v="Medium"/>
    <s v="B2C"/>
    <n v="8"/>
    <n v="23.15"/>
    <n v="638679"/>
    <n v="1"/>
  </r>
  <r>
    <s v="Startup_2740"/>
    <x v="1"/>
    <n v="12"/>
    <n v="11575110"/>
    <n v="2"/>
    <n v="14"/>
    <n v="815"/>
    <n v="20754171"/>
    <n v="630142"/>
    <s v="Small"/>
    <s v="B2B"/>
    <n v="7"/>
    <n v="94.1"/>
    <n v="59582"/>
    <n v="1"/>
  </r>
  <r>
    <s v="Startup_2741"/>
    <x v="6"/>
    <n v="6"/>
    <n v="37225745"/>
    <n v="1"/>
    <n v="14"/>
    <n v="676"/>
    <n v="96151479"/>
    <n v="806067"/>
    <s v="Large"/>
    <s v="B2C"/>
    <n v="3"/>
    <n v="63.55"/>
    <n v="51232"/>
    <n v="1"/>
  </r>
  <r>
    <s v="Startup_2742"/>
    <x v="3"/>
    <n v="0"/>
    <n v="44017022"/>
    <n v="3"/>
    <n v="29"/>
    <n v="369"/>
    <n v="40610018"/>
    <n v="974899"/>
    <s v="Small"/>
    <s v="B2C"/>
    <n v="3"/>
    <n v="77.17"/>
    <n v="383910"/>
    <n v="1"/>
  </r>
  <r>
    <s v="Startup_2743"/>
    <x v="4"/>
    <n v="5"/>
    <n v="19135922"/>
    <n v="2"/>
    <n v="6"/>
    <n v="390"/>
    <n v="87163368"/>
    <n v="379622"/>
    <s v="Small"/>
    <s v="B2C"/>
    <n v="1"/>
    <n v="99.72"/>
    <n v="668822"/>
    <n v="1"/>
  </r>
  <r>
    <s v="Startup_2744"/>
    <x v="2"/>
    <n v="12"/>
    <n v="48888152"/>
    <n v="4"/>
    <n v="29"/>
    <n v="462"/>
    <n v="15361599"/>
    <n v="248888"/>
    <s v="Large"/>
    <s v="Hybrid"/>
    <n v="1"/>
    <n v="59.15"/>
    <n v="624304"/>
    <n v="1"/>
  </r>
  <r>
    <s v="Startup_2745"/>
    <x v="0"/>
    <n v="1"/>
    <n v="47953249"/>
    <n v="3"/>
    <n v="4"/>
    <n v="198"/>
    <n v="66414074"/>
    <n v="288691"/>
    <s v="Large"/>
    <s v="Hybrid"/>
    <n v="7"/>
    <n v="87.18"/>
    <n v="732262"/>
    <n v="1"/>
  </r>
  <r>
    <s v="Startup_2746"/>
    <x v="3"/>
    <n v="9"/>
    <n v="35715937"/>
    <n v="3"/>
    <n v="1"/>
    <n v="71"/>
    <n v="76512437"/>
    <n v="503397"/>
    <s v="Medium"/>
    <s v="B2B"/>
    <n v="1"/>
    <n v="5.29"/>
    <n v="960238"/>
    <n v="1"/>
  </r>
  <r>
    <s v="Startup_2747"/>
    <x v="4"/>
    <n v="0"/>
    <n v="24478374"/>
    <n v="2"/>
    <n v="13"/>
    <n v="865"/>
    <n v="6343076"/>
    <n v="398208"/>
    <s v="Large"/>
    <s v="B2C"/>
    <n v="1"/>
    <n v="45.53"/>
    <n v="497340"/>
    <n v="1"/>
  </r>
  <r>
    <s v="Startup_2748"/>
    <x v="0"/>
    <n v="13"/>
    <n v="31271682"/>
    <n v="4"/>
    <n v="6"/>
    <n v="129"/>
    <n v="56642172"/>
    <n v="51303"/>
    <s v="Large"/>
    <s v="Hybrid"/>
    <n v="7"/>
    <n v="49.05"/>
    <n v="659437"/>
    <n v="1"/>
  </r>
  <r>
    <s v="Startup_2749"/>
    <x v="5"/>
    <n v="10"/>
    <n v="13309799"/>
    <n v="1"/>
    <n v="21"/>
    <n v="673"/>
    <n v="83129939"/>
    <n v="976679"/>
    <s v="Small"/>
    <s v="B2B"/>
    <n v="8"/>
    <n v="41.69"/>
    <n v="368172"/>
    <n v="1"/>
  </r>
  <r>
    <s v="Startup_2750"/>
    <x v="4"/>
    <n v="0"/>
    <n v="34259790"/>
    <n v="3"/>
    <n v="1"/>
    <n v="948"/>
    <n v="17000376"/>
    <n v="287098"/>
    <s v="Medium"/>
    <s v="B2C"/>
    <n v="8"/>
    <n v="9.41"/>
    <n v="557328"/>
    <n v="1"/>
  </r>
  <r>
    <s v="Startup_2751"/>
    <x v="1"/>
    <n v="14"/>
    <n v="12357552"/>
    <n v="4"/>
    <n v="17"/>
    <n v="239"/>
    <n v="85219997"/>
    <n v="147907"/>
    <s v="Small"/>
    <s v="Hybrid"/>
    <n v="6"/>
    <n v="50.34"/>
    <n v="721560"/>
    <n v="1"/>
  </r>
  <r>
    <s v="Startup_2752"/>
    <x v="6"/>
    <n v="7"/>
    <n v="27443161"/>
    <n v="3"/>
    <n v="18"/>
    <n v="245"/>
    <n v="20085388"/>
    <n v="332608"/>
    <s v="Medium"/>
    <s v="Hybrid"/>
    <n v="8"/>
    <n v="21.28"/>
    <n v="654109"/>
    <n v="1"/>
  </r>
  <r>
    <s v="Startup_2753"/>
    <x v="0"/>
    <n v="2"/>
    <n v="41215042"/>
    <n v="2"/>
    <n v="21"/>
    <n v="810"/>
    <n v="95505616"/>
    <n v="71224"/>
    <s v="Small"/>
    <s v="Hybrid"/>
    <n v="5"/>
    <n v="76.67"/>
    <n v="216007"/>
    <n v="1"/>
  </r>
  <r>
    <s v="Startup_2754"/>
    <x v="0"/>
    <n v="3"/>
    <n v="18861028"/>
    <n v="2"/>
    <n v="17"/>
    <n v="987"/>
    <n v="54510184"/>
    <n v="924612"/>
    <s v="Large"/>
    <s v="B2C"/>
    <n v="6"/>
    <n v="1.79"/>
    <n v="186784"/>
    <n v="1"/>
  </r>
  <r>
    <s v="Startup_2755"/>
    <x v="5"/>
    <n v="3"/>
    <n v="32194849"/>
    <n v="3"/>
    <n v="7"/>
    <n v="983"/>
    <n v="57091502"/>
    <n v="673236"/>
    <s v="Large"/>
    <s v="B2B"/>
    <n v="4"/>
    <n v="45.47"/>
    <n v="630586"/>
    <n v="1"/>
  </r>
  <r>
    <s v="Startup_2756"/>
    <x v="3"/>
    <n v="10"/>
    <n v="47800858"/>
    <n v="4"/>
    <n v="20"/>
    <n v="91"/>
    <n v="51917557"/>
    <n v="661625"/>
    <s v="Small"/>
    <s v="B2C"/>
    <n v="9"/>
    <n v="59.5"/>
    <n v="144385"/>
    <n v="1"/>
  </r>
  <r>
    <s v="Startup_2757"/>
    <x v="2"/>
    <n v="11"/>
    <n v="27217176"/>
    <n v="2"/>
    <n v="27"/>
    <n v="304"/>
    <n v="91120916"/>
    <n v="930108"/>
    <s v="Small"/>
    <s v="B2C"/>
    <n v="7"/>
    <n v="60.27"/>
    <n v="973718"/>
    <n v="1"/>
  </r>
  <r>
    <s v="Startup_2758"/>
    <x v="5"/>
    <n v="4"/>
    <n v="6977610"/>
    <n v="2"/>
    <n v="1"/>
    <n v="464"/>
    <n v="56417976"/>
    <n v="48684"/>
    <s v="Small"/>
    <s v="B2B"/>
    <n v="4"/>
    <n v="49.36"/>
    <n v="473715"/>
    <n v="1"/>
  </r>
  <r>
    <s v="Startup_2759"/>
    <x v="1"/>
    <n v="9"/>
    <n v="26026289"/>
    <n v="1"/>
    <n v="23"/>
    <n v="314"/>
    <n v="40575280"/>
    <n v="558280"/>
    <s v="Medium"/>
    <s v="B2B"/>
    <n v="1"/>
    <n v="95"/>
    <n v="736070"/>
    <n v="1"/>
  </r>
  <r>
    <s v="Startup_2760"/>
    <x v="6"/>
    <n v="7"/>
    <n v="46703361"/>
    <n v="1"/>
    <n v="18"/>
    <n v="974"/>
    <n v="39898129"/>
    <n v="539531"/>
    <s v="Large"/>
    <s v="B2C"/>
    <n v="3"/>
    <n v="45.45"/>
    <n v="861887"/>
    <n v="1"/>
  </r>
  <r>
    <s v="Startup_2761"/>
    <x v="0"/>
    <n v="5"/>
    <n v="41935558"/>
    <n v="4"/>
    <n v="12"/>
    <n v="138"/>
    <n v="52894340"/>
    <n v="419409"/>
    <s v="Small"/>
    <s v="Hybrid"/>
    <n v="7"/>
    <n v="97.2"/>
    <n v="561487"/>
    <n v="1"/>
  </r>
  <r>
    <s v="Startup_2762"/>
    <x v="4"/>
    <n v="1"/>
    <n v="12161088"/>
    <n v="1"/>
    <n v="2"/>
    <n v="161"/>
    <n v="95730097"/>
    <n v="183944"/>
    <s v="Medium"/>
    <s v="B2C"/>
    <n v="6"/>
    <n v="72.16"/>
    <n v="910753"/>
    <n v="1"/>
  </r>
  <r>
    <s v="Startup_2763"/>
    <x v="5"/>
    <n v="10"/>
    <n v="43240981"/>
    <n v="2"/>
    <n v="29"/>
    <n v="119"/>
    <n v="78390940"/>
    <n v="292336"/>
    <s v="Medium"/>
    <s v="Hybrid"/>
    <n v="6"/>
    <n v="77.709999999999994"/>
    <n v="834736"/>
    <n v="1"/>
  </r>
  <r>
    <s v="Startup_2764"/>
    <x v="6"/>
    <n v="3"/>
    <n v="38359631"/>
    <n v="2"/>
    <n v="23"/>
    <n v="638"/>
    <n v="54886213"/>
    <n v="623979"/>
    <s v="Small"/>
    <s v="Hybrid"/>
    <n v="4"/>
    <n v="67.98"/>
    <n v="361361"/>
    <n v="1"/>
  </r>
  <r>
    <s v="Startup_2765"/>
    <x v="5"/>
    <n v="3"/>
    <n v="20465040"/>
    <n v="2"/>
    <n v="13"/>
    <n v="226"/>
    <n v="14491674"/>
    <n v="511968"/>
    <s v="Medium"/>
    <s v="B2C"/>
    <n v="2"/>
    <n v="89.62"/>
    <n v="486052"/>
    <n v="1"/>
  </r>
  <r>
    <s v="Startup_2766"/>
    <x v="0"/>
    <n v="11"/>
    <n v="24368250"/>
    <n v="1"/>
    <n v="7"/>
    <n v="678"/>
    <n v="45373559"/>
    <n v="880512"/>
    <s v="Medium"/>
    <s v="B2C"/>
    <n v="6"/>
    <n v="93.13"/>
    <n v="645300"/>
    <n v="1"/>
  </r>
  <r>
    <s v="Startup_2767"/>
    <x v="6"/>
    <n v="8"/>
    <n v="35551023"/>
    <n v="4"/>
    <n v="1"/>
    <n v="761"/>
    <n v="61160234"/>
    <n v="249285"/>
    <s v="Small"/>
    <s v="Hybrid"/>
    <n v="6"/>
    <n v="9.51"/>
    <n v="918536"/>
    <n v="1"/>
  </r>
  <r>
    <s v="Startup_2768"/>
    <x v="2"/>
    <n v="7"/>
    <n v="39940066"/>
    <n v="1"/>
    <n v="2"/>
    <n v="114"/>
    <n v="60766202"/>
    <n v="389278"/>
    <s v="Large"/>
    <s v="B2B"/>
    <n v="1"/>
    <n v="83.87"/>
    <n v="553141"/>
    <n v="1"/>
  </r>
  <r>
    <s v="Startup_2769"/>
    <x v="3"/>
    <n v="8"/>
    <n v="19984641"/>
    <n v="4"/>
    <n v="20"/>
    <n v="699"/>
    <n v="1556231"/>
    <n v="880388"/>
    <s v="Medium"/>
    <s v="Hybrid"/>
    <n v="8"/>
    <n v="68.36"/>
    <n v="285312"/>
    <n v="1"/>
  </r>
  <r>
    <s v="Startup_2770"/>
    <x v="3"/>
    <n v="8"/>
    <n v="40538796"/>
    <n v="4"/>
    <n v="22"/>
    <n v="29"/>
    <n v="67361265"/>
    <n v="614408"/>
    <s v="Large"/>
    <s v="B2C"/>
    <n v="6"/>
    <n v="53.86"/>
    <n v="478996"/>
    <n v="1"/>
  </r>
  <r>
    <s v="Startup_2771"/>
    <x v="0"/>
    <n v="13"/>
    <n v="33739624"/>
    <n v="2"/>
    <n v="20"/>
    <n v="183"/>
    <n v="16932202"/>
    <n v="698173"/>
    <s v="Large"/>
    <s v="B2B"/>
    <n v="8"/>
    <n v="58.88"/>
    <n v="56755"/>
    <n v="1"/>
  </r>
  <r>
    <s v="Startup_2772"/>
    <x v="2"/>
    <n v="12"/>
    <n v="13943393"/>
    <n v="4"/>
    <n v="17"/>
    <n v="667"/>
    <n v="75166930"/>
    <n v="475889"/>
    <s v="Large"/>
    <s v="B2B"/>
    <n v="5"/>
    <n v="47.81"/>
    <n v="247217"/>
    <n v="1"/>
  </r>
  <r>
    <s v="Startup_2773"/>
    <x v="0"/>
    <n v="9"/>
    <n v="34085019"/>
    <n v="1"/>
    <n v="24"/>
    <n v="20"/>
    <n v="39245884"/>
    <n v="12725"/>
    <s v="Small"/>
    <s v="B2C"/>
    <n v="3"/>
    <n v="17.420000000000002"/>
    <n v="928642"/>
    <n v="1"/>
  </r>
  <r>
    <s v="Startup_2774"/>
    <x v="0"/>
    <n v="8"/>
    <n v="9813114"/>
    <n v="1"/>
    <n v="12"/>
    <n v="75"/>
    <n v="49066806"/>
    <n v="733723"/>
    <s v="Medium"/>
    <s v="B2C"/>
    <n v="1"/>
    <n v="49.03"/>
    <n v="155717"/>
    <n v="1"/>
  </r>
  <r>
    <s v="Startup_2775"/>
    <x v="2"/>
    <n v="4"/>
    <n v="13777078"/>
    <n v="2"/>
    <n v="0"/>
    <n v="36"/>
    <n v="98849322"/>
    <n v="383286"/>
    <s v="Medium"/>
    <s v="B2C"/>
    <n v="7"/>
    <n v="3.98"/>
    <n v="186756"/>
    <n v="1"/>
  </r>
  <r>
    <s v="Startup_2776"/>
    <x v="0"/>
    <n v="8"/>
    <n v="44350975"/>
    <n v="2"/>
    <n v="15"/>
    <n v="137"/>
    <n v="64024257"/>
    <n v="746907"/>
    <s v="Large"/>
    <s v="B2C"/>
    <n v="6"/>
    <n v="10.94"/>
    <n v="564016"/>
    <n v="1"/>
  </r>
  <r>
    <s v="Startup_2777"/>
    <x v="2"/>
    <n v="7"/>
    <n v="37976003"/>
    <n v="4"/>
    <n v="1"/>
    <n v="845"/>
    <n v="95790949"/>
    <n v="618700"/>
    <s v="Large"/>
    <s v="Hybrid"/>
    <n v="8"/>
    <n v="19.510000000000002"/>
    <n v="57408"/>
    <n v="1"/>
  </r>
  <r>
    <s v="Startup_2778"/>
    <x v="3"/>
    <n v="11"/>
    <n v="21810520"/>
    <n v="2"/>
    <n v="27"/>
    <n v="371"/>
    <n v="33542030"/>
    <n v="506336"/>
    <s v="Large"/>
    <s v="B2B"/>
    <n v="8"/>
    <n v="62.72"/>
    <n v="193715"/>
    <n v="1"/>
  </r>
  <r>
    <s v="Startup_2779"/>
    <x v="1"/>
    <n v="14"/>
    <n v="9459220"/>
    <n v="1"/>
    <n v="16"/>
    <n v="589"/>
    <n v="9426899"/>
    <n v="730633"/>
    <s v="Medium"/>
    <s v="B2C"/>
    <n v="2"/>
    <n v="1.01"/>
    <n v="943499"/>
    <n v="1"/>
  </r>
  <r>
    <s v="Startup_2780"/>
    <x v="0"/>
    <n v="2"/>
    <n v="44162597"/>
    <n v="3"/>
    <n v="5"/>
    <n v="320"/>
    <n v="89185129"/>
    <n v="743935"/>
    <s v="Large"/>
    <s v="Hybrid"/>
    <n v="5"/>
    <n v="44.08"/>
    <n v="648095"/>
    <n v="1"/>
  </r>
  <r>
    <s v="Startup_2781"/>
    <x v="2"/>
    <n v="8"/>
    <n v="38950154"/>
    <n v="4"/>
    <n v="29"/>
    <n v="924"/>
    <n v="42983278"/>
    <n v="969114"/>
    <s v="Large"/>
    <s v="B2C"/>
    <n v="9"/>
    <n v="96.66"/>
    <n v="111760"/>
    <n v="1"/>
  </r>
  <r>
    <s v="Startup_2782"/>
    <x v="0"/>
    <n v="13"/>
    <n v="26601247"/>
    <n v="4"/>
    <n v="25"/>
    <n v="987"/>
    <n v="54454469"/>
    <n v="71337"/>
    <s v="Large"/>
    <s v="B2B"/>
    <n v="8"/>
    <n v="35.18"/>
    <n v="693630"/>
    <n v="1"/>
  </r>
  <r>
    <s v="Startup_2783"/>
    <x v="5"/>
    <n v="10"/>
    <n v="46912175"/>
    <n v="1"/>
    <n v="22"/>
    <n v="925"/>
    <n v="10636554"/>
    <n v="514666"/>
    <s v="Medium"/>
    <s v="B2B"/>
    <n v="1"/>
    <n v="88.49"/>
    <n v="492717"/>
    <n v="1"/>
  </r>
  <r>
    <s v="Startup_2784"/>
    <x v="2"/>
    <n v="4"/>
    <n v="39745340"/>
    <n v="3"/>
    <n v="4"/>
    <n v="466"/>
    <n v="85595675"/>
    <n v="827292"/>
    <s v="Small"/>
    <s v="B2B"/>
    <n v="2"/>
    <n v="46.85"/>
    <n v="34181"/>
    <n v="1"/>
  </r>
  <r>
    <s v="Startup_2785"/>
    <x v="2"/>
    <n v="12"/>
    <n v="34383734"/>
    <n v="1"/>
    <n v="24"/>
    <n v="905"/>
    <n v="36519514"/>
    <n v="314974"/>
    <s v="Medium"/>
    <s v="Hybrid"/>
    <n v="3"/>
    <n v="8.11"/>
    <n v="421668"/>
    <n v="1"/>
  </r>
  <r>
    <s v="Startup_2786"/>
    <x v="1"/>
    <n v="13"/>
    <n v="38242350"/>
    <n v="4"/>
    <n v="21"/>
    <n v="508"/>
    <n v="56750123"/>
    <n v="346845"/>
    <s v="Small"/>
    <s v="Hybrid"/>
    <n v="3"/>
    <n v="82.14"/>
    <n v="417067"/>
    <n v="1"/>
  </r>
  <r>
    <s v="Startup_2787"/>
    <x v="4"/>
    <n v="5"/>
    <n v="28422022"/>
    <n v="3"/>
    <n v="18"/>
    <n v="978"/>
    <n v="27641025"/>
    <n v="652628"/>
    <s v="Medium"/>
    <s v="B2B"/>
    <n v="8"/>
    <n v="33.33"/>
    <n v="912172"/>
    <n v="1"/>
  </r>
  <r>
    <s v="Startup_2788"/>
    <x v="0"/>
    <n v="6"/>
    <n v="48948303"/>
    <n v="2"/>
    <n v="12"/>
    <n v="497"/>
    <n v="17025880"/>
    <n v="336399"/>
    <s v="Medium"/>
    <s v="B2C"/>
    <n v="3"/>
    <n v="75.819999999999993"/>
    <n v="100544"/>
    <n v="1"/>
  </r>
  <r>
    <s v="Startup_2789"/>
    <x v="3"/>
    <n v="3"/>
    <n v="5482705"/>
    <n v="1"/>
    <n v="19"/>
    <n v="50"/>
    <n v="87113490"/>
    <n v="326470"/>
    <s v="Large"/>
    <s v="Hybrid"/>
    <n v="9"/>
    <n v="66.63"/>
    <n v="561107"/>
    <n v="1"/>
  </r>
  <r>
    <s v="Startup_2790"/>
    <x v="5"/>
    <n v="5"/>
    <n v="26018625"/>
    <n v="3"/>
    <n v="2"/>
    <n v="159"/>
    <n v="16715054"/>
    <n v="415032"/>
    <s v="Large"/>
    <s v="B2C"/>
    <n v="4"/>
    <n v="15.05"/>
    <n v="367204"/>
    <n v="1"/>
  </r>
  <r>
    <s v="Startup_2791"/>
    <x v="2"/>
    <n v="12"/>
    <n v="47365260"/>
    <n v="4"/>
    <n v="27"/>
    <n v="478"/>
    <n v="55664699"/>
    <n v="202065"/>
    <s v="Small"/>
    <s v="Hybrid"/>
    <n v="4"/>
    <n v="94.95"/>
    <n v="357413"/>
    <n v="1"/>
  </r>
  <r>
    <s v="Startup_2792"/>
    <x v="5"/>
    <n v="11"/>
    <n v="46095425"/>
    <n v="2"/>
    <n v="8"/>
    <n v="898"/>
    <n v="72219970"/>
    <n v="386649"/>
    <s v="Large"/>
    <s v="B2C"/>
    <n v="9"/>
    <n v="32"/>
    <n v="72392"/>
    <n v="1"/>
  </r>
  <r>
    <s v="Startup_2793"/>
    <x v="4"/>
    <n v="3"/>
    <n v="44918521"/>
    <n v="1"/>
    <n v="24"/>
    <n v="808"/>
    <n v="82675682"/>
    <n v="52266"/>
    <s v="Large"/>
    <s v="Hybrid"/>
    <n v="3"/>
    <n v="38.99"/>
    <n v="706138"/>
    <n v="1"/>
  </r>
  <r>
    <s v="Startup_2794"/>
    <x v="3"/>
    <n v="2"/>
    <n v="37640718"/>
    <n v="1"/>
    <n v="12"/>
    <n v="377"/>
    <n v="30618668"/>
    <n v="257346"/>
    <s v="Medium"/>
    <s v="Hybrid"/>
    <n v="4"/>
    <n v="40.61"/>
    <n v="699743"/>
    <n v="1"/>
  </r>
  <r>
    <s v="Startup_2795"/>
    <x v="2"/>
    <n v="2"/>
    <n v="43197839"/>
    <n v="4"/>
    <n v="12"/>
    <n v="311"/>
    <n v="76845270"/>
    <n v="425773"/>
    <s v="Small"/>
    <s v="B2B"/>
    <n v="4"/>
    <n v="64.23"/>
    <n v="398144"/>
    <n v="1"/>
  </r>
  <r>
    <s v="Startup_2796"/>
    <x v="0"/>
    <n v="2"/>
    <n v="46621634"/>
    <n v="2"/>
    <n v="29"/>
    <n v="594"/>
    <n v="31326253"/>
    <n v="623412"/>
    <s v="Large"/>
    <s v="B2B"/>
    <n v="7"/>
    <n v="74.48"/>
    <n v="362975"/>
    <n v="1"/>
  </r>
  <r>
    <s v="Startup_2797"/>
    <x v="1"/>
    <n v="9"/>
    <n v="7187481"/>
    <n v="3"/>
    <n v="29"/>
    <n v="700"/>
    <n v="22659514"/>
    <n v="323732"/>
    <s v="Large"/>
    <s v="Hybrid"/>
    <n v="2"/>
    <n v="78.930000000000007"/>
    <n v="625615"/>
    <n v="1"/>
  </r>
  <r>
    <s v="Startup_2798"/>
    <x v="1"/>
    <n v="10"/>
    <n v="13807486"/>
    <n v="2"/>
    <n v="9"/>
    <n v="598"/>
    <n v="17302019"/>
    <n v="240466"/>
    <s v="Large"/>
    <s v="B2B"/>
    <n v="3"/>
    <n v="1.01"/>
    <n v="765544"/>
    <n v="1"/>
  </r>
  <r>
    <s v="Startup_2799"/>
    <x v="5"/>
    <n v="2"/>
    <n v="16548488"/>
    <n v="1"/>
    <n v="0"/>
    <n v="818"/>
    <n v="41398158"/>
    <n v="562102"/>
    <s v="Large"/>
    <s v="B2C"/>
    <n v="6"/>
    <n v="55.6"/>
    <n v="951741"/>
    <n v="1"/>
  </r>
  <r>
    <s v="Startup_2800"/>
    <x v="5"/>
    <n v="0"/>
    <n v="12852002"/>
    <n v="3"/>
    <n v="25"/>
    <n v="655"/>
    <n v="18449280"/>
    <n v="748781"/>
    <s v="Large"/>
    <s v="B2B"/>
    <n v="2"/>
    <n v="71.27"/>
    <n v="722910"/>
    <n v="1"/>
  </r>
  <r>
    <s v="Startup_2801"/>
    <x v="5"/>
    <n v="12"/>
    <n v="38174644"/>
    <n v="1"/>
    <n v="10"/>
    <n v="952"/>
    <n v="28190513"/>
    <n v="735954"/>
    <s v="Large"/>
    <s v="B2B"/>
    <n v="9"/>
    <n v="32.450000000000003"/>
    <n v="122499"/>
    <n v="1"/>
  </r>
  <r>
    <s v="Startup_2802"/>
    <x v="5"/>
    <n v="0"/>
    <n v="48543597"/>
    <n v="4"/>
    <n v="15"/>
    <n v="294"/>
    <n v="54864767"/>
    <n v="921370"/>
    <s v="Small"/>
    <s v="B2C"/>
    <n v="6"/>
    <n v="56.8"/>
    <n v="807507"/>
    <n v="1"/>
  </r>
  <r>
    <s v="Startup_2803"/>
    <x v="0"/>
    <n v="3"/>
    <n v="5962964"/>
    <n v="1"/>
    <n v="16"/>
    <n v="978"/>
    <n v="87745496"/>
    <n v="751748"/>
    <s v="Medium"/>
    <s v="B2C"/>
    <n v="6"/>
    <n v="51.86"/>
    <n v="233626"/>
    <n v="1"/>
  </r>
  <r>
    <s v="Startup_2804"/>
    <x v="2"/>
    <n v="11"/>
    <n v="839844"/>
    <n v="1"/>
    <n v="6"/>
    <n v="282"/>
    <n v="97878702"/>
    <n v="423451"/>
    <s v="Medium"/>
    <s v="Hybrid"/>
    <n v="8"/>
    <n v="27.83"/>
    <n v="447761"/>
    <n v="1"/>
  </r>
  <r>
    <s v="Startup_2805"/>
    <x v="6"/>
    <n v="6"/>
    <n v="196302"/>
    <n v="3"/>
    <n v="20"/>
    <n v="598"/>
    <n v="38009115"/>
    <n v="988205"/>
    <s v="Large"/>
    <s v="B2B"/>
    <n v="3"/>
    <n v="5.38"/>
    <n v="676908"/>
    <n v="1"/>
  </r>
  <r>
    <s v="Startup_2806"/>
    <x v="2"/>
    <n v="14"/>
    <n v="28783570"/>
    <n v="1"/>
    <n v="9"/>
    <n v="45"/>
    <n v="30500300"/>
    <n v="902188"/>
    <s v="Medium"/>
    <s v="Hybrid"/>
    <n v="9"/>
    <n v="66.22"/>
    <n v="114921"/>
    <n v="1"/>
  </r>
  <r>
    <s v="Startup_2807"/>
    <x v="5"/>
    <n v="1"/>
    <n v="6263556"/>
    <n v="3"/>
    <n v="26"/>
    <n v="523"/>
    <n v="79704970"/>
    <n v="472122"/>
    <s v="Medium"/>
    <s v="B2C"/>
    <n v="7"/>
    <n v="22.05"/>
    <n v="121242"/>
    <n v="1"/>
  </r>
  <r>
    <s v="Startup_2808"/>
    <x v="0"/>
    <n v="14"/>
    <n v="11705759"/>
    <n v="3"/>
    <n v="6"/>
    <n v="846"/>
    <n v="26656885"/>
    <n v="126915"/>
    <s v="Large"/>
    <s v="B2C"/>
    <n v="4"/>
    <n v="45.65"/>
    <n v="426661"/>
    <n v="1"/>
  </r>
  <r>
    <s v="Startup_2809"/>
    <x v="4"/>
    <n v="4"/>
    <n v="6098956"/>
    <n v="2"/>
    <n v="0"/>
    <n v="94"/>
    <n v="33333888"/>
    <n v="935072"/>
    <s v="Small"/>
    <s v="B2C"/>
    <n v="2"/>
    <n v="44.6"/>
    <n v="935237"/>
    <n v="1"/>
  </r>
  <r>
    <s v="Startup_2810"/>
    <x v="4"/>
    <n v="1"/>
    <n v="47349634"/>
    <n v="4"/>
    <n v="11"/>
    <n v="907"/>
    <n v="14670853"/>
    <n v="206305"/>
    <s v="Large"/>
    <s v="B2B"/>
    <n v="1"/>
    <n v="92.55"/>
    <n v="229668"/>
    <n v="1"/>
  </r>
  <r>
    <s v="Startup_2811"/>
    <x v="5"/>
    <n v="9"/>
    <n v="45335908"/>
    <n v="2"/>
    <n v="3"/>
    <n v="646"/>
    <n v="8121686"/>
    <n v="215785"/>
    <s v="Small"/>
    <s v="B2C"/>
    <n v="7"/>
    <n v="68.650000000000006"/>
    <n v="38935"/>
    <n v="1"/>
  </r>
  <r>
    <s v="Startup_2812"/>
    <x v="0"/>
    <n v="14"/>
    <n v="46866061"/>
    <n v="3"/>
    <n v="27"/>
    <n v="528"/>
    <n v="24030810"/>
    <n v="99189"/>
    <s v="Large"/>
    <s v="Hybrid"/>
    <n v="6"/>
    <n v="21.16"/>
    <n v="968899"/>
    <n v="1"/>
  </r>
  <r>
    <s v="Startup_2813"/>
    <x v="3"/>
    <n v="14"/>
    <n v="18218223"/>
    <n v="4"/>
    <n v="23"/>
    <n v="740"/>
    <n v="8491437"/>
    <n v="594855"/>
    <s v="Small"/>
    <s v="B2B"/>
    <n v="8"/>
    <n v="34.35"/>
    <n v="428915"/>
    <n v="1"/>
  </r>
  <r>
    <s v="Startup_2814"/>
    <x v="2"/>
    <n v="5"/>
    <n v="23752925"/>
    <n v="1"/>
    <n v="9"/>
    <n v="655"/>
    <n v="19355744"/>
    <n v="654418"/>
    <s v="Small"/>
    <s v="Hybrid"/>
    <n v="6"/>
    <n v="6.04"/>
    <n v="252080"/>
    <n v="1"/>
  </r>
  <r>
    <s v="Startup_2815"/>
    <x v="6"/>
    <n v="4"/>
    <n v="27047953"/>
    <n v="3"/>
    <n v="13"/>
    <n v="856"/>
    <n v="58100950"/>
    <n v="146099"/>
    <s v="Large"/>
    <s v="Hybrid"/>
    <n v="4"/>
    <n v="52.14"/>
    <n v="154426"/>
    <n v="1"/>
  </r>
  <r>
    <s v="Startup_2816"/>
    <x v="3"/>
    <n v="7"/>
    <n v="34478579"/>
    <n v="4"/>
    <n v="23"/>
    <n v="214"/>
    <n v="40872187"/>
    <n v="53960"/>
    <s v="Large"/>
    <s v="Hybrid"/>
    <n v="3"/>
    <n v="72.95"/>
    <n v="699625"/>
    <n v="1"/>
  </r>
  <r>
    <s v="Startup_2817"/>
    <x v="1"/>
    <n v="14"/>
    <n v="18954427"/>
    <n v="2"/>
    <n v="9"/>
    <n v="746"/>
    <n v="12047758"/>
    <n v="942337"/>
    <s v="Medium"/>
    <s v="B2B"/>
    <n v="2"/>
    <n v="16.02"/>
    <n v="226689"/>
    <n v="1"/>
  </r>
  <r>
    <s v="Startup_2818"/>
    <x v="2"/>
    <n v="13"/>
    <n v="13229286"/>
    <n v="3"/>
    <n v="21"/>
    <n v="956"/>
    <n v="53517608"/>
    <n v="467978"/>
    <s v="Medium"/>
    <s v="B2B"/>
    <n v="6"/>
    <n v="48.89"/>
    <n v="821520"/>
    <n v="1"/>
  </r>
  <r>
    <s v="Startup_2819"/>
    <x v="0"/>
    <n v="9"/>
    <n v="46814049"/>
    <n v="1"/>
    <n v="19"/>
    <n v="671"/>
    <n v="51851755"/>
    <n v="561578"/>
    <s v="Large"/>
    <s v="Hybrid"/>
    <n v="8"/>
    <n v="55.21"/>
    <n v="655934"/>
    <n v="1"/>
  </r>
  <r>
    <s v="Startup_2820"/>
    <x v="4"/>
    <n v="11"/>
    <n v="23284492"/>
    <n v="1"/>
    <n v="21"/>
    <n v="813"/>
    <n v="36744430"/>
    <n v="226999"/>
    <s v="Large"/>
    <s v="B2C"/>
    <n v="1"/>
    <n v="99.79"/>
    <n v="270107"/>
    <n v="1"/>
  </r>
  <r>
    <s v="Startup_2821"/>
    <x v="3"/>
    <n v="4"/>
    <n v="16440299"/>
    <n v="1"/>
    <n v="29"/>
    <n v="937"/>
    <n v="79631621"/>
    <n v="48840"/>
    <s v="Large"/>
    <s v="B2C"/>
    <n v="3"/>
    <n v="53.01"/>
    <n v="165107"/>
    <n v="1"/>
  </r>
  <r>
    <s v="Startup_2822"/>
    <x v="1"/>
    <n v="6"/>
    <n v="3156457"/>
    <n v="2"/>
    <n v="15"/>
    <n v="363"/>
    <n v="40632879"/>
    <n v="683186"/>
    <s v="Medium"/>
    <s v="Hybrid"/>
    <n v="1"/>
    <n v="40.200000000000003"/>
    <n v="236655"/>
    <n v="1"/>
  </r>
  <r>
    <s v="Startup_2823"/>
    <x v="3"/>
    <n v="10"/>
    <n v="21591491"/>
    <n v="3"/>
    <n v="16"/>
    <n v="480"/>
    <n v="96261157"/>
    <n v="879966"/>
    <s v="Small"/>
    <s v="B2C"/>
    <n v="8"/>
    <n v="11.02"/>
    <n v="367521"/>
    <n v="1"/>
  </r>
  <r>
    <s v="Startup_2824"/>
    <x v="3"/>
    <n v="1"/>
    <n v="15087127"/>
    <n v="4"/>
    <n v="24"/>
    <n v="241"/>
    <n v="85693914"/>
    <n v="166260"/>
    <s v="Medium"/>
    <s v="B2C"/>
    <n v="5"/>
    <n v="10.49"/>
    <n v="287321"/>
    <n v="1"/>
  </r>
  <r>
    <s v="Startup_2825"/>
    <x v="2"/>
    <n v="12"/>
    <n v="22751227"/>
    <n v="2"/>
    <n v="22"/>
    <n v="1"/>
    <n v="86703866"/>
    <n v="157302"/>
    <s v="Small"/>
    <s v="B2C"/>
    <n v="2"/>
    <n v="21.29"/>
    <n v="917180"/>
    <n v="1"/>
  </r>
  <r>
    <s v="Startup_2826"/>
    <x v="6"/>
    <n v="7"/>
    <n v="2451543"/>
    <n v="3"/>
    <n v="11"/>
    <n v="215"/>
    <n v="77198361"/>
    <n v="407784"/>
    <s v="Small"/>
    <s v="B2B"/>
    <n v="1"/>
    <n v="68.930000000000007"/>
    <n v="96834"/>
    <n v="1"/>
  </r>
  <r>
    <s v="Startup_2827"/>
    <x v="5"/>
    <n v="4"/>
    <n v="44323558"/>
    <n v="1"/>
    <n v="14"/>
    <n v="600"/>
    <n v="11413053"/>
    <n v="575391"/>
    <s v="Medium"/>
    <s v="B2B"/>
    <n v="2"/>
    <n v="8.91"/>
    <n v="625248"/>
    <n v="1"/>
  </r>
  <r>
    <s v="Startup_2828"/>
    <x v="2"/>
    <n v="12"/>
    <n v="9552551"/>
    <n v="4"/>
    <n v="4"/>
    <n v="195"/>
    <n v="24593018"/>
    <n v="847482"/>
    <s v="Small"/>
    <s v="B2C"/>
    <n v="3"/>
    <n v="36.14"/>
    <n v="871252"/>
    <n v="1"/>
  </r>
  <r>
    <s v="Startup_2829"/>
    <x v="0"/>
    <n v="14"/>
    <n v="41740304"/>
    <n v="2"/>
    <n v="29"/>
    <n v="729"/>
    <n v="57086306"/>
    <n v="139900"/>
    <s v="Large"/>
    <s v="Hybrid"/>
    <n v="9"/>
    <n v="49.26"/>
    <n v="342347"/>
    <n v="1"/>
  </r>
  <r>
    <s v="Startup_2830"/>
    <x v="6"/>
    <n v="1"/>
    <n v="37366143"/>
    <n v="3"/>
    <n v="26"/>
    <n v="842"/>
    <n v="97608539"/>
    <n v="986842"/>
    <s v="Medium"/>
    <s v="B2C"/>
    <n v="3"/>
    <n v="44.9"/>
    <n v="348235"/>
    <n v="1"/>
  </r>
  <r>
    <s v="Startup_2831"/>
    <x v="2"/>
    <n v="5"/>
    <n v="1518827"/>
    <n v="4"/>
    <n v="20"/>
    <n v="643"/>
    <n v="98058241"/>
    <n v="188408"/>
    <s v="Small"/>
    <s v="B2C"/>
    <n v="7"/>
    <n v="61.37"/>
    <n v="672453"/>
    <n v="1"/>
  </r>
  <r>
    <s v="Startup_2832"/>
    <x v="6"/>
    <n v="0"/>
    <n v="18749013"/>
    <n v="4"/>
    <n v="28"/>
    <n v="746"/>
    <n v="66932905"/>
    <n v="478128"/>
    <s v="Large"/>
    <s v="B2C"/>
    <n v="5"/>
    <n v="40.89"/>
    <n v="919925"/>
    <n v="1"/>
  </r>
  <r>
    <s v="Startup_2833"/>
    <x v="4"/>
    <n v="2"/>
    <n v="31361675"/>
    <n v="2"/>
    <n v="11"/>
    <n v="558"/>
    <n v="70413458"/>
    <n v="394559"/>
    <s v="Small"/>
    <s v="B2B"/>
    <n v="9"/>
    <n v="45.19"/>
    <n v="769491"/>
    <n v="1"/>
  </r>
  <r>
    <s v="Startup_2834"/>
    <x v="4"/>
    <n v="4"/>
    <n v="14142517"/>
    <n v="3"/>
    <n v="6"/>
    <n v="695"/>
    <n v="53271587"/>
    <n v="211088"/>
    <s v="Small"/>
    <s v="Hybrid"/>
    <n v="5"/>
    <n v="41.35"/>
    <n v="183164"/>
    <n v="1"/>
  </r>
  <r>
    <s v="Startup_2835"/>
    <x v="1"/>
    <n v="1"/>
    <n v="40520186"/>
    <n v="3"/>
    <n v="4"/>
    <n v="787"/>
    <n v="55259471"/>
    <n v="462207"/>
    <s v="Medium"/>
    <s v="Hybrid"/>
    <n v="7"/>
    <n v="65.39"/>
    <n v="316595"/>
    <n v="1"/>
  </r>
  <r>
    <s v="Startup_2836"/>
    <x v="5"/>
    <n v="13"/>
    <n v="43987437"/>
    <n v="3"/>
    <n v="20"/>
    <n v="166"/>
    <n v="71829765"/>
    <n v="115012"/>
    <s v="Medium"/>
    <s v="B2B"/>
    <n v="8"/>
    <n v="44.58"/>
    <n v="349951"/>
    <n v="1"/>
  </r>
  <r>
    <s v="Startup_2837"/>
    <x v="6"/>
    <n v="3"/>
    <n v="10189019"/>
    <n v="2"/>
    <n v="3"/>
    <n v="78"/>
    <n v="56715256"/>
    <n v="721246"/>
    <s v="Small"/>
    <s v="Hybrid"/>
    <n v="3"/>
    <n v="32.479999999999997"/>
    <n v="919758"/>
    <n v="1"/>
  </r>
  <r>
    <s v="Startup_2838"/>
    <x v="0"/>
    <n v="2"/>
    <n v="40743897"/>
    <n v="2"/>
    <n v="8"/>
    <n v="98"/>
    <n v="23078865"/>
    <n v="920862"/>
    <s v="Large"/>
    <s v="B2B"/>
    <n v="6"/>
    <n v="23.14"/>
    <n v="700933"/>
    <n v="1"/>
  </r>
  <r>
    <s v="Startup_2839"/>
    <x v="1"/>
    <n v="7"/>
    <n v="29533393"/>
    <n v="3"/>
    <n v="17"/>
    <n v="578"/>
    <n v="20767891"/>
    <n v="830752"/>
    <s v="Medium"/>
    <s v="B2C"/>
    <n v="4"/>
    <n v="83.27"/>
    <n v="748004"/>
    <n v="1"/>
  </r>
  <r>
    <s v="Startup_2840"/>
    <x v="3"/>
    <n v="12"/>
    <n v="5446413"/>
    <n v="1"/>
    <n v="22"/>
    <n v="136"/>
    <n v="16829983"/>
    <n v="746539"/>
    <s v="Small"/>
    <s v="B2C"/>
    <n v="5"/>
    <n v="47.27"/>
    <n v="117404"/>
    <n v="1"/>
  </r>
  <r>
    <s v="Startup_2841"/>
    <x v="3"/>
    <n v="6"/>
    <n v="1850006"/>
    <n v="3"/>
    <n v="3"/>
    <n v="191"/>
    <n v="86666494"/>
    <n v="523079"/>
    <s v="Large"/>
    <s v="Hybrid"/>
    <n v="2"/>
    <n v="30.49"/>
    <n v="528106"/>
    <n v="1"/>
  </r>
  <r>
    <s v="Startup_2842"/>
    <x v="1"/>
    <n v="0"/>
    <n v="40679987"/>
    <n v="4"/>
    <n v="23"/>
    <n v="664"/>
    <n v="23014863"/>
    <n v="616498"/>
    <s v="Large"/>
    <s v="B2B"/>
    <n v="1"/>
    <n v="70.72"/>
    <n v="764157"/>
    <n v="1"/>
  </r>
  <r>
    <s v="Startup_2843"/>
    <x v="6"/>
    <n v="4"/>
    <n v="29485632"/>
    <n v="2"/>
    <n v="17"/>
    <n v="868"/>
    <n v="65074380"/>
    <n v="949271"/>
    <s v="Medium"/>
    <s v="Hybrid"/>
    <n v="7"/>
    <n v="20.13"/>
    <n v="323376"/>
    <n v="1"/>
  </r>
  <r>
    <s v="Startup_2844"/>
    <x v="3"/>
    <n v="10"/>
    <n v="37210921"/>
    <n v="4"/>
    <n v="22"/>
    <n v="709"/>
    <n v="99747893"/>
    <n v="81307"/>
    <s v="Medium"/>
    <s v="B2C"/>
    <n v="5"/>
    <n v="85.66"/>
    <n v="592850"/>
    <n v="1"/>
  </r>
  <r>
    <s v="Startup_2845"/>
    <x v="0"/>
    <n v="11"/>
    <n v="9056636"/>
    <n v="4"/>
    <n v="5"/>
    <n v="252"/>
    <n v="34651866"/>
    <n v="975999"/>
    <s v="Small"/>
    <s v="B2B"/>
    <n v="5"/>
    <n v="19.420000000000002"/>
    <n v="742362"/>
    <n v="1"/>
  </r>
  <r>
    <s v="Startup_2846"/>
    <x v="6"/>
    <n v="6"/>
    <n v="18685654"/>
    <n v="3"/>
    <n v="21"/>
    <n v="151"/>
    <n v="82180244"/>
    <n v="462652"/>
    <s v="Large"/>
    <s v="B2C"/>
    <n v="4"/>
    <n v="54.64"/>
    <n v="299133"/>
    <n v="1"/>
  </r>
  <r>
    <s v="Startup_2847"/>
    <x v="2"/>
    <n v="6"/>
    <n v="16572526"/>
    <n v="1"/>
    <n v="29"/>
    <n v="65"/>
    <n v="24812930"/>
    <n v="788669"/>
    <s v="Small"/>
    <s v="B2B"/>
    <n v="5"/>
    <n v="90.74"/>
    <n v="62433"/>
    <n v="1"/>
  </r>
  <r>
    <s v="Startup_2848"/>
    <x v="5"/>
    <n v="6"/>
    <n v="45815271"/>
    <n v="4"/>
    <n v="1"/>
    <n v="556"/>
    <n v="38104450"/>
    <n v="708556"/>
    <s v="Large"/>
    <s v="B2C"/>
    <n v="5"/>
    <n v="94.58"/>
    <n v="485225"/>
    <n v="1"/>
  </r>
  <r>
    <s v="Startup_2849"/>
    <x v="2"/>
    <n v="10"/>
    <n v="1398252"/>
    <n v="3"/>
    <n v="20"/>
    <n v="159"/>
    <n v="12166631"/>
    <n v="605192"/>
    <s v="Small"/>
    <s v="B2B"/>
    <n v="9"/>
    <n v="65.849999999999994"/>
    <n v="562459"/>
    <n v="1"/>
  </r>
  <r>
    <s v="Startup_2850"/>
    <x v="4"/>
    <n v="5"/>
    <n v="14973520"/>
    <n v="4"/>
    <n v="0"/>
    <n v="139"/>
    <n v="36600385"/>
    <n v="689748"/>
    <s v="Small"/>
    <s v="B2C"/>
    <n v="5"/>
    <n v="15.18"/>
    <n v="450610"/>
    <n v="1"/>
  </r>
  <r>
    <s v="Startup_2851"/>
    <x v="0"/>
    <n v="5"/>
    <n v="36472052"/>
    <n v="1"/>
    <n v="20"/>
    <n v="923"/>
    <n v="22196217"/>
    <n v="83602"/>
    <s v="Medium"/>
    <s v="B2C"/>
    <n v="2"/>
    <n v="57.4"/>
    <n v="52530"/>
    <n v="1"/>
  </r>
  <r>
    <s v="Startup_2852"/>
    <x v="2"/>
    <n v="12"/>
    <n v="6710803"/>
    <n v="1"/>
    <n v="19"/>
    <n v="196"/>
    <n v="49307670"/>
    <n v="447206"/>
    <s v="Large"/>
    <s v="Hybrid"/>
    <n v="4"/>
    <n v="55.45"/>
    <n v="201700"/>
    <n v="1"/>
  </r>
  <r>
    <s v="Startup_2853"/>
    <x v="0"/>
    <n v="6"/>
    <n v="17115314"/>
    <n v="4"/>
    <n v="29"/>
    <n v="13"/>
    <n v="77016251"/>
    <n v="593993"/>
    <s v="Large"/>
    <s v="Hybrid"/>
    <n v="3"/>
    <n v="46.89"/>
    <n v="702780"/>
    <n v="1"/>
  </r>
  <r>
    <s v="Startup_2854"/>
    <x v="5"/>
    <n v="13"/>
    <n v="24826345"/>
    <n v="3"/>
    <n v="5"/>
    <n v="470"/>
    <n v="54509267"/>
    <n v="944512"/>
    <s v="Large"/>
    <s v="B2C"/>
    <n v="1"/>
    <n v="45.93"/>
    <n v="536100"/>
    <n v="1"/>
  </r>
  <r>
    <s v="Startup_2855"/>
    <x v="5"/>
    <n v="4"/>
    <n v="30079235"/>
    <n v="1"/>
    <n v="22"/>
    <n v="279"/>
    <n v="16117173"/>
    <n v="358330"/>
    <s v="Large"/>
    <s v="B2B"/>
    <n v="8"/>
    <n v="55.26"/>
    <n v="186378"/>
    <n v="1"/>
  </r>
  <r>
    <s v="Startup_2856"/>
    <x v="1"/>
    <n v="6"/>
    <n v="32842569"/>
    <n v="2"/>
    <n v="23"/>
    <n v="292"/>
    <n v="18872189"/>
    <n v="552540"/>
    <s v="Small"/>
    <s v="B2C"/>
    <n v="3"/>
    <n v="68.28"/>
    <n v="21889"/>
    <n v="1"/>
  </r>
  <r>
    <s v="Startup_2857"/>
    <x v="4"/>
    <n v="6"/>
    <n v="14794004"/>
    <n v="2"/>
    <n v="27"/>
    <n v="757"/>
    <n v="74257452"/>
    <n v="253343"/>
    <s v="Large"/>
    <s v="B2C"/>
    <n v="1"/>
    <n v="9.9600000000000009"/>
    <n v="453926"/>
    <n v="1"/>
  </r>
  <r>
    <s v="Startup_2858"/>
    <x v="6"/>
    <n v="3"/>
    <n v="1830939"/>
    <n v="2"/>
    <n v="26"/>
    <n v="521"/>
    <n v="49389367"/>
    <n v="906752"/>
    <s v="Small"/>
    <s v="Hybrid"/>
    <n v="5"/>
    <n v="84.61"/>
    <n v="545187"/>
    <n v="1"/>
  </r>
  <r>
    <s v="Startup_2859"/>
    <x v="3"/>
    <n v="7"/>
    <n v="28388763"/>
    <n v="4"/>
    <n v="4"/>
    <n v="298"/>
    <n v="52224144"/>
    <n v="93622"/>
    <s v="Small"/>
    <s v="B2C"/>
    <n v="4"/>
    <n v="83.69"/>
    <n v="648742"/>
    <n v="1"/>
  </r>
  <r>
    <s v="Startup_2860"/>
    <x v="0"/>
    <n v="2"/>
    <n v="984802"/>
    <n v="3"/>
    <n v="4"/>
    <n v="936"/>
    <n v="95334018"/>
    <n v="204382"/>
    <s v="Large"/>
    <s v="B2C"/>
    <n v="5"/>
    <n v="4.34"/>
    <n v="313193"/>
    <n v="1"/>
  </r>
  <r>
    <s v="Startup_2861"/>
    <x v="4"/>
    <n v="10"/>
    <n v="818712"/>
    <n v="1"/>
    <n v="8"/>
    <n v="432"/>
    <n v="95411438"/>
    <n v="267474"/>
    <s v="Small"/>
    <s v="B2B"/>
    <n v="8"/>
    <n v="9.25"/>
    <n v="641877"/>
    <n v="1"/>
  </r>
  <r>
    <s v="Startup_2862"/>
    <x v="2"/>
    <n v="3"/>
    <n v="47209754"/>
    <n v="1"/>
    <n v="19"/>
    <n v="991"/>
    <n v="11866596"/>
    <n v="977239"/>
    <s v="Large"/>
    <s v="Hybrid"/>
    <n v="6"/>
    <n v="6.67"/>
    <n v="971370"/>
    <n v="1"/>
  </r>
  <r>
    <s v="Startup_2863"/>
    <x v="2"/>
    <n v="9"/>
    <n v="44335170"/>
    <n v="2"/>
    <n v="20"/>
    <n v="341"/>
    <n v="62815670"/>
    <n v="64289"/>
    <s v="Small"/>
    <s v="B2B"/>
    <n v="4"/>
    <n v="16.46"/>
    <n v="15878"/>
    <n v="1"/>
  </r>
  <r>
    <s v="Startup_2864"/>
    <x v="5"/>
    <n v="3"/>
    <n v="2328094"/>
    <n v="3"/>
    <n v="9"/>
    <n v="437"/>
    <n v="3008985"/>
    <n v="127291"/>
    <s v="Large"/>
    <s v="Hybrid"/>
    <n v="3"/>
    <n v="37.19"/>
    <n v="925218"/>
    <n v="1"/>
  </r>
  <r>
    <s v="Startup_2865"/>
    <x v="5"/>
    <n v="10"/>
    <n v="42664693"/>
    <n v="2"/>
    <n v="2"/>
    <n v="993"/>
    <n v="67852794"/>
    <n v="502291"/>
    <s v="Large"/>
    <s v="B2C"/>
    <n v="6"/>
    <n v="14.39"/>
    <n v="869271"/>
    <n v="1"/>
  </r>
  <r>
    <s v="Startup_2866"/>
    <x v="1"/>
    <n v="13"/>
    <n v="37972718"/>
    <n v="3"/>
    <n v="8"/>
    <n v="7"/>
    <n v="79910404"/>
    <n v="623700"/>
    <s v="Medium"/>
    <s v="Hybrid"/>
    <n v="5"/>
    <n v="53.15"/>
    <n v="124904"/>
    <n v="1"/>
  </r>
  <r>
    <s v="Startup_2867"/>
    <x v="0"/>
    <n v="14"/>
    <n v="17920342"/>
    <n v="4"/>
    <n v="4"/>
    <n v="354"/>
    <n v="10747102"/>
    <n v="337961"/>
    <s v="Small"/>
    <s v="B2B"/>
    <n v="1"/>
    <n v="86.18"/>
    <n v="202842"/>
    <n v="1"/>
  </r>
  <r>
    <s v="Startup_2868"/>
    <x v="2"/>
    <n v="10"/>
    <n v="29746549"/>
    <n v="2"/>
    <n v="1"/>
    <n v="413"/>
    <n v="45112562"/>
    <n v="912256"/>
    <s v="Medium"/>
    <s v="B2C"/>
    <n v="5"/>
    <n v="17.100000000000001"/>
    <n v="262575"/>
    <n v="1"/>
  </r>
  <r>
    <s v="Startup_2869"/>
    <x v="4"/>
    <n v="3"/>
    <n v="15294617"/>
    <n v="3"/>
    <n v="6"/>
    <n v="615"/>
    <n v="83412447"/>
    <n v="313516"/>
    <s v="Large"/>
    <s v="B2B"/>
    <n v="3"/>
    <n v="34.22"/>
    <n v="718569"/>
    <n v="1"/>
  </r>
  <r>
    <s v="Startup_2870"/>
    <x v="5"/>
    <n v="6"/>
    <n v="15814294"/>
    <n v="3"/>
    <n v="25"/>
    <n v="617"/>
    <n v="83056175"/>
    <n v="315081"/>
    <s v="Small"/>
    <s v="Hybrid"/>
    <n v="8"/>
    <n v="56.6"/>
    <n v="872048"/>
    <n v="1"/>
  </r>
  <r>
    <s v="Startup_2871"/>
    <x v="1"/>
    <n v="6"/>
    <n v="32170807"/>
    <n v="3"/>
    <n v="15"/>
    <n v="828"/>
    <n v="18635400"/>
    <n v="699077"/>
    <s v="Large"/>
    <s v="B2C"/>
    <n v="8"/>
    <n v="90.04"/>
    <n v="342718"/>
    <n v="1"/>
  </r>
  <r>
    <s v="Startup_2872"/>
    <x v="6"/>
    <n v="4"/>
    <n v="37439356"/>
    <n v="3"/>
    <n v="4"/>
    <n v="934"/>
    <n v="3948485"/>
    <n v="627976"/>
    <s v="Large"/>
    <s v="Hybrid"/>
    <n v="5"/>
    <n v="87.26"/>
    <n v="792945"/>
    <n v="1"/>
  </r>
  <r>
    <s v="Startup_2873"/>
    <x v="1"/>
    <n v="7"/>
    <n v="19958148"/>
    <n v="4"/>
    <n v="6"/>
    <n v="186"/>
    <n v="60495642"/>
    <n v="931164"/>
    <s v="Medium"/>
    <s v="Hybrid"/>
    <n v="3"/>
    <n v="25.17"/>
    <n v="848027"/>
    <n v="1"/>
  </r>
  <r>
    <s v="Startup_2874"/>
    <x v="6"/>
    <n v="13"/>
    <n v="10287129"/>
    <n v="2"/>
    <n v="6"/>
    <n v="903"/>
    <n v="10809756"/>
    <n v="315334"/>
    <s v="Large"/>
    <s v="B2C"/>
    <n v="4"/>
    <n v="28.31"/>
    <n v="560589"/>
    <n v="1"/>
  </r>
  <r>
    <s v="Startup_2875"/>
    <x v="2"/>
    <n v="10"/>
    <n v="17780817"/>
    <n v="3"/>
    <n v="22"/>
    <n v="381"/>
    <n v="57076555"/>
    <n v="428301"/>
    <s v="Large"/>
    <s v="B2C"/>
    <n v="4"/>
    <n v="48.64"/>
    <n v="230867"/>
    <n v="1"/>
  </r>
  <r>
    <s v="Startup_2876"/>
    <x v="0"/>
    <n v="1"/>
    <n v="43164804"/>
    <n v="4"/>
    <n v="3"/>
    <n v="559"/>
    <n v="48893166"/>
    <n v="697900"/>
    <s v="Large"/>
    <s v="B2C"/>
    <n v="2"/>
    <n v="53.45"/>
    <n v="401621"/>
    <n v="1"/>
  </r>
  <r>
    <s v="Startup_2877"/>
    <x v="5"/>
    <n v="12"/>
    <n v="12237714"/>
    <n v="2"/>
    <n v="29"/>
    <n v="689"/>
    <n v="71068168"/>
    <n v="60659"/>
    <s v="Small"/>
    <s v="Hybrid"/>
    <n v="9"/>
    <n v="50.69"/>
    <n v="209807"/>
    <n v="1"/>
  </r>
  <r>
    <s v="Startup_2878"/>
    <x v="0"/>
    <n v="7"/>
    <n v="10220760"/>
    <n v="1"/>
    <n v="8"/>
    <n v="501"/>
    <n v="64550765"/>
    <n v="174872"/>
    <s v="Small"/>
    <s v="Hybrid"/>
    <n v="7"/>
    <n v="60.46"/>
    <n v="273637"/>
    <n v="1"/>
  </r>
  <r>
    <s v="Startup_2879"/>
    <x v="5"/>
    <n v="14"/>
    <n v="38699497"/>
    <n v="4"/>
    <n v="13"/>
    <n v="496"/>
    <n v="62734612"/>
    <n v="657159"/>
    <s v="Large"/>
    <s v="B2B"/>
    <n v="2"/>
    <n v="19.010000000000002"/>
    <n v="301959"/>
    <n v="1"/>
  </r>
  <r>
    <s v="Startup_2880"/>
    <x v="3"/>
    <n v="9"/>
    <n v="22367239"/>
    <n v="4"/>
    <n v="6"/>
    <n v="829"/>
    <n v="29505874"/>
    <n v="16560"/>
    <s v="Large"/>
    <s v="B2C"/>
    <n v="8"/>
    <n v="77.62"/>
    <n v="536072"/>
    <n v="1"/>
  </r>
  <r>
    <s v="Startup_2881"/>
    <x v="2"/>
    <n v="5"/>
    <n v="40146341"/>
    <n v="4"/>
    <n v="28"/>
    <n v="805"/>
    <n v="98946103"/>
    <n v="294488"/>
    <s v="Small"/>
    <s v="B2C"/>
    <n v="7"/>
    <n v="37.17"/>
    <n v="539451"/>
    <n v="1"/>
  </r>
  <r>
    <s v="Startup_2882"/>
    <x v="6"/>
    <n v="14"/>
    <n v="3254296"/>
    <n v="2"/>
    <n v="26"/>
    <n v="120"/>
    <n v="78029209"/>
    <n v="819906"/>
    <s v="Small"/>
    <s v="Hybrid"/>
    <n v="2"/>
    <n v="92"/>
    <n v="899477"/>
    <n v="1"/>
  </r>
  <r>
    <s v="Startup_2883"/>
    <x v="2"/>
    <n v="3"/>
    <n v="33027128"/>
    <n v="3"/>
    <n v="14"/>
    <n v="163"/>
    <n v="65930641"/>
    <n v="826718"/>
    <s v="Medium"/>
    <s v="B2C"/>
    <n v="8"/>
    <n v="58.09"/>
    <n v="865131"/>
    <n v="1"/>
  </r>
  <r>
    <s v="Startup_2884"/>
    <x v="3"/>
    <n v="5"/>
    <n v="9169631"/>
    <n v="4"/>
    <n v="0"/>
    <n v="827"/>
    <n v="76762286"/>
    <n v="652831"/>
    <s v="Large"/>
    <s v="Hybrid"/>
    <n v="6"/>
    <n v="0.81"/>
    <n v="102874"/>
    <n v="1"/>
  </r>
  <r>
    <s v="Startup_2885"/>
    <x v="0"/>
    <n v="14"/>
    <n v="31606622"/>
    <n v="2"/>
    <n v="0"/>
    <n v="19"/>
    <n v="56253761"/>
    <n v="718109"/>
    <s v="Large"/>
    <s v="B2B"/>
    <n v="4"/>
    <n v="10.57"/>
    <n v="145873"/>
    <n v="1"/>
  </r>
  <r>
    <s v="Startup_2886"/>
    <x v="4"/>
    <n v="2"/>
    <n v="30244979"/>
    <n v="3"/>
    <n v="0"/>
    <n v="669"/>
    <n v="59331631"/>
    <n v="71268"/>
    <s v="Large"/>
    <s v="B2C"/>
    <n v="8"/>
    <n v="45.18"/>
    <n v="408238"/>
    <n v="1"/>
  </r>
  <r>
    <s v="Startup_2887"/>
    <x v="0"/>
    <n v="5"/>
    <n v="7129059"/>
    <n v="1"/>
    <n v="26"/>
    <n v="191"/>
    <n v="51648045"/>
    <n v="385192"/>
    <s v="Large"/>
    <s v="B2B"/>
    <n v="5"/>
    <n v="29.29"/>
    <n v="602222"/>
    <n v="1"/>
  </r>
  <r>
    <s v="Startup_2888"/>
    <x v="5"/>
    <n v="11"/>
    <n v="27600329"/>
    <n v="3"/>
    <n v="11"/>
    <n v="978"/>
    <n v="36833737"/>
    <n v="668632"/>
    <s v="Medium"/>
    <s v="B2B"/>
    <n v="9"/>
    <n v="86.68"/>
    <n v="757176"/>
    <n v="1"/>
  </r>
  <r>
    <s v="Startup_2889"/>
    <x v="5"/>
    <n v="14"/>
    <n v="4868181"/>
    <n v="3"/>
    <n v="26"/>
    <n v="419"/>
    <n v="39438752"/>
    <n v="197896"/>
    <s v="Small"/>
    <s v="B2B"/>
    <n v="9"/>
    <n v="89.88"/>
    <n v="169444"/>
    <n v="1"/>
  </r>
  <r>
    <s v="Startup_2890"/>
    <x v="2"/>
    <n v="4"/>
    <n v="47831894"/>
    <n v="2"/>
    <n v="13"/>
    <n v="210"/>
    <n v="18596756"/>
    <n v="891318"/>
    <s v="Medium"/>
    <s v="Hybrid"/>
    <n v="2"/>
    <n v="6.85"/>
    <n v="860897"/>
    <n v="1"/>
  </r>
  <r>
    <s v="Startup_2891"/>
    <x v="2"/>
    <n v="2"/>
    <n v="16101368"/>
    <n v="2"/>
    <n v="2"/>
    <n v="721"/>
    <n v="26141687"/>
    <n v="626364"/>
    <s v="Small"/>
    <s v="B2B"/>
    <n v="3"/>
    <n v="6.02"/>
    <n v="142704"/>
    <n v="1"/>
  </r>
  <r>
    <s v="Startup_2892"/>
    <x v="5"/>
    <n v="14"/>
    <n v="12417325"/>
    <n v="3"/>
    <n v="12"/>
    <n v="613"/>
    <n v="47179673"/>
    <n v="192507"/>
    <s v="Small"/>
    <s v="Hybrid"/>
    <n v="8"/>
    <n v="43.24"/>
    <n v="556737"/>
    <n v="1"/>
  </r>
  <r>
    <s v="Startup_2893"/>
    <x v="2"/>
    <n v="6"/>
    <n v="45195201"/>
    <n v="1"/>
    <n v="21"/>
    <n v="32"/>
    <n v="82782525"/>
    <n v="760226"/>
    <s v="Medium"/>
    <s v="B2C"/>
    <n v="8"/>
    <n v="27.01"/>
    <n v="383428"/>
    <n v="1"/>
  </r>
  <r>
    <s v="Startup_2894"/>
    <x v="1"/>
    <n v="11"/>
    <n v="49667560"/>
    <n v="2"/>
    <n v="22"/>
    <n v="991"/>
    <n v="48366409"/>
    <n v="890617"/>
    <s v="Small"/>
    <s v="Hybrid"/>
    <n v="7"/>
    <n v="91.3"/>
    <n v="867392"/>
    <n v="1"/>
  </r>
  <r>
    <s v="Startup_2895"/>
    <x v="5"/>
    <n v="11"/>
    <n v="37994528"/>
    <n v="2"/>
    <n v="2"/>
    <n v="845"/>
    <n v="27346095"/>
    <n v="913068"/>
    <s v="Small"/>
    <s v="B2B"/>
    <n v="7"/>
    <n v="71.83"/>
    <n v="743758"/>
    <n v="1"/>
  </r>
  <r>
    <s v="Startup_2896"/>
    <x v="0"/>
    <n v="8"/>
    <n v="44019051"/>
    <n v="1"/>
    <n v="3"/>
    <n v="407"/>
    <n v="60146713"/>
    <n v="512766"/>
    <s v="Small"/>
    <s v="B2B"/>
    <n v="8"/>
    <n v="96.51"/>
    <n v="396113"/>
    <n v="1"/>
  </r>
  <r>
    <s v="Startup_2897"/>
    <x v="6"/>
    <n v="12"/>
    <n v="45570021"/>
    <n v="3"/>
    <n v="1"/>
    <n v="774"/>
    <n v="41513683"/>
    <n v="609822"/>
    <s v="Medium"/>
    <s v="Hybrid"/>
    <n v="5"/>
    <n v="57.16"/>
    <n v="778040"/>
    <n v="1"/>
  </r>
  <r>
    <s v="Startup_2898"/>
    <x v="4"/>
    <n v="7"/>
    <n v="24644712"/>
    <n v="4"/>
    <n v="9"/>
    <n v="419"/>
    <n v="73672208"/>
    <n v="544933"/>
    <s v="Medium"/>
    <s v="Hybrid"/>
    <n v="3"/>
    <n v="22.19"/>
    <n v="143195"/>
    <n v="1"/>
  </r>
  <r>
    <s v="Startup_2899"/>
    <x v="1"/>
    <n v="2"/>
    <n v="47773532"/>
    <n v="3"/>
    <n v="7"/>
    <n v="26"/>
    <n v="10408257"/>
    <n v="320331"/>
    <s v="Large"/>
    <s v="Hybrid"/>
    <n v="1"/>
    <n v="39.909999999999997"/>
    <n v="313256"/>
    <n v="1"/>
  </r>
  <r>
    <s v="Startup_2900"/>
    <x v="6"/>
    <n v="4"/>
    <n v="21417387"/>
    <n v="1"/>
    <n v="26"/>
    <n v="155"/>
    <n v="26905461"/>
    <n v="131572"/>
    <s v="Medium"/>
    <s v="B2C"/>
    <n v="1"/>
    <n v="19.89"/>
    <n v="363935"/>
    <n v="1"/>
  </r>
  <r>
    <s v="Startup_2901"/>
    <x v="6"/>
    <n v="8"/>
    <n v="4887448"/>
    <n v="1"/>
    <n v="13"/>
    <n v="125"/>
    <n v="33640983"/>
    <n v="772144"/>
    <s v="Small"/>
    <s v="B2C"/>
    <n v="7"/>
    <n v="89.41"/>
    <n v="816820"/>
    <n v="1"/>
  </r>
  <r>
    <s v="Startup_2902"/>
    <x v="2"/>
    <n v="13"/>
    <n v="4245277"/>
    <n v="4"/>
    <n v="23"/>
    <n v="19"/>
    <n v="33941962"/>
    <n v="834468"/>
    <s v="Small"/>
    <s v="B2C"/>
    <n v="2"/>
    <n v="16.89"/>
    <n v="475144"/>
    <n v="1"/>
  </r>
  <r>
    <s v="Startup_2903"/>
    <x v="4"/>
    <n v="4"/>
    <n v="38769866"/>
    <n v="1"/>
    <n v="4"/>
    <n v="269"/>
    <n v="20821786"/>
    <n v="672838"/>
    <s v="Medium"/>
    <s v="B2C"/>
    <n v="5"/>
    <n v="0.49"/>
    <n v="322875"/>
    <n v="1"/>
  </r>
  <r>
    <s v="Startup_2904"/>
    <x v="0"/>
    <n v="7"/>
    <n v="15454055"/>
    <n v="2"/>
    <n v="16"/>
    <n v="657"/>
    <n v="60393894"/>
    <n v="632856"/>
    <s v="Medium"/>
    <s v="B2B"/>
    <n v="2"/>
    <n v="59.33"/>
    <n v="637981"/>
    <n v="1"/>
  </r>
  <r>
    <s v="Startup_2905"/>
    <x v="1"/>
    <n v="6"/>
    <n v="19266306"/>
    <n v="4"/>
    <n v="3"/>
    <n v="776"/>
    <n v="85607595"/>
    <n v="821059"/>
    <s v="Small"/>
    <s v="Hybrid"/>
    <n v="5"/>
    <n v="63.94"/>
    <n v="414928"/>
    <n v="1"/>
  </r>
  <r>
    <s v="Startup_2906"/>
    <x v="5"/>
    <n v="3"/>
    <n v="39775362"/>
    <n v="4"/>
    <n v="2"/>
    <n v="808"/>
    <n v="8220053"/>
    <n v="622195"/>
    <s v="Medium"/>
    <s v="Hybrid"/>
    <n v="9"/>
    <n v="35.25"/>
    <n v="381215"/>
    <n v="1"/>
  </r>
  <r>
    <s v="Startup_2907"/>
    <x v="0"/>
    <n v="2"/>
    <n v="35981324"/>
    <n v="4"/>
    <n v="9"/>
    <n v="711"/>
    <n v="23772650"/>
    <n v="272422"/>
    <s v="Small"/>
    <s v="Hybrid"/>
    <n v="9"/>
    <n v="78.47"/>
    <n v="497845"/>
    <n v="1"/>
  </r>
  <r>
    <s v="Startup_2908"/>
    <x v="1"/>
    <n v="14"/>
    <n v="46537079"/>
    <n v="3"/>
    <n v="3"/>
    <n v="419"/>
    <n v="53814605"/>
    <n v="369471"/>
    <s v="Medium"/>
    <s v="B2B"/>
    <n v="6"/>
    <n v="98.8"/>
    <n v="113319"/>
    <n v="1"/>
  </r>
  <r>
    <s v="Startup_2909"/>
    <x v="2"/>
    <n v="2"/>
    <n v="18565505"/>
    <n v="4"/>
    <n v="14"/>
    <n v="664"/>
    <n v="534720"/>
    <n v="998437"/>
    <s v="Small"/>
    <s v="B2B"/>
    <n v="9"/>
    <n v="78.209999999999994"/>
    <n v="801061"/>
    <n v="1"/>
  </r>
  <r>
    <s v="Startup_2910"/>
    <x v="1"/>
    <n v="6"/>
    <n v="44868044"/>
    <n v="3"/>
    <n v="2"/>
    <n v="38"/>
    <n v="2485554"/>
    <n v="361674"/>
    <s v="Large"/>
    <s v="B2C"/>
    <n v="8"/>
    <n v="30.45"/>
    <n v="725542"/>
    <n v="1"/>
  </r>
  <r>
    <s v="Startup_2911"/>
    <x v="5"/>
    <n v="6"/>
    <n v="38643643"/>
    <n v="3"/>
    <n v="21"/>
    <n v="825"/>
    <n v="5958822"/>
    <n v="772260"/>
    <s v="Large"/>
    <s v="B2C"/>
    <n v="6"/>
    <n v="2.73"/>
    <n v="887197"/>
    <n v="1"/>
  </r>
  <r>
    <s v="Startup_2912"/>
    <x v="2"/>
    <n v="2"/>
    <n v="22812971"/>
    <n v="1"/>
    <n v="8"/>
    <n v="473"/>
    <n v="2487399"/>
    <n v="117788"/>
    <s v="Small"/>
    <s v="B2B"/>
    <n v="6"/>
    <n v="98.2"/>
    <n v="321769"/>
    <n v="1"/>
  </r>
  <r>
    <s v="Startup_2913"/>
    <x v="6"/>
    <n v="2"/>
    <n v="105620"/>
    <n v="3"/>
    <n v="26"/>
    <n v="48"/>
    <n v="19185317"/>
    <n v="895265"/>
    <s v="Medium"/>
    <s v="B2C"/>
    <n v="1"/>
    <n v="52.76"/>
    <n v="186583"/>
    <n v="1"/>
  </r>
  <r>
    <s v="Startup_2914"/>
    <x v="0"/>
    <n v="8"/>
    <n v="11362380"/>
    <n v="2"/>
    <n v="9"/>
    <n v="945"/>
    <n v="8146766"/>
    <n v="327038"/>
    <s v="Small"/>
    <s v="B2C"/>
    <n v="6"/>
    <n v="28.91"/>
    <n v="933861"/>
    <n v="1"/>
  </r>
  <r>
    <s v="Startup_2915"/>
    <x v="1"/>
    <n v="2"/>
    <n v="40233038"/>
    <n v="4"/>
    <n v="13"/>
    <n v="377"/>
    <n v="9914331"/>
    <n v="297119"/>
    <s v="Medium"/>
    <s v="Hybrid"/>
    <n v="8"/>
    <n v="31.38"/>
    <n v="833234"/>
    <n v="1"/>
  </r>
  <r>
    <s v="Startup_2916"/>
    <x v="5"/>
    <n v="12"/>
    <n v="15372495"/>
    <n v="4"/>
    <n v="2"/>
    <n v="425"/>
    <n v="40503549"/>
    <n v="520731"/>
    <s v="Large"/>
    <s v="Hybrid"/>
    <n v="5"/>
    <n v="23.1"/>
    <n v="635989"/>
    <n v="1"/>
  </r>
  <r>
    <s v="Startup_2917"/>
    <x v="1"/>
    <n v="1"/>
    <n v="48465720"/>
    <n v="1"/>
    <n v="26"/>
    <n v="868"/>
    <n v="65919944"/>
    <n v="757520"/>
    <s v="Large"/>
    <s v="Hybrid"/>
    <n v="2"/>
    <n v="24.51"/>
    <n v="678248"/>
    <n v="1"/>
  </r>
  <r>
    <s v="Startup_2918"/>
    <x v="2"/>
    <n v="7"/>
    <n v="23929627"/>
    <n v="2"/>
    <n v="5"/>
    <n v="720"/>
    <n v="23402983"/>
    <n v="428154"/>
    <s v="Medium"/>
    <s v="B2B"/>
    <n v="2"/>
    <n v="74.44"/>
    <n v="678547"/>
    <n v="1"/>
  </r>
  <r>
    <s v="Startup_2919"/>
    <x v="6"/>
    <n v="8"/>
    <n v="3747760"/>
    <n v="3"/>
    <n v="28"/>
    <n v="492"/>
    <n v="64481514"/>
    <n v="59857"/>
    <s v="Small"/>
    <s v="B2B"/>
    <n v="6"/>
    <n v="88.27"/>
    <n v="917375"/>
    <n v="1"/>
  </r>
  <r>
    <s v="Startup_2920"/>
    <x v="1"/>
    <n v="14"/>
    <n v="48367035"/>
    <n v="4"/>
    <n v="22"/>
    <n v="369"/>
    <n v="24649067"/>
    <n v="531354"/>
    <s v="Medium"/>
    <s v="B2C"/>
    <n v="6"/>
    <n v="96.47"/>
    <n v="409233"/>
    <n v="1"/>
  </r>
  <r>
    <s v="Startup_2921"/>
    <x v="6"/>
    <n v="8"/>
    <n v="21910615"/>
    <n v="4"/>
    <n v="10"/>
    <n v="524"/>
    <n v="77754450"/>
    <n v="358444"/>
    <s v="Medium"/>
    <s v="B2B"/>
    <n v="6"/>
    <n v="32.119999999999997"/>
    <n v="319140"/>
    <n v="1"/>
  </r>
  <r>
    <s v="Startup_2922"/>
    <x v="5"/>
    <n v="4"/>
    <n v="21306220"/>
    <n v="1"/>
    <n v="25"/>
    <n v="869"/>
    <n v="78173136"/>
    <n v="824164"/>
    <s v="Medium"/>
    <s v="Hybrid"/>
    <n v="1"/>
    <n v="3.45"/>
    <n v="106443"/>
    <n v="1"/>
  </r>
  <r>
    <s v="Startup_2923"/>
    <x v="0"/>
    <n v="4"/>
    <n v="32905794"/>
    <n v="1"/>
    <n v="18"/>
    <n v="21"/>
    <n v="76869142"/>
    <n v="977324"/>
    <s v="Large"/>
    <s v="B2C"/>
    <n v="5"/>
    <n v="37.5"/>
    <n v="53001"/>
    <n v="1"/>
  </r>
  <r>
    <s v="Startup_2924"/>
    <x v="0"/>
    <n v="10"/>
    <n v="30601287"/>
    <n v="3"/>
    <n v="11"/>
    <n v="391"/>
    <n v="78797825"/>
    <n v="825768"/>
    <s v="Large"/>
    <s v="B2C"/>
    <n v="2"/>
    <n v="75.78"/>
    <n v="822823"/>
    <n v="1"/>
  </r>
  <r>
    <s v="Startup_2925"/>
    <x v="6"/>
    <n v="10"/>
    <n v="24974134"/>
    <n v="1"/>
    <n v="9"/>
    <n v="973"/>
    <n v="70096381"/>
    <n v="515611"/>
    <s v="Medium"/>
    <s v="Hybrid"/>
    <n v="3"/>
    <n v="4.7699999999999996"/>
    <n v="865021"/>
    <n v="1"/>
  </r>
  <r>
    <s v="Startup_2926"/>
    <x v="0"/>
    <n v="6"/>
    <n v="31905804"/>
    <n v="3"/>
    <n v="11"/>
    <n v="31"/>
    <n v="94070247"/>
    <n v="800015"/>
    <s v="Medium"/>
    <s v="B2B"/>
    <n v="1"/>
    <n v="29.7"/>
    <n v="980842"/>
    <n v="1"/>
  </r>
  <r>
    <s v="Startup_2927"/>
    <x v="2"/>
    <n v="9"/>
    <n v="48259005"/>
    <n v="4"/>
    <n v="23"/>
    <n v="581"/>
    <n v="36742313"/>
    <n v="357422"/>
    <s v="Medium"/>
    <s v="B2C"/>
    <n v="1"/>
    <n v="45.42"/>
    <n v="424463"/>
    <n v="1"/>
  </r>
  <r>
    <s v="Startup_2928"/>
    <x v="0"/>
    <n v="2"/>
    <n v="31189239"/>
    <n v="2"/>
    <n v="18"/>
    <n v="847"/>
    <n v="86107187"/>
    <n v="926541"/>
    <s v="Medium"/>
    <s v="B2C"/>
    <n v="1"/>
    <n v="11.97"/>
    <n v="201764"/>
    <n v="1"/>
  </r>
  <r>
    <s v="Startup_2929"/>
    <x v="3"/>
    <n v="8"/>
    <n v="9329497"/>
    <n v="3"/>
    <n v="5"/>
    <n v="562"/>
    <n v="6717894"/>
    <n v="901453"/>
    <s v="Medium"/>
    <s v="B2B"/>
    <n v="7"/>
    <n v="21.76"/>
    <n v="133524"/>
    <n v="1"/>
  </r>
  <r>
    <s v="Startup_2930"/>
    <x v="5"/>
    <n v="4"/>
    <n v="14991544"/>
    <n v="3"/>
    <n v="15"/>
    <n v="528"/>
    <n v="91656906"/>
    <n v="562674"/>
    <s v="Medium"/>
    <s v="Hybrid"/>
    <n v="3"/>
    <n v="22.61"/>
    <n v="494618"/>
    <n v="1"/>
  </r>
  <r>
    <s v="Startup_2931"/>
    <x v="0"/>
    <n v="14"/>
    <n v="4051886"/>
    <n v="2"/>
    <n v="9"/>
    <n v="919"/>
    <n v="6794539"/>
    <n v="729389"/>
    <s v="Small"/>
    <s v="B2B"/>
    <n v="7"/>
    <n v="20.29"/>
    <n v="67268"/>
    <n v="1"/>
  </r>
  <r>
    <s v="Startup_2932"/>
    <x v="2"/>
    <n v="9"/>
    <n v="1553383"/>
    <n v="1"/>
    <n v="13"/>
    <n v="234"/>
    <n v="3876687"/>
    <n v="306608"/>
    <s v="Large"/>
    <s v="B2C"/>
    <n v="4"/>
    <n v="7.81"/>
    <n v="285043"/>
    <n v="1"/>
  </r>
  <r>
    <s v="Startup_2933"/>
    <x v="0"/>
    <n v="1"/>
    <n v="36534340"/>
    <n v="3"/>
    <n v="12"/>
    <n v="297"/>
    <n v="18028048"/>
    <n v="208105"/>
    <s v="Medium"/>
    <s v="B2C"/>
    <n v="3"/>
    <n v="90.43"/>
    <n v="282383"/>
    <n v="1"/>
  </r>
  <r>
    <s v="Startup_2934"/>
    <x v="2"/>
    <n v="11"/>
    <n v="32772"/>
    <n v="4"/>
    <n v="12"/>
    <n v="667"/>
    <n v="67854545"/>
    <n v="33147"/>
    <s v="Small"/>
    <s v="B2C"/>
    <n v="5"/>
    <n v="2.08"/>
    <n v="830757"/>
    <n v="1"/>
  </r>
  <r>
    <s v="Startup_2935"/>
    <x v="1"/>
    <n v="1"/>
    <n v="22161393"/>
    <n v="2"/>
    <n v="8"/>
    <n v="298"/>
    <n v="58499078"/>
    <n v="194294"/>
    <s v="Large"/>
    <s v="Hybrid"/>
    <n v="6"/>
    <n v="55.1"/>
    <n v="735120"/>
    <n v="1"/>
  </r>
  <r>
    <s v="Startup_2936"/>
    <x v="2"/>
    <n v="3"/>
    <n v="37327225"/>
    <n v="3"/>
    <n v="10"/>
    <n v="678"/>
    <n v="84181949"/>
    <n v="985085"/>
    <s v="Small"/>
    <s v="B2C"/>
    <n v="4"/>
    <n v="27.32"/>
    <n v="684876"/>
    <n v="1"/>
  </r>
  <r>
    <s v="Startup_2937"/>
    <x v="2"/>
    <n v="0"/>
    <n v="29159663"/>
    <n v="2"/>
    <n v="25"/>
    <n v="940"/>
    <n v="88597630"/>
    <n v="220847"/>
    <s v="Medium"/>
    <s v="B2C"/>
    <n v="1"/>
    <n v="61.79"/>
    <n v="716094"/>
    <n v="1"/>
  </r>
  <r>
    <s v="Startup_2938"/>
    <x v="0"/>
    <n v="1"/>
    <n v="36334107"/>
    <n v="3"/>
    <n v="3"/>
    <n v="673"/>
    <n v="61872005"/>
    <n v="507227"/>
    <s v="Small"/>
    <s v="B2B"/>
    <n v="7"/>
    <n v="71.06"/>
    <n v="597119"/>
    <n v="1"/>
  </r>
  <r>
    <s v="Startup_2939"/>
    <x v="5"/>
    <n v="2"/>
    <n v="48815711"/>
    <n v="2"/>
    <n v="1"/>
    <n v="448"/>
    <n v="64841974"/>
    <n v="687586"/>
    <s v="Medium"/>
    <s v="Hybrid"/>
    <n v="1"/>
    <n v="65.040000000000006"/>
    <n v="416929"/>
    <n v="1"/>
  </r>
  <r>
    <s v="Startup_2940"/>
    <x v="6"/>
    <n v="13"/>
    <n v="30037410"/>
    <n v="2"/>
    <n v="24"/>
    <n v="217"/>
    <n v="11631910"/>
    <n v="267671"/>
    <s v="Large"/>
    <s v="B2B"/>
    <n v="9"/>
    <n v="87.14"/>
    <n v="479235"/>
    <n v="1"/>
  </r>
  <r>
    <s v="Startup_2941"/>
    <x v="6"/>
    <n v="12"/>
    <n v="9272518"/>
    <n v="3"/>
    <n v="4"/>
    <n v="940"/>
    <n v="14931329"/>
    <n v="770056"/>
    <s v="Large"/>
    <s v="B2B"/>
    <n v="7"/>
    <n v="84.38"/>
    <n v="354078"/>
    <n v="1"/>
  </r>
  <r>
    <s v="Startup_2942"/>
    <x v="3"/>
    <n v="11"/>
    <n v="19651487"/>
    <n v="1"/>
    <n v="5"/>
    <n v="578"/>
    <n v="21943479"/>
    <n v="500887"/>
    <s v="Medium"/>
    <s v="B2B"/>
    <n v="5"/>
    <n v="5.75"/>
    <n v="913818"/>
    <n v="1"/>
  </r>
  <r>
    <s v="Startup_2943"/>
    <x v="6"/>
    <n v="13"/>
    <n v="6225962"/>
    <n v="4"/>
    <n v="8"/>
    <n v="679"/>
    <n v="95253733"/>
    <n v="589660"/>
    <s v="Small"/>
    <s v="Hybrid"/>
    <n v="1"/>
    <n v="25.01"/>
    <n v="307258"/>
    <n v="1"/>
  </r>
  <r>
    <s v="Startup_2944"/>
    <x v="2"/>
    <n v="3"/>
    <n v="37969307"/>
    <n v="3"/>
    <n v="21"/>
    <n v="390"/>
    <n v="37293553"/>
    <n v="580796"/>
    <s v="Medium"/>
    <s v="B2C"/>
    <n v="9"/>
    <n v="37.67"/>
    <n v="631836"/>
    <n v="1"/>
  </r>
  <r>
    <s v="Startup_2945"/>
    <x v="5"/>
    <n v="5"/>
    <n v="45783659"/>
    <n v="2"/>
    <n v="17"/>
    <n v="479"/>
    <n v="75850770"/>
    <n v="133616"/>
    <s v="Medium"/>
    <s v="B2B"/>
    <n v="4"/>
    <n v="54.44"/>
    <n v="503454"/>
    <n v="1"/>
  </r>
  <r>
    <s v="Startup_2946"/>
    <x v="6"/>
    <n v="13"/>
    <n v="39251619"/>
    <n v="4"/>
    <n v="1"/>
    <n v="275"/>
    <n v="3788513"/>
    <n v="624193"/>
    <s v="Medium"/>
    <s v="B2C"/>
    <n v="7"/>
    <n v="99.88"/>
    <n v="801107"/>
    <n v="1"/>
  </r>
  <r>
    <s v="Startup_2947"/>
    <x v="0"/>
    <n v="0"/>
    <n v="18027164"/>
    <n v="4"/>
    <n v="13"/>
    <n v="101"/>
    <n v="1527324"/>
    <n v="49140"/>
    <s v="Medium"/>
    <s v="B2C"/>
    <n v="3"/>
    <n v="37.54"/>
    <n v="726471"/>
    <n v="1"/>
  </r>
  <r>
    <s v="Startup_2948"/>
    <x v="2"/>
    <n v="0"/>
    <n v="44929282"/>
    <n v="2"/>
    <n v="0"/>
    <n v="649"/>
    <n v="45801073"/>
    <n v="545099"/>
    <s v="Small"/>
    <s v="B2C"/>
    <n v="8"/>
    <n v="15.61"/>
    <n v="650188"/>
    <n v="1"/>
  </r>
  <r>
    <s v="Startup_2949"/>
    <x v="5"/>
    <n v="5"/>
    <n v="28428660"/>
    <n v="1"/>
    <n v="2"/>
    <n v="142"/>
    <n v="21092445"/>
    <n v="892970"/>
    <s v="Small"/>
    <s v="B2B"/>
    <n v="2"/>
    <n v="56.27"/>
    <n v="985496"/>
    <n v="1"/>
  </r>
  <r>
    <s v="Startup_2950"/>
    <x v="5"/>
    <n v="0"/>
    <n v="35368169"/>
    <n v="2"/>
    <n v="11"/>
    <n v="251"/>
    <n v="70698492"/>
    <n v="693811"/>
    <s v="Medium"/>
    <s v="B2C"/>
    <n v="3"/>
    <n v="72.8"/>
    <n v="106409"/>
    <n v="1"/>
  </r>
  <r>
    <s v="Startup_2951"/>
    <x v="0"/>
    <n v="11"/>
    <n v="792154"/>
    <n v="2"/>
    <n v="29"/>
    <n v="451"/>
    <n v="36074386"/>
    <n v="828202"/>
    <s v="Small"/>
    <s v="B2C"/>
    <n v="2"/>
    <n v="1.99"/>
    <n v="283340"/>
    <n v="1"/>
  </r>
  <r>
    <s v="Startup_2952"/>
    <x v="0"/>
    <n v="7"/>
    <n v="22566359"/>
    <n v="1"/>
    <n v="21"/>
    <n v="28"/>
    <n v="19834118"/>
    <n v="945412"/>
    <s v="Large"/>
    <s v="B2C"/>
    <n v="1"/>
    <n v="35.29"/>
    <n v="243378"/>
    <n v="1"/>
  </r>
  <r>
    <s v="Startup_2953"/>
    <x v="0"/>
    <n v="10"/>
    <n v="22832051"/>
    <n v="2"/>
    <n v="25"/>
    <n v="570"/>
    <n v="1477288"/>
    <n v="687743"/>
    <s v="Small"/>
    <s v="Hybrid"/>
    <n v="7"/>
    <n v="13.8"/>
    <n v="292984"/>
    <n v="1"/>
  </r>
  <r>
    <s v="Startup_2954"/>
    <x v="2"/>
    <n v="11"/>
    <n v="46182269"/>
    <n v="3"/>
    <n v="28"/>
    <n v="962"/>
    <n v="76199222"/>
    <n v="647387"/>
    <s v="Large"/>
    <s v="B2B"/>
    <n v="7"/>
    <n v="90.57"/>
    <n v="921940"/>
    <n v="1"/>
  </r>
  <r>
    <s v="Startup_2955"/>
    <x v="2"/>
    <n v="3"/>
    <n v="46156915"/>
    <n v="2"/>
    <n v="11"/>
    <n v="238"/>
    <n v="40511495"/>
    <n v="939540"/>
    <s v="Medium"/>
    <s v="B2C"/>
    <n v="9"/>
    <n v="57.62"/>
    <n v="501675"/>
    <n v="1"/>
  </r>
  <r>
    <s v="Startup_2956"/>
    <x v="1"/>
    <n v="0"/>
    <n v="48522712"/>
    <n v="3"/>
    <n v="21"/>
    <n v="580"/>
    <n v="20149993"/>
    <n v="514655"/>
    <s v="Small"/>
    <s v="Hybrid"/>
    <n v="8"/>
    <n v="31.3"/>
    <n v="999866"/>
    <n v="1"/>
  </r>
  <r>
    <s v="Startup_2957"/>
    <x v="2"/>
    <n v="11"/>
    <n v="44490182"/>
    <n v="1"/>
    <n v="2"/>
    <n v="402"/>
    <n v="71665363"/>
    <n v="208708"/>
    <s v="Small"/>
    <s v="B2B"/>
    <n v="1"/>
    <n v="2.67"/>
    <n v="850818"/>
    <n v="1"/>
  </r>
  <r>
    <s v="Startup_2958"/>
    <x v="6"/>
    <n v="4"/>
    <n v="19897090"/>
    <n v="4"/>
    <n v="11"/>
    <n v="286"/>
    <n v="48276723"/>
    <n v="461424"/>
    <s v="Small"/>
    <s v="B2B"/>
    <n v="1"/>
    <n v="7.47"/>
    <n v="701417"/>
    <n v="1"/>
  </r>
  <r>
    <s v="Startup_2959"/>
    <x v="6"/>
    <n v="9"/>
    <n v="39481372"/>
    <n v="3"/>
    <n v="13"/>
    <n v="405"/>
    <n v="86103349"/>
    <n v="169456"/>
    <s v="Small"/>
    <s v="Hybrid"/>
    <n v="8"/>
    <n v="64.12"/>
    <n v="554295"/>
    <n v="1"/>
  </r>
  <r>
    <s v="Startup_2960"/>
    <x v="4"/>
    <n v="2"/>
    <n v="27355124"/>
    <n v="3"/>
    <n v="24"/>
    <n v="744"/>
    <n v="70914908"/>
    <n v="142057"/>
    <s v="Small"/>
    <s v="Hybrid"/>
    <n v="5"/>
    <n v="1.05"/>
    <n v="484150"/>
    <n v="1"/>
  </r>
  <r>
    <s v="Startup_2961"/>
    <x v="3"/>
    <n v="14"/>
    <n v="32949374"/>
    <n v="1"/>
    <n v="10"/>
    <n v="307"/>
    <n v="82070208"/>
    <n v="986039"/>
    <s v="Small"/>
    <s v="Hybrid"/>
    <n v="1"/>
    <n v="63.94"/>
    <n v="48360"/>
    <n v="1"/>
  </r>
  <r>
    <s v="Startup_2962"/>
    <x v="6"/>
    <n v="13"/>
    <n v="32498032"/>
    <n v="4"/>
    <n v="11"/>
    <n v="210"/>
    <n v="47131398"/>
    <n v="605597"/>
    <s v="Small"/>
    <s v="B2B"/>
    <n v="8"/>
    <n v="61.68"/>
    <n v="438494"/>
    <n v="1"/>
  </r>
  <r>
    <s v="Startup_2963"/>
    <x v="0"/>
    <n v="11"/>
    <n v="18272499"/>
    <n v="1"/>
    <n v="15"/>
    <n v="387"/>
    <n v="40784643"/>
    <n v="407468"/>
    <s v="Medium"/>
    <s v="B2C"/>
    <n v="3"/>
    <n v="66.34"/>
    <n v="243106"/>
    <n v="1"/>
  </r>
  <r>
    <s v="Startup_2964"/>
    <x v="3"/>
    <n v="13"/>
    <n v="4260741"/>
    <n v="1"/>
    <n v="27"/>
    <n v="972"/>
    <n v="82115551"/>
    <n v="368684"/>
    <s v="Large"/>
    <s v="B2C"/>
    <n v="8"/>
    <n v="41.76"/>
    <n v="962222"/>
    <n v="1"/>
  </r>
  <r>
    <s v="Startup_2965"/>
    <x v="1"/>
    <n v="1"/>
    <n v="12875318"/>
    <n v="3"/>
    <n v="10"/>
    <n v="319"/>
    <n v="17530687"/>
    <n v="725033"/>
    <s v="Medium"/>
    <s v="B2B"/>
    <n v="3"/>
    <n v="43.04"/>
    <n v="509362"/>
    <n v="1"/>
  </r>
  <r>
    <s v="Startup_2966"/>
    <x v="1"/>
    <n v="14"/>
    <n v="10956780"/>
    <n v="3"/>
    <n v="29"/>
    <n v="659"/>
    <n v="78570448"/>
    <n v="840910"/>
    <s v="Medium"/>
    <s v="Hybrid"/>
    <n v="2"/>
    <n v="43.29"/>
    <n v="76495"/>
    <n v="1"/>
  </r>
  <r>
    <s v="Startup_2967"/>
    <x v="3"/>
    <n v="10"/>
    <n v="13431406"/>
    <n v="2"/>
    <n v="17"/>
    <n v="161"/>
    <n v="50905227"/>
    <n v="62053"/>
    <s v="Small"/>
    <s v="B2C"/>
    <n v="3"/>
    <n v="22.98"/>
    <n v="89093"/>
    <n v="1"/>
  </r>
  <r>
    <s v="Startup_2968"/>
    <x v="3"/>
    <n v="14"/>
    <n v="37524264"/>
    <n v="3"/>
    <n v="5"/>
    <n v="896"/>
    <n v="54223395"/>
    <n v="8419"/>
    <s v="Medium"/>
    <s v="Hybrid"/>
    <n v="8"/>
    <n v="28.71"/>
    <n v="608158"/>
    <n v="1"/>
  </r>
  <r>
    <s v="Startup_2969"/>
    <x v="5"/>
    <n v="14"/>
    <n v="40885474"/>
    <n v="2"/>
    <n v="9"/>
    <n v="336"/>
    <n v="94883301"/>
    <n v="91334"/>
    <s v="Large"/>
    <s v="B2C"/>
    <n v="6"/>
    <n v="43.87"/>
    <n v="352379"/>
    <n v="1"/>
  </r>
  <r>
    <s v="Startup_2970"/>
    <x v="5"/>
    <n v="7"/>
    <n v="30968494"/>
    <n v="1"/>
    <n v="7"/>
    <n v="430"/>
    <n v="75552694"/>
    <n v="410959"/>
    <s v="Large"/>
    <s v="B2B"/>
    <n v="3"/>
    <n v="36.76"/>
    <n v="365013"/>
    <n v="1"/>
  </r>
  <r>
    <s v="Startup_2971"/>
    <x v="3"/>
    <n v="3"/>
    <n v="33771659"/>
    <n v="3"/>
    <n v="12"/>
    <n v="858"/>
    <n v="47607540"/>
    <n v="768965"/>
    <s v="Small"/>
    <s v="Hybrid"/>
    <n v="9"/>
    <n v="64.849999999999994"/>
    <n v="457743"/>
    <n v="1"/>
  </r>
  <r>
    <s v="Startup_2972"/>
    <x v="3"/>
    <n v="14"/>
    <n v="7446299"/>
    <n v="3"/>
    <n v="8"/>
    <n v="740"/>
    <n v="33440192"/>
    <n v="873467"/>
    <s v="Small"/>
    <s v="B2C"/>
    <n v="4"/>
    <n v="21.24"/>
    <n v="616242"/>
    <n v="1"/>
  </r>
  <r>
    <s v="Startup_2973"/>
    <x v="5"/>
    <n v="12"/>
    <n v="39401690"/>
    <n v="4"/>
    <n v="0"/>
    <n v="588"/>
    <n v="21939598"/>
    <n v="245659"/>
    <s v="Large"/>
    <s v="B2B"/>
    <n v="9"/>
    <n v="15.02"/>
    <n v="960281"/>
    <n v="1"/>
  </r>
  <r>
    <s v="Startup_2974"/>
    <x v="5"/>
    <n v="5"/>
    <n v="44230167"/>
    <n v="3"/>
    <n v="4"/>
    <n v="263"/>
    <n v="38828448"/>
    <n v="917792"/>
    <s v="Medium"/>
    <s v="B2B"/>
    <n v="6"/>
    <n v="68.87"/>
    <n v="987969"/>
    <n v="1"/>
  </r>
  <r>
    <s v="Startup_2975"/>
    <x v="4"/>
    <n v="7"/>
    <n v="17323984"/>
    <n v="2"/>
    <n v="22"/>
    <n v="677"/>
    <n v="20391570"/>
    <n v="190166"/>
    <s v="Small"/>
    <s v="Hybrid"/>
    <n v="7"/>
    <n v="76.290000000000006"/>
    <n v="362715"/>
    <n v="1"/>
  </r>
  <r>
    <s v="Startup_2976"/>
    <x v="4"/>
    <n v="4"/>
    <n v="36201127"/>
    <n v="4"/>
    <n v="16"/>
    <n v="174"/>
    <n v="78083232"/>
    <n v="403073"/>
    <s v="Medium"/>
    <s v="Hybrid"/>
    <n v="5"/>
    <n v="42.84"/>
    <n v="549260"/>
    <n v="1"/>
  </r>
  <r>
    <s v="Startup_2977"/>
    <x v="4"/>
    <n v="4"/>
    <n v="15884080"/>
    <n v="1"/>
    <n v="4"/>
    <n v="281"/>
    <n v="68911256"/>
    <n v="591696"/>
    <s v="Medium"/>
    <s v="B2B"/>
    <n v="1"/>
    <n v="42.7"/>
    <n v="321390"/>
    <n v="1"/>
  </r>
  <r>
    <s v="Startup_2978"/>
    <x v="5"/>
    <n v="7"/>
    <n v="20649547"/>
    <n v="1"/>
    <n v="2"/>
    <n v="310"/>
    <n v="73145524"/>
    <n v="46818"/>
    <s v="Large"/>
    <s v="B2C"/>
    <n v="3"/>
    <n v="88.38"/>
    <n v="456880"/>
    <n v="1"/>
  </r>
  <r>
    <s v="Startup_2979"/>
    <x v="4"/>
    <n v="9"/>
    <n v="30748600"/>
    <n v="3"/>
    <n v="23"/>
    <n v="690"/>
    <n v="64115584"/>
    <n v="350761"/>
    <s v="Large"/>
    <s v="Hybrid"/>
    <n v="7"/>
    <n v="1.79"/>
    <n v="570022"/>
    <n v="1"/>
  </r>
  <r>
    <s v="Startup_2980"/>
    <x v="5"/>
    <n v="8"/>
    <n v="31580506"/>
    <n v="3"/>
    <n v="2"/>
    <n v="612"/>
    <n v="59283079"/>
    <n v="695114"/>
    <s v="Medium"/>
    <s v="Hybrid"/>
    <n v="7"/>
    <n v="91.62"/>
    <n v="365055"/>
    <n v="1"/>
  </r>
  <r>
    <s v="Startup_2981"/>
    <x v="3"/>
    <n v="7"/>
    <n v="22887338"/>
    <n v="2"/>
    <n v="16"/>
    <n v="215"/>
    <n v="54059543"/>
    <n v="329864"/>
    <s v="Small"/>
    <s v="B2B"/>
    <n v="1"/>
    <n v="68.61"/>
    <n v="898302"/>
    <n v="1"/>
  </r>
  <r>
    <s v="Startup_2982"/>
    <x v="5"/>
    <n v="3"/>
    <n v="888990"/>
    <n v="2"/>
    <n v="28"/>
    <n v="316"/>
    <n v="28976659"/>
    <n v="510698"/>
    <s v="Medium"/>
    <s v="B2C"/>
    <n v="8"/>
    <n v="82.86"/>
    <n v="487730"/>
    <n v="1"/>
  </r>
  <r>
    <s v="Startup_2983"/>
    <x v="5"/>
    <n v="2"/>
    <n v="38561351"/>
    <n v="4"/>
    <n v="21"/>
    <n v="946"/>
    <n v="4993532"/>
    <n v="80618"/>
    <s v="Small"/>
    <s v="B2B"/>
    <n v="3"/>
    <n v="77.16"/>
    <n v="700683"/>
    <n v="1"/>
  </r>
  <r>
    <s v="Startup_2984"/>
    <x v="0"/>
    <n v="7"/>
    <n v="19990217"/>
    <n v="4"/>
    <n v="24"/>
    <n v="675"/>
    <n v="73357467"/>
    <n v="794186"/>
    <s v="Medium"/>
    <s v="B2C"/>
    <n v="6"/>
    <n v="33.020000000000003"/>
    <n v="421809"/>
    <n v="1"/>
  </r>
  <r>
    <s v="Startup_2985"/>
    <x v="0"/>
    <n v="11"/>
    <n v="6189401"/>
    <n v="4"/>
    <n v="29"/>
    <n v="55"/>
    <n v="75862715"/>
    <n v="817017"/>
    <s v="Medium"/>
    <s v="Hybrid"/>
    <n v="3"/>
    <n v="97.77"/>
    <n v="620535"/>
    <n v="1"/>
  </r>
  <r>
    <s v="Startup_2986"/>
    <x v="3"/>
    <n v="8"/>
    <n v="47754676"/>
    <n v="1"/>
    <n v="13"/>
    <n v="505"/>
    <n v="20648117"/>
    <n v="11215"/>
    <s v="Medium"/>
    <s v="B2C"/>
    <n v="9"/>
    <n v="64.510000000000005"/>
    <n v="294329"/>
    <n v="1"/>
  </r>
  <r>
    <s v="Startup_2987"/>
    <x v="5"/>
    <n v="2"/>
    <n v="26029158"/>
    <n v="1"/>
    <n v="20"/>
    <n v="341"/>
    <n v="26651954"/>
    <n v="487461"/>
    <s v="Large"/>
    <s v="B2C"/>
    <n v="7"/>
    <n v="69.44"/>
    <n v="898756"/>
    <n v="1"/>
  </r>
  <r>
    <s v="Startup_2988"/>
    <x v="0"/>
    <n v="9"/>
    <n v="11755474"/>
    <n v="3"/>
    <n v="4"/>
    <n v="692"/>
    <n v="23989080"/>
    <n v="364124"/>
    <s v="Small"/>
    <s v="Hybrid"/>
    <n v="6"/>
    <n v="62.16"/>
    <n v="446361"/>
    <n v="1"/>
  </r>
  <r>
    <s v="Startup_2989"/>
    <x v="5"/>
    <n v="3"/>
    <n v="45710933"/>
    <n v="3"/>
    <n v="5"/>
    <n v="883"/>
    <n v="58775760"/>
    <n v="178589"/>
    <s v="Medium"/>
    <s v="B2C"/>
    <n v="5"/>
    <n v="77.45"/>
    <n v="295320"/>
    <n v="1"/>
  </r>
  <r>
    <s v="Startup_2990"/>
    <x v="3"/>
    <n v="13"/>
    <n v="4206132"/>
    <n v="3"/>
    <n v="3"/>
    <n v="623"/>
    <n v="869235"/>
    <n v="636814"/>
    <s v="Large"/>
    <s v="B2B"/>
    <n v="1"/>
    <n v="52.21"/>
    <n v="410313"/>
    <n v="1"/>
  </r>
  <r>
    <s v="Startup_2991"/>
    <x v="6"/>
    <n v="13"/>
    <n v="22376934"/>
    <n v="2"/>
    <n v="20"/>
    <n v="464"/>
    <n v="1268039"/>
    <n v="103663"/>
    <s v="Large"/>
    <s v="Hybrid"/>
    <n v="6"/>
    <n v="56.08"/>
    <n v="21162"/>
    <n v="1"/>
  </r>
  <r>
    <s v="Startup_2992"/>
    <x v="0"/>
    <n v="8"/>
    <n v="24589306"/>
    <n v="3"/>
    <n v="29"/>
    <n v="752"/>
    <n v="73986501"/>
    <n v="542621"/>
    <s v="Medium"/>
    <s v="B2C"/>
    <n v="3"/>
    <n v="87.88"/>
    <n v="922515"/>
    <n v="1"/>
  </r>
  <r>
    <s v="Startup_2993"/>
    <x v="3"/>
    <n v="9"/>
    <n v="1597874"/>
    <n v="2"/>
    <n v="2"/>
    <n v="779"/>
    <n v="61663605"/>
    <n v="67489"/>
    <s v="Large"/>
    <s v="Hybrid"/>
    <n v="2"/>
    <n v="45.63"/>
    <n v="815371"/>
    <n v="1"/>
  </r>
  <r>
    <s v="Startup_2994"/>
    <x v="4"/>
    <n v="10"/>
    <n v="17222829"/>
    <n v="1"/>
    <n v="21"/>
    <n v="928"/>
    <n v="51123042"/>
    <n v="338278"/>
    <s v="Large"/>
    <s v="Hybrid"/>
    <n v="3"/>
    <n v="72.2"/>
    <n v="757911"/>
    <n v="1"/>
  </r>
  <r>
    <s v="Startup_2995"/>
    <x v="1"/>
    <n v="1"/>
    <n v="35712162"/>
    <n v="4"/>
    <n v="12"/>
    <n v="726"/>
    <n v="29786771"/>
    <n v="128258"/>
    <s v="Large"/>
    <s v="B2B"/>
    <n v="5"/>
    <n v="14.53"/>
    <n v="191223"/>
    <n v="1"/>
  </r>
  <r>
    <s v="Startup_2996"/>
    <x v="0"/>
    <n v="7"/>
    <n v="34852672"/>
    <n v="1"/>
    <n v="28"/>
    <n v="747"/>
    <n v="39722144"/>
    <n v="149367"/>
    <s v="Medium"/>
    <s v="Hybrid"/>
    <n v="8"/>
    <n v="86.24"/>
    <n v="50829"/>
    <n v="1"/>
  </r>
  <r>
    <s v="Startup_2997"/>
    <x v="0"/>
    <n v="2"/>
    <n v="21140792"/>
    <n v="1"/>
    <n v="13"/>
    <n v="395"/>
    <n v="45700722"/>
    <n v="262456"/>
    <s v="Small"/>
    <s v="B2C"/>
    <n v="2"/>
    <n v="70.099999999999994"/>
    <n v="510047"/>
    <n v="1"/>
  </r>
  <r>
    <s v="Startup_2998"/>
    <x v="0"/>
    <n v="0"/>
    <n v="43364717"/>
    <n v="4"/>
    <n v="1"/>
    <n v="505"/>
    <n v="18552372"/>
    <n v="93617"/>
    <s v="Large"/>
    <s v="B2B"/>
    <n v="5"/>
    <n v="68.45"/>
    <n v="522751"/>
    <n v="1"/>
  </r>
  <r>
    <s v="Startup_2999"/>
    <x v="6"/>
    <n v="6"/>
    <n v="16187479"/>
    <n v="2"/>
    <n v="16"/>
    <n v="800"/>
    <n v="94426630"/>
    <n v="623828"/>
    <s v="Small"/>
    <s v="Hybrid"/>
    <n v="8"/>
    <n v="31.96"/>
    <n v="74051"/>
    <n v="1"/>
  </r>
  <r>
    <s v="Startup_3000"/>
    <x v="0"/>
    <n v="5"/>
    <n v="5896402"/>
    <n v="4"/>
    <n v="4"/>
    <n v="584"/>
    <n v="37050657"/>
    <n v="823754"/>
    <s v="Small"/>
    <s v="B2C"/>
    <n v="6"/>
    <n v="84.77"/>
    <n v="224403"/>
    <n v="1"/>
  </r>
  <r>
    <s v="Startup_3001"/>
    <x v="4"/>
    <n v="14"/>
    <n v="48275999"/>
    <n v="1"/>
    <n v="12"/>
    <n v="457"/>
    <n v="32393708"/>
    <n v="299123"/>
    <s v="Large"/>
    <s v="Hybrid"/>
    <n v="1"/>
    <n v="45.63"/>
    <n v="149723"/>
    <n v="1"/>
  </r>
  <r>
    <s v="Startup_3002"/>
    <x v="2"/>
    <n v="11"/>
    <n v="5573397"/>
    <n v="1"/>
    <n v="19"/>
    <n v="381"/>
    <n v="87318952"/>
    <n v="194177"/>
    <s v="Large"/>
    <s v="B2C"/>
    <n v="4"/>
    <n v="92.64"/>
    <n v="346483"/>
    <n v="1"/>
  </r>
  <r>
    <s v="Startup_3003"/>
    <x v="1"/>
    <n v="4"/>
    <n v="44211649"/>
    <n v="2"/>
    <n v="28"/>
    <n v="534"/>
    <n v="46281943"/>
    <n v="855686"/>
    <s v="Large"/>
    <s v="B2B"/>
    <n v="1"/>
    <n v="74.64"/>
    <n v="67749"/>
    <n v="1"/>
  </r>
  <r>
    <s v="Startup_3004"/>
    <x v="1"/>
    <n v="7"/>
    <n v="31269735"/>
    <n v="3"/>
    <n v="27"/>
    <n v="963"/>
    <n v="28103168"/>
    <n v="45548"/>
    <s v="Small"/>
    <s v="B2B"/>
    <n v="8"/>
    <n v="13.97"/>
    <n v="748151"/>
    <n v="1"/>
  </r>
  <r>
    <s v="Startup_3005"/>
    <x v="4"/>
    <n v="14"/>
    <n v="45225570"/>
    <n v="2"/>
    <n v="18"/>
    <n v="107"/>
    <n v="2092209"/>
    <n v="980746"/>
    <s v="Medium"/>
    <s v="B2B"/>
    <n v="8"/>
    <n v="18.829999999999998"/>
    <n v="304795"/>
    <n v="1"/>
  </r>
  <r>
    <s v="Startup_3006"/>
    <x v="5"/>
    <n v="9"/>
    <n v="30982796"/>
    <n v="2"/>
    <n v="4"/>
    <n v="968"/>
    <n v="90016441"/>
    <n v="636392"/>
    <s v="Small"/>
    <s v="B2C"/>
    <n v="5"/>
    <n v="21.14"/>
    <n v="386822"/>
    <n v="1"/>
  </r>
  <r>
    <s v="Startup_3007"/>
    <x v="2"/>
    <n v="0"/>
    <n v="41589854"/>
    <n v="2"/>
    <n v="26"/>
    <n v="982"/>
    <n v="13450798"/>
    <n v="273742"/>
    <s v="Small"/>
    <s v="Hybrid"/>
    <n v="5"/>
    <n v="86.73"/>
    <n v="352461"/>
    <n v="1"/>
  </r>
  <r>
    <s v="Startup_3008"/>
    <x v="4"/>
    <n v="10"/>
    <n v="6722951"/>
    <n v="2"/>
    <n v="23"/>
    <n v="218"/>
    <n v="94340678"/>
    <n v="271108"/>
    <s v="Small"/>
    <s v="Hybrid"/>
    <n v="8"/>
    <n v="48.17"/>
    <n v="326177"/>
    <n v="1"/>
  </r>
  <r>
    <s v="Startup_3009"/>
    <x v="1"/>
    <n v="2"/>
    <n v="23432049"/>
    <n v="2"/>
    <n v="4"/>
    <n v="852"/>
    <n v="61822018"/>
    <n v="467740"/>
    <s v="Small"/>
    <s v="B2C"/>
    <n v="3"/>
    <n v="25.28"/>
    <n v="389074"/>
    <n v="1"/>
  </r>
  <r>
    <s v="Startup_3010"/>
    <x v="5"/>
    <n v="0"/>
    <n v="11955950"/>
    <n v="4"/>
    <n v="29"/>
    <n v="326"/>
    <n v="80872613"/>
    <n v="104920"/>
    <s v="Medium"/>
    <s v="B2B"/>
    <n v="1"/>
    <n v="47.27"/>
    <n v="888587"/>
    <n v="1"/>
  </r>
  <r>
    <s v="Startup_3011"/>
    <x v="1"/>
    <n v="14"/>
    <n v="11294214"/>
    <n v="2"/>
    <n v="19"/>
    <n v="14"/>
    <n v="91092738"/>
    <n v="85515"/>
    <s v="Medium"/>
    <s v="B2C"/>
    <n v="6"/>
    <n v="43.72"/>
    <n v="189997"/>
    <n v="1"/>
  </r>
  <r>
    <s v="Startup_3012"/>
    <x v="5"/>
    <n v="1"/>
    <n v="35074027"/>
    <n v="3"/>
    <n v="2"/>
    <n v="175"/>
    <n v="46536605"/>
    <n v="482989"/>
    <s v="Small"/>
    <s v="Hybrid"/>
    <n v="3"/>
    <n v="67.930000000000007"/>
    <n v="99542"/>
    <n v="1"/>
  </r>
  <r>
    <s v="Startup_3013"/>
    <x v="2"/>
    <n v="12"/>
    <n v="5070551"/>
    <n v="2"/>
    <n v="10"/>
    <n v="179"/>
    <n v="94413810"/>
    <n v="122164"/>
    <s v="Small"/>
    <s v="B2B"/>
    <n v="9"/>
    <n v="19"/>
    <n v="117521"/>
    <n v="1"/>
  </r>
  <r>
    <s v="Startup_3014"/>
    <x v="2"/>
    <n v="2"/>
    <n v="38255805"/>
    <n v="3"/>
    <n v="21"/>
    <n v="743"/>
    <n v="49996868"/>
    <n v="425275"/>
    <s v="Small"/>
    <s v="B2B"/>
    <n v="3"/>
    <n v="7.69"/>
    <n v="789531"/>
    <n v="1"/>
  </r>
  <r>
    <s v="Startup_3015"/>
    <x v="3"/>
    <n v="8"/>
    <n v="24366221"/>
    <n v="4"/>
    <n v="26"/>
    <n v="345"/>
    <n v="85028843"/>
    <n v="782808"/>
    <s v="Large"/>
    <s v="B2B"/>
    <n v="6"/>
    <n v="79.38"/>
    <n v="410017"/>
    <n v="1"/>
  </r>
  <r>
    <s v="Startup_3016"/>
    <x v="6"/>
    <n v="1"/>
    <n v="40958543"/>
    <n v="4"/>
    <n v="17"/>
    <n v="643"/>
    <n v="55579437"/>
    <n v="902654"/>
    <s v="Medium"/>
    <s v="Hybrid"/>
    <n v="8"/>
    <n v="88.9"/>
    <n v="489707"/>
    <n v="1"/>
  </r>
  <r>
    <s v="Startup_3017"/>
    <x v="3"/>
    <n v="9"/>
    <n v="9775179"/>
    <n v="2"/>
    <n v="22"/>
    <n v="769"/>
    <n v="73189055"/>
    <n v="548642"/>
    <s v="Large"/>
    <s v="B2B"/>
    <n v="2"/>
    <n v="5.23"/>
    <n v="451503"/>
    <n v="1"/>
  </r>
  <r>
    <s v="Startup_3018"/>
    <x v="5"/>
    <n v="5"/>
    <n v="34062906"/>
    <n v="3"/>
    <n v="17"/>
    <n v="625"/>
    <n v="34180296"/>
    <n v="310797"/>
    <s v="Large"/>
    <s v="B2C"/>
    <n v="7"/>
    <n v="48.38"/>
    <n v="857685"/>
    <n v="1"/>
  </r>
  <r>
    <s v="Startup_3019"/>
    <x v="3"/>
    <n v="10"/>
    <n v="44813318"/>
    <n v="4"/>
    <n v="27"/>
    <n v="640"/>
    <n v="7051774"/>
    <n v="399385"/>
    <s v="Medium"/>
    <s v="B2B"/>
    <n v="5"/>
    <n v="59.2"/>
    <n v="227869"/>
    <n v="1"/>
  </r>
  <r>
    <s v="Startup_3020"/>
    <x v="3"/>
    <n v="13"/>
    <n v="16315012"/>
    <n v="4"/>
    <n v="25"/>
    <n v="556"/>
    <n v="47726296"/>
    <n v="483928"/>
    <s v="Medium"/>
    <s v="B2C"/>
    <n v="9"/>
    <n v="67.86"/>
    <n v="37632"/>
    <n v="1"/>
  </r>
  <r>
    <s v="Startup_3021"/>
    <x v="1"/>
    <n v="7"/>
    <n v="23111690"/>
    <n v="1"/>
    <n v="14"/>
    <n v="595"/>
    <n v="86690829"/>
    <n v="361282"/>
    <s v="Large"/>
    <s v="B2C"/>
    <n v="5"/>
    <n v="0.84"/>
    <n v="324009"/>
    <n v="1"/>
  </r>
  <r>
    <s v="Startup_3022"/>
    <x v="0"/>
    <n v="13"/>
    <n v="2122426"/>
    <n v="1"/>
    <n v="4"/>
    <n v="170"/>
    <n v="80869839"/>
    <n v="620033"/>
    <s v="Medium"/>
    <s v="B2B"/>
    <n v="5"/>
    <n v="82.13"/>
    <n v="483374"/>
    <n v="1"/>
  </r>
  <r>
    <s v="Startup_3023"/>
    <x v="5"/>
    <n v="3"/>
    <n v="42095857"/>
    <n v="3"/>
    <n v="19"/>
    <n v="313"/>
    <n v="58609704"/>
    <n v="94448"/>
    <s v="Large"/>
    <s v="B2B"/>
    <n v="4"/>
    <n v="58.4"/>
    <n v="988015"/>
    <n v="1"/>
  </r>
  <r>
    <s v="Startup_3024"/>
    <x v="2"/>
    <n v="7"/>
    <n v="934153"/>
    <n v="1"/>
    <n v="22"/>
    <n v="729"/>
    <n v="70879663"/>
    <n v="668901"/>
    <s v="Small"/>
    <s v="Hybrid"/>
    <n v="5"/>
    <n v="25.65"/>
    <n v="209557"/>
    <n v="1"/>
  </r>
  <r>
    <s v="Startup_3025"/>
    <x v="4"/>
    <n v="13"/>
    <n v="41463696"/>
    <n v="4"/>
    <n v="20"/>
    <n v="4"/>
    <n v="18273335"/>
    <n v="337990"/>
    <s v="Large"/>
    <s v="B2B"/>
    <n v="9"/>
    <n v="53.5"/>
    <n v="897977"/>
    <n v="1"/>
  </r>
  <r>
    <s v="Startup_3026"/>
    <x v="3"/>
    <n v="7"/>
    <n v="45210612"/>
    <n v="2"/>
    <n v="16"/>
    <n v="71"/>
    <n v="33412350"/>
    <n v="846120"/>
    <s v="Medium"/>
    <s v="B2C"/>
    <n v="2"/>
    <n v="75.510000000000005"/>
    <n v="823301"/>
    <n v="1"/>
  </r>
  <r>
    <s v="Startup_3027"/>
    <x v="5"/>
    <n v="12"/>
    <n v="18560829"/>
    <n v="2"/>
    <n v="18"/>
    <n v="964"/>
    <n v="3804082"/>
    <n v="929086"/>
    <s v="Medium"/>
    <s v="B2C"/>
    <n v="9"/>
    <n v="16.34"/>
    <n v="697827"/>
    <n v="1"/>
  </r>
  <r>
    <s v="Startup_3028"/>
    <x v="6"/>
    <n v="14"/>
    <n v="40310183"/>
    <n v="2"/>
    <n v="28"/>
    <n v="34"/>
    <n v="17472022"/>
    <n v="446194"/>
    <s v="Small"/>
    <s v="Hybrid"/>
    <n v="6"/>
    <n v="65.180000000000007"/>
    <n v="460368"/>
    <n v="1"/>
  </r>
  <r>
    <s v="Startup_3029"/>
    <x v="4"/>
    <n v="7"/>
    <n v="171194"/>
    <n v="2"/>
    <n v="11"/>
    <n v="695"/>
    <n v="15938301"/>
    <n v="145825"/>
    <s v="Large"/>
    <s v="B2B"/>
    <n v="9"/>
    <n v="54.21"/>
    <n v="106857"/>
    <n v="1"/>
  </r>
  <r>
    <s v="Startup_3030"/>
    <x v="4"/>
    <n v="5"/>
    <n v="18594144"/>
    <n v="4"/>
    <n v="1"/>
    <n v="272"/>
    <n v="78560063"/>
    <n v="193267"/>
    <s v="Small"/>
    <s v="Hybrid"/>
    <n v="3"/>
    <n v="89.56"/>
    <n v="767620"/>
    <n v="1"/>
  </r>
  <r>
    <s v="Startup_3031"/>
    <x v="3"/>
    <n v="14"/>
    <n v="38321993"/>
    <n v="4"/>
    <n v="12"/>
    <n v="953"/>
    <n v="26758240"/>
    <n v="240187"/>
    <s v="Small"/>
    <s v="B2C"/>
    <n v="6"/>
    <n v="88.37"/>
    <n v="226158"/>
    <n v="1"/>
  </r>
  <r>
    <s v="Startup_3032"/>
    <x v="4"/>
    <n v="3"/>
    <n v="48718541"/>
    <n v="2"/>
    <n v="14"/>
    <n v="127"/>
    <n v="57795282"/>
    <n v="724123"/>
    <s v="Large"/>
    <s v="B2C"/>
    <n v="8"/>
    <n v="74.05"/>
    <n v="904381"/>
    <n v="1"/>
  </r>
  <r>
    <s v="Startup_3033"/>
    <x v="0"/>
    <n v="1"/>
    <n v="18159091"/>
    <n v="1"/>
    <n v="16"/>
    <n v="689"/>
    <n v="60077747"/>
    <n v="220695"/>
    <s v="Large"/>
    <s v="B2B"/>
    <n v="3"/>
    <n v="56.53"/>
    <n v="222742"/>
    <n v="1"/>
  </r>
  <r>
    <s v="Startup_3034"/>
    <x v="6"/>
    <n v="4"/>
    <n v="21631819"/>
    <n v="1"/>
    <n v="19"/>
    <n v="432"/>
    <n v="47175718"/>
    <n v="626199"/>
    <s v="Small"/>
    <s v="B2C"/>
    <n v="5"/>
    <n v="39.19"/>
    <n v="953784"/>
    <n v="1"/>
  </r>
  <r>
    <s v="Startup_3035"/>
    <x v="0"/>
    <n v="10"/>
    <n v="39155910"/>
    <n v="1"/>
    <n v="27"/>
    <n v="155"/>
    <n v="55217811"/>
    <n v="122813"/>
    <s v="Small"/>
    <s v="B2C"/>
    <n v="2"/>
    <n v="46.34"/>
    <n v="338060"/>
    <n v="1"/>
  </r>
  <r>
    <s v="Startup_3036"/>
    <x v="4"/>
    <n v="4"/>
    <n v="21728385"/>
    <n v="1"/>
    <n v="22"/>
    <n v="552"/>
    <n v="2058533"/>
    <n v="971297"/>
    <s v="Large"/>
    <s v="Hybrid"/>
    <n v="9"/>
    <n v="9.7200000000000006"/>
    <n v="989911"/>
    <n v="1"/>
  </r>
  <r>
    <s v="Startup_3037"/>
    <x v="2"/>
    <n v="3"/>
    <n v="11894281"/>
    <n v="2"/>
    <n v="26"/>
    <n v="204"/>
    <n v="74118360"/>
    <n v="459031"/>
    <s v="Small"/>
    <s v="B2C"/>
    <n v="7"/>
    <n v="89.21"/>
    <n v="994689"/>
    <n v="1"/>
  </r>
  <r>
    <s v="Startup_3038"/>
    <x v="1"/>
    <n v="8"/>
    <n v="38761834"/>
    <n v="3"/>
    <n v="0"/>
    <n v="757"/>
    <n v="79081857"/>
    <n v="967453"/>
    <s v="Small"/>
    <s v="Hybrid"/>
    <n v="8"/>
    <n v="60.95"/>
    <n v="364402"/>
    <n v="1"/>
  </r>
  <r>
    <s v="Startup_3039"/>
    <x v="1"/>
    <n v="2"/>
    <n v="3236545"/>
    <n v="4"/>
    <n v="20"/>
    <n v="731"/>
    <n v="64145642"/>
    <n v="660195"/>
    <s v="Medium"/>
    <s v="Hybrid"/>
    <n v="6"/>
    <n v="50.55"/>
    <n v="400416"/>
    <n v="1"/>
  </r>
  <r>
    <s v="Startup_3040"/>
    <x v="4"/>
    <n v="8"/>
    <n v="8575508"/>
    <n v="1"/>
    <n v="17"/>
    <n v="584"/>
    <n v="67255413"/>
    <n v="711270"/>
    <s v="Medium"/>
    <s v="Hybrid"/>
    <n v="9"/>
    <n v="15.93"/>
    <n v="556461"/>
    <n v="1"/>
  </r>
  <r>
    <s v="Startup_3041"/>
    <x v="6"/>
    <n v="6"/>
    <n v="18585939"/>
    <n v="3"/>
    <n v="29"/>
    <n v="360"/>
    <n v="48741734"/>
    <n v="311995"/>
    <s v="Small"/>
    <s v="B2B"/>
    <n v="7"/>
    <n v="2.73"/>
    <n v="143571"/>
    <n v="1"/>
  </r>
  <r>
    <s v="Startup_3042"/>
    <x v="1"/>
    <n v="6"/>
    <n v="34079188"/>
    <n v="3"/>
    <n v="22"/>
    <n v="821"/>
    <n v="44289238"/>
    <n v="400216"/>
    <s v="Small"/>
    <s v="B2C"/>
    <n v="3"/>
    <n v="87.81"/>
    <n v="32282"/>
    <n v="1"/>
  </r>
  <r>
    <s v="Startup_3043"/>
    <x v="3"/>
    <n v="1"/>
    <n v="13474678"/>
    <n v="3"/>
    <n v="12"/>
    <n v="879"/>
    <n v="41494039"/>
    <n v="613724"/>
    <s v="Medium"/>
    <s v="B2B"/>
    <n v="5"/>
    <n v="6.05"/>
    <n v="935888"/>
    <n v="1"/>
  </r>
  <r>
    <s v="Startup_3044"/>
    <x v="1"/>
    <n v="4"/>
    <n v="34790807"/>
    <n v="4"/>
    <n v="10"/>
    <n v="562"/>
    <n v="8066820"/>
    <n v="967817"/>
    <s v="Small"/>
    <s v="B2C"/>
    <n v="9"/>
    <n v="60.68"/>
    <n v="618773"/>
    <n v="1"/>
  </r>
  <r>
    <s v="Startup_3045"/>
    <x v="0"/>
    <n v="13"/>
    <n v="11460241"/>
    <n v="1"/>
    <n v="23"/>
    <n v="376"/>
    <n v="32958840"/>
    <n v="457420"/>
    <s v="Medium"/>
    <s v="B2B"/>
    <n v="3"/>
    <n v="0.92"/>
    <n v="13098"/>
    <n v="1"/>
  </r>
  <r>
    <s v="Startup_3046"/>
    <x v="2"/>
    <n v="8"/>
    <n v="38938123"/>
    <n v="4"/>
    <n v="0"/>
    <n v="793"/>
    <n v="50041656"/>
    <n v="585010"/>
    <s v="Medium"/>
    <s v="Hybrid"/>
    <n v="6"/>
    <n v="64.05"/>
    <n v="493155"/>
    <n v="1"/>
  </r>
  <r>
    <s v="Startup_3047"/>
    <x v="6"/>
    <n v="12"/>
    <n v="9547907"/>
    <n v="2"/>
    <n v="4"/>
    <n v="251"/>
    <n v="46361007"/>
    <n v="18298"/>
    <s v="Small"/>
    <s v="B2C"/>
    <n v="2"/>
    <n v="44.82"/>
    <n v="933973"/>
    <n v="1"/>
  </r>
  <r>
    <s v="Startup_3048"/>
    <x v="4"/>
    <n v="1"/>
    <n v="1220081"/>
    <n v="3"/>
    <n v="28"/>
    <n v="217"/>
    <n v="75963439"/>
    <n v="377496"/>
    <s v="Small"/>
    <s v="B2C"/>
    <n v="5"/>
    <n v="40.51"/>
    <n v="944235"/>
    <n v="1"/>
  </r>
  <r>
    <s v="Startup_3049"/>
    <x v="3"/>
    <n v="14"/>
    <n v="45796857"/>
    <n v="3"/>
    <n v="11"/>
    <n v="181"/>
    <n v="22612578"/>
    <n v="621629"/>
    <s v="Large"/>
    <s v="B2B"/>
    <n v="1"/>
    <n v="89"/>
    <n v="954450"/>
    <n v="1"/>
  </r>
  <r>
    <s v="Startup_3050"/>
    <x v="6"/>
    <n v="2"/>
    <n v="14968256"/>
    <n v="1"/>
    <n v="21"/>
    <n v="641"/>
    <n v="97572001"/>
    <n v="807390"/>
    <s v="Medium"/>
    <s v="Hybrid"/>
    <n v="9"/>
    <n v="91.93"/>
    <n v="633349"/>
    <n v="1"/>
  </r>
  <r>
    <s v="Startup_3051"/>
    <x v="4"/>
    <n v="3"/>
    <n v="27690526"/>
    <n v="1"/>
    <n v="2"/>
    <n v="924"/>
    <n v="10847240"/>
    <n v="636054"/>
    <s v="Medium"/>
    <s v="Hybrid"/>
    <n v="6"/>
    <n v="31.59"/>
    <n v="346094"/>
    <n v="1"/>
  </r>
  <r>
    <s v="Startup_3052"/>
    <x v="5"/>
    <n v="12"/>
    <n v="2618621"/>
    <n v="2"/>
    <n v="8"/>
    <n v="100"/>
    <n v="55463659"/>
    <n v="526701"/>
    <s v="Medium"/>
    <s v="B2C"/>
    <n v="1"/>
    <n v="48.84"/>
    <n v="455601"/>
    <n v="1"/>
  </r>
  <r>
    <s v="Startup_3053"/>
    <x v="5"/>
    <n v="5"/>
    <n v="28950080"/>
    <n v="4"/>
    <n v="6"/>
    <n v="571"/>
    <n v="58079942"/>
    <n v="170713"/>
    <s v="Large"/>
    <s v="B2C"/>
    <n v="4"/>
    <n v="29.24"/>
    <n v="163967"/>
    <n v="1"/>
  </r>
  <r>
    <s v="Startup_3054"/>
    <x v="6"/>
    <n v="11"/>
    <n v="10111555"/>
    <n v="1"/>
    <n v="5"/>
    <n v="457"/>
    <n v="31704982"/>
    <n v="910808"/>
    <s v="Medium"/>
    <s v="Hybrid"/>
    <n v="6"/>
    <n v="3.9"/>
    <n v="790118"/>
    <n v="1"/>
  </r>
  <r>
    <s v="Startup_3055"/>
    <x v="4"/>
    <n v="8"/>
    <n v="35615517"/>
    <n v="1"/>
    <n v="26"/>
    <n v="599"/>
    <n v="68518423"/>
    <n v="494664"/>
    <s v="Small"/>
    <s v="Hybrid"/>
    <n v="2"/>
    <n v="84.97"/>
    <n v="700884"/>
    <n v="1"/>
  </r>
  <r>
    <s v="Startup_3056"/>
    <x v="0"/>
    <n v="0"/>
    <n v="30250295"/>
    <n v="3"/>
    <n v="4"/>
    <n v="581"/>
    <n v="45476921"/>
    <n v="44243"/>
    <s v="Small"/>
    <s v="B2C"/>
    <n v="8"/>
    <n v="70.489999999999995"/>
    <n v="19097"/>
    <n v="1"/>
  </r>
  <r>
    <s v="Startup_3057"/>
    <x v="4"/>
    <n v="9"/>
    <n v="41717128"/>
    <n v="1"/>
    <n v="20"/>
    <n v="140"/>
    <n v="45217684"/>
    <n v="818029"/>
    <s v="Small"/>
    <s v="B2B"/>
    <n v="4"/>
    <n v="90.19"/>
    <n v="961373"/>
    <n v="1"/>
  </r>
  <r>
    <s v="Startup_3058"/>
    <x v="1"/>
    <n v="5"/>
    <n v="13673902"/>
    <n v="3"/>
    <n v="16"/>
    <n v="340"/>
    <n v="91465125"/>
    <n v="725923"/>
    <s v="Large"/>
    <s v="B2B"/>
    <n v="1"/>
    <n v="75.72"/>
    <n v="823283"/>
    <n v="1"/>
  </r>
  <r>
    <s v="Startup_3059"/>
    <x v="0"/>
    <n v="10"/>
    <n v="29778981"/>
    <n v="2"/>
    <n v="13"/>
    <n v="99"/>
    <n v="59942153"/>
    <n v="245528"/>
    <s v="Medium"/>
    <s v="B2B"/>
    <n v="8"/>
    <n v="89.73"/>
    <n v="148933"/>
    <n v="1"/>
  </r>
  <r>
    <s v="Startup_3060"/>
    <x v="5"/>
    <n v="0"/>
    <n v="8739051"/>
    <n v="4"/>
    <n v="8"/>
    <n v="137"/>
    <n v="8679010"/>
    <n v="955237"/>
    <s v="Large"/>
    <s v="Hybrid"/>
    <n v="9"/>
    <n v="97.5"/>
    <n v="139905"/>
    <n v="1"/>
  </r>
  <r>
    <s v="Startup_3061"/>
    <x v="4"/>
    <n v="10"/>
    <n v="22327615"/>
    <n v="4"/>
    <n v="6"/>
    <n v="759"/>
    <n v="93238740"/>
    <n v="852053"/>
    <s v="Large"/>
    <s v="B2B"/>
    <n v="8"/>
    <n v="23.62"/>
    <n v="749246"/>
    <n v="1"/>
  </r>
  <r>
    <s v="Startup_3062"/>
    <x v="2"/>
    <n v="11"/>
    <n v="33216365"/>
    <n v="4"/>
    <n v="18"/>
    <n v="664"/>
    <n v="62897883"/>
    <n v="798189"/>
    <s v="Medium"/>
    <s v="B2C"/>
    <n v="5"/>
    <n v="35.61"/>
    <n v="455309"/>
    <n v="1"/>
  </r>
  <r>
    <s v="Startup_3063"/>
    <x v="6"/>
    <n v="8"/>
    <n v="40634399"/>
    <n v="3"/>
    <n v="26"/>
    <n v="225"/>
    <n v="26114949"/>
    <n v="392928"/>
    <s v="Medium"/>
    <s v="Hybrid"/>
    <n v="2"/>
    <n v="98.02"/>
    <n v="950637"/>
    <n v="1"/>
  </r>
  <r>
    <s v="Startup_3064"/>
    <x v="4"/>
    <n v="11"/>
    <n v="7212794"/>
    <n v="1"/>
    <n v="22"/>
    <n v="171"/>
    <n v="89528499"/>
    <n v="703352"/>
    <s v="Medium"/>
    <s v="B2B"/>
    <n v="7"/>
    <n v="29.46"/>
    <n v="10526"/>
    <n v="1"/>
  </r>
  <r>
    <s v="Startup_3065"/>
    <x v="6"/>
    <n v="2"/>
    <n v="17087590"/>
    <n v="3"/>
    <n v="6"/>
    <n v="958"/>
    <n v="1434026"/>
    <n v="359440"/>
    <s v="Medium"/>
    <s v="Hybrid"/>
    <n v="4"/>
    <n v="94.38"/>
    <n v="195320"/>
    <n v="1"/>
  </r>
  <r>
    <s v="Startup_3066"/>
    <x v="3"/>
    <n v="11"/>
    <n v="42180463"/>
    <n v="4"/>
    <n v="8"/>
    <n v="647"/>
    <n v="35696976"/>
    <n v="768731"/>
    <s v="Medium"/>
    <s v="B2C"/>
    <n v="1"/>
    <n v="61.96"/>
    <n v="7537"/>
    <n v="1"/>
  </r>
  <r>
    <s v="Startup_3067"/>
    <x v="6"/>
    <n v="3"/>
    <n v="46111599"/>
    <n v="4"/>
    <n v="24"/>
    <n v="690"/>
    <n v="53477104"/>
    <n v="142672"/>
    <s v="Small"/>
    <s v="Hybrid"/>
    <n v="5"/>
    <n v="27.85"/>
    <n v="276139"/>
    <n v="1"/>
  </r>
  <r>
    <s v="Startup_3068"/>
    <x v="1"/>
    <n v="12"/>
    <n v="24027488"/>
    <n v="3"/>
    <n v="29"/>
    <n v="433"/>
    <n v="16649661"/>
    <n v="216477"/>
    <s v="Medium"/>
    <s v="B2B"/>
    <n v="7"/>
    <n v="43.74"/>
    <n v="97860"/>
    <n v="1"/>
  </r>
  <r>
    <s v="Startup_3069"/>
    <x v="1"/>
    <n v="10"/>
    <n v="12674280"/>
    <n v="4"/>
    <n v="28"/>
    <n v="158"/>
    <n v="53512641"/>
    <n v="514238"/>
    <s v="Small"/>
    <s v="Hybrid"/>
    <n v="8"/>
    <n v="0.81"/>
    <n v="127857"/>
    <n v="1"/>
  </r>
  <r>
    <s v="Startup_3070"/>
    <x v="0"/>
    <n v="13"/>
    <n v="45569661"/>
    <n v="3"/>
    <n v="0"/>
    <n v="984"/>
    <n v="55106282"/>
    <n v="246499"/>
    <s v="Medium"/>
    <s v="Hybrid"/>
    <n v="4"/>
    <n v="18.57"/>
    <n v="239363"/>
    <n v="1"/>
  </r>
  <r>
    <s v="Startup_3071"/>
    <x v="1"/>
    <n v="1"/>
    <n v="44502040"/>
    <n v="2"/>
    <n v="0"/>
    <n v="627"/>
    <n v="1286361"/>
    <n v="42460"/>
    <s v="Small"/>
    <s v="B2B"/>
    <n v="5"/>
    <n v="62.89"/>
    <n v="616954"/>
    <n v="1"/>
  </r>
  <r>
    <s v="Startup_3072"/>
    <x v="2"/>
    <n v="0"/>
    <n v="10478335"/>
    <n v="3"/>
    <n v="29"/>
    <n v="723"/>
    <n v="48917927"/>
    <n v="937374"/>
    <s v="Small"/>
    <s v="Hybrid"/>
    <n v="7"/>
    <n v="92.92"/>
    <n v="891725"/>
    <n v="1"/>
  </r>
  <r>
    <s v="Startup_3073"/>
    <x v="3"/>
    <n v="14"/>
    <n v="30037354"/>
    <n v="4"/>
    <n v="28"/>
    <n v="769"/>
    <n v="38849587"/>
    <n v="895887"/>
    <s v="Medium"/>
    <s v="B2C"/>
    <n v="4"/>
    <n v="52.62"/>
    <n v="132878"/>
    <n v="1"/>
  </r>
  <r>
    <s v="Startup_3074"/>
    <x v="4"/>
    <n v="1"/>
    <n v="7792096"/>
    <n v="2"/>
    <n v="12"/>
    <n v="389"/>
    <n v="49060942"/>
    <n v="224586"/>
    <s v="Medium"/>
    <s v="B2B"/>
    <n v="2"/>
    <n v="79.02"/>
    <n v="105648"/>
    <n v="1"/>
  </r>
  <r>
    <s v="Startup_3075"/>
    <x v="5"/>
    <n v="8"/>
    <n v="32360252"/>
    <n v="2"/>
    <n v="3"/>
    <n v="800"/>
    <n v="28764391"/>
    <n v="908117"/>
    <s v="Large"/>
    <s v="B2B"/>
    <n v="7"/>
    <n v="99.71"/>
    <n v="97053"/>
    <n v="1"/>
  </r>
  <r>
    <s v="Startup_3076"/>
    <x v="1"/>
    <n v="12"/>
    <n v="16523141"/>
    <n v="3"/>
    <n v="19"/>
    <n v="842"/>
    <n v="6118010"/>
    <n v="603127"/>
    <s v="Small"/>
    <s v="Hybrid"/>
    <n v="5"/>
    <n v="91.27"/>
    <n v="266165"/>
    <n v="1"/>
  </r>
  <r>
    <s v="Startup_3077"/>
    <x v="1"/>
    <n v="8"/>
    <n v="37052057"/>
    <n v="1"/>
    <n v="11"/>
    <n v="971"/>
    <n v="28453888"/>
    <n v="509845"/>
    <s v="Medium"/>
    <s v="B2C"/>
    <n v="7"/>
    <n v="65.92"/>
    <n v="350637"/>
    <n v="1"/>
  </r>
  <r>
    <s v="Startup_3078"/>
    <x v="2"/>
    <n v="11"/>
    <n v="33794870"/>
    <n v="2"/>
    <n v="12"/>
    <n v="771"/>
    <n v="81261909"/>
    <n v="220119"/>
    <s v="Medium"/>
    <s v="B2B"/>
    <n v="2"/>
    <n v="56.22"/>
    <n v="442967"/>
    <n v="1"/>
  </r>
  <r>
    <s v="Startup_3079"/>
    <x v="0"/>
    <n v="8"/>
    <n v="2481302"/>
    <n v="4"/>
    <n v="5"/>
    <n v="999"/>
    <n v="98670310"/>
    <n v="323600"/>
    <s v="Small"/>
    <s v="B2C"/>
    <n v="7"/>
    <n v="20.78"/>
    <n v="820478"/>
    <n v="1"/>
  </r>
  <r>
    <s v="Startup_3080"/>
    <x v="0"/>
    <n v="4"/>
    <n v="48889324"/>
    <n v="2"/>
    <n v="15"/>
    <n v="323"/>
    <n v="12997223"/>
    <n v="413916"/>
    <s v="Medium"/>
    <s v="Hybrid"/>
    <n v="7"/>
    <n v="7.07"/>
    <n v="693607"/>
    <n v="1"/>
  </r>
  <r>
    <s v="Startup_3081"/>
    <x v="6"/>
    <n v="6"/>
    <n v="43159174"/>
    <n v="1"/>
    <n v="25"/>
    <n v="590"/>
    <n v="66174106"/>
    <n v="534152"/>
    <s v="Small"/>
    <s v="Hybrid"/>
    <n v="8"/>
    <n v="46.71"/>
    <n v="788660"/>
    <n v="1"/>
  </r>
  <r>
    <s v="Startup_3082"/>
    <x v="4"/>
    <n v="7"/>
    <n v="30451837"/>
    <n v="4"/>
    <n v="20"/>
    <n v="294"/>
    <n v="70957100"/>
    <n v="353514"/>
    <s v="Large"/>
    <s v="B2B"/>
    <n v="9"/>
    <n v="61.42"/>
    <n v="300725"/>
    <n v="1"/>
  </r>
  <r>
    <s v="Startup_3083"/>
    <x v="3"/>
    <n v="13"/>
    <n v="45935216"/>
    <n v="2"/>
    <n v="7"/>
    <n v="138"/>
    <n v="4310196"/>
    <n v="923016"/>
    <s v="Medium"/>
    <s v="B2C"/>
    <n v="5"/>
    <n v="2.5499999999999998"/>
    <n v="601806"/>
    <n v="1"/>
  </r>
  <r>
    <s v="Startup_3084"/>
    <x v="6"/>
    <n v="8"/>
    <n v="32197533"/>
    <n v="1"/>
    <n v="16"/>
    <n v="138"/>
    <n v="93674519"/>
    <n v="492333"/>
    <s v="Medium"/>
    <s v="Hybrid"/>
    <n v="6"/>
    <n v="79.14"/>
    <n v="773062"/>
    <n v="1"/>
  </r>
  <r>
    <s v="Startup_3085"/>
    <x v="6"/>
    <n v="8"/>
    <n v="14038856"/>
    <n v="1"/>
    <n v="29"/>
    <n v="16"/>
    <n v="73061503"/>
    <n v="15194"/>
    <s v="Medium"/>
    <s v="B2B"/>
    <n v="8"/>
    <n v="51.17"/>
    <n v="72628"/>
    <n v="1"/>
  </r>
  <r>
    <s v="Startup_3086"/>
    <x v="1"/>
    <n v="7"/>
    <n v="17582642"/>
    <n v="2"/>
    <n v="29"/>
    <n v="107"/>
    <n v="65864346"/>
    <n v="37103"/>
    <s v="Medium"/>
    <s v="Hybrid"/>
    <n v="9"/>
    <n v="90.73"/>
    <n v="692385"/>
    <n v="1"/>
  </r>
  <r>
    <s v="Startup_3087"/>
    <x v="2"/>
    <n v="3"/>
    <n v="39697069"/>
    <n v="3"/>
    <n v="21"/>
    <n v="462"/>
    <n v="23740857"/>
    <n v="495387"/>
    <s v="Medium"/>
    <s v="B2B"/>
    <n v="5"/>
    <n v="46.44"/>
    <n v="429603"/>
    <n v="1"/>
  </r>
  <r>
    <s v="Startup_3088"/>
    <x v="1"/>
    <n v="12"/>
    <n v="28275341"/>
    <n v="2"/>
    <n v="6"/>
    <n v="878"/>
    <n v="50783006"/>
    <n v="158997"/>
    <s v="Small"/>
    <s v="B2B"/>
    <n v="4"/>
    <n v="6.16"/>
    <n v="77575"/>
    <n v="1"/>
  </r>
  <r>
    <s v="Startup_3089"/>
    <x v="6"/>
    <n v="0"/>
    <n v="35501281"/>
    <n v="2"/>
    <n v="0"/>
    <n v="128"/>
    <n v="54452032"/>
    <n v="932807"/>
    <s v="Small"/>
    <s v="Hybrid"/>
    <n v="4"/>
    <n v="57.25"/>
    <n v="863274"/>
    <n v="1"/>
  </r>
  <r>
    <s v="Startup_3090"/>
    <x v="2"/>
    <n v="1"/>
    <n v="33524267"/>
    <n v="2"/>
    <n v="5"/>
    <n v="280"/>
    <n v="6199443"/>
    <n v="23843"/>
    <s v="Medium"/>
    <s v="Hybrid"/>
    <n v="6"/>
    <n v="9.3800000000000008"/>
    <n v="939044"/>
    <n v="1"/>
  </r>
  <r>
    <s v="Startup_3091"/>
    <x v="3"/>
    <n v="3"/>
    <n v="16801905"/>
    <n v="1"/>
    <n v="2"/>
    <n v="833"/>
    <n v="72752658"/>
    <n v="166391"/>
    <s v="Large"/>
    <s v="B2C"/>
    <n v="2"/>
    <n v="28.76"/>
    <n v="933041"/>
    <n v="1"/>
  </r>
  <r>
    <s v="Startup_3092"/>
    <x v="1"/>
    <n v="4"/>
    <n v="27993125"/>
    <n v="1"/>
    <n v="26"/>
    <n v="682"/>
    <n v="28657239"/>
    <n v="118912"/>
    <s v="Medium"/>
    <s v="Hybrid"/>
    <n v="5"/>
    <n v="79.2"/>
    <n v="623572"/>
    <n v="1"/>
  </r>
  <r>
    <s v="Startup_3093"/>
    <x v="1"/>
    <n v="6"/>
    <n v="37478681"/>
    <n v="4"/>
    <n v="19"/>
    <n v="774"/>
    <n v="97906831"/>
    <n v="914707"/>
    <s v="Large"/>
    <s v="Hybrid"/>
    <n v="5"/>
    <n v="79.19"/>
    <n v="438681"/>
    <n v="1"/>
  </r>
  <r>
    <s v="Startup_3094"/>
    <x v="4"/>
    <n v="4"/>
    <n v="30241553"/>
    <n v="3"/>
    <n v="0"/>
    <n v="712"/>
    <n v="18004378"/>
    <n v="956912"/>
    <s v="Small"/>
    <s v="B2B"/>
    <n v="5"/>
    <n v="46.23"/>
    <n v="966394"/>
    <n v="1"/>
  </r>
  <r>
    <s v="Startup_3095"/>
    <x v="3"/>
    <n v="1"/>
    <n v="2423913"/>
    <n v="4"/>
    <n v="14"/>
    <n v="964"/>
    <n v="46005175"/>
    <n v="533250"/>
    <s v="Small"/>
    <s v="B2C"/>
    <n v="2"/>
    <n v="22.25"/>
    <n v="254197"/>
    <n v="1"/>
  </r>
  <r>
    <s v="Startup_3096"/>
    <x v="5"/>
    <n v="11"/>
    <n v="39432193"/>
    <n v="2"/>
    <n v="2"/>
    <n v="38"/>
    <n v="73523945"/>
    <n v="992106"/>
    <s v="Medium"/>
    <s v="B2C"/>
    <n v="1"/>
    <n v="24.36"/>
    <n v="589281"/>
    <n v="1"/>
  </r>
  <r>
    <s v="Startup_3097"/>
    <x v="6"/>
    <n v="1"/>
    <n v="24969558"/>
    <n v="1"/>
    <n v="20"/>
    <n v="963"/>
    <n v="61042572"/>
    <n v="527884"/>
    <s v="Small"/>
    <s v="B2B"/>
    <n v="1"/>
    <n v="80.88"/>
    <n v="855028"/>
    <n v="1"/>
  </r>
  <r>
    <s v="Startup_3098"/>
    <x v="3"/>
    <n v="9"/>
    <n v="9002851"/>
    <n v="2"/>
    <n v="26"/>
    <n v="574"/>
    <n v="5098341"/>
    <n v="816100"/>
    <s v="Large"/>
    <s v="B2B"/>
    <n v="1"/>
    <n v="8.09"/>
    <n v="190140"/>
    <n v="1"/>
  </r>
  <r>
    <s v="Startup_3099"/>
    <x v="0"/>
    <n v="6"/>
    <n v="9867705"/>
    <n v="2"/>
    <n v="25"/>
    <n v="621"/>
    <n v="30662021"/>
    <n v="46113"/>
    <s v="Large"/>
    <s v="B2C"/>
    <n v="1"/>
    <n v="8.73"/>
    <n v="915965"/>
    <n v="1"/>
  </r>
  <r>
    <s v="Startup_3100"/>
    <x v="6"/>
    <n v="4"/>
    <n v="16948225"/>
    <n v="3"/>
    <n v="11"/>
    <n v="292"/>
    <n v="59271983"/>
    <n v="768750"/>
    <s v="Small"/>
    <s v="B2C"/>
    <n v="9"/>
    <n v="92.01"/>
    <n v="44510"/>
    <n v="1"/>
  </r>
  <r>
    <s v="Startup_3101"/>
    <x v="2"/>
    <n v="0"/>
    <n v="20688617"/>
    <n v="1"/>
    <n v="23"/>
    <n v="451"/>
    <n v="19166904"/>
    <n v="766778"/>
    <s v="Small"/>
    <s v="B2C"/>
    <n v="1"/>
    <n v="53.54"/>
    <n v="750771"/>
    <n v="1"/>
  </r>
  <r>
    <s v="Startup_3102"/>
    <x v="3"/>
    <n v="8"/>
    <n v="47948719"/>
    <n v="4"/>
    <n v="2"/>
    <n v="76"/>
    <n v="22006184"/>
    <n v="959407"/>
    <s v="Medium"/>
    <s v="Hybrid"/>
    <n v="8"/>
    <n v="84.29"/>
    <n v="142635"/>
    <n v="1"/>
  </r>
  <r>
    <s v="Startup_3103"/>
    <x v="6"/>
    <n v="0"/>
    <n v="23055093"/>
    <n v="2"/>
    <n v="21"/>
    <n v="747"/>
    <n v="8110729"/>
    <n v="970543"/>
    <s v="Medium"/>
    <s v="B2B"/>
    <n v="4"/>
    <n v="34.119999999999997"/>
    <n v="414523"/>
    <n v="1"/>
  </r>
  <r>
    <s v="Startup_3104"/>
    <x v="6"/>
    <n v="11"/>
    <n v="36597435"/>
    <n v="1"/>
    <n v="5"/>
    <n v="761"/>
    <n v="84045696"/>
    <n v="164425"/>
    <s v="Large"/>
    <s v="B2C"/>
    <n v="2"/>
    <n v="88.78"/>
    <n v="249750"/>
    <n v="1"/>
  </r>
  <r>
    <s v="Startup_3105"/>
    <x v="2"/>
    <n v="5"/>
    <n v="43181077"/>
    <n v="3"/>
    <n v="10"/>
    <n v="814"/>
    <n v="91088354"/>
    <n v="797978"/>
    <s v="Small"/>
    <s v="B2C"/>
    <n v="7"/>
    <n v="63.4"/>
    <n v="859747"/>
    <n v="1"/>
  </r>
  <r>
    <s v="Startup_3106"/>
    <x v="1"/>
    <n v="10"/>
    <n v="3162200"/>
    <n v="3"/>
    <n v="1"/>
    <n v="724"/>
    <n v="6725243"/>
    <n v="63915"/>
    <s v="Large"/>
    <s v="Hybrid"/>
    <n v="2"/>
    <n v="25.72"/>
    <n v="411685"/>
    <n v="1"/>
  </r>
  <r>
    <s v="Startup_3107"/>
    <x v="5"/>
    <n v="3"/>
    <n v="37190848"/>
    <n v="3"/>
    <n v="16"/>
    <n v="984"/>
    <n v="76325335"/>
    <n v="446522"/>
    <s v="Small"/>
    <s v="B2B"/>
    <n v="8"/>
    <n v="65.510000000000005"/>
    <n v="162674"/>
    <n v="1"/>
  </r>
  <r>
    <s v="Startup_3108"/>
    <x v="0"/>
    <n v="3"/>
    <n v="7345713"/>
    <n v="2"/>
    <n v="28"/>
    <n v="514"/>
    <n v="88908695"/>
    <n v="490811"/>
    <s v="Small"/>
    <s v="Hybrid"/>
    <n v="4"/>
    <n v="61.81"/>
    <n v="790610"/>
    <n v="1"/>
  </r>
  <r>
    <s v="Startup_3109"/>
    <x v="4"/>
    <n v="9"/>
    <n v="37765131"/>
    <n v="4"/>
    <n v="18"/>
    <n v="169"/>
    <n v="98523163"/>
    <n v="944662"/>
    <s v="Small"/>
    <s v="B2B"/>
    <n v="3"/>
    <n v="61.1"/>
    <n v="995095"/>
    <n v="1"/>
  </r>
  <r>
    <s v="Startup_3110"/>
    <x v="2"/>
    <n v="13"/>
    <n v="47064842"/>
    <n v="1"/>
    <n v="15"/>
    <n v="519"/>
    <n v="48065137"/>
    <n v="493255"/>
    <s v="Small"/>
    <s v="Hybrid"/>
    <n v="8"/>
    <n v="86.32"/>
    <n v="252422"/>
    <n v="1"/>
  </r>
  <r>
    <s v="Startup_3111"/>
    <x v="6"/>
    <n v="4"/>
    <n v="2213967"/>
    <n v="1"/>
    <n v="22"/>
    <n v="551"/>
    <n v="7693388"/>
    <n v="948333"/>
    <s v="Medium"/>
    <s v="B2B"/>
    <n v="9"/>
    <n v="47.79"/>
    <n v="297493"/>
    <n v="1"/>
  </r>
  <r>
    <s v="Startup_3112"/>
    <x v="6"/>
    <n v="7"/>
    <n v="23854275"/>
    <n v="1"/>
    <n v="20"/>
    <n v="970"/>
    <n v="99650963"/>
    <n v="874786"/>
    <s v="Large"/>
    <s v="Hybrid"/>
    <n v="5"/>
    <n v="95.17"/>
    <n v="473046"/>
    <n v="1"/>
  </r>
  <r>
    <s v="Startup_3113"/>
    <x v="5"/>
    <n v="12"/>
    <n v="32424268"/>
    <n v="1"/>
    <n v="26"/>
    <n v="654"/>
    <n v="47823188"/>
    <n v="424958"/>
    <s v="Large"/>
    <s v="Hybrid"/>
    <n v="7"/>
    <n v="61.29"/>
    <n v="968835"/>
    <n v="1"/>
  </r>
  <r>
    <s v="Startup_3114"/>
    <x v="0"/>
    <n v="8"/>
    <n v="39298995"/>
    <n v="3"/>
    <n v="15"/>
    <n v="698"/>
    <n v="53335290"/>
    <n v="875192"/>
    <s v="Large"/>
    <s v="B2B"/>
    <n v="6"/>
    <n v="56.95"/>
    <n v="955261"/>
    <n v="1"/>
  </r>
  <r>
    <s v="Startup_3115"/>
    <x v="2"/>
    <n v="10"/>
    <n v="29215526"/>
    <n v="1"/>
    <n v="9"/>
    <n v="93"/>
    <n v="52251460"/>
    <n v="942368"/>
    <s v="Small"/>
    <s v="B2C"/>
    <n v="7"/>
    <n v="68.86"/>
    <n v="376113"/>
    <n v="1"/>
  </r>
  <r>
    <s v="Startup_3116"/>
    <x v="2"/>
    <n v="8"/>
    <n v="17707607"/>
    <n v="1"/>
    <n v="22"/>
    <n v="84"/>
    <n v="22974371"/>
    <n v="783315"/>
    <s v="Large"/>
    <s v="B2B"/>
    <n v="1"/>
    <n v="3.87"/>
    <n v="15300"/>
    <n v="1"/>
  </r>
  <r>
    <s v="Startup_3117"/>
    <x v="6"/>
    <n v="6"/>
    <n v="8305040"/>
    <n v="2"/>
    <n v="26"/>
    <n v="731"/>
    <n v="9309267"/>
    <n v="913174"/>
    <s v="Medium"/>
    <s v="Hybrid"/>
    <n v="5"/>
    <n v="86.96"/>
    <n v="435461"/>
    <n v="1"/>
  </r>
  <r>
    <s v="Startup_3118"/>
    <x v="4"/>
    <n v="6"/>
    <n v="3367937"/>
    <n v="4"/>
    <n v="16"/>
    <n v="926"/>
    <n v="74195845"/>
    <n v="925418"/>
    <s v="Small"/>
    <s v="B2B"/>
    <n v="4"/>
    <n v="39.65"/>
    <n v="31869"/>
    <n v="1"/>
  </r>
  <r>
    <s v="Startup_3119"/>
    <x v="6"/>
    <n v="4"/>
    <n v="31996562"/>
    <n v="1"/>
    <n v="1"/>
    <n v="140"/>
    <n v="59777221"/>
    <n v="305536"/>
    <s v="Small"/>
    <s v="B2C"/>
    <n v="6"/>
    <n v="6.35"/>
    <n v="706440"/>
    <n v="1"/>
  </r>
  <r>
    <s v="Startup_3120"/>
    <x v="0"/>
    <n v="10"/>
    <n v="3101944"/>
    <n v="2"/>
    <n v="22"/>
    <n v="92"/>
    <n v="19653535"/>
    <n v="776449"/>
    <s v="Medium"/>
    <s v="Hybrid"/>
    <n v="5"/>
    <n v="15.19"/>
    <n v="588536"/>
    <n v="1"/>
  </r>
  <r>
    <s v="Startup_3121"/>
    <x v="1"/>
    <n v="7"/>
    <n v="40576753"/>
    <n v="4"/>
    <n v="22"/>
    <n v="995"/>
    <n v="21211057"/>
    <n v="838054"/>
    <s v="Large"/>
    <s v="B2B"/>
    <n v="3"/>
    <n v="21.53"/>
    <n v="770529"/>
    <n v="1"/>
  </r>
  <r>
    <s v="Startup_3122"/>
    <x v="4"/>
    <n v="12"/>
    <n v="45623378"/>
    <n v="2"/>
    <n v="2"/>
    <n v="310"/>
    <n v="33593885"/>
    <n v="454069"/>
    <s v="Medium"/>
    <s v="B2C"/>
    <n v="7"/>
    <n v="14.54"/>
    <n v="129898"/>
    <n v="1"/>
  </r>
  <r>
    <s v="Startup_3123"/>
    <x v="6"/>
    <n v="12"/>
    <n v="35036949"/>
    <n v="2"/>
    <n v="10"/>
    <n v="167"/>
    <n v="2560930"/>
    <n v="395063"/>
    <s v="Small"/>
    <s v="Hybrid"/>
    <n v="7"/>
    <n v="83.41"/>
    <n v="988824"/>
    <n v="1"/>
  </r>
  <r>
    <s v="Startup_3124"/>
    <x v="0"/>
    <n v="0"/>
    <n v="22322991"/>
    <n v="2"/>
    <n v="27"/>
    <n v="725"/>
    <n v="93777586"/>
    <n v="490719"/>
    <s v="Medium"/>
    <s v="B2C"/>
    <n v="8"/>
    <n v="26.33"/>
    <n v="18337"/>
    <n v="1"/>
  </r>
  <r>
    <s v="Startup_3125"/>
    <x v="5"/>
    <n v="14"/>
    <n v="39641094"/>
    <n v="1"/>
    <n v="11"/>
    <n v="345"/>
    <n v="1691371"/>
    <n v="77825"/>
    <s v="Large"/>
    <s v="Hybrid"/>
    <n v="6"/>
    <n v="95.11"/>
    <n v="944520"/>
    <n v="1"/>
  </r>
  <r>
    <s v="Startup_3126"/>
    <x v="0"/>
    <n v="7"/>
    <n v="9734870"/>
    <n v="4"/>
    <n v="24"/>
    <n v="181"/>
    <n v="2847978"/>
    <n v="866785"/>
    <s v="Large"/>
    <s v="B2B"/>
    <n v="1"/>
    <n v="77.650000000000006"/>
    <n v="540579"/>
    <n v="1"/>
  </r>
  <r>
    <s v="Startup_3127"/>
    <x v="4"/>
    <n v="10"/>
    <n v="7210553"/>
    <n v="2"/>
    <n v="26"/>
    <n v="328"/>
    <n v="31063510"/>
    <n v="360400"/>
    <s v="Large"/>
    <s v="B2B"/>
    <n v="5"/>
    <n v="83.94"/>
    <n v="31777"/>
    <n v="1"/>
  </r>
  <r>
    <s v="Startup_3128"/>
    <x v="1"/>
    <n v="9"/>
    <n v="34307851"/>
    <n v="1"/>
    <n v="5"/>
    <n v="563"/>
    <n v="34699875"/>
    <n v="601780"/>
    <s v="Medium"/>
    <s v="B2C"/>
    <n v="5"/>
    <n v="35.17"/>
    <n v="310894"/>
    <n v="1"/>
  </r>
  <r>
    <s v="Startup_3129"/>
    <x v="2"/>
    <n v="11"/>
    <n v="40645623"/>
    <n v="2"/>
    <n v="19"/>
    <n v="970"/>
    <n v="7621813"/>
    <n v="32764"/>
    <s v="Large"/>
    <s v="B2C"/>
    <n v="1"/>
    <n v="93.98"/>
    <n v="14307"/>
    <n v="1"/>
  </r>
  <r>
    <s v="Startup_3130"/>
    <x v="6"/>
    <n v="2"/>
    <n v="17377835"/>
    <n v="1"/>
    <n v="28"/>
    <n v="360"/>
    <n v="42570674"/>
    <n v="619000"/>
    <s v="Small"/>
    <s v="B2B"/>
    <n v="6"/>
    <n v="51.95"/>
    <n v="483343"/>
    <n v="1"/>
  </r>
  <r>
    <s v="Startup_3131"/>
    <x v="4"/>
    <n v="3"/>
    <n v="28024724"/>
    <n v="3"/>
    <n v="1"/>
    <n v="764"/>
    <n v="867613"/>
    <n v="587696"/>
    <s v="Medium"/>
    <s v="B2B"/>
    <n v="6"/>
    <n v="97.25"/>
    <n v="578851"/>
    <n v="1"/>
  </r>
  <r>
    <s v="Startup_3132"/>
    <x v="3"/>
    <n v="1"/>
    <n v="27792787"/>
    <n v="1"/>
    <n v="29"/>
    <n v="212"/>
    <n v="77091469"/>
    <n v="597375"/>
    <s v="Small"/>
    <s v="B2C"/>
    <n v="5"/>
    <n v="12.6"/>
    <n v="418200"/>
    <n v="1"/>
  </r>
  <r>
    <s v="Startup_3133"/>
    <x v="4"/>
    <n v="13"/>
    <n v="25873334"/>
    <n v="3"/>
    <n v="4"/>
    <n v="905"/>
    <n v="47625786"/>
    <n v="940286"/>
    <s v="Medium"/>
    <s v="B2C"/>
    <n v="3"/>
    <n v="80.930000000000007"/>
    <n v="543876"/>
    <n v="1"/>
  </r>
  <r>
    <s v="Startup_3134"/>
    <x v="6"/>
    <n v="13"/>
    <n v="49192563"/>
    <n v="4"/>
    <n v="20"/>
    <n v="277"/>
    <n v="71125659"/>
    <n v="219939"/>
    <s v="Large"/>
    <s v="B2C"/>
    <n v="6"/>
    <n v="22.09"/>
    <n v="695049"/>
    <n v="1"/>
  </r>
  <r>
    <s v="Startup_3135"/>
    <x v="2"/>
    <n v="13"/>
    <n v="4016993"/>
    <n v="4"/>
    <n v="2"/>
    <n v="572"/>
    <n v="22228149"/>
    <n v="438000"/>
    <s v="Large"/>
    <s v="B2B"/>
    <n v="3"/>
    <n v="18.23"/>
    <n v="695664"/>
    <n v="1"/>
  </r>
  <r>
    <s v="Startup_3136"/>
    <x v="3"/>
    <n v="14"/>
    <n v="21077422"/>
    <n v="4"/>
    <n v="22"/>
    <n v="965"/>
    <n v="58903146"/>
    <n v="539131"/>
    <s v="Small"/>
    <s v="B2B"/>
    <n v="6"/>
    <n v="84.44"/>
    <n v="179481"/>
    <n v="1"/>
  </r>
  <r>
    <s v="Startup_3137"/>
    <x v="1"/>
    <n v="4"/>
    <n v="24959296"/>
    <n v="1"/>
    <n v="22"/>
    <n v="196"/>
    <n v="86432367"/>
    <n v="877051"/>
    <s v="Large"/>
    <s v="B2B"/>
    <n v="2"/>
    <n v="97.41"/>
    <n v="488188"/>
    <n v="1"/>
  </r>
  <r>
    <s v="Startup_3138"/>
    <x v="5"/>
    <n v="1"/>
    <n v="21810397"/>
    <n v="2"/>
    <n v="23"/>
    <n v="645"/>
    <n v="49669756"/>
    <n v="644750"/>
    <s v="Large"/>
    <s v="Hybrid"/>
    <n v="4"/>
    <n v="64.98"/>
    <n v="349130"/>
    <n v="1"/>
  </r>
  <r>
    <s v="Startup_3139"/>
    <x v="6"/>
    <n v="12"/>
    <n v="2271177"/>
    <n v="4"/>
    <n v="28"/>
    <n v="552"/>
    <n v="58901762"/>
    <n v="293827"/>
    <s v="Large"/>
    <s v="B2C"/>
    <n v="9"/>
    <n v="60.58"/>
    <n v="458723"/>
    <n v="1"/>
  </r>
  <r>
    <s v="Startup_3140"/>
    <x v="2"/>
    <n v="11"/>
    <n v="43911761"/>
    <n v="4"/>
    <n v="4"/>
    <n v="552"/>
    <n v="73540896"/>
    <n v="138929"/>
    <s v="Small"/>
    <s v="Hybrid"/>
    <n v="8"/>
    <n v="20.63"/>
    <n v="660643"/>
    <n v="1"/>
  </r>
  <r>
    <s v="Startup_3141"/>
    <x v="4"/>
    <n v="14"/>
    <n v="12187303"/>
    <n v="1"/>
    <n v="23"/>
    <n v="639"/>
    <n v="5181470"/>
    <n v="679333"/>
    <s v="Medium"/>
    <s v="Hybrid"/>
    <n v="7"/>
    <n v="10.09"/>
    <n v="937595"/>
    <n v="1"/>
  </r>
  <r>
    <s v="Startup_3142"/>
    <x v="0"/>
    <n v="9"/>
    <n v="15231573"/>
    <n v="2"/>
    <n v="18"/>
    <n v="153"/>
    <n v="66905942"/>
    <n v="105649"/>
    <s v="Small"/>
    <s v="B2B"/>
    <n v="6"/>
    <n v="48.65"/>
    <n v="836462"/>
    <n v="1"/>
  </r>
  <r>
    <s v="Startup_3143"/>
    <x v="3"/>
    <n v="1"/>
    <n v="6243382"/>
    <n v="4"/>
    <n v="17"/>
    <n v="269"/>
    <n v="39935539"/>
    <n v="332281"/>
    <s v="Small"/>
    <s v="Hybrid"/>
    <n v="5"/>
    <n v="33.65"/>
    <n v="830403"/>
    <n v="1"/>
  </r>
  <r>
    <s v="Startup_3144"/>
    <x v="1"/>
    <n v="6"/>
    <n v="48359820"/>
    <n v="4"/>
    <n v="18"/>
    <n v="818"/>
    <n v="74459112"/>
    <n v="212515"/>
    <s v="Small"/>
    <s v="Hybrid"/>
    <n v="6"/>
    <n v="14.28"/>
    <n v="938062"/>
    <n v="1"/>
  </r>
  <r>
    <s v="Startup_3145"/>
    <x v="6"/>
    <n v="0"/>
    <n v="868357"/>
    <n v="1"/>
    <n v="12"/>
    <n v="543"/>
    <n v="25966275"/>
    <n v="452415"/>
    <s v="Medium"/>
    <s v="B2B"/>
    <n v="9"/>
    <n v="86.52"/>
    <n v="958554"/>
    <n v="1"/>
  </r>
  <r>
    <s v="Startup_3146"/>
    <x v="3"/>
    <n v="12"/>
    <n v="22354853"/>
    <n v="3"/>
    <n v="18"/>
    <n v="448"/>
    <n v="45031316"/>
    <n v="33181"/>
    <s v="Medium"/>
    <s v="B2C"/>
    <n v="9"/>
    <n v="64.53"/>
    <n v="109543"/>
    <n v="1"/>
  </r>
  <r>
    <s v="Startup_3147"/>
    <x v="3"/>
    <n v="14"/>
    <n v="34727928"/>
    <n v="1"/>
    <n v="9"/>
    <n v="795"/>
    <n v="45068513"/>
    <n v="923018"/>
    <s v="Small"/>
    <s v="Hybrid"/>
    <n v="3"/>
    <n v="32.81"/>
    <n v="134232"/>
    <n v="1"/>
  </r>
  <r>
    <s v="Startup_3148"/>
    <x v="6"/>
    <n v="14"/>
    <n v="26865802"/>
    <n v="2"/>
    <n v="17"/>
    <n v="269"/>
    <n v="52388143"/>
    <n v="813589"/>
    <s v="Small"/>
    <s v="Hybrid"/>
    <n v="2"/>
    <n v="63.7"/>
    <n v="470494"/>
    <n v="1"/>
  </r>
  <r>
    <s v="Startup_3149"/>
    <x v="3"/>
    <n v="0"/>
    <n v="41055290"/>
    <n v="1"/>
    <n v="11"/>
    <n v="730"/>
    <n v="87926960"/>
    <n v="736737"/>
    <s v="Medium"/>
    <s v="B2C"/>
    <n v="3"/>
    <n v="26.94"/>
    <n v="473154"/>
    <n v="1"/>
  </r>
  <r>
    <s v="Startup_3150"/>
    <x v="4"/>
    <n v="3"/>
    <n v="44320705"/>
    <n v="1"/>
    <n v="16"/>
    <n v="254"/>
    <n v="10490673"/>
    <n v="884164"/>
    <s v="Small"/>
    <s v="B2B"/>
    <n v="4"/>
    <n v="56.1"/>
    <n v="10729"/>
    <n v="1"/>
  </r>
  <r>
    <s v="Startup_3151"/>
    <x v="6"/>
    <n v="4"/>
    <n v="17046972"/>
    <n v="2"/>
    <n v="27"/>
    <n v="842"/>
    <n v="82118161"/>
    <n v="580462"/>
    <s v="Large"/>
    <s v="B2B"/>
    <n v="8"/>
    <n v="71.28"/>
    <n v="67344"/>
    <n v="1"/>
  </r>
  <r>
    <s v="Startup_3152"/>
    <x v="5"/>
    <n v="5"/>
    <n v="49096848"/>
    <n v="3"/>
    <n v="12"/>
    <n v="507"/>
    <n v="7147396"/>
    <n v="66797"/>
    <s v="Large"/>
    <s v="Hybrid"/>
    <n v="1"/>
    <n v="41.74"/>
    <n v="473227"/>
    <n v="1"/>
  </r>
  <r>
    <s v="Startup_3153"/>
    <x v="5"/>
    <n v="11"/>
    <n v="27611072"/>
    <n v="4"/>
    <n v="10"/>
    <n v="908"/>
    <n v="56411788"/>
    <n v="634022"/>
    <s v="Large"/>
    <s v="B2B"/>
    <n v="7"/>
    <n v="15.72"/>
    <n v="777953"/>
    <n v="1"/>
  </r>
  <r>
    <s v="Startup_3154"/>
    <x v="5"/>
    <n v="7"/>
    <n v="25576797"/>
    <n v="1"/>
    <n v="13"/>
    <n v="228"/>
    <n v="92251387"/>
    <n v="992172"/>
    <s v="Large"/>
    <s v="B2C"/>
    <n v="5"/>
    <n v="93.82"/>
    <n v="202927"/>
    <n v="1"/>
  </r>
  <r>
    <s v="Startup_3155"/>
    <x v="6"/>
    <n v="10"/>
    <n v="36121255"/>
    <n v="3"/>
    <n v="8"/>
    <n v="848"/>
    <n v="75646656"/>
    <n v="726054"/>
    <s v="Large"/>
    <s v="B2B"/>
    <n v="2"/>
    <n v="41.36"/>
    <n v="569014"/>
    <n v="1"/>
  </r>
  <r>
    <s v="Startup_3156"/>
    <x v="5"/>
    <n v="5"/>
    <n v="27819737"/>
    <n v="3"/>
    <n v="27"/>
    <n v="207"/>
    <n v="91141273"/>
    <n v="150395"/>
    <s v="Large"/>
    <s v="Hybrid"/>
    <n v="6"/>
    <n v="42.08"/>
    <n v="214651"/>
    <n v="1"/>
  </r>
  <r>
    <s v="Startup_3157"/>
    <x v="3"/>
    <n v="11"/>
    <n v="40317639"/>
    <n v="4"/>
    <n v="24"/>
    <n v="295"/>
    <n v="1902158"/>
    <n v="248894"/>
    <s v="Small"/>
    <s v="B2B"/>
    <n v="8"/>
    <n v="35.270000000000003"/>
    <n v="189325"/>
    <n v="1"/>
  </r>
  <r>
    <s v="Startup_3158"/>
    <x v="2"/>
    <n v="5"/>
    <n v="46554680"/>
    <n v="3"/>
    <n v="10"/>
    <n v="326"/>
    <n v="1560143"/>
    <n v="123797"/>
    <s v="Large"/>
    <s v="Hybrid"/>
    <n v="1"/>
    <n v="9.84"/>
    <n v="544429"/>
    <n v="1"/>
  </r>
  <r>
    <s v="Startup_3159"/>
    <x v="1"/>
    <n v="2"/>
    <n v="20356943"/>
    <n v="2"/>
    <n v="6"/>
    <n v="152"/>
    <n v="33002631"/>
    <n v="23448"/>
    <s v="Medium"/>
    <s v="B2B"/>
    <n v="4"/>
    <n v="3.33"/>
    <n v="772860"/>
    <n v="1"/>
  </r>
  <r>
    <s v="Startup_3160"/>
    <x v="1"/>
    <n v="9"/>
    <n v="47119690"/>
    <n v="2"/>
    <n v="17"/>
    <n v="597"/>
    <n v="61110094"/>
    <n v="396891"/>
    <s v="Large"/>
    <s v="Hybrid"/>
    <n v="4"/>
    <n v="55.43"/>
    <n v="621525"/>
    <n v="1"/>
  </r>
  <r>
    <s v="Startup_3161"/>
    <x v="3"/>
    <n v="3"/>
    <n v="2012407"/>
    <n v="3"/>
    <n v="15"/>
    <n v="694"/>
    <n v="11964416"/>
    <n v="306182"/>
    <s v="Large"/>
    <s v="B2C"/>
    <n v="9"/>
    <n v="58.41"/>
    <n v="117955"/>
    <n v="1"/>
  </r>
  <r>
    <s v="Startup_3162"/>
    <x v="6"/>
    <n v="12"/>
    <n v="12663724"/>
    <n v="1"/>
    <n v="7"/>
    <n v="905"/>
    <n v="93173814"/>
    <n v="335831"/>
    <s v="Large"/>
    <s v="B2C"/>
    <n v="5"/>
    <n v="11.44"/>
    <n v="731061"/>
    <n v="1"/>
  </r>
  <r>
    <s v="Startup_3163"/>
    <x v="3"/>
    <n v="4"/>
    <n v="7046134"/>
    <n v="3"/>
    <n v="21"/>
    <n v="428"/>
    <n v="5149424"/>
    <n v="961934"/>
    <s v="Medium"/>
    <s v="B2C"/>
    <n v="6"/>
    <n v="52.75"/>
    <n v="751906"/>
    <n v="1"/>
  </r>
  <r>
    <s v="Startup_3164"/>
    <x v="0"/>
    <n v="11"/>
    <n v="29852591"/>
    <n v="2"/>
    <n v="10"/>
    <n v="662"/>
    <n v="32640696"/>
    <n v="111709"/>
    <s v="Small"/>
    <s v="Hybrid"/>
    <n v="3"/>
    <n v="88.59"/>
    <n v="591368"/>
    <n v="1"/>
  </r>
  <r>
    <s v="Startup_3165"/>
    <x v="0"/>
    <n v="1"/>
    <n v="40185129"/>
    <n v="3"/>
    <n v="29"/>
    <n v="191"/>
    <n v="32064424"/>
    <n v="218528"/>
    <s v="Large"/>
    <s v="B2B"/>
    <n v="4"/>
    <n v="36.340000000000003"/>
    <n v="327214"/>
    <n v="1"/>
  </r>
  <r>
    <s v="Startup_3166"/>
    <x v="1"/>
    <n v="5"/>
    <n v="42720630"/>
    <n v="1"/>
    <n v="5"/>
    <n v="351"/>
    <n v="27186959"/>
    <n v="941993"/>
    <s v="Medium"/>
    <s v="B2C"/>
    <n v="7"/>
    <n v="4.45"/>
    <n v="663413"/>
    <n v="1"/>
  </r>
  <r>
    <s v="Startup_3167"/>
    <x v="6"/>
    <n v="7"/>
    <n v="17379463"/>
    <n v="3"/>
    <n v="4"/>
    <n v="487"/>
    <n v="97185018"/>
    <n v="201284"/>
    <s v="Large"/>
    <s v="B2C"/>
    <n v="4"/>
    <n v="29.77"/>
    <n v="901090"/>
    <n v="1"/>
  </r>
  <r>
    <s v="Startup_3168"/>
    <x v="5"/>
    <n v="8"/>
    <n v="26194499"/>
    <n v="4"/>
    <n v="7"/>
    <n v="607"/>
    <n v="62670881"/>
    <n v="667900"/>
    <s v="Large"/>
    <s v="B2C"/>
    <n v="6"/>
    <n v="55.93"/>
    <n v="6523"/>
    <n v="1"/>
  </r>
  <r>
    <s v="Startup_3169"/>
    <x v="2"/>
    <n v="14"/>
    <n v="19158993"/>
    <n v="4"/>
    <n v="27"/>
    <n v="826"/>
    <n v="87830594"/>
    <n v="354959"/>
    <s v="Small"/>
    <s v="B2C"/>
    <n v="5"/>
    <n v="74.72"/>
    <n v="937452"/>
    <n v="1"/>
  </r>
  <r>
    <s v="Startup_3170"/>
    <x v="0"/>
    <n v="5"/>
    <n v="10175386"/>
    <n v="1"/>
    <n v="24"/>
    <n v="396"/>
    <n v="70921462"/>
    <n v="855391"/>
    <s v="Large"/>
    <s v="B2C"/>
    <n v="5"/>
    <n v="81.12"/>
    <n v="431637"/>
    <n v="1"/>
  </r>
  <r>
    <s v="Startup_3171"/>
    <x v="4"/>
    <n v="14"/>
    <n v="39755701"/>
    <n v="3"/>
    <n v="22"/>
    <n v="493"/>
    <n v="91591141"/>
    <n v="553855"/>
    <s v="Large"/>
    <s v="B2B"/>
    <n v="7"/>
    <n v="33.07"/>
    <n v="304125"/>
    <n v="1"/>
  </r>
  <r>
    <s v="Startup_3172"/>
    <x v="6"/>
    <n v="13"/>
    <n v="36325869"/>
    <n v="1"/>
    <n v="12"/>
    <n v="11"/>
    <n v="1528187"/>
    <n v="255874"/>
    <s v="Small"/>
    <s v="Hybrid"/>
    <n v="4"/>
    <n v="4.72"/>
    <n v="341876"/>
    <n v="1"/>
  </r>
  <r>
    <s v="Startup_3173"/>
    <x v="4"/>
    <n v="12"/>
    <n v="21548409"/>
    <n v="3"/>
    <n v="11"/>
    <n v="182"/>
    <n v="31812507"/>
    <n v="605589"/>
    <s v="Medium"/>
    <s v="B2B"/>
    <n v="2"/>
    <n v="48.34"/>
    <n v="404899"/>
    <n v="1"/>
  </r>
  <r>
    <s v="Startup_3174"/>
    <x v="1"/>
    <n v="6"/>
    <n v="36385497"/>
    <n v="2"/>
    <n v="17"/>
    <n v="949"/>
    <n v="73995048"/>
    <n v="824381"/>
    <s v="Large"/>
    <s v="B2C"/>
    <n v="3"/>
    <n v="75.13"/>
    <n v="38492"/>
    <n v="1"/>
  </r>
  <r>
    <s v="Startup_3175"/>
    <x v="1"/>
    <n v="3"/>
    <n v="7023610"/>
    <n v="1"/>
    <n v="1"/>
    <n v="836"/>
    <n v="37006729"/>
    <n v="709658"/>
    <s v="Large"/>
    <s v="Hybrid"/>
    <n v="7"/>
    <n v="53.58"/>
    <n v="733306"/>
    <n v="1"/>
  </r>
  <r>
    <s v="Startup_3176"/>
    <x v="2"/>
    <n v="7"/>
    <n v="35717984"/>
    <n v="3"/>
    <n v="29"/>
    <n v="365"/>
    <n v="88359740"/>
    <n v="291904"/>
    <s v="Small"/>
    <s v="B2C"/>
    <n v="9"/>
    <n v="63.61"/>
    <n v="131160"/>
    <n v="1"/>
  </r>
  <r>
    <s v="Startup_3177"/>
    <x v="0"/>
    <n v="5"/>
    <n v="18140855"/>
    <n v="1"/>
    <n v="12"/>
    <n v="879"/>
    <n v="5286906"/>
    <n v="574424"/>
    <s v="Small"/>
    <s v="B2B"/>
    <n v="4"/>
    <n v="88.86"/>
    <n v="280593"/>
    <n v="1"/>
  </r>
  <r>
    <s v="Startup_3178"/>
    <x v="6"/>
    <n v="7"/>
    <n v="37712488"/>
    <n v="3"/>
    <n v="15"/>
    <n v="835"/>
    <n v="59122992"/>
    <n v="746943"/>
    <s v="Large"/>
    <s v="Hybrid"/>
    <n v="8"/>
    <n v="72.97"/>
    <n v="724466"/>
    <n v="1"/>
  </r>
  <r>
    <s v="Startup_3179"/>
    <x v="5"/>
    <n v="0"/>
    <n v="21276145"/>
    <n v="3"/>
    <n v="3"/>
    <n v="548"/>
    <n v="57015274"/>
    <n v="697192"/>
    <s v="Large"/>
    <s v="B2B"/>
    <n v="4"/>
    <n v="39.22"/>
    <n v="407547"/>
    <n v="1"/>
  </r>
  <r>
    <s v="Startup_3180"/>
    <x v="3"/>
    <n v="12"/>
    <n v="10347219"/>
    <n v="3"/>
    <n v="11"/>
    <n v="816"/>
    <n v="83635559"/>
    <n v="236704"/>
    <s v="Large"/>
    <s v="B2B"/>
    <n v="6"/>
    <n v="39.04"/>
    <n v="938734"/>
    <n v="1"/>
  </r>
  <r>
    <s v="Startup_3181"/>
    <x v="4"/>
    <n v="14"/>
    <n v="32444694"/>
    <n v="1"/>
    <n v="13"/>
    <n v="960"/>
    <n v="99703284"/>
    <n v="820606"/>
    <s v="Large"/>
    <s v="B2C"/>
    <n v="9"/>
    <n v="90.99"/>
    <n v="814127"/>
    <n v="1"/>
  </r>
  <r>
    <s v="Startup_3182"/>
    <x v="5"/>
    <n v="13"/>
    <n v="13963583"/>
    <n v="3"/>
    <n v="7"/>
    <n v="105"/>
    <n v="70115497"/>
    <n v="225959"/>
    <s v="Large"/>
    <s v="B2B"/>
    <n v="7"/>
    <n v="65.27"/>
    <n v="494743"/>
    <n v="1"/>
  </r>
  <r>
    <s v="Startup_3183"/>
    <x v="3"/>
    <n v="14"/>
    <n v="7059617"/>
    <n v="2"/>
    <n v="0"/>
    <n v="622"/>
    <n v="54423441"/>
    <n v="272403"/>
    <s v="Medium"/>
    <s v="Hybrid"/>
    <n v="3"/>
    <n v="63.08"/>
    <n v="145985"/>
    <n v="1"/>
  </r>
  <r>
    <s v="Startup_3184"/>
    <x v="2"/>
    <n v="14"/>
    <n v="2305592"/>
    <n v="4"/>
    <n v="18"/>
    <n v="121"/>
    <n v="57036763"/>
    <n v="504499"/>
    <s v="Medium"/>
    <s v="Hybrid"/>
    <n v="4"/>
    <n v="36.299999999999997"/>
    <n v="793382"/>
    <n v="1"/>
  </r>
  <r>
    <s v="Startup_3185"/>
    <x v="0"/>
    <n v="8"/>
    <n v="14385442"/>
    <n v="4"/>
    <n v="25"/>
    <n v="727"/>
    <n v="3793"/>
    <n v="68628"/>
    <s v="Large"/>
    <s v="Hybrid"/>
    <n v="2"/>
    <n v="38.58"/>
    <n v="210181"/>
    <n v="1"/>
  </r>
  <r>
    <s v="Startup_3186"/>
    <x v="3"/>
    <n v="11"/>
    <n v="19399363"/>
    <n v="1"/>
    <n v="3"/>
    <n v="770"/>
    <n v="58054685"/>
    <n v="306835"/>
    <s v="Small"/>
    <s v="B2C"/>
    <n v="2"/>
    <n v="93.19"/>
    <n v="302891"/>
    <n v="1"/>
  </r>
  <r>
    <s v="Startup_3187"/>
    <x v="3"/>
    <n v="0"/>
    <n v="9358565"/>
    <n v="4"/>
    <n v="14"/>
    <n v="36"/>
    <n v="99147615"/>
    <n v="309980"/>
    <s v="Medium"/>
    <s v="B2C"/>
    <n v="3"/>
    <n v="42.47"/>
    <n v="850756"/>
    <n v="1"/>
  </r>
  <r>
    <s v="Startup_3188"/>
    <x v="5"/>
    <n v="4"/>
    <n v="11579794"/>
    <n v="3"/>
    <n v="8"/>
    <n v="436"/>
    <n v="23478033"/>
    <n v="414871"/>
    <s v="Large"/>
    <s v="B2B"/>
    <n v="2"/>
    <n v="82.65"/>
    <n v="151455"/>
    <n v="1"/>
  </r>
  <r>
    <s v="Startup_3189"/>
    <x v="4"/>
    <n v="11"/>
    <n v="49221318"/>
    <n v="1"/>
    <n v="5"/>
    <n v="641"/>
    <n v="59782754"/>
    <n v="233465"/>
    <s v="Medium"/>
    <s v="B2B"/>
    <n v="3"/>
    <n v="54.13"/>
    <n v="504822"/>
    <n v="1"/>
  </r>
  <r>
    <s v="Startup_3190"/>
    <x v="1"/>
    <n v="6"/>
    <n v="20410986"/>
    <n v="1"/>
    <n v="25"/>
    <n v="754"/>
    <n v="915250"/>
    <n v="826981"/>
    <s v="Large"/>
    <s v="Hybrid"/>
    <n v="1"/>
    <n v="3.85"/>
    <n v="874355"/>
    <n v="1"/>
  </r>
  <r>
    <s v="Startup_3191"/>
    <x v="1"/>
    <n v="10"/>
    <n v="21026178"/>
    <n v="4"/>
    <n v="23"/>
    <n v="326"/>
    <n v="78758917"/>
    <n v="34216"/>
    <s v="Large"/>
    <s v="B2B"/>
    <n v="3"/>
    <n v="14.52"/>
    <n v="302313"/>
    <n v="1"/>
  </r>
  <r>
    <s v="Startup_3192"/>
    <x v="0"/>
    <n v="10"/>
    <n v="4475492"/>
    <n v="2"/>
    <n v="5"/>
    <n v="96"/>
    <n v="40659322"/>
    <n v="196469"/>
    <s v="Medium"/>
    <s v="B2C"/>
    <n v="6"/>
    <n v="36.61"/>
    <n v="742998"/>
    <n v="1"/>
  </r>
  <r>
    <s v="Startup_3193"/>
    <x v="5"/>
    <n v="9"/>
    <n v="42974975"/>
    <n v="3"/>
    <n v="3"/>
    <n v="552"/>
    <n v="88017690"/>
    <n v="315437"/>
    <s v="Small"/>
    <s v="B2C"/>
    <n v="3"/>
    <n v="69.97"/>
    <n v="681990"/>
    <n v="1"/>
  </r>
  <r>
    <s v="Startup_3194"/>
    <x v="2"/>
    <n v="14"/>
    <n v="26576702"/>
    <n v="3"/>
    <n v="27"/>
    <n v="37"/>
    <n v="98667772"/>
    <n v="16302"/>
    <s v="Small"/>
    <s v="B2C"/>
    <n v="8"/>
    <n v="16.04"/>
    <n v="450775"/>
    <n v="1"/>
  </r>
  <r>
    <s v="Startup_3195"/>
    <x v="1"/>
    <n v="11"/>
    <n v="7316964"/>
    <n v="2"/>
    <n v="23"/>
    <n v="238"/>
    <n v="9538422"/>
    <n v="676796"/>
    <s v="Large"/>
    <s v="B2B"/>
    <n v="1"/>
    <n v="25.8"/>
    <n v="424692"/>
    <n v="1"/>
  </r>
  <r>
    <s v="Startup_3196"/>
    <x v="5"/>
    <n v="4"/>
    <n v="31474564"/>
    <n v="4"/>
    <n v="17"/>
    <n v="649"/>
    <n v="39709969"/>
    <n v="515454"/>
    <s v="Small"/>
    <s v="Hybrid"/>
    <n v="5"/>
    <n v="39.700000000000003"/>
    <n v="536678"/>
    <n v="1"/>
  </r>
  <r>
    <s v="Startup_3197"/>
    <x v="1"/>
    <n v="4"/>
    <n v="27476887"/>
    <n v="2"/>
    <n v="26"/>
    <n v="18"/>
    <n v="90800833"/>
    <n v="802992"/>
    <s v="Large"/>
    <s v="Hybrid"/>
    <n v="5"/>
    <n v="5.31"/>
    <n v="976494"/>
    <n v="1"/>
  </r>
  <r>
    <s v="Startup_3198"/>
    <x v="2"/>
    <n v="11"/>
    <n v="46662587"/>
    <n v="1"/>
    <n v="20"/>
    <n v="221"/>
    <n v="65711012"/>
    <n v="717416"/>
    <s v="Large"/>
    <s v="B2C"/>
    <n v="1"/>
    <n v="39.83"/>
    <n v="369564"/>
    <n v="1"/>
  </r>
  <r>
    <s v="Startup_3199"/>
    <x v="0"/>
    <n v="3"/>
    <n v="21741124"/>
    <n v="2"/>
    <n v="1"/>
    <n v="961"/>
    <n v="32732237"/>
    <n v="609952"/>
    <s v="Small"/>
    <s v="Hybrid"/>
    <n v="4"/>
    <n v="3.58"/>
    <n v="832192"/>
    <n v="1"/>
  </r>
  <r>
    <s v="Startup_3200"/>
    <x v="3"/>
    <n v="5"/>
    <n v="43283050"/>
    <n v="3"/>
    <n v="8"/>
    <n v="304"/>
    <n v="45222547"/>
    <n v="511347"/>
    <s v="Large"/>
    <s v="B2C"/>
    <n v="7"/>
    <n v="59.37"/>
    <n v="659447"/>
    <n v="1"/>
  </r>
  <r>
    <s v="Startup_3201"/>
    <x v="1"/>
    <n v="9"/>
    <n v="19210812"/>
    <n v="1"/>
    <n v="23"/>
    <n v="777"/>
    <n v="16356742"/>
    <n v="521824"/>
    <s v="Small"/>
    <s v="Hybrid"/>
    <n v="5"/>
    <n v="43.85"/>
    <n v="266294"/>
    <n v="1"/>
  </r>
  <r>
    <s v="Startup_3202"/>
    <x v="0"/>
    <n v="5"/>
    <n v="28820033"/>
    <n v="2"/>
    <n v="23"/>
    <n v="458"/>
    <n v="22180959"/>
    <n v="732961"/>
    <s v="Small"/>
    <s v="B2B"/>
    <n v="8"/>
    <n v="64.17"/>
    <n v="609314"/>
    <n v="1"/>
  </r>
  <r>
    <s v="Startup_3203"/>
    <x v="1"/>
    <n v="13"/>
    <n v="24303018"/>
    <n v="2"/>
    <n v="7"/>
    <n v="670"/>
    <n v="41444159"/>
    <n v="336312"/>
    <s v="Medium"/>
    <s v="B2C"/>
    <n v="8"/>
    <n v="4.59"/>
    <n v="499885"/>
    <n v="1"/>
  </r>
  <r>
    <s v="Startup_3204"/>
    <x v="2"/>
    <n v="9"/>
    <n v="484872"/>
    <n v="2"/>
    <n v="4"/>
    <n v="464"/>
    <n v="83157298"/>
    <n v="450432"/>
    <s v="Large"/>
    <s v="Hybrid"/>
    <n v="3"/>
    <n v="37.78"/>
    <n v="35146"/>
    <n v="1"/>
  </r>
  <r>
    <s v="Startup_3205"/>
    <x v="2"/>
    <n v="0"/>
    <n v="39964844"/>
    <n v="2"/>
    <n v="15"/>
    <n v="224"/>
    <n v="33498379"/>
    <n v="565415"/>
    <s v="Medium"/>
    <s v="B2B"/>
    <n v="2"/>
    <n v="73.959999999999994"/>
    <n v="662633"/>
    <n v="1"/>
  </r>
  <r>
    <s v="Startup_3206"/>
    <x v="0"/>
    <n v="0"/>
    <n v="46986212"/>
    <n v="4"/>
    <n v="5"/>
    <n v="271"/>
    <n v="4437627"/>
    <n v="604275"/>
    <s v="Large"/>
    <s v="Hybrid"/>
    <n v="4"/>
    <n v="53.63"/>
    <n v="896419"/>
    <n v="1"/>
  </r>
  <r>
    <s v="Startup_3207"/>
    <x v="6"/>
    <n v="5"/>
    <n v="30669473"/>
    <n v="2"/>
    <n v="26"/>
    <n v="999"/>
    <n v="47296828"/>
    <n v="405414"/>
    <s v="Medium"/>
    <s v="B2C"/>
    <n v="2"/>
    <n v="66.709999999999994"/>
    <n v="314655"/>
    <n v="1"/>
  </r>
  <r>
    <s v="Startup_3208"/>
    <x v="6"/>
    <n v="1"/>
    <n v="37561520"/>
    <n v="1"/>
    <n v="4"/>
    <n v="960"/>
    <n v="84116779"/>
    <n v="741902"/>
    <s v="Small"/>
    <s v="B2C"/>
    <n v="7"/>
    <n v="78.39"/>
    <n v="25412"/>
    <n v="1"/>
  </r>
  <r>
    <s v="Startup_3209"/>
    <x v="4"/>
    <n v="5"/>
    <n v="49214250"/>
    <n v="1"/>
    <n v="19"/>
    <n v="756"/>
    <n v="39239956"/>
    <n v="221654"/>
    <s v="Large"/>
    <s v="B2B"/>
    <n v="8"/>
    <n v="72.040000000000006"/>
    <n v="217988"/>
    <n v="1"/>
  </r>
  <r>
    <s v="Startup_3210"/>
    <x v="4"/>
    <n v="9"/>
    <n v="28178633"/>
    <n v="1"/>
    <n v="16"/>
    <n v="436"/>
    <n v="83317961"/>
    <n v="379121"/>
    <s v="Large"/>
    <s v="B2C"/>
    <n v="4"/>
    <n v="15.05"/>
    <n v="404561"/>
    <n v="1"/>
  </r>
  <r>
    <s v="Startup_3211"/>
    <x v="1"/>
    <n v="4"/>
    <n v="16898196"/>
    <n v="2"/>
    <n v="19"/>
    <n v="51"/>
    <n v="37243559"/>
    <n v="270442"/>
    <s v="Medium"/>
    <s v="B2C"/>
    <n v="5"/>
    <n v="81.97"/>
    <n v="990769"/>
    <n v="1"/>
  </r>
  <r>
    <s v="Startup_3212"/>
    <x v="4"/>
    <n v="3"/>
    <n v="28429762"/>
    <n v="3"/>
    <n v="1"/>
    <n v="776"/>
    <n v="32653453"/>
    <n v="765261"/>
    <s v="Small"/>
    <s v="B2B"/>
    <n v="6"/>
    <n v="42.24"/>
    <n v="739360"/>
    <n v="1"/>
  </r>
  <r>
    <s v="Startup_3213"/>
    <x v="1"/>
    <n v="8"/>
    <n v="9117266"/>
    <n v="2"/>
    <n v="19"/>
    <n v="724"/>
    <n v="76512019"/>
    <n v="550005"/>
    <s v="Medium"/>
    <s v="B2C"/>
    <n v="8"/>
    <n v="90.8"/>
    <n v="215742"/>
    <n v="1"/>
  </r>
  <r>
    <s v="Startup_3214"/>
    <x v="3"/>
    <n v="6"/>
    <n v="38988237"/>
    <n v="2"/>
    <n v="5"/>
    <n v="852"/>
    <n v="58436537"/>
    <n v="500906"/>
    <s v="Large"/>
    <s v="B2C"/>
    <n v="4"/>
    <n v="27.67"/>
    <n v="756962"/>
    <n v="1"/>
  </r>
  <r>
    <s v="Startup_3215"/>
    <x v="5"/>
    <n v="12"/>
    <n v="27072025"/>
    <n v="1"/>
    <n v="7"/>
    <n v="484"/>
    <n v="78210515"/>
    <n v="477864"/>
    <s v="Large"/>
    <s v="B2C"/>
    <n v="5"/>
    <n v="56.19"/>
    <n v="466692"/>
    <n v="1"/>
  </r>
  <r>
    <s v="Startup_3216"/>
    <x v="3"/>
    <n v="11"/>
    <n v="18098865"/>
    <n v="1"/>
    <n v="5"/>
    <n v="184"/>
    <n v="3213"/>
    <n v="753907"/>
    <s v="Large"/>
    <s v="B2C"/>
    <n v="4"/>
    <n v="80.53"/>
    <n v="527879"/>
    <n v="1"/>
  </r>
  <r>
    <s v="Startup_3217"/>
    <x v="2"/>
    <n v="0"/>
    <n v="37005662"/>
    <n v="3"/>
    <n v="23"/>
    <n v="963"/>
    <n v="28196001"/>
    <n v="607358"/>
    <s v="Small"/>
    <s v="B2B"/>
    <n v="3"/>
    <n v="60.68"/>
    <n v="910196"/>
    <n v="1"/>
  </r>
  <r>
    <s v="Startup_3218"/>
    <x v="4"/>
    <n v="2"/>
    <n v="29188206"/>
    <n v="3"/>
    <n v="29"/>
    <n v="790"/>
    <n v="37817833"/>
    <n v="242233"/>
    <s v="Small"/>
    <s v="B2C"/>
    <n v="7"/>
    <n v="46.35"/>
    <n v="919283"/>
    <n v="1"/>
  </r>
  <r>
    <s v="Startup_3219"/>
    <x v="1"/>
    <n v="6"/>
    <n v="19852887"/>
    <n v="3"/>
    <n v="6"/>
    <n v="642"/>
    <n v="72878087"/>
    <n v="480046"/>
    <s v="Small"/>
    <s v="Hybrid"/>
    <n v="8"/>
    <n v="78.11"/>
    <n v="68500"/>
    <n v="1"/>
  </r>
  <r>
    <s v="Startup_3220"/>
    <x v="5"/>
    <n v="5"/>
    <n v="16025442"/>
    <n v="4"/>
    <n v="17"/>
    <n v="897"/>
    <n v="48163931"/>
    <n v="396453"/>
    <s v="Medium"/>
    <s v="Hybrid"/>
    <n v="7"/>
    <n v="16.34"/>
    <n v="10312"/>
    <n v="1"/>
  </r>
  <r>
    <s v="Startup_3221"/>
    <x v="0"/>
    <n v="13"/>
    <n v="32340625"/>
    <n v="3"/>
    <n v="8"/>
    <n v="721"/>
    <n v="44963882"/>
    <n v="280745"/>
    <s v="Small"/>
    <s v="B2C"/>
    <n v="9"/>
    <n v="42.14"/>
    <n v="764661"/>
    <n v="1"/>
  </r>
  <r>
    <s v="Startup_3222"/>
    <x v="6"/>
    <n v="11"/>
    <n v="21732699"/>
    <n v="3"/>
    <n v="29"/>
    <n v="49"/>
    <n v="1138957"/>
    <n v="288665"/>
    <s v="Medium"/>
    <s v="Hybrid"/>
    <n v="8"/>
    <n v="21.13"/>
    <n v="337244"/>
    <n v="1"/>
  </r>
  <r>
    <s v="Startup_3223"/>
    <x v="0"/>
    <n v="12"/>
    <n v="15228326"/>
    <n v="3"/>
    <n v="20"/>
    <n v="677"/>
    <n v="48988136"/>
    <n v="764212"/>
    <s v="Medium"/>
    <s v="B2B"/>
    <n v="5"/>
    <n v="40.340000000000003"/>
    <n v="104669"/>
    <n v="1"/>
  </r>
  <r>
    <s v="Startup_3224"/>
    <x v="1"/>
    <n v="6"/>
    <n v="17499106"/>
    <n v="1"/>
    <n v="25"/>
    <n v="100"/>
    <n v="67462471"/>
    <n v="863352"/>
    <s v="Large"/>
    <s v="Hybrid"/>
    <n v="2"/>
    <n v="65.680000000000007"/>
    <n v="736365"/>
    <n v="1"/>
  </r>
  <r>
    <s v="Startup_3225"/>
    <x v="2"/>
    <n v="13"/>
    <n v="8596244"/>
    <n v="3"/>
    <n v="7"/>
    <n v="752"/>
    <n v="16500156"/>
    <n v="898487"/>
    <s v="Small"/>
    <s v="Hybrid"/>
    <n v="7"/>
    <n v="62.44"/>
    <n v="543517"/>
    <n v="1"/>
  </r>
  <r>
    <s v="Startup_3226"/>
    <x v="3"/>
    <n v="1"/>
    <n v="33971938"/>
    <n v="1"/>
    <n v="2"/>
    <n v="344"/>
    <n v="23892570"/>
    <n v="74246"/>
    <s v="Small"/>
    <s v="B2B"/>
    <n v="4"/>
    <n v="46.5"/>
    <n v="549724"/>
    <n v="1"/>
  </r>
  <r>
    <s v="Startup_3227"/>
    <x v="5"/>
    <n v="0"/>
    <n v="26501672"/>
    <n v="4"/>
    <n v="6"/>
    <n v="854"/>
    <n v="79033803"/>
    <n v="772074"/>
    <s v="Large"/>
    <s v="B2C"/>
    <n v="6"/>
    <n v="18.45"/>
    <n v="938944"/>
    <n v="1"/>
  </r>
  <r>
    <s v="Startup_3228"/>
    <x v="4"/>
    <n v="7"/>
    <n v="34392535"/>
    <n v="3"/>
    <n v="5"/>
    <n v="785"/>
    <n v="46938832"/>
    <n v="334301"/>
    <s v="Large"/>
    <s v="Hybrid"/>
    <n v="4"/>
    <n v="25.13"/>
    <n v="670586"/>
    <n v="1"/>
  </r>
  <r>
    <s v="Startup_3229"/>
    <x v="5"/>
    <n v="9"/>
    <n v="49181075"/>
    <n v="4"/>
    <n v="1"/>
    <n v="90"/>
    <n v="62969340"/>
    <n v="806781"/>
    <s v="Large"/>
    <s v="B2B"/>
    <n v="1"/>
    <n v="76.72"/>
    <n v="90139"/>
    <n v="1"/>
  </r>
  <r>
    <s v="Startup_3230"/>
    <x v="3"/>
    <n v="10"/>
    <n v="4169042"/>
    <n v="3"/>
    <n v="0"/>
    <n v="987"/>
    <n v="86086104"/>
    <n v="523760"/>
    <s v="Medium"/>
    <s v="Hybrid"/>
    <n v="2"/>
    <n v="21.24"/>
    <n v="934422"/>
    <n v="1"/>
  </r>
  <r>
    <s v="Startup_3231"/>
    <x v="4"/>
    <n v="1"/>
    <n v="10029033"/>
    <n v="2"/>
    <n v="1"/>
    <n v="194"/>
    <n v="6624927"/>
    <n v="437306"/>
    <s v="Large"/>
    <s v="Hybrid"/>
    <n v="8"/>
    <n v="22.34"/>
    <n v="925822"/>
    <n v="1"/>
  </r>
  <r>
    <s v="Startup_3232"/>
    <x v="5"/>
    <n v="12"/>
    <n v="28427555"/>
    <n v="1"/>
    <n v="16"/>
    <n v="338"/>
    <n v="50248830"/>
    <n v="115101"/>
    <s v="Small"/>
    <s v="Hybrid"/>
    <n v="4"/>
    <n v="97.96"/>
    <n v="553202"/>
    <n v="1"/>
  </r>
  <r>
    <s v="Startup_3233"/>
    <x v="5"/>
    <n v="13"/>
    <n v="28029836"/>
    <n v="1"/>
    <n v="21"/>
    <n v="704"/>
    <n v="58762376"/>
    <n v="162225"/>
    <s v="Large"/>
    <s v="Hybrid"/>
    <n v="5"/>
    <n v="49.77"/>
    <n v="521557"/>
    <n v="1"/>
  </r>
  <r>
    <s v="Startup_3234"/>
    <x v="3"/>
    <n v="11"/>
    <n v="32344265"/>
    <n v="2"/>
    <n v="18"/>
    <n v="385"/>
    <n v="14468926"/>
    <n v="813783"/>
    <s v="Medium"/>
    <s v="B2B"/>
    <n v="1"/>
    <n v="74.849999999999994"/>
    <n v="967688"/>
    <n v="1"/>
  </r>
  <r>
    <s v="Startup_3235"/>
    <x v="2"/>
    <n v="11"/>
    <n v="9008603"/>
    <n v="1"/>
    <n v="8"/>
    <n v="495"/>
    <n v="96059772"/>
    <n v="900615"/>
    <s v="Small"/>
    <s v="Hybrid"/>
    <n v="1"/>
    <n v="22.01"/>
    <n v="21314"/>
    <n v="1"/>
  </r>
  <r>
    <s v="Startup_3236"/>
    <x v="5"/>
    <n v="10"/>
    <n v="26335482"/>
    <n v="2"/>
    <n v="15"/>
    <n v="764"/>
    <n v="85566532"/>
    <n v="551169"/>
    <s v="Large"/>
    <s v="Hybrid"/>
    <n v="7"/>
    <n v="12.07"/>
    <n v="314964"/>
    <n v="1"/>
  </r>
  <r>
    <s v="Startup_3237"/>
    <x v="1"/>
    <n v="8"/>
    <n v="307764"/>
    <n v="2"/>
    <n v="14"/>
    <n v="29"/>
    <n v="19209123"/>
    <n v="837458"/>
    <s v="Large"/>
    <s v="Hybrid"/>
    <n v="1"/>
    <n v="27.24"/>
    <n v="783926"/>
    <n v="1"/>
  </r>
  <r>
    <s v="Startup_3238"/>
    <x v="1"/>
    <n v="4"/>
    <n v="40474170"/>
    <n v="2"/>
    <n v="13"/>
    <n v="369"/>
    <n v="34784949"/>
    <n v="426289"/>
    <s v="Large"/>
    <s v="Hybrid"/>
    <n v="8"/>
    <n v="29.13"/>
    <n v="997259"/>
    <n v="1"/>
  </r>
  <r>
    <s v="Startup_3239"/>
    <x v="4"/>
    <n v="2"/>
    <n v="14234309"/>
    <n v="1"/>
    <n v="26"/>
    <n v="258"/>
    <n v="4431405"/>
    <n v="23638"/>
    <s v="Medium"/>
    <s v="B2B"/>
    <n v="9"/>
    <n v="19.059999999999999"/>
    <n v="144508"/>
    <n v="1"/>
  </r>
  <r>
    <s v="Startup_3240"/>
    <x v="2"/>
    <n v="4"/>
    <n v="23269139"/>
    <n v="4"/>
    <n v="27"/>
    <n v="313"/>
    <n v="38103165"/>
    <n v="805769"/>
    <s v="Medium"/>
    <s v="B2C"/>
    <n v="2"/>
    <n v="78.680000000000007"/>
    <n v="473624"/>
    <n v="1"/>
  </r>
  <r>
    <s v="Startup_3241"/>
    <x v="4"/>
    <n v="0"/>
    <n v="26537168"/>
    <n v="2"/>
    <n v="23"/>
    <n v="173"/>
    <n v="92541567"/>
    <n v="184567"/>
    <s v="Small"/>
    <s v="Hybrid"/>
    <n v="1"/>
    <n v="45.67"/>
    <n v="836996"/>
    <n v="1"/>
  </r>
  <r>
    <s v="Startup_3242"/>
    <x v="5"/>
    <n v="14"/>
    <n v="36132968"/>
    <n v="4"/>
    <n v="7"/>
    <n v="19"/>
    <n v="58015908"/>
    <n v="708997"/>
    <s v="Large"/>
    <s v="B2B"/>
    <n v="1"/>
    <n v="51.26"/>
    <n v="232217"/>
    <n v="1"/>
  </r>
  <r>
    <s v="Startup_3243"/>
    <x v="2"/>
    <n v="10"/>
    <n v="41644456"/>
    <n v="3"/>
    <n v="24"/>
    <n v="807"/>
    <n v="20283698"/>
    <n v="961696"/>
    <s v="Medium"/>
    <s v="B2B"/>
    <n v="3"/>
    <n v="34.67"/>
    <n v="256293"/>
    <n v="1"/>
  </r>
  <r>
    <s v="Startup_3244"/>
    <x v="4"/>
    <n v="11"/>
    <n v="42219010"/>
    <n v="2"/>
    <n v="10"/>
    <n v="335"/>
    <n v="30776582"/>
    <n v="185804"/>
    <s v="Small"/>
    <s v="B2B"/>
    <n v="9"/>
    <n v="70.63"/>
    <n v="941075"/>
    <n v="1"/>
  </r>
  <r>
    <s v="Startup_3245"/>
    <x v="3"/>
    <n v="14"/>
    <n v="42475915"/>
    <n v="2"/>
    <n v="19"/>
    <n v="2"/>
    <n v="31541318"/>
    <n v="522201"/>
    <s v="Medium"/>
    <s v="B2B"/>
    <n v="1"/>
    <n v="78.3"/>
    <n v="278184"/>
    <n v="1"/>
  </r>
  <r>
    <s v="Startup_3246"/>
    <x v="6"/>
    <n v="12"/>
    <n v="34837937"/>
    <n v="4"/>
    <n v="10"/>
    <n v="735"/>
    <n v="75389031"/>
    <n v="202086"/>
    <s v="Small"/>
    <s v="Hybrid"/>
    <n v="1"/>
    <n v="66.319999999999993"/>
    <n v="848044"/>
    <n v="1"/>
  </r>
  <r>
    <s v="Startup_3247"/>
    <x v="3"/>
    <n v="13"/>
    <n v="49490963"/>
    <n v="4"/>
    <n v="1"/>
    <n v="118"/>
    <n v="1706081"/>
    <n v="105187"/>
    <s v="Medium"/>
    <s v="B2C"/>
    <n v="1"/>
    <n v="94.23"/>
    <n v="91253"/>
    <n v="1"/>
  </r>
  <r>
    <s v="Startup_3248"/>
    <x v="4"/>
    <n v="6"/>
    <n v="15226780"/>
    <n v="4"/>
    <n v="8"/>
    <n v="195"/>
    <n v="44522163"/>
    <n v="206488"/>
    <s v="Large"/>
    <s v="B2B"/>
    <n v="1"/>
    <n v="56.92"/>
    <n v="958387"/>
    <n v="1"/>
  </r>
  <r>
    <s v="Startup_3249"/>
    <x v="5"/>
    <n v="2"/>
    <n v="37090078"/>
    <n v="3"/>
    <n v="19"/>
    <n v="103"/>
    <n v="89724749"/>
    <n v="345433"/>
    <s v="Medium"/>
    <s v="B2B"/>
    <n v="4"/>
    <n v="70.25"/>
    <n v="616796"/>
    <n v="1"/>
  </r>
  <r>
    <s v="Startup_3250"/>
    <x v="5"/>
    <n v="5"/>
    <n v="14586416"/>
    <n v="4"/>
    <n v="24"/>
    <n v="640"/>
    <n v="6822673"/>
    <n v="158739"/>
    <s v="Large"/>
    <s v="Hybrid"/>
    <n v="9"/>
    <n v="50.89"/>
    <n v="523728"/>
    <n v="1"/>
  </r>
  <r>
    <s v="Startup_3251"/>
    <x v="1"/>
    <n v="5"/>
    <n v="36677212"/>
    <n v="3"/>
    <n v="1"/>
    <n v="477"/>
    <n v="86252591"/>
    <n v="788222"/>
    <s v="Large"/>
    <s v="B2B"/>
    <n v="5"/>
    <n v="81.239999999999995"/>
    <n v="377261"/>
    <n v="1"/>
  </r>
  <r>
    <s v="Startup_3252"/>
    <x v="4"/>
    <n v="5"/>
    <n v="38316827"/>
    <n v="4"/>
    <n v="18"/>
    <n v="995"/>
    <n v="11361181"/>
    <n v="718051"/>
    <s v="Small"/>
    <s v="B2B"/>
    <n v="7"/>
    <n v="89.58"/>
    <n v="328087"/>
    <n v="1"/>
  </r>
  <r>
    <s v="Startup_3253"/>
    <x v="0"/>
    <n v="0"/>
    <n v="20250903"/>
    <n v="3"/>
    <n v="22"/>
    <n v="214"/>
    <n v="74537045"/>
    <n v="231726"/>
    <s v="Small"/>
    <s v="Hybrid"/>
    <n v="2"/>
    <n v="17.63"/>
    <n v="973886"/>
    <n v="1"/>
  </r>
  <r>
    <s v="Startup_3254"/>
    <x v="6"/>
    <n v="6"/>
    <n v="1077640"/>
    <n v="4"/>
    <n v="14"/>
    <n v="491"/>
    <n v="81126583"/>
    <n v="314915"/>
    <s v="Medium"/>
    <s v="B2B"/>
    <n v="3"/>
    <n v="61.11"/>
    <n v="860914"/>
    <n v="1"/>
  </r>
  <r>
    <s v="Startup_3255"/>
    <x v="1"/>
    <n v="4"/>
    <n v="36797885"/>
    <n v="3"/>
    <n v="26"/>
    <n v="581"/>
    <n v="57089998"/>
    <n v="870111"/>
    <s v="Large"/>
    <s v="B2B"/>
    <n v="7"/>
    <n v="77.28"/>
    <n v="584911"/>
    <n v="1"/>
  </r>
  <r>
    <s v="Startup_3256"/>
    <x v="3"/>
    <n v="5"/>
    <n v="12454460"/>
    <n v="2"/>
    <n v="7"/>
    <n v="734"/>
    <n v="44336738"/>
    <n v="511107"/>
    <s v="Large"/>
    <s v="B2C"/>
    <n v="1"/>
    <n v="48.34"/>
    <n v="798555"/>
    <n v="1"/>
  </r>
  <r>
    <s v="Startup_3257"/>
    <x v="5"/>
    <n v="3"/>
    <n v="32914772"/>
    <n v="2"/>
    <n v="14"/>
    <n v="288"/>
    <n v="53741030"/>
    <n v="706968"/>
    <s v="Small"/>
    <s v="B2C"/>
    <n v="8"/>
    <n v="83.91"/>
    <n v="283002"/>
    <n v="1"/>
  </r>
  <r>
    <s v="Startup_3258"/>
    <x v="0"/>
    <n v="12"/>
    <n v="12820294"/>
    <n v="4"/>
    <n v="9"/>
    <n v="824"/>
    <n v="72506441"/>
    <n v="980540"/>
    <s v="Small"/>
    <s v="B2C"/>
    <n v="9"/>
    <n v="23.12"/>
    <n v="553719"/>
    <n v="1"/>
  </r>
  <r>
    <s v="Startup_3259"/>
    <x v="1"/>
    <n v="0"/>
    <n v="6196251"/>
    <n v="3"/>
    <n v="18"/>
    <n v="294"/>
    <n v="96915609"/>
    <n v="522471"/>
    <s v="Medium"/>
    <s v="Hybrid"/>
    <n v="8"/>
    <n v="91.09"/>
    <n v="111363"/>
    <n v="1"/>
  </r>
  <r>
    <s v="Startup_3260"/>
    <x v="2"/>
    <n v="10"/>
    <n v="36448221"/>
    <n v="4"/>
    <n v="18"/>
    <n v="734"/>
    <n v="62470987"/>
    <n v="418205"/>
    <s v="Small"/>
    <s v="B2C"/>
    <n v="3"/>
    <n v="21.53"/>
    <n v="415597"/>
    <n v="1"/>
  </r>
  <r>
    <s v="Startup_3261"/>
    <x v="1"/>
    <n v="10"/>
    <n v="13950574"/>
    <n v="4"/>
    <n v="26"/>
    <n v="496"/>
    <n v="77513679"/>
    <n v="472900"/>
    <s v="Medium"/>
    <s v="Hybrid"/>
    <n v="9"/>
    <n v="11.26"/>
    <n v="892032"/>
    <n v="1"/>
  </r>
  <r>
    <s v="Startup_3262"/>
    <x v="3"/>
    <n v="9"/>
    <n v="37852233"/>
    <n v="2"/>
    <n v="20"/>
    <n v="94"/>
    <n v="7440536"/>
    <n v="829768"/>
    <s v="Large"/>
    <s v="B2B"/>
    <n v="9"/>
    <n v="38.450000000000003"/>
    <n v="900396"/>
    <n v="1"/>
  </r>
  <r>
    <s v="Startup_3263"/>
    <x v="2"/>
    <n v="5"/>
    <n v="18585852"/>
    <n v="3"/>
    <n v="16"/>
    <n v="532"/>
    <n v="96163262"/>
    <n v="634893"/>
    <s v="Small"/>
    <s v="B2B"/>
    <n v="9"/>
    <n v="12.35"/>
    <n v="192360"/>
    <n v="1"/>
  </r>
  <r>
    <s v="Startup_3264"/>
    <x v="0"/>
    <n v="13"/>
    <n v="13641689"/>
    <n v="4"/>
    <n v="27"/>
    <n v="390"/>
    <n v="71253208"/>
    <n v="110223"/>
    <s v="Medium"/>
    <s v="B2C"/>
    <n v="3"/>
    <n v="57.39"/>
    <n v="71926"/>
    <n v="1"/>
  </r>
  <r>
    <s v="Startup_3265"/>
    <x v="6"/>
    <n v="7"/>
    <n v="26132099"/>
    <n v="3"/>
    <n v="9"/>
    <n v="421"/>
    <n v="86980358"/>
    <n v="794709"/>
    <s v="Medium"/>
    <s v="B2C"/>
    <n v="8"/>
    <n v="62.83"/>
    <n v="421451"/>
    <n v="1"/>
  </r>
  <r>
    <s v="Startup_3266"/>
    <x v="1"/>
    <n v="11"/>
    <n v="35683200"/>
    <n v="4"/>
    <n v="29"/>
    <n v="578"/>
    <n v="22557304"/>
    <n v="937709"/>
    <s v="Small"/>
    <s v="B2B"/>
    <n v="5"/>
    <n v="55.58"/>
    <n v="97257"/>
    <n v="1"/>
  </r>
  <r>
    <s v="Startup_3267"/>
    <x v="1"/>
    <n v="9"/>
    <n v="45529298"/>
    <n v="2"/>
    <n v="21"/>
    <n v="120"/>
    <n v="14685151"/>
    <n v="163263"/>
    <s v="Small"/>
    <s v="Hybrid"/>
    <n v="2"/>
    <n v="87.99"/>
    <n v="581673"/>
    <n v="1"/>
  </r>
  <r>
    <s v="Startup_3268"/>
    <x v="5"/>
    <n v="10"/>
    <n v="18577691"/>
    <n v="3"/>
    <n v="0"/>
    <n v="345"/>
    <n v="28743241"/>
    <n v="953822"/>
    <s v="Small"/>
    <s v="B2C"/>
    <n v="5"/>
    <n v="76.849999999999994"/>
    <n v="676958"/>
    <n v="1"/>
  </r>
  <r>
    <s v="Startup_3269"/>
    <x v="0"/>
    <n v="5"/>
    <n v="41356992"/>
    <n v="2"/>
    <n v="19"/>
    <n v="308"/>
    <n v="74278224"/>
    <n v="187010"/>
    <s v="Small"/>
    <s v="B2C"/>
    <n v="5"/>
    <n v="87.4"/>
    <n v="866657"/>
    <n v="1"/>
  </r>
  <r>
    <s v="Startup_3270"/>
    <x v="1"/>
    <n v="10"/>
    <n v="21986637"/>
    <n v="1"/>
    <n v="23"/>
    <n v="725"/>
    <n v="92486893"/>
    <n v="468204"/>
    <s v="Medium"/>
    <s v="B2B"/>
    <n v="6"/>
    <n v="22.96"/>
    <n v="993489"/>
    <n v="1"/>
  </r>
  <r>
    <s v="Startup_3271"/>
    <x v="1"/>
    <n v="4"/>
    <n v="2241786"/>
    <n v="3"/>
    <n v="4"/>
    <n v="433"/>
    <n v="34926539"/>
    <n v="176188"/>
    <s v="Medium"/>
    <s v="B2C"/>
    <n v="7"/>
    <n v="78.569999999999993"/>
    <n v="446340"/>
    <n v="1"/>
  </r>
  <r>
    <s v="Startup_3272"/>
    <x v="2"/>
    <n v="2"/>
    <n v="30729443"/>
    <n v="2"/>
    <n v="29"/>
    <n v="365"/>
    <n v="73006878"/>
    <n v="549393"/>
    <s v="Large"/>
    <s v="B2B"/>
    <n v="3"/>
    <n v="51.82"/>
    <n v="533410"/>
    <n v="1"/>
  </r>
  <r>
    <s v="Startup_3273"/>
    <x v="6"/>
    <n v="2"/>
    <n v="1312026"/>
    <n v="4"/>
    <n v="14"/>
    <n v="925"/>
    <n v="37048438"/>
    <n v="12094"/>
    <s v="Small"/>
    <s v="B2C"/>
    <n v="4"/>
    <n v="44.5"/>
    <n v="899282"/>
    <n v="1"/>
  </r>
  <r>
    <s v="Startup_3274"/>
    <x v="5"/>
    <n v="7"/>
    <n v="22102522"/>
    <n v="2"/>
    <n v="4"/>
    <n v="846"/>
    <n v="94806639"/>
    <n v="313655"/>
    <s v="Medium"/>
    <s v="Hybrid"/>
    <n v="5"/>
    <n v="12.81"/>
    <n v="939038"/>
    <n v="1"/>
  </r>
  <r>
    <s v="Startup_3275"/>
    <x v="6"/>
    <n v="12"/>
    <n v="16169271"/>
    <n v="1"/>
    <n v="11"/>
    <n v="769"/>
    <n v="86649261"/>
    <n v="762662"/>
    <s v="Large"/>
    <s v="B2B"/>
    <n v="6"/>
    <n v="63.14"/>
    <n v="751782"/>
    <n v="1"/>
  </r>
  <r>
    <s v="Startup_3276"/>
    <x v="5"/>
    <n v="3"/>
    <n v="24165856"/>
    <n v="3"/>
    <n v="1"/>
    <n v="660"/>
    <n v="21258823"/>
    <n v="504162"/>
    <s v="Small"/>
    <s v="Hybrid"/>
    <n v="8"/>
    <n v="98.87"/>
    <n v="622836"/>
    <n v="1"/>
  </r>
  <r>
    <s v="Startup_3277"/>
    <x v="6"/>
    <n v="6"/>
    <n v="9887569"/>
    <n v="2"/>
    <n v="6"/>
    <n v="381"/>
    <n v="64446613"/>
    <n v="595647"/>
    <s v="Medium"/>
    <s v="Hybrid"/>
    <n v="3"/>
    <n v="88.37"/>
    <n v="813955"/>
    <n v="1"/>
  </r>
  <r>
    <s v="Startup_3278"/>
    <x v="4"/>
    <n v="8"/>
    <n v="38064166"/>
    <n v="3"/>
    <n v="14"/>
    <n v="537"/>
    <n v="37841589"/>
    <n v="847629"/>
    <s v="Small"/>
    <s v="B2B"/>
    <n v="2"/>
    <n v="76.459999999999994"/>
    <n v="701597"/>
    <n v="1"/>
  </r>
  <r>
    <s v="Startup_3279"/>
    <x v="1"/>
    <n v="1"/>
    <n v="45675542"/>
    <n v="4"/>
    <n v="19"/>
    <n v="65"/>
    <n v="88378497"/>
    <n v="411540"/>
    <s v="Medium"/>
    <s v="B2B"/>
    <n v="5"/>
    <n v="46.93"/>
    <n v="500611"/>
    <n v="1"/>
  </r>
  <r>
    <s v="Startup_3280"/>
    <x v="0"/>
    <n v="14"/>
    <n v="8683655"/>
    <n v="2"/>
    <n v="0"/>
    <n v="975"/>
    <n v="71532785"/>
    <n v="219682"/>
    <s v="Medium"/>
    <s v="B2C"/>
    <n v="6"/>
    <n v="64.06"/>
    <n v="496170"/>
    <n v="1"/>
  </r>
  <r>
    <s v="Startup_3281"/>
    <x v="1"/>
    <n v="3"/>
    <n v="30806029"/>
    <n v="4"/>
    <n v="19"/>
    <n v="17"/>
    <n v="36479006"/>
    <n v="180755"/>
    <s v="Large"/>
    <s v="B2C"/>
    <n v="8"/>
    <n v="59.77"/>
    <n v="279930"/>
    <n v="1"/>
  </r>
  <r>
    <s v="Startup_3282"/>
    <x v="6"/>
    <n v="6"/>
    <n v="8189450"/>
    <n v="3"/>
    <n v="1"/>
    <n v="1"/>
    <n v="34214885"/>
    <n v="451104"/>
    <s v="Large"/>
    <s v="B2B"/>
    <n v="1"/>
    <n v="33.43"/>
    <n v="67360"/>
    <n v="1"/>
  </r>
  <r>
    <s v="Startup_3283"/>
    <x v="4"/>
    <n v="4"/>
    <n v="42323331"/>
    <n v="1"/>
    <n v="17"/>
    <n v="687"/>
    <n v="20628319"/>
    <n v="493547"/>
    <s v="Large"/>
    <s v="Hybrid"/>
    <n v="8"/>
    <n v="52.23"/>
    <n v="526506"/>
    <n v="1"/>
  </r>
  <r>
    <s v="Startup_3284"/>
    <x v="5"/>
    <n v="14"/>
    <n v="12313706"/>
    <n v="3"/>
    <n v="4"/>
    <n v="235"/>
    <n v="62577013"/>
    <n v="322295"/>
    <s v="Small"/>
    <s v="Hybrid"/>
    <n v="3"/>
    <n v="65.010000000000005"/>
    <n v="737099"/>
    <n v="1"/>
  </r>
  <r>
    <s v="Startup_3285"/>
    <x v="3"/>
    <n v="9"/>
    <n v="42043852"/>
    <n v="4"/>
    <n v="8"/>
    <n v="797"/>
    <n v="72855969"/>
    <n v="482322"/>
    <s v="Medium"/>
    <s v="B2B"/>
    <n v="8"/>
    <n v="82.65"/>
    <n v="608524"/>
    <n v="1"/>
  </r>
  <r>
    <s v="Startup_3286"/>
    <x v="4"/>
    <n v="14"/>
    <n v="26166017"/>
    <n v="4"/>
    <n v="17"/>
    <n v="228"/>
    <n v="62927132"/>
    <n v="211131"/>
    <s v="Medium"/>
    <s v="B2C"/>
    <n v="3"/>
    <n v="1.91"/>
    <n v="932006"/>
    <n v="1"/>
  </r>
  <r>
    <s v="Startup_3287"/>
    <x v="6"/>
    <n v="1"/>
    <n v="13838468"/>
    <n v="2"/>
    <n v="5"/>
    <n v="654"/>
    <n v="89842692"/>
    <n v="183359"/>
    <s v="Large"/>
    <s v="Hybrid"/>
    <n v="2"/>
    <n v="74.8"/>
    <n v="696482"/>
    <n v="1"/>
  </r>
  <r>
    <s v="Startup_3288"/>
    <x v="3"/>
    <n v="12"/>
    <n v="38545923"/>
    <n v="1"/>
    <n v="20"/>
    <n v="207"/>
    <n v="89895590"/>
    <n v="124664"/>
    <s v="Small"/>
    <s v="Hybrid"/>
    <n v="8"/>
    <n v="97.7"/>
    <n v="897682"/>
    <n v="1"/>
  </r>
  <r>
    <s v="Startup_3289"/>
    <x v="6"/>
    <n v="0"/>
    <n v="25512136"/>
    <n v="4"/>
    <n v="3"/>
    <n v="623"/>
    <n v="77199478"/>
    <n v="913336"/>
    <s v="Large"/>
    <s v="Hybrid"/>
    <n v="5"/>
    <n v="60.92"/>
    <n v="702079"/>
    <n v="1"/>
  </r>
  <r>
    <s v="Startup_3290"/>
    <x v="1"/>
    <n v="13"/>
    <n v="19257500"/>
    <n v="2"/>
    <n v="24"/>
    <n v="23"/>
    <n v="26991211"/>
    <n v="385567"/>
    <s v="Large"/>
    <s v="B2C"/>
    <n v="3"/>
    <n v="61.06"/>
    <n v="469322"/>
    <n v="1"/>
  </r>
  <r>
    <s v="Startup_3291"/>
    <x v="6"/>
    <n v="2"/>
    <n v="23635064"/>
    <n v="4"/>
    <n v="22"/>
    <n v="763"/>
    <n v="44013078"/>
    <n v="632427"/>
    <s v="Medium"/>
    <s v="B2B"/>
    <n v="7"/>
    <n v="78.040000000000006"/>
    <n v="968950"/>
    <n v="1"/>
  </r>
  <r>
    <s v="Startup_3292"/>
    <x v="1"/>
    <n v="9"/>
    <n v="33568497"/>
    <n v="3"/>
    <n v="8"/>
    <n v="294"/>
    <n v="9091271"/>
    <n v="678109"/>
    <s v="Small"/>
    <s v="Hybrid"/>
    <n v="7"/>
    <n v="34.770000000000003"/>
    <n v="152311"/>
    <n v="1"/>
  </r>
  <r>
    <s v="Startup_3293"/>
    <x v="1"/>
    <n v="13"/>
    <n v="3214773"/>
    <n v="3"/>
    <n v="29"/>
    <n v="629"/>
    <n v="63811236"/>
    <n v="174251"/>
    <s v="Small"/>
    <s v="B2B"/>
    <n v="6"/>
    <n v="32.619999999999997"/>
    <n v="882929"/>
    <n v="1"/>
  </r>
  <r>
    <s v="Startup_3294"/>
    <x v="4"/>
    <n v="0"/>
    <n v="49034594"/>
    <n v="2"/>
    <n v="26"/>
    <n v="104"/>
    <n v="68612302"/>
    <n v="129985"/>
    <s v="Small"/>
    <s v="B2C"/>
    <n v="7"/>
    <n v="16.559999999999999"/>
    <n v="929322"/>
    <n v="1"/>
  </r>
  <r>
    <s v="Startup_3295"/>
    <x v="6"/>
    <n v="1"/>
    <n v="22560095"/>
    <n v="4"/>
    <n v="12"/>
    <n v="569"/>
    <n v="46730200"/>
    <n v="395159"/>
    <s v="Small"/>
    <s v="Hybrid"/>
    <n v="8"/>
    <n v="29.35"/>
    <n v="274208"/>
    <n v="1"/>
  </r>
  <r>
    <s v="Startup_3296"/>
    <x v="0"/>
    <n v="11"/>
    <n v="19311556"/>
    <n v="3"/>
    <n v="29"/>
    <n v="347"/>
    <n v="48680651"/>
    <n v="743976"/>
    <s v="Large"/>
    <s v="B2B"/>
    <n v="2"/>
    <n v="79.16"/>
    <n v="531351"/>
    <n v="1"/>
  </r>
  <r>
    <s v="Startup_3297"/>
    <x v="2"/>
    <n v="9"/>
    <n v="35628878"/>
    <n v="3"/>
    <n v="14"/>
    <n v="25"/>
    <n v="52120686"/>
    <n v="109191"/>
    <s v="Large"/>
    <s v="B2B"/>
    <n v="7"/>
    <n v="62.66"/>
    <n v="380193"/>
    <n v="1"/>
  </r>
  <r>
    <s v="Startup_3298"/>
    <x v="3"/>
    <n v="7"/>
    <n v="30278431"/>
    <n v="2"/>
    <n v="12"/>
    <n v="234"/>
    <n v="7566223"/>
    <n v="236643"/>
    <s v="Small"/>
    <s v="Hybrid"/>
    <n v="9"/>
    <n v="94.8"/>
    <n v="769341"/>
    <n v="1"/>
  </r>
  <r>
    <s v="Startup_3299"/>
    <x v="3"/>
    <n v="2"/>
    <n v="44790369"/>
    <n v="3"/>
    <n v="29"/>
    <n v="460"/>
    <n v="89502343"/>
    <n v="167260"/>
    <s v="Small"/>
    <s v="Hybrid"/>
    <n v="2"/>
    <n v="34.28"/>
    <n v="934820"/>
    <n v="1"/>
  </r>
  <r>
    <s v="Startup_3300"/>
    <x v="5"/>
    <n v="2"/>
    <n v="41810315"/>
    <n v="1"/>
    <n v="6"/>
    <n v="23"/>
    <n v="39744872"/>
    <n v="843476"/>
    <s v="Large"/>
    <s v="B2B"/>
    <n v="8"/>
    <n v="10.68"/>
    <n v="817867"/>
    <n v="1"/>
  </r>
  <r>
    <s v="Startup_3301"/>
    <x v="6"/>
    <n v="6"/>
    <n v="36944934"/>
    <n v="1"/>
    <n v="23"/>
    <n v="36"/>
    <n v="42247912"/>
    <n v="977660"/>
    <s v="Large"/>
    <s v="B2C"/>
    <n v="2"/>
    <n v="59.74"/>
    <n v="559793"/>
    <n v="1"/>
  </r>
  <r>
    <s v="Startup_3302"/>
    <x v="4"/>
    <n v="5"/>
    <n v="44626150"/>
    <n v="1"/>
    <n v="18"/>
    <n v="818"/>
    <n v="83704544"/>
    <n v="264847"/>
    <s v="Small"/>
    <s v="Hybrid"/>
    <n v="9"/>
    <n v="15.32"/>
    <n v="215778"/>
    <n v="1"/>
  </r>
  <r>
    <s v="Startup_3303"/>
    <x v="1"/>
    <n v="8"/>
    <n v="10097975"/>
    <n v="4"/>
    <n v="22"/>
    <n v="274"/>
    <n v="15673864"/>
    <n v="557020"/>
    <s v="Small"/>
    <s v="B2B"/>
    <n v="6"/>
    <n v="31.6"/>
    <n v="660430"/>
    <n v="1"/>
  </r>
  <r>
    <s v="Startup_3304"/>
    <x v="4"/>
    <n v="14"/>
    <n v="6225461"/>
    <n v="4"/>
    <n v="19"/>
    <n v="402"/>
    <n v="99947030"/>
    <n v="798823"/>
    <s v="Large"/>
    <s v="B2C"/>
    <n v="1"/>
    <n v="29.11"/>
    <n v="752193"/>
    <n v="1"/>
  </r>
  <r>
    <s v="Startup_3305"/>
    <x v="2"/>
    <n v="4"/>
    <n v="13809713"/>
    <n v="3"/>
    <n v="8"/>
    <n v="55"/>
    <n v="67497902"/>
    <n v="850576"/>
    <s v="Large"/>
    <s v="Hybrid"/>
    <n v="5"/>
    <n v="57.76"/>
    <n v="897854"/>
    <n v="1"/>
  </r>
  <r>
    <s v="Startup_3306"/>
    <x v="2"/>
    <n v="13"/>
    <n v="11571697"/>
    <n v="4"/>
    <n v="14"/>
    <n v="831"/>
    <n v="55436558"/>
    <n v="829233"/>
    <s v="Small"/>
    <s v="B2B"/>
    <n v="5"/>
    <n v="11.47"/>
    <n v="167407"/>
    <n v="1"/>
  </r>
  <r>
    <s v="Startup_3307"/>
    <x v="0"/>
    <n v="13"/>
    <n v="47714960"/>
    <n v="2"/>
    <n v="4"/>
    <n v="719"/>
    <n v="8850000"/>
    <n v="996564"/>
    <s v="Small"/>
    <s v="Hybrid"/>
    <n v="1"/>
    <n v="64.78"/>
    <n v="751505"/>
    <n v="1"/>
  </r>
  <r>
    <s v="Startup_3308"/>
    <x v="3"/>
    <n v="3"/>
    <n v="2832031"/>
    <n v="3"/>
    <n v="3"/>
    <n v="884"/>
    <n v="96000277"/>
    <n v="864958"/>
    <s v="Large"/>
    <s v="B2C"/>
    <n v="4"/>
    <n v="9.4600000000000009"/>
    <n v="412152"/>
    <n v="1"/>
  </r>
  <r>
    <s v="Startup_3309"/>
    <x v="1"/>
    <n v="1"/>
    <n v="36445230"/>
    <n v="3"/>
    <n v="29"/>
    <n v="840"/>
    <n v="45857492"/>
    <n v="177394"/>
    <s v="Medium"/>
    <s v="B2C"/>
    <n v="2"/>
    <n v="98.02"/>
    <n v="485352"/>
    <n v="1"/>
  </r>
  <r>
    <s v="Startup_3310"/>
    <x v="1"/>
    <n v="9"/>
    <n v="2329400"/>
    <n v="4"/>
    <n v="1"/>
    <n v="217"/>
    <n v="33205812"/>
    <n v="606908"/>
    <s v="Small"/>
    <s v="B2B"/>
    <n v="9"/>
    <n v="80.37"/>
    <n v="276023"/>
    <n v="1"/>
  </r>
  <r>
    <s v="Startup_3311"/>
    <x v="4"/>
    <n v="0"/>
    <n v="968816"/>
    <n v="3"/>
    <n v="6"/>
    <n v="757"/>
    <n v="60145052"/>
    <n v="681608"/>
    <s v="Small"/>
    <s v="B2C"/>
    <n v="4"/>
    <n v="73.11"/>
    <n v="313403"/>
    <n v="1"/>
  </r>
  <r>
    <s v="Startup_3312"/>
    <x v="5"/>
    <n v="7"/>
    <n v="24152852"/>
    <n v="2"/>
    <n v="14"/>
    <n v="617"/>
    <n v="70601920"/>
    <n v="794679"/>
    <s v="Medium"/>
    <s v="Hybrid"/>
    <n v="9"/>
    <n v="49.83"/>
    <n v="24145"/>
    <n v="1"/>
  </r>
  <r>
    <s v="Startup_3313"/>
    <x v="3"/>
    <n v="3"/>
    <n v="29547852"/>
    <n v="1"/>
    <n v="11"/>
    <n v="582"/>
    <n v="67532206"/>
    <n v="468247"/>
    <s v="Medium"/>
    <s v="B2C"/>
    <n v="4"/>
    <n v="72.040000000000006"/>
    <n v="91453"/>
    <n v="1"/>
  </r>
  <r>
    <s v="Startup_3314"/>
    <x v="1"/>
    <n v="11"/>
    <n v="49439271"/>
    <n v="4"/>
    <n v="29"/>
    <n v="402"/>
    <n v="60978918"/>
    <n v="222482"/>
    <s v="Small"/>
    <s v="Hybrid"/>
    <n v="4"/>
    <n v="39.119999999999997"/>
    <n v="918095"/>
    <n v="1"/>
  </r>
  <r>
    <s v="Startup_3315"/>
    <x v="3"/>
    <n v="8"/>
    <n v="40646891"/>
    <n v="3"/>
    <n v="25"/>
    <n v="956"/>
    <n v="37628769"/>
    <n v="691226"/>
    <s v="Medium"/>
    <s v="B2B"/>
    <n v="8"/>
    <n v="30.97"/>
    <n v="757707"/>
    <n v="1"/>
  </r>
  <r>
    <s v="Startup_3316"/>
    <x v="3"/>
    <n v="7"/>
    <n v="41409259"/>
    <n v="3"/>
    <n v="24"/>
    <n v="805"/>
    <n v="37242427"/>
    <n v="743917"/>
    <s v="Large"/>
    <s v="Hybrid"/>
    <n v="2"/>
    <n v="32.729999999999997"/>
    <n v="210928"/>
    <n v="1"/>
  </r>
  <r>
    <s v="Startup_3317"/>
    <x v="2"/>
    <n v="11"/>
    <n v="23117251"/>
    <n v="1"/>
    <n v="5"/>
    <n v="389"/>
    <n v="7665671"/>
    <n v="549801"/>
    <s v="Small"/>
    <s v="B2B"/>
    <n v="2"/>
    <n v="94.5"/>
    <n v="238548"/>
    <n v="1"/>
  </r>
  <r>
    <s v="Startup_3318"/>
    <x v="2"/>
    <n v="12"/>
    <n v="22767470"/>
    <n v="3"/>
    <n v="6"/>
    <n v="444"/>
    <n v="24507064"/>
    <n v="995365"/>
    <s v="Small"/>
    <s v="B2B"/>
    <n v="4"/>
    <n v="83.94"/>
    <n v="709074"/>
    <n v="1"/>
  </r>
  <r>
    <s v="Startup_3319"/>
    <x v="5"/>
    <n v="6"/>
    <n v="46501802"/>
    <n v="4"/>
    <n v="9"/>
    <n v="796"/>
    <n v="60822141"/>
    <n v="880484"/>
    <s v="Medium"/>
    <s v="B2C"/>
    <n v="6"/>
    <n v="35.99"/>
    <n v="699221"/>
    <n v="1"/>
  </r>
  <r>
    <s v="Startup_3320"/>
    <x v="1"/>
    <n v="14"/>
    <n v="34345799"/>
    <n v="3"/>
    <n v="2"/>
    <n v="513"/>
    <n v="99584596"/>
    <n v="237466"/>
    <s v="Large"/>
    <s v="Hybrid"/>
    <n v="6"/>
    <n v="54.2"/>
    <n v="369163"/>
    <n v="1"/>
  </r>
  <r>
    <s v="Startup_3321"/>
    <x v="1"/>
    <n v="11"/>
    <n v="2155774"/>
    <n v="3"/>
    <n v="18"/>
    <n v="852"/>
    <n v="1084140"/>
    <n v="301474"/>
    <s v="Large"/>
    <s v="B2B"/>
    <n v="3"/>
    <n v="11.62"/>
    <n v="103824"/>
    <n v="1"/>
  </r>
  <r>
    <s v="Startup_3322"/>
    <x v="1"/>
    <n v="1"/>
    <n v="5967886"/>
    <n v="4"/>
    <n v="21"/>
    <n v="982"/>
    <n v="46717396"/>
    <n v="875500"/>
    <s v="Large"/>
    <s v="Hybrid"/>
    <n v="5"/>
    <n v="79.59"/>
    <n v="809484"/>
    <n v="1"/>
  </r>
  <r>
    <s v="Startup_3323"/>
    <x v="6"/>
    <n v="14"/>
    <n v="40881892"/>
    <n v="3"/>
    <n v="9"/>
    <n v="202"/>
    <n v="70522922"/>
    <n v="499329"/>
    <s v="Large"/>
    <s v="B2B"/>
    <n v="9"/>
    <n v="15.15"/>
    <n v="719921"/>
    <n v="1"/>
  </r>
  <r>
    <s v="Startup_3324"/>
    <x v="2"/>
    <n v="0"/>
    <n v="10509959"/>
    <n v="3"/>
    <n v="28"/>
    <n v="152"/>
    <n v="1855127"/>
    <n v="822783"/>
    <s v="Medium"/>
    <s v="B2B"/>
    <n v="3"/>
    <n v="43.17"/>
    <n v="964653"/>
    <n v="1"/>
  </r>
  <r>
    <s v="Startup_3325"/>
    <x v="1"/>
    <n v="14"/>
    <n v="11623931"/>
    <n v="3"/>
    <n v="24"/>
    <n v="960"/>
    <n v="18829447"/>
    <n v="13412"/>
    <s v="Large"/>
    <s v="Hybrid"/>
    <n v="2"/>
    <n v="80.38"/>
    <n v="35113"/>
    <n v="1"/>
  </r>
  <r>
    <s v="Startup_3326"/>
    <x v="5"/>
    <n v="1"/>
    <n v="28350164"/>
    <n v="1"/>
    <n v="7"/>
    <n v="708"/>
    <n v="6109798"/>
    <n v="192002"/>
    <s v="Medium"/>
    <s v="B2C"/>
    <n v="1"/>
    <n v="71.52"/>
    <n v="575621"/>
    <n v="1"/>
  </r>
  <r>
    <s v="Startup_3327"/>
    <x v="6"/>
    <n v="6"/>
    <n v="36042945"/>
    <n v="4"/>
    <n v="19"/>
    <n v="152"/>
    <n v="32133040"/>
    <n v="904210"/>
    <s v="Medium"/>
    <s v="Hybrid"/>
    <n v="3"/>
    <n v="35.99"/>
    <n v="570898"/>
    <n v="1"/>
  </r>
  <r>
    <s v="Startup_3328"/>
    <x v="2"/>
    <n v="11"/>
    <n v="14700729"/>
    <n v="3"/>
    <n v="5"/>
    <n v="752"/>
    <n v="99393404"/>
    <n v="926478"/>
    <s v="Medium"/>
    <s v="Hybrid"/>
    <n v="9"/>
    <n v="7.4"/>
    <n v="513337"/>
    <n v="1"/>
  </r>
  <r>
    <s v="Startup_3329"/>
    <x v="4"/>
    <n v="8"/>
    <n v="48116456"/>
    <n v="4"/>
    <n v="22"/>
    <n v="310"/>
    <n v="82718488"/>
    <n v="43045"/>
    <s v="Large"/>
    <s v="B2C"/>
    <n v="7"/>
    <n v="20.420000000000002"/>
    <n v="765418"/>
    <n v="1"/>
  </r>
  <r>
    <s v="Startup_3330"/>
    <x v="5"/>
    <n v="3"/>
    <n v="42114950"/>
    <n v="4"/>
    <n v="27"/>
    <n v="732"/>
    <n v="59490672"/>
    <n v="811133"/>
    <s v="Small"/>
    <s v="B2C"/>
    <n v="9"/>
    <n v="41.3"/>
    <n v="675242"/>
    <n v="1"/>
  </r>
  <r>
    <s v="Startup_3331"/>
    <x v="5"/>
    <n v="1"/>
    <n v="19641753"/>
    <n v="4"/>
    <n v="8"/>
    <n v="858"/>
    <n v="92893444"/>
    <n v="636637"/>
    <s v="Large"/>
    <s v="Hybrid"/>
    <n v="9"/>
    <n v="23.78"/>
    <n v="563351"/>
    <n v="1"/>
  </r>
  <r>
    <s v="Startup_3332"/>
    <x v="5"/>
    <n v="7"/>
    <n v="19086828"/>
    <n v="1"/>
    <n v="10"/>
    <n v="847"/>
    <n v="38147075"/>
    <n v="934136"/>
    <s v="Medium"/>
    <s v="B2C"/>
    <n v="7"/>
    <n v="32.090000000000003"/>
    <n v="601547"/>
    <n v="1"/>
  </r>
  <r>
    <s v="Startup_3333"/>
    <x v="5"/>
    <n v="11"/>
    <n v="19346585"/>
    <n v="3"/>
    <n v="22"/>
    <n v="317"/>
    <n v="96326628"/>
    <n v="503636"/>
    <s v="Large"/>
    <s v="B2B"/>
    <n v="6"/>
    <n v="85.89"/>
    <n v="573736"/>
    <n v="1"/>
  </r>
  <r>
    <s v="Startup_3334"/>
    <x v="5"/>
    <n v="11"/>
    <n v="45760336"/>
    <n v="1"/>
    <n v="21"/>
    <n v="767"/>
    <n v="80380796"/>
    <n v="61619"/>
    <s v="Small"/>
    <s v="B2C"/>
    <n v="2"/>
    <n v="71.430000000000007"/>
    <n v="80213"/>
    <n v="1"/>
  </r>
  <r>
    <s v="Startup_3335"/>
    <x v="2"/>
    <n v="1"/>
    <n v="49414450"/>
    <n v="2"/>
    <n v="15"/>
    <n v="372"/>
    <n v="37201723"/>
    <n v="383179"/>
    <s v="Large"/>
    <s v="Hybrid"/>
    <n v="4"/>
    <n v="78.760000000000005"/>
    <n v="324553"/>
    <n v="1"/>
  </r>
  <r>
    <s v="Startup_3336"/>
    <x v="0"/>
    <n v="4"/>
    <n v="13436715"/>
    <n v="1"/>
    <n v="10"/>
    <n v="839"/>
    <n v="48015164"/>
    <n v="778357"/>
    <s v="Large"/>
    <s v="Hybrid"/>
    <n v="1"/>
    <n v="98.18"/>
    <n v="225159"/>
    <n v="1"/>
  </r>
  <r>
    <s v="Startup_3337"/>
    <x v="3"/>
    <n v="0"/>
    <n v="17727597"/>
    <n v="1"/>
    <n v="19"/>
    <n v="417"/>
    <n v="54445585"/>
    <n v="543468"/>
    <s v="Medium"/>
    <s v="B2B"/>
    <n v="5"/>
    <n v="26.38"/>
    <n v="572018"/>
    <n v="1"/>
  </r>
  <r>
    <s v="Startup_3338"/>
    <x v="5"/>
    <n v="3"/>
    <n v="17950121"/>
    <n v="2"/>
    <n v="23"/>
    <n v="902"/>
    <n v="44964730"/>
    <n v="676980"/>
    <s v="Large"/>
    <s v="B2C"/>
    <n v="1"/>
    <n v="37.03"/>
    <n v="390627"/>
    <n v="1"/>
  </r>
  <r>
    <s v="Startup_3339"/>
    <x v="0"/>
    <n v="10"/>
    <n v="43831270"/>
    <n v="3"/>
    <n v="29"/>
    <n v="605"/>
    <n v="37248834"/>
    <n v="48078"/>
    <s v="Small"/>
    <s v="B2B"/>
    <n v="4"/>
    <n v="47.56"/>
    <n v="130643"/>
    <n v="1"/>
  </r>
  <r>
    <s v="Startup_3340"/>
    <x v="0"/>
    <n v="1"/>
    <n v="14946143"/>
    <n v="4"/>
    <n v="15"/>
    <n v="750"/>
    <n v="43789903"/>
    <n v="834817"/>
    <s v="Small"/>
    <s v="Hybrid"/>
    <n v="4"/>
    <n v="75.91"/>
    <n v="730406"/>
    <n v="1"/>
  </r>
  <r>
    <s v="Startup_3341"/>
    <x v="3"/>
    <n v="10"/>
    <n v="32958957"/>
    <n v="1"/>
    <n v="16"/>
    <n v="881"/>
    <n v="70633985"/>
    <n v="595385"/>
    <s v="Medium"/>
    <s v="Hybrid"/>
    <n v="3"/>
    <n v="99.68"/>
    <n v="809086"/>
    <n v="1"/>
  </r>
  <r>
    <s v="Startup_3342"/>
    <x v="6"/>
    <n v="3"/>
    <n v="21805360"/>
    <n v="2"/>
    <n v="0"/>
    <n v="432"/>
    <n v="75815658"/>
    <n v="724257"/>
    <s v="Small"/>
    <s v="Hybrid"/>
    <n v="4"/>
    <n v="82.31"/>
    <n v="44183"/>
    <n v="1"/>
  </r>
  <r>
    <s v="Startup_3343"/>
    <x v="2"/>
    <n v="6"/>
    <n v="23407038"/>
    <n v="1"/>
    <n v="7"/>
    <n v="299"/>
    <n v="80394521"/>
    <n v="538377"/>
    <s v="Small"/>
    <s v="Hybrid"/>
    <n v="6"/>
    <n v="15.59"/>
    <n v="332720"/>
    <n v="1"/>
  </r>
  <r>
    <s v="Startup_3344"/>
    <x v="6"/>
    <n v="14"/>
    <n v="10514744"/>
    <n v="4"/>
    <n v="11"/>
    <n v="474"/>
    <n v="44651527"/>
    <n v="867614"/>
    <s v="Large"/>
    <s v="B2B"/>
    <n v="1"/>
    <n v="48.82"/>
    <n v="41485"/>
    <n v="1"/>
  </r>
  <r>
    <s v="Startup_3345"/>
    <x v="1"/>
    <n v="3"/>
    <n v="9552120"/>
    <n v="3"/>
    <n v="15"/>
    <n v="929"/>
    <n v="93578079"/>
    <n v="545462"/>
    <s v="Small"/>
    <s v="B2C"/>
    <n v="7"/>
    <n v="4.49"/>
    <n v="262919"/>
    <n v="1"/>
  </r>
  <r>
    <s v="Startup_3346"/>
    <x v="5"/>
    <n v="7"/>
    <n v="30362707"/>
    <n v="2"/>
    <n v="28"/>
    <n v="478"/>
    <n v="28053920"/>
    <n v="467389"/>
    <s v="Large"/>
    <s v="Hybrid"/>
    <n v="9"/>
    <n v="53.49"/>
    <n v="932875"/>
    <n v="1"/>
  </r>
  <r>
    <s v="Startup_3347"/>
    <x v="0"/>
    <n v="3"/>
    <n v="5191015"/>
    <n v="1"/>
    <n v="17"/>
    <n v="278"/>
    <n v="27247304"/>
    <n v="647457"/>
    <s v="Small"/>
    <s v="B2C"/>
    <n v="6"/>
    <n v="68.48"/>
    <n v="269988"/>
    <n v="1"/>
  </r>
  <r>
    <s v="Startup_3348"/>
    <x v="5"/>
    <n v="0"/>
    <n v="10897792"/>
    <n v="1"/>
    <n v="15"/>
    <n v="611"/>
    <n v="84505448"/>
    <n v="284775"/>
    <s v="Small"/>
    <s v="B2B"/>
    <n v="2"/>
    <n v="23.74"/>
    <n v="652701"/>
    <n v="1"/>
  </r>
  <r>
    <s v="Startup_3349"/>
    <x v="1"/>
    <n v="1"/>
    <n v="46618087"/>
    <n v="4"/>
    <n v="13"/>
    <n v="863"/>
    <n v="98102572"/>
    <n v="391980"/>
    <s v="Medium"/>
    <s v="Hybrid"/>
    <n v="4"/>
    <n v="59.01"/>
    <n v="849039"/>
    <n v="1"/>
  </r>
  <r>
    <s v="Startup_3350"/>
    <x v="1"/>
    <n v="9"/>
    <n v="20788206"/>
    <n v="4"/>
    <n v="19"/>
    <n v="156"/>
    <n v="36010072"/>
    <n v="148670"/>
    <s v="Large"/>
    <s v="Hybrid"/>
    <n v="2"/>
    <n v="64.48"/>
    <n v="477652"/>
    <n v="1"/>
  </r>
  <r>
    <s v="Startup_3351"/>
    <x v="4"/>
    <n v="13"/>
    <n v="44144495"/>
    <n v="3"/>
    <n v="23"/>
    <n v="695"/>
    <n v="31304295"/>
    <n v="178764"/>
    <s v="Large"/>
    <s v="B2B"/>
    <n v="3"/>
    <n v="0.95"/>
    <n v="193287"/>
    <n v="1"/>
  </r>
  <r>
    <s v="Startup_3352"/>
    <x v="5"/>
    <n v="14"/>
    <n v="44915097"/>
    <n v="4"/>
    <n v="0"/>
    <n v="732"/>
    <n v="21796161"/>
    <n v="813915"/>
    <s v="Small"/>
    <s v="B2C"/>
    <n v="1"/>
    <n v="61.17"/>
    <n v="533002"/>
    <n v="1"/>
  </r>
  <r>
    <s v="Startup_3353"/>
    <x v="4"/>
    <n v="3"/>
    <n v="15729186"/>
    <n v="3"/>
    <n v="14"/>
    <n v="482"/>
    <n v="49477139"/>
    <n v="719844"/>
    <s v="Small"/>
    <s v="Hybrid"/>
    <n v="6"/>
    <n v="96.89"/>
    <n v="637936"/>
    <n v="1"/>
  </r>
  <r>
    <s v="Startup_3354"/>
    <x v="3"/>
    <n v="2"/>
    <n v="17189012"/>
    <n v="1"/>
    <n v="21"/>
    <n v="999"/>
    <n v="39297199"/>
    <n v="565966"/>
    <s v="Large"/>
    <s v="Hybrid"/>
    <n v="5"/>
    <n v="86.39"/>
    <n v="176705"/>
    <n v="1"/>
  </r>
  <r>
    <s v="Startup_3355"/>
    <x v="2"/>
    <n v="9"/>
    <n v="18305606"/>
    <n v="3"/>
    <n v="13"/>
    <n v="721"/>
    <n v="30512946"/>
    <n v="610851"/>
    <s v="Large"/>
    <s v="B2C"/>
    <n v="5"/>
    <n v="19.559999999999999"/>
    <n v="638651"/>
    <n v="1"/>
  </r>
  <r>
    <s v="Startup_3356"/>
    <x v="1"/>
    <n v="13"/>
    <n v="45472324"/>
    <n v="3"/>
    <n v="6"/>
    <n v="979"/>
    <n v="1382210"/>
    <n v="884551"/>
    <s v="Large"/>
    <s v="Hybrid"/>
    <n v="2"/>
    <n v="41.29"/>
    <n v="118353"/>
    <n v="1"/>
  </r>
  <r>
    <s v="Startup_3357"/>
    <x v="2"/>
    <n v="13"/>
    <n v="33589089"/>
    <n v="1"/>
    <n v="27"/>
    <n v="652"/>
    <n v="31611574"/>
    <n v="669213"/>
    <s v="Small"/>
    <s v="B2C"/>
    <n v="7"/>
    <n v="57.76"/>
    <n v="387696"/>
    <n v="1"/>
  </r>
  <r>
    <s v="Startup_3358"/>
    <x v="6"/>
    <n v="12"/>
    <n v="41934671"/>
    <n v="2"/>
    <n v="5"/>
    <n v="949"/>
    <n v="70888216"/>
    <n v="902066"/>
    <s v="Small"/>
    <s v="B2C"/>
    <n v="5"/>
    <n v="1.18"/>
    <n v="920873"/>
    <n v="1"/>
  </r>
  <r>
    <s v="Startup_3359"/>
    <x v="3"/>
    <n v="6"/>
    <n v="27464894"/>
    <n v="4"/>
    <n v="21"/>
    <n v="320"/>
    <n v="46157347"/>
    <n v="187660"/>
    <s v="Large"/>
    <s v="B2C"/>
    <n v="6"/>
    <n v="60.9"/>
    <n v="808771"/>
    <n v="1"/>
  </r>
  <r>
    <s v="Startup_3360"/>
    <x v="4"/>
    <n v="4"/>
    <n v="10741279"/>
    <n v="1"/>
    <n v="2"/>
    <n v="43"/>
    <n v="63969314"/>
    <n v="744139"/>
    <s v="Large"/>
    <s v="B2B"/>
    <n v="2"/>
    <n v="51.29"/>
    <n v="20380"/>
    <n v="1"/>
  </r>
  <r>
    <s v="Startup_3361"/>
    <x v="5"/>
    <n v="2"/>
    <n v="15291155"/>
    <n v="1"/>
    <n v="5"/>
    <n v="602"/>
    <n v="45730414"/>
    <n v="101653"/>
    <s v="Small"/>
    <s v="B2B"/>
    <n v="7"/>
    <n v="87.86"/>
    <n v="381073"/>
    <n v="1"/>
  </r>
  <r>
    <s v="Startup_3362"/>
    <x v="3"/>
    <n v="5"/>
    <n v="18641306"/>
    <n v="1"/>
    <n v="8"/>
    <n v="38"/>
    <n v="44501194"/>
    <n v="348088"/>
    <s v="Medium"/>
    <s v="Hybrid"/>
    <n v="3"/>
    <n v="3.51"/>
    <n v="506986"/>
    <n v="1"/>
  </r>
  <r>
    <s v="Startup_3363"/>
    <x v="4"/>
    <n v="11"/>
    <n v="32625670"/>
    <n v="4"/>
    <n v="4"/>
    <n v="476"/>
    <n v="82982168"/>
    <n v="92676"/>
    <s v="Small"/>
    <s v="Hybrid"/>
    <n v="8"/>
    <n v="17.559999999999999"/>
    <n v="885384"/>
    <n v="1"/>
  </r>
  <r>
    <s v="Startup_3364"/>
    <x v="1"/>
    <n v="14"/>
    <n v="15513949"/>
    <n v="4"/>
    <n v="17"/>
    <n v="743"/>
    <n v="93628950"/>
    <n v="156044"/>
    <s v="Medium"/>
    <s v="B2C"/>
    <n v="9"/>
    <n v="67.2"/>
    <n v="425974"/>
    <n v="1"/>
  </r>
  <r>
    <s v="Startup_3365"/>
    <x v="5"/>
    <n v="2"/>
    <n v="38743110"/>
    <n v="4"/>
    <n v="4"/>
    <n v="314"/>
    <n v="6002381"/>
    <n v="405346"/>
    <s v="Small"/>
    <s v="B2C"/>
    <n v="2"/>
    <n v="20.69"/>
    <n v="572672"/>
    <n v="1"/>
  </r>
  <r>
    <s v="Startup_3366"/>
    <x v="2"/>
    <n v="12"/>
    <n v="36669554"/>
    <n v="4"/>
    <n v="23"/>
    <n v="12"/>
    <n v="67056052"/>
    <n v="319422"/>
    <s v="Medium"/>
    <s v="B2B"/>
    <n v="2"/>
    <n v="19.170000000000002"/>
    <n v="292542"/>
    <n v="1"/>
  </r>
  <r>
    <s v="Startup_3367"/>
    <x v="0"/>
    <n v="8"/>
    <n v="44585735"/>
    <n v="4"/>
    <n v="6"/>
    <n v="592"/>
    <n v="10740609"/>
    <n v="284205"/>
    <s v="Medium"/>
    <s v="B2B"/>
    <n v="4"/>
    <n v="27.66"/>
    <n v="825608"/>
    <n v="1"/>
  </r>
  <r>
    <s v="Startup_3368"/>
    <x v="1"/>
    <n v="13"/>
    <n v="4076741"/>
    <n v="3"/>
    <n v="7"/>
    <n v="431"/>
    <n v="78719169"/>
    <n v="16704"/>
    <s v="Medium"/>
    <s v="B2C"/>
    <n v="4"/>
    <n v="33.71"/>
    <n v="230533"/>
    <n v="1"/>
  </r>
  <r>
    <s v="Startup_3369"/>
    <x v="5"/>
    <n v="0"/>
    <n v="34587093"/>
    <n v="4"/>
    <n v="7"/>
    <n v="313"/>
    <n v="51476468"/>
    <n v="460901"/>
    <s v="Medium"/>
    <s v="B2B"/>
    <n v="8"/>
    <n v="10.5"/>
    <n v="502855"/>
    <n v="1"/>
  </r>
  <r>
    <s v="Startup_3370"/>
    <x v="0"/>
    <n v="10"/>
    <n v="5207587"/>
    <n v="4"/>
    <n v="1"/>
    <n v="808"/>
    <n v="72453991"/>
    <n v="153723"/>
    <s v="Medium"/>
    <s v="B2C"/>
    <n v="5"/>
    <n v="37.54"/>
    <n v="794070"/>
    <n v="1"/>
  </r>
  <r>
    <s v="Startup_3371"/>
    <x v="5"/>
    <n v="4"/>
    <n v="29285442"/>
    <n v="3"/>
    <n v="25"/>
    <n v="644"/>
    <n v="34085702"/>
    <n v="816556"/>
    <s v="Medium"/>
    <s v="B2C"/>
    <n v="4"/>
    <n v="37.15"/>
    <n v="730600"/>
    <n v="1"/>
  </r>
  <r>
    <s v="Startup_3372"/>
    <x v="2"/>
    <n v="3"/>
    <n v="14601212"/>
    <n v="3"/>
    <n v="8"/>
    <n v="697"/>
    <n v="53845884"/>
    <n v="992695"/>
    <s v="Large"/>
    <s v="Hybrid"/>
    <n v="5"/>
    <n v="46.85"/>
    <n v="913231"/>
    <n v="1"/>
  </r>
  <r>
    <s v="Startup_3373"/>
    <x v="0"/>
    <n v="7"/>
    <n v="23018915"/>
    <n v="3"/>
    <n v="15"/>
    <n v="611"/>
    <n v="20573150"/>
    <n v="662220"/>
    <s v="Large"/>
    <s v="B2B"/>
    <n v="7"/>
    <n v="29.99"/>
    <n v="288471"/>
    <n v="1"/>
  </r>
  <r>
    <s v="Startup_3374"/>
    <x v="6"/>
    <n v="5"/>
    <n v="29670063"/>
    <n v="2"/>
    <n v="19"/>
    <n v="128"/>
    <n v="88923431"/>
    <n v="369743"/>
    <s v="Large"/>
    <s v="Hybrid"/>
    <n v="2"/>
    <n v="22.14"/>
    <n v="305160"/>
    <n v="1"/>
  </r>
  <r>
    <s v="Startup_3375"/>
    <x v="1"/>
    <n v="5"/>
    <n v="36787324"/>
    <n v="4"/>
    <n v="9"/>
    <n v="375"/>
    <n v="96998421"/>
    <n v="935324"/>
    <s v="Small"/>
    <s v="Hybrid"/>
    <n v="8"/>
    <n v="35.25"/>
    <n v="199194"/>
    <n v="1"/>
  </r>
  <r>
    <s v="Startup_3376"/>
    <x v="1"/>
    <n v="13"/>
    <n v="7664835"/>
    <n v="2"/>
    <n v="24"/>
    <n v="326"/>
    <n v="18104373"/>
    <n v="339858"/>
    <s v="Large"/>
    <s v="Hybrid"/>
    <n v="6"/>
    <n v="93.12"/>
    <n v="245079"/>
    <n v="1"/>
  </r>
  <r>
    <s v="Startup_3377"/>
    <x v="3"/>
    <n v="8"/>
    <n v="6755360"/>
    <n v="1"/>
    <n v="13"/>
    <n v="959"/>
    <n v="81354204"/>
    <n v="909279"/>
    <s v="Medium"/>
    <s v="B2C"/>
    <n v="5"/>
    <n v="43.34"/>
    <n v="924113"/>
    <n v="1"/>
  </r>
  <r>
    <s v="Startup_3378"/>
    <x v="1"/>
    <n v="4"/>
    <n v="29509893"/>
    <n v="2"/>
    <n v="16"/>
    <n v="515"/>
    <n v="54801530"/>
    <n v="367113"/>
    <s v="Medium"/>
    <s v="B2B"/>
    <n v="1"/>
    <n v="55.25"/>
    <n v="213679"/>
    <n v="1"/>
  </r>
  <r>
    <s v="Startup_3379"/>
    <x v="6"/>
    <n v="14"/>
    <n v="19966754"/>
    <n v="2"/>
    <n v="7"/>
    <n v="226"/>
    <n v="65469239"/>
    <n v="819445"/>
    <s v="Medium"/>
    <s v="B2C"/>
    <n v="2"/>
    <n v="39.409999999999997"/>
    <n v="268362"/>
    <n v="1"/>
  </r>
  <r>
    <s v="Startup_3380"/>
    <x v="0"/>
    <n v="4"/>
    <n v="13322658"/>
    <n v="2"/>
    <n v="19"/>
    <n v="368"/>
    <n v="35707673"/>
    <n v="924723"/>
    <s v="Small"/>
    <s v="B2B"/>
    <n v="3"/>
    <n v="94.26"/>
    <n v="217835"/>
    <n v="1"/>
  </r>
  <r>
    <s v="Startup_3381"/>
    <x v="3"/>
    <n v="11"/>
    <n v="31043227"/>
    <n v="3"/>
    <n v="11"/>
    <n v="386"/>
    <n v="21137153"/>
    <n v="89137"/>
    <s v="Large"/>
    <s v="B2B"/>
    <n v="1"/>
    <n v="70.58"/>
    <n v="311890"/>
    <n v="1"/>
  </r>
  <r>
    <s v="Startup_3382"/>
    <x v="5"/>
    <n v="13"/>
    <n v="17251800"/>
    <n v="2"/>
    <n v="19"/>
    <n v="23"/>
    <n v="47744757"/>
    <n v="579852"/>
    <s v="Medium"/>
    <s v="Hybrid"/>
    <n v="8"/>
    <n v="67.91"/>
    <n v="272654"/>
    <n v="1"/>
  </r>
  <r>
    <s v="Startup_3383"/>
    <x v="4"/>
    <n v="14"/>
    <n v="7784861"/>
    <n v="4"/>
    <n v="10"/>
    <n v="148"/>
    <n v="9607152"/>
    <n v="851715"/>
    <s v="Small"/>
    <s v="Hybrid"/>
    <n v="9"/>
    <n v="77.87"/>
    <n v="262877"/>
    <n v="1"/>
  </r>
  <r>
    <s v="Startup_3384"/>
    <x v="1"/>
    <n v="2"/>
    <n v="13959809"/>
    <n v="3"/>
    <n v="1"/>
    <n v="397"/>
    <n v="16522723"/>
    <n v="436021"/>
    <s v="Medium"/>
    <s v="B2C"/>
    <n v="2"/>
    <n v="97.31"/>
    <n v="519821"/>
    <n v="1"/>
  </r>
  <r>
    <s v="Startup_3385"/>
    <x v="5"/>
    <n v="13"/>
    <n v="28611533"/>
    <n v="4"/>
    <n v="6"/>
    <n v="338"/>
    <n v="89887879"/>
    <n v="785125"/>
    <s v="Medium"/>
    <s v="B2C"/>
    <n v="8"/>
    <n v="95.1"/>
    <n v="738008"/>
    <n v="1"/>
  </r>
  <r>
    <s v="Startup_3386"/>
    <x v="0"/>
    <n v="11"/>
    <n v="49131145"/>
    <n v="4"/>
    <n v="1"/>
    <n v="120"/>
    <n v="18978429"/>
    <n v="915660"/>
    <s v="Large"/>
    <s v="B2B"/>
    <n v="2"/>
    <n v="24.71"/>
    <n v="70456"/>
    <n v="1"/>
  </r>
  <r>
    <s v="Startup_3387"/>
    <x v="4"/>
    <n v="2"/>
    <n v="11798859"/>
    <n v="3"/>
    <n v="29"/>
    <n v="454"/>
    <n v="72135854"/>
    <n v="9495"/>
    <s v="Medium"/>
    <s v="B2B"/>
    <n v="9"/>
    <n v="22.54"/>
    <n v="156586"/>
    <n v="1"/>
  </r>
  <r>
    <s v="Startup_3388"/>
    <x v="0"/>
    <n v="0"/>
    <n v="8663132"/>
    <n v="4"/>
    <n v="27"/>
    <n v="242"/>
    <n v="51454149"/>
    <n v="390045"/>
    <s v="Medium"/>
    <s v="Hybrid"/>
    <n v="8"/>
    <n v="18.510000000000002"/>
    <n v="912354"/>
    <n v="1"/>
  </r>
  <r>
    <s v="Startup_3389"/>
    <x v="6"/>
    <n v="3"/>
    <n v="9891687"/>
    <n v="2"/>
    <n v="4"/>
    <n v="541"/>
    <n v="37970955"/>
    <n v="843189"/>
    <s v="Small"/>
    <s v="B2B"/>
    <n v="8"/>
    <n v="7.81"/>
    <n v="705730"/>
    <n v="1"/>
  </r>
  <r>
    <s v="Startup_3390"/>
    <x v="0"/>
    <n v="9"/>
    <n v="8194538"/>
    <n v="4"/>
    <n v="10"/>
    <n v="357"/>
    <n v="12091569"/>
    <n v="701200"/>
    <s v="Small"/>
    <s v="B2C"/>
    <n v="2"/>
    <n v="48.04"/>
    <n v="520535"/>
    <n v="1"/>
  </r>
  <r>
    <s v="Startup_3391"/>
    <x v="4"/>
    <n v="4"/>
    <n v="6780048"/>
    <n v="2"/>
    <n v="21"/>
    <n v="276"/>
    <n v="82623827"/>
    <n v="759752"/>
    <s v="Large"/>
    <s v="Hybrid"/>
    <n v="7"/>
    <n v="95.72"/>
    <n v="759939"/>
    <n v="1"/>
  </r>
  <r>
    <s v="Startup_3392"/>
    <x v="0"/>
    <n v="8"/>
    <n v="26255441"/>
    <n v="2"/>
    <n v="1"/>
    <n v="183"/>
    <n v="13893400"/>
    <n v="673891"/>
    <s v="Large"/>
    <s v="B2C"/>
    <n v="9"/>
    <n v="54.42"/>
    <n v="430161"/>
    <n v="1"/>
  </r>
  <r>
    <s v="Startup_3393"/>
    <x v="2"/>
    <n v="0"/>
    <n v="8738715"/>
    <n v="4"/>
    <n v="6"/>
    <n v="550"/>
    <n v="14975025"/>
    <n v="102946"/>
    <s v="Medium"/>
    <s v="B2B"/>
    <n v="5"/>
    <n v="10.6"/>
    <n v="411030"/>
    <n v="1"/>
  </r>
  <r>
    <s v="Startup_3394"/>
    <x v="2"/>
    <n v="12"/>
    <n v="16229921"/>
    <n v="2"/>
    <n v="15"/>
    <n v="535"/>
    <n v="20808932"/>
    <n v="993825"/>
    <s v="Large"/>
    <s v="B2C"/>
    <n v="8"/>
    <n v="90.38"/>
    <n v="636464"/>
    <n v="1"/>
  </r>
  <r>
    <s v="Startup_3395"/>
    <x v="3"/>
    <n v="12"/>
    <n v="14465944"/>
    <n v="3"/>
    <n v="11"/>
    <n v="418"/>
    <n v="99832377"/>
    <n v="147377"/>
    <s v="Large"/>
    <s v="Hybrid"/>
    <n v="4"/>
    <n v="59.99"/>
    <n v="827437"/>
    <n v="1"/>
  </r>
  <r>
    <s v="Startup_3396"/>
    <x v="0"/>
    <n v="9"/>
    <n v="21915952"/>
    <n v="3"/>
    <n v="13"/>
    <n v="918"/>
    <n v="33501501"/>
    <n v="354765"/>
    <s v="Medium"/>
    <s v="Hybrid"/>
    <n v="7"/>
    <n v="9.65"/>
    <n v="347447"/>
    <n v="1"/>
  </r>
  <r>
    <s v="Startup_3397"/>
    <x v="1"/>
    <n v="6"/>
    <n v="49802223"/>
    <n v="4"/>
    <n v="19"/>
    <n v="584"/>
    <n v="63183533"/>
    <n v="310815"/>
    <s v="Large"/>
    <s v="B2C"/>
    <n v="2"/>
    <n v="34.28"/>
    <n v="295342"/>
    <n v="1"/>
  </r>
  <r>
    <s v="Startup_3398"/>
    <x v="4"/>
    <n v="2"/>
    <n v="15573908"/>
    <n v="4"/>
    <n v="4"/>
    <n v="539"/>
    <n v="16529721"/>
    <n v="432089"/>
    <s v="Medium"/>
    <s v="B2B"/>
    <n v="2"/>
    <n v="6.4"/>
    <n v="381080"/>
    <n v="1"/>
  </r>
  <r>
    <s v="Startup_3399"/>
    <x v="5"/>
    <n v="1"/>
    <n v="5548590"/>
    <n v="2"/>
    <n v="23"/>
    <n v="901"/>
    <n v="67634620"/>
    <n v="431724"/>
    <s v="Medium"/>
    <s v="Hybrid"/>
    <n v="9"/>
    <n v="33.51"/>
    <n v="804899"/>
    <n v="1"/>
  </r>
  <r>
    <s v="Startup_3400"/>
    <x v="2"/>
    <n v="1"/>
    <n v="18885177"/>
    <n v="3"/>
    <n v="1"/>
    <n v="608"/>
    <n v="29211421"/>
    <n v="866472"/>
    <s v="Large"/>
    <s v="Hybrid"/>
    <n v="8"/>
    <n v="23.4"/>
    <n v="636888"/>
    <n v="1"/>
  </r>
  <r>
    <s v="Startup_3401"/>
    <x v="2"/>
    <n v="5"/>
    <n v="15611212"/>
    <n v="1"/>
    <n v="16"/>
    <n v="340"/>
    <n v="26893510"/>
    <n v="768963"/>
    <s v="Small"/>
    <s v="B2C"/>
    <n v="1"/>
    <n v="82.13"/>
    <n v="723201"/>
    <n v="1"/>
  </r>
  <r>
    <s v="Startup_3402"/>
    <x v="2"/>
    <n v="0"/>
    <n v="4206946"/>
    <n v="1"/>
    <n v="10"/>
    <n v="866"/>
    <n v="30773972"/>
    <n v="671818"/>
    <s v="Small"/>
    <s v="Hybrid"/>
    <n v="3"/>
    <n v="46.89"/>
    <n v="996858"/>
    <n v="1"/>
  </r>
  <r>
    <s v="Startup_3403"/>
    <x v="5"/>
    <n v="5"/>
    <n v="49441279"/>
    <n v="1"/>
    <n v="18"/>
    <n v="740"/>
    <n v="33077717"/>
    <n v="364116"/>
    <s v="Large"/>
    <s v="Hybrid"/>
    <n v="8"/>
    <n v="67.67"/>
    <n v="254170"/>
    <n v="1"/>
  </r>
  <r>
    <s v="Startup_3404"/>
    <x v="4"/>
    <n v="4"/>
    <n v="40382028"/>
    <n v="2"/>
    <n v="11"/>
    <n v="943"/>
    <n v="93937086"/>
    <n v="921347"/>
    <s v="Medium"/>
    <s v="Hybrid"/>
    <n v="5"/>
    <n v="32.97"/>
    <n v="640995"/>
    <n v="1"/>
  </r>
  <r>
    <s v="Startup_3405"/>
    <x v="2"/>
    <n v="14"/>
    <n v="18535052"/>
    <n v="2"/>
    <n v="29"/>
    <n v="466"/>
    <n v="82594642"/>
    <n v="715133"/>
    <s v="Large"/>
    <s v="B2C"/>
    <n v="6"/>
    <n v="9.18"/>
    <n v="391551"/>
    <n v="1"/>
  </r>
  <r>
    <s v="Startup_3406"/>
    <x v="5"/>
    <n v="14"/>
    <n v="44097333"/>
    <n v="4"/>
    <n v="18"/>
    <n v="56"/>
    <n v="38811819"/>
    <n v="312352"/>
    <s v="Small"/>
    <s v="B2B"/>
    <n v="1"/>
    <n v="52.37"/>
    <n v="994818"/>
    <n v="1"/>
  </r>
  <r>
    <s v="Startup_3407"/>
    <x v="4"/>
    <n v="0"/>
    <n v="12975776"/>
    <n v="4"/>
    <n v="22"/>
    <n v="11"/>
    <n v="57221963"/>
    <n v="622871"/>
    <s v="Medium"/>
    <s v="B2C"/>
    <n v="8"/>
    <n v="60.93"/>
    <n v="368809"/>
    <n v="1"/>
  </r>
  <r>
    <s v="Startup_3408"/>
    <x v="4"/>
    <n v="12"/>
    <n v="40983640"/>
    <n v="4"/>
    <n v="1"/>
    <n v="253"/>
    <n v="6979437"/>
    <n v="256719"/>
    <s v="Small"/>
    <s v="Hybrid"/>
    <n v="7"/>
    <n v="31.8"/>
    <n v="199917"/>
    <n v="1"/>
  </r>
  <r>
    <s v="Startup_3409"/>
    <x v="3"/>
    <n v="1"/>
    <n v="38995270"/>
    <n v="1"/>
    <n v="26"/>
    <n v="975"/>
    <n v="10350322"/>
    <n v="997525"/>
    <s v="Small"/>
    <s v="B2C"/>
    <n v="1"/>
    <n v="88.85"/>
    <n v="855956"/>
    <n v="1"/>
  </r>
  <r>
    <s v="Startup_3410"/>
    <x v="5"/>
    <n v="1"/>
    <n v="37153105"/>
    <n v="1"/>
    <n v="19"/>
    <n v="730"/>
    <n v="79547716"/>
    <n v="908308"/>
    <s v="Large"/>
    <s v="B2B"/>
    <n v="1"/>
    <n v="32.01"/>
    <n v="556016"/>
    <n v="1"/>
  </r>
  <r>
    <s v="Startup_3411"/>
    <x v="1"/>
    <n v="9"/>
    <n v="20409923"/>
    <n v="4"/>
    <n v="15"/>
    <n v="767"/>
    <n v="65595214"/>
    <n v="565895"/>
    <s v="Large"/>
    <s v="B2B"/>
    <n v="7"/>
    <n v="31.81"/>
    <n v="968856"/>
    <n v="1"/>
  </r>
  <r>
    <s v="Startup_3412"/>
    <x v="2"/>
    <n v="11"/>
    <n v="32106304"/>
    <n v="4"/>
    <n v="8"/>
    <n v="518"/>
    <n v="63206301"/>
    <n v="416534"/>
    <s v="Large"/>
    <s v="B2C"/>
    <n v="8"/>
    <n v="2.13"/>
    <n v="315000"/>
    <n v="1"/>
  </r>
  <r>
    <s v="Startup_3413"/>
    <x v="1"/>
    <n v="8"/>
    <n v="47422966"/>
    <n v="3"/>
    <n v="21"/>
    <n v="817"/>
    <n v="53954677"/>
    <n v="987035"/>
    <s v="Medium"/>
    <s v="B2B"/>
    <n v="5"/>
    <n v="7.65"/>
    <n v="43873"/>
    <n v="1"/>
  </r>
  <r>
    <s v="Startup_3414"/>
    <x v="1"/>
    <n v="12"/>
    <n v="23765108"/>
    <n v="4"/>
    <n v="14"/>
    <n v="820"/>
    <n v="57543014"/>
    <n v="474584"/>
    <s v="Large"/>
    <s v="B2C"/>
    <n v="1"/>
    <n v="93.14"/>
    <n v="622930"/>
    <n v="1"/>
  </r>
  <r>
    <s v="Startup_3415"/>
    <x v="0"/>
    <n v="6"/>
    <n v="2181622"/>
    <n v="3"/>
    <n v="3"/>
    <n v="63"/>
    <n v="65305329"/>
    <n v="821150"/>
    <s v="Small"/>
    <s v="B2C"/>
    <n v="7"/>
    <n v="15.41"/>
    <n v="499642"/>
    <n v="1"/>
  </r>
  <r>
    <s v="Startup_3416"/>
    <x v="4"/>
    <n v="4"/>
    <n v="26772299"/>
    <n v="4"/>
    <n v="20"/>
    <n v="825"/>
    <n v="28019092"/>
    <n v="278974"/>
    <s v="Small"/>
    <s v="B2C"/>
    <n v="3"/>
    <n v="84.27"/>
    <n v="939750"/>
    <n v="1"/>
  </r>
  <r>
    <s v="Startup_3417"/>
    <x v="0"/>
    <n v="13"/>
    <n v="3700950"/>
    <n v="4"/>
    <n v="22"/>
    <n v="534"/>
    <n v="5047347"/>
    <n v="968165"/>
    <s v="Small"/>
    <s v="Hybrid"/>
    <n v="4"/>
    <n v="24.18"/>
    <n v="913499"/>
    <n v="1"/>
  </r>
  <r>
    <s v="Startup_3418"/>
    <x v="6"/>
    <n v="2"/>
    <n v="32072717"/>
    <n v="3"/>
    <n v="27"/>
    <n v="405"/>
    <n v="77908935"/>
    <n v="196046"/>
    <s v="Medium"/>
    <s v="B2C"/>
    <n v="2"/>
    <n v="32.909999999999997"/>
    <n v="751819"/>
    <n v="1"/>
  </r>
  <r>
    <s v="Startup_3419"/>
    <x v="5"/>
    <n v="8"/>
    <n v="43553696"/>
    <n v="1"/>
    <n v="28"/>
    <n v="687"/>
    <n v="27458105"/>
    <n v="222564"/>
    <s v="Small"/>
    <s v="B2B"/>
    <n v="3"/>
    <n v="23.44"/>
    <n v="129938"/>
    <n v="1"/>
  </r>
  <r>
    <s v="Startup_3420"/>
    <x v="6"/>
    <n v="1"/>
    <n v="29915386"/>
    <n v="4"/>
    <n v="9"/>
    <n v="184"/>
    <n v="62983521"/>
    <n v="867659"/>
    <s v="Medium"/>
    <s v="Hybrid"/>
    <n v="9"/>
    <n v="64.66"/>
    <n v="43675"/>
    <n v="1"/>
  </r>
  <r>
    <s v="Startup_3421"/>
    <x v="0"/>
    <n v="10"/>
    <n v="13125513"/>
    <n v="2"/>
    <n v="3"/>
    <n v="215"/>
    <n v="59682735"/>
    <n v="983333"/>
    <s v="Medium"/>
    <s v="Hybrid"/>
    <n v="8"/>
    <n v="46.76"/>
    <n v="881730"/>
    <n v="1"/>
  </r>
  <r>
    <s v="Startup_3422"/>
    <x v="0"/>
    <n v="12"/>
    <n v="42279977"/>
    <n v="3"/>
    <n v="4"/>
    <n v="365"/>
    <n v="39445961"/>
    <n v="360410"/>
    <s v="Small"/>
    <s v="B2C"/>
    <n v="6"/>
    <n v="0.95"/>
    <n v="259294"/>
    <n v="1"/>
  </r>
  <r>
    <s v="Startup_3423"/>
    <x v="5"/>
    <n v="1"/>
    <n v="17481166"/>
    <n v="1"/>
    <n v="7"/>
    <n v="65"/>
    <n v="88656796"/>
    <n v="720709"/>
    <s v="Large"/>
    <s v="B2B"/>
    <n v="6"/>
    <n v="13.58"/>
    <n v="72007"/>
    <n v="1"/>
  </r>
  <r>
    <s v="Startup_3424"/>
    <x v="1"/>
    <n v="9"/>
    <n v="3971710"/>
    <n v="1"/>
    <n v="10"/>
    <n v="608"/>
    <n v="3544496"/>
    <n v="534107"/>
    <s v="Small"/>
    <s v="Hybrid"/>
    <n v="3"/>
    <n v="29.96"/>
    <n v="828132"/>
    <n v="1"/>
  </r>
  <r>
    <s v="Startup_3425"/>
    <x v="6"/>
    <n v="9"/>
    <n v="45312818"/>
    <n v="2"/>
    <n v="16"/>
    <n v="445"/>
    <n v="92885028"/>
    <n v="659823"/>
    <s v="Medium"/>
    <s v="B2C"/>
    <n v="7"/>
    <n v="74.959999999999994"/>
    <n v="517039"/>
    <n v="1"/>
  </r>
  <r>
    <s v="Startup_3426"/>
    <x v="3"/>
    <n v="6"/>
    <n v="39598280"/>
    <n v="1"/>
    <n v="22"/>
    <n v="515"/>
    <n v="12584674"/>
    <n v="358679"/>
    <s v="Medium"/>
    <s v="B2B"/>
    <n v="6"/>
    <n v="18.53"/>
    <n v="179035"/>
    <n v="1"/>
  </r>
  <r>
    <s v="Startup_3427"/>
    <x v="2"/>
    <n v="3"/>
    <n v="9767928"/>
    <n v="4"/>
    <n v="18"/>
    <n v="593"/>
    <n v="45384998"/>
    <n v="196687"/>
    <s v="Medium"/>
    <s v="B2B"/>
    <n v="2"/>
    <n v="92.87"/>
    <n v="806375"/>
    <n v="1"/>
  </r>
  <r>
    <s v="Startup_3428"/>
    <x v="4"/>
    <n v="7"/>
    <n v="47583201"/>
    <n v="3"/>
    <n v="5"/>
    <n v="382"/>
    <n v="81009282"/>
    <n v="394757"/>
    <s v="Medium"/>
    <s v="Hybrid"/>
    <n v="3"/>
    <n v="12.01"/>
    <n v="273295"/>
    <n v="1"/>
  </r>
  <r>
    <s v="Startup_3429"/>
    <x v="2"/>
    <n v="14"/>
    <n v="10282270"/>
    <n v="1"/>
    <n v="13"/>
    <n v="505"/>
    <n v="62570485"/>
    <n v="587336"/>
    <s v="Small"/>
    <s v="B2B"/>
    <n v="5"/>
    <n v="26.49"/>
    <n v="721150"/>
    <n v="1"/>
  </r>
  <r>
    <s v="Startup_3430"/>
    <x v="6"/>
    <n v="14"/>
    <n v="2597289"/>
    <n v="2"/>
    <n v="28"/>
    <n v="428"/>
    <n v="39852568"/>
    <n v="422395"/>
    <s v="Small"/>
    <s v="Hybrid"/>
    <n v="7"/>
    <n v="81.040000000000006"/>
    <n v="594087"/>
    <n v="1"/>
  </r>
  <r>
    <s v="Startup_3431"/>
    <x v="2"/>
    <n v="5"/>
    <n v="18255525"/>
    <n v="4"/>
    <n v="0"/>
    <n v="502"/>
    <n v="81230408"/>
    <n v="889475"/>
    <s v="Small"/>
    <s v="B2B"/>
    <n v="3"/>
    <n v="63.3"/>
    <n v="833173"/>
    <n v="1"/>
  </r>
  <r>
    <s v="Startup_3432"/>
    <x v="0"/>
    <n v="1"/>
    <n v="33411643"/>
    <n v="3"/>
    <n v="9"/>
    <n v="41"/>
    <n v="5623255"/>
    <n v="271875"/>
    <s v="Medium"/>
    <s v="B2B"/>
    <n v="6"/>
    <n v="24.67"/>
    <n v="188911"/>
    <n v="1"/>
  </r>
  <r>
    <s v="Startup_3433"/>
    <x v="6"/>
    <n v="14"/>
    <n v="6705299"/>
    <n v="1"/>
    <n v="22"/>
    <n v="806"/>
    <n v="2339523"/>
    <n v="287222"/>
    <s v="Small"/>
    <s v="B2C"/>
    <n v="2"/>
    <n v="30.45"/>
    <n v="882216"/>
    <n v="1"/>
  </r>
  <r>
    <s v="Startup_3434"/>
    <x v="6"/>
    <n v="14"/>
    <n v="36793451"/>
    <n v="3"/>
    <n v="28"/>
    <n v="436"/>
    <n v="30372847"/>
    <n v="617167"/>
    <s v="Large"/>
    <s v="B2B"/>
    <n v="3"/>
    <n v="78.510000000000005"/>
    <n v="252867"/>
    <n v="1"/>
  </r>
  <r>
    <s v="Startup_3435"/>
    <x v="5"/>
    <n v="4"/>
    <n v="9641443"/>
    <n v="3"/>
    <n v="3"/>
    <n v="680"/>
    <n v="33512130"/>
    <n v="946324"/>
    <s v="Small"/>
    <s v="B2C"/>
    <n v="2"/>
    <n v="36.08"/>
    <n v="120188"/>
    <n v="1"/>
  </r>
  <r>
    <s v="Startup_3436"/>
    <x v="6"/>
    <n v="1"/>
    <n v="24478955"/>
    <n v="3"/>
    <n v="17"/>
    <n v="896"/>
    <n v="45421946"/>
    <n v="377506"/>
    <s v="Small"/>
    <s v="B2B"/>
    <n v="8"/>
    <n v="12.57"/>
    <n v="512594"/>
    <n v="1"/>
  </r>
  <r>
    <s v="Startup_3437"/>
    <x v="5"/>
    <n v="1"/>
    <n v="8873527"/>
    <n v="1"/>
    <n v="26"/>
    <n v="24"/>
    <n v="32287747"/>
    <n v="728764"/>
    <s v="Medium"/>
    <s v="B2B"/>
    <n v="3"/>
    <n v="68.59"/>
    <n v="796227"/>
    <n v="1"/>
  </r>
  <r>
    <s v="Startup_3438"/>
    <x v="5"/>
    <n v="0"/>
    <n v="5787976"/>
    <n v="1"/>
    <n v="21"/>
    <n v="769"/>
    <n v="21245084"/>
    <n v="368985"/>
    <s v="Small"/>
    <s v="Hybrid"/>
    <n v="9"/>
    <n v="42.02"/>
    <n v="914318"/>
    <n v="1"/>
  </r>
  <r>
    <s v="Startup_3439"/>
    <x v="2"/>
    <n v="5"/>
    <n v="30863983"/>
    <n v="1"/>
    <n v="27"/>
    <n v="288"/>
    <n v="52466202"/>
    <n v="16569"/>
    <s v="Medium"/>
    <s v="Hybrid"/>
    <n v="2"/>
    <n v="83.27"/>
    <n v="533040"/>
    <n v="1"/>
  </r>
  <r>
    <s v="Startup_3440"/>
    <x v="5"/>
    <n v="10"/>
    <n v="7845330"/>
    <n v="1"/>
    <n v="13"/>
    <n v="403"/>
    <n v="61659594"/>
    <n v="419211"/>
    <s v="Large"/>
    <s v="Hybrid"/>
    <n v="5"/>
    <n v="51.99"/>
    <n v="249141"/>
    <n v="1"/>
  </r>
  <r>
    <s v="Startup_3441"/>
    <x v="3"/>
    <n v="1"/>
    <n v="46973303"/>
    <n v="4"/>
    <n v="21"/>
    <n v="760"/>
    <n v="48883177"/>
    <n v="174661"/>
    <s v="Large"/>
    <s v="B2C"/>
    <n v="2"/>
    <n v="49.94"/>
    <n v="174239"/>
    <n v="1"/>
  </r>
  <r>
    <s v="Startup_3442"/>
    <x v="5"/>
    <n v="3"/>
    <n v="24519856"/>
    <n v="4"/>
    <n v="19"/>
    <n v="556"/>
    <n v="90692166"/>
    <n v="636695"/>
    <s v="Medium"/>
    <s v="B2C"/>
    <n v="4"/>
    <n v="53.32"/>
    <n v="103268"/>
    <n v="1"/>
  </r>
  <r>
    <s v="Startup_3443"/>
    <x v="5"/>
    <n v="8"/>
    <n v="39384288"/>
    <n v="1"/>
    <n v="9"/>
    <n v="14"/>
    <n v="53338787"/>
    <n v="139697"/>
    <s v="Small"/>
    <s v="B2B"/>
    <n v="5"/>
    <n v="73.78"/>
    <n v="892179"/>
    <n v="1"/>
  </r>
  <r>
    <s v="Startup_3444"/>
    <x v="5"/>
    <n v="10"/>
    <n v="18469894"/>
    <n v="2"/>
    <n v="22"/>
    <n v="64"/>
    <n v="94136576"/>
    <n v="660615"/>
    <s v="Large"/>
    <s v="Hybrid"/>
    <n v="7"/>
    <n v="52.31"/>
    <n v="803616"/>
    <n v="1"/>
  </r>
  <r>
    <s v="Startup_3445"/>
    <x v="2"/>
    <n v="6"/>
    <n v="6415003"/>
    <n v="2"/>
    <n v="10"/>
    <n v="674"/>
    <n v="17991356"/>
    <n v="850363"/>
    <s v="Medium"/>
    <s v="B2C"/>
    <n v="3"/>
    <n v="97.88"/>
    <n v="185040"/>
    <n v="1"/>
  </r>
  <r>
    <s v="Startup_3446"/>
    <x v="2"/>
    <n v="6"/>
    <n v="16871672"/>
    <n v="4"/>
    <n v="6"/>
    <n v="550"/>
    <n v="67678897"/>
    <n v="537752"/>
    <s v="Medium"/>
    <s v="Hybrid"/>
    <n v="7"/>
    <n v="30.64"/>
    <n v="592688"/>
    <n v="1"/>
  </r>
  <r>
    <s v="Startup_3447"/>
    <x v="0"/>
    <n v="4"/>
    <n v="10758467"/>
    <n v="2"/>
    <n v="22"/>
    <n v="740"/>
    <n v="96273256"/>
    <n v="783039"/>
    <s v="Small"/>
    <s v="Hybrid"/>
    <n v="5"/>
    <n v="52.17"/>
    <n v="834355"/>
    <n v="1"/>
  </r>
  <r>
    <s v="Startup_3448"/>
    <x v="1"/>
    <n v="10"/>
    <n v="22541200"/>
    <n v="3"/>
    <n v="9"/>
    <n v="299"/>
    <n v="54113648"/>
    <n v="904198"/>
    <s v="Large"/>
    <s v="B2B"/>
    <n v="6"/>
    <n v="83.74"/>
    <n v="247282"/>
    <n v="1"/>
  </r>
  <r>
    <s v="Startup_3449"/>
    <x v="3"/>
    <n v="10"/>
    <n v="40075977"/>
    <n v="3"/>
    <n v="23"/>
    <n v="298"/>
    <n v="67218400"/>
    <n v="762048"/>
    <s v="Small"/>
    <s v="B2C"/>
    <n v="5"/>
    <n v="18.95"/>
    <n v="701136"/>
    <n v="1"/>
  </r>
  <r>
    <s v="Startup_3450"/>
    <x v="6"/>
    <n v="8"/>
    <n v="8395434"/>
    <n v="1"/>
    <n v="24"/>
    <n v="12"/>
    <n v="96074989"/>
    <n v="251516"/>
    <s v="Large"/>
    <s v="Hybrid"/>
    <n v="2"/>
    <n v="20.48"/>
    <n v="437564"/>
    <n v="1"/>
  </r>
  <r>
    <s v="Startup_3451"/>
    <x v="2"/>
    <n v="7"/>
    <n v="44056831"/>
    <n v="2"/>
    <n v="20"/>
    <n v="609"/>
    <n v="13198535"/>
    <n v="567675"/>
    <s v="Small"/>
    <s v="B2C"/>
    <n v="4"/>
    <n v="29.52"/>
    <n v="236137"/>
    <n v="1"/>
  </r>
  <r>
    <s v="Startup_3452"/>
    <x v="2"/>
    <n v="4"/>
    <n v="14399809"/>
    <n v="3"/>
    <n v="24"/>
    <n v="216"/>
    <n v="58969508"/>
    <n v="584960"/>
    <s v="Large"/>
    <s v="B2C"/>
    <n v="4"/>
    <n v="37.31"/>
    <n v="981938"/>
    <n v="1"/>
  </r>
  <r>
    <s v="Startup_3453"/>
    <x v="3"/>
    <n v="0"/>
    <n v="26392876"/>
    <n v="4"/>
    <n v="11"/>
    <n v="885"/>
    <n v="32830959"/>
    <n v="313714"/>
    <s v="Small"/>
    <s v="Hybrid"/>
    <n v="6"/>
    <n v="55.58"/>
    <n v="51319"/>
    <n v="1"/>
  </r>
  <r>
    <s v="Startup_3454"/>
    <x v="3"/>
    <n v="0"/>
    <n v="3776857"/>
    <n v="2"/>
    <n v="7"/>
    <n v="42"/>
    <n v="837997"/>
    <n v="469521"/>
    <s v="Medium"/>
    <s v="B2B"/>
    <n v="3"/>
    <n v="15.01"/>
    <n v="377790"/>
    <n v="1"/>
  </r>
  <r>
    <s v="Startup_3455"/>
    <x v="1"/>
    <n v="3"/>
    <n v="38096866"/>
    <n v="2"/>
    <n v="18"/>
    <n v="484"/>
    <n v="57725628"/>
    <n v="167005"/>
    <s v="Large"/>
    <s v="Hybrid"/>
    <n v="5"/>
    <n v="50.3"/>
    <n v="687808"/>
    <n v="1"/>
  </r>
  <r>
    <s v="Startup_3456"/>
    <x v="6"/>
    <n v="7"/>
    <n v="18531306"/>
    <n v="2"/>
    <n v="12"/>
    <n v="16"/>
    <n v="46532355"/>
    <n v="15226"/>
    <s v="Medium"/>
    <s v="B2C"/>
    <n v="9"/>
    <n v="41.7"/>
    <n v="534334"/>
    <n v="1"/>
  </r>
  <r>
    <s v="Startup_3457"/>
    <x v="3"/>
    <n v="1"/>
    <n v="40316749"/>
    <n v="2"/>
    <n v="8"/>
    <n v="941"/>
    <n v="10954754"/>
    <n v="37052"/>
    <s v="Large"/>
    <s v="B2C"/>
    <n v="5"/>
    <n v="81.02"/>
    <n v="414814"/>
    <n v="1"/>
  </r>
  <r>
    <s v="Startup_3458"/>
    <x v="5"/>
    <n v="8"/>
    <n v="49794868"/>
    <n v="4"/>
    <n v="17"/>
    <n v="521"/>
    <n v="61744797"/>
    <n v="612078"/>
    <s v="Small"/>
    <s v="B2B"/>
    <n v="9"/>
    <n v="67.349999999999994"/>
    <n v="982313"/>
    <n v="1"/>
  </r>
  <r>
    <s v="Startup_3459"/>
    <x v="6"/>
    <n v="2"/>
    <n v="47861317"/>
    <n v="4"/>
    <n v="16"/>
    <n v="597"/>
    <n v="95581405"/>
    <n v="529566"/>
    <s v="Medium"/>
    <s v="Hybrid"/>
    <n v="2"/>
    <n v="14.85"/>
    <n v="738372"/>
    <n v="1"/>
  </r>
  <r>
    <s v="Startup_3460"/>
    <x v="1"/>
    <n v="4"/>
    <n v="22710297"/>
    <n v="3"/>
    <n v="22"/>
    <n v="163"/>
    <n v="38637959"/>
    <n v="208815"/>
    <s v="Medium"/>
    <s v="B2B"/>
    <n v="4"/>
    <n v="34.369999999999997"/>
    <n v="757619"/>
    <n v="1"/>
  </r>
  <r>
    <s v="Startup_3461"/>
    <x v="2"/>
    <n v="1"/>
    <n v="11012227"/>
    <n v="3"/>
    <n v="27"/>
    <n v="21"/>
    <n v="37900974"/>
    <n v="800865"/>
    <s v="Medium"/>
    <s v="B2B"/>
    <n v="5"/>
    <n v="72.27"/>
    <n v="208102"/>
    <n v="1"/>
  </r>
  <r>
    <s v="Startup_3462"/>
    <x v="3"/>
    <n v="14"/>
    <n v="27204211"/>
    <n v="2"/>
    <n v="11"/>
    <n v="969"/>
    <n v="63172768"/>
    <n v="432844"/>
    <s v="Large"/>
    <s v="Hybrid"/>
    <n v="1"/>
    <n v="42.57"/>
    <n v="11339"/>
    <n v="1"/>
  </r>
  <r>
    <s v="Startup_3463"/>
    <x v="0"/>
    <n v="0"/>
    <n v="34102696"/>
    <n v="2"/>
    <n v="14"/>
    <n v="901"/>
    <n v="91529128"/>
    <n v="126051"/>
    <s v="Large"/>
    <s v="B2C"/>
    <n v="7"/>
    <n v="22.1"/>
    <n v="326024"/>
    <n v="1"/>
  </r>
  <r>
    <s v="Startup_3464"/>
    <x v="2"/>
    <n v="3"/>
    <n v="43264856"/>
    <n v="2"/>
    <n v="23"/>
    <n v="603"/>
    <n v="9294762"/>
    <n v="341446"/>
    <s v="Small"/>
    <s v="B2C"/>
    <n v="5"/>
    <n v="85.89"/>
    <n v="915695"/>
    <n v="1"/>
  </r>
  <r>
    <s v="Startup_3465"/>
    <x v="4"/>
    <n v="14"/>
    <n v="26529622"/>
    <n v="3"/>
    <n v="7"/>
    <n v="589"/>
    <n v="34908074"/>
    <n v="359942"/>
    <s v="Medium"/>
    <s v="Hybrid"/>
    <n v="4"/>
    <n v="5.92"/>
    <n v="206462"/>
    <n v="1"/>
  </r>
  <r>
    <s v="Startup_3466"/>
    <x v="4"/>
    <n v="14"/>
    <n v="24617419"/>
    <n v="1"/>
    <n v="22"/>
    <n v="611"/>
    <n v="88201273"/>
    <n v="968046"/>
    <s v="Small"/>
    <s v="Hybrid"/>
    <n v="9"/>
    <n v="92.01"/>
    <n v="471225"/>
    <n v="1"/>
  </r>
  <r>
    <s v="Startup_3467"/>
    <x v="5"/>
    <n v="1"/>
    <n v="6094129"/>
    <n v="2"/>
    <n v="5"/>
    <n v="16"/>
    <n v="52952098"/>
    <n v="630176"/>
    <s v="Large"/>
    <s v="Hybrid"/>
    <n v="2"/>
    <n v="16.03"/>
    <n v="812736"/>
    <n v="1"/>
  </r>
  <r>
    <s v="Startup_3468"/>
    <x v="4"/>
    <n v="9"/>
    <n v="27363842"/>
    <n v="1"/>
    <n v="5"/>
    <n v="147"/>
    <n v="74879265"/>
    <n v="77576"/>
    <s v="Large"/>
    <s v="B2C"/>
    <n v="3"/>
    <n v="17.059999999999999"/>
    <n v="708512"/>
    <n v="1"/>
  </r>
  <r>
    <s v="Startup_3469"/>
    <x v="6"/>
    <n v="12"/>
    <n v="14564962"/>
    <n v="2"/>
    <n v="20"/>
    <n v="169"/>
    <n v="4590151"/>
    <n v="495513"/>
    <s v="Small"/>
    <s v="B2B"/>
    <n v="3"/>
    <n v="79.45"/>
    <n v="958842"/>
    <n v="1"/>
  </r>
  <r>
    <s v="Startup_3470"/>
    <x v="4"/>
    <n v="13"/>
    <n v="36477088"/>
    <n v="2"/>
    <n v="22"/>
    <n v="236"/>
    <n v="15670585"/>
    <n v="712030"/>
    <s v="Large"/>
    <s v="Hybrid"/>
    <n v="8"/>
    <n v="54.68"/>
    <n v="251261"/>
    <n v="1"/>
  </r>
  <r>
    <s v="Startup_3471"/>
    <x v="5"/>
    <n v="13"/>
    <n v="7702001"/>
    <n v="2"/>
    <n v="8"/>
    <n v="364"/>
    <n v="91453247"/>
    <n v="161153"/>
    <s v="Small"/>
    <s v="B2C"/>
    <n v="7"/>
    <n v="83.28"/>
    <n v="164038"/>
    <n v="1"/>
  </r>
  <r>
    <s v="Startup_3472"/>
    <x v="0"/>
    <n v="7"/>
    <n v="48395783"/>
    <n v="4"/>
    <n v="10"/>
    <n v="984"/>
    <n v="64424274"/>
    <n v="608302"/>
    <s v="Large"/>
    <s v="Hybrid"/>
    <n v="1"/>
    <n v="79.02"/>
    <n v="737442"/>
    <n v="1"/>
  </r>
  <r>
    <s v="Startup_3473"/>
    <x v="1"/>
    <n v="12"/>
    <n v="3834648"/>
    <n v="3"/>
    <n v="24"/>
    <n v="28"/>
    <n v="38207335"/>
    <n v="680470"/>
    <s v="Medium"/>
    <s v="Hybrid"/>
    <n v="6"/>
    <n v="5.6"/>
    <n v="378314"/>
    <n v="1"/>
  </r>
  <r>
    <s v="Startup_3474"/>
    <x v="5"/>
    <n v="12"/>
    <n v="43135925"/>
    <n v="3"/>
    <n v="3"/>
    <n v="807"/>
    <n v="55690104"/>
    <n v="213849"/>
    <s v="Large"/>
    <s v="B2C"/>
    <n v="2"/>
    <n v="14.79"/>
    <n v="837168"/>
    <n v="1"/>
  </r>
  <r>
    <s v="Startup_3475"/>
    <x v="3"/>
    <n v="4"/>
    <n v="30195754"/>
    <n v="2"/>
    <n v="4"/>
    <n v="281"/>
    <n v="36414729"/>
    <n v="604523"/>
    <s v="Medium"/>
    <s v="B2C"/>
    <n v="7"/>
    <n v="20"/>
    <n v="776763"/>
    <n v="1"/>
  </r>
  <r>
    <s v="Startup_3476"/>
    <x v="3"/>
    <n v="5"/>
    <n v="11360820"/>
    <n v="4"/>
    <n v="19"/>
    <n v="170"/>
    <n v="71409937"/>
    <n v="739012"/>
    <s v="Medium"/>
    <s v="B2B"/>
    <n v="1"/>
    <n v="7.49"/>
    <n v="279371"/>
    <n v="1"/>
  </r>
  <r>
    <s v="Startup_3477"/>
    <x v="2"/>
    <n v="14"/>
    <n v="41915300"/>
    <n v="4"/>
    <n v="24"/>
    <n v="601"/>
    <n v="50987847"/>
    <n v="929051"/>
    <s v="Large"/>
    <s v="B2C"/>
    <n v="2"/>
    <n v="16.7"/>
    <n v="182528"/>
    <n v="1"/>
  </r>
  <r>
    <s v="Startup_3478"/>
    <x v="0"/>
    <n v="0"/>
    <n v="9576642"/>
    <n v="2"/>
    <n v="17"/>
    <n v="972"/>
    <n v="39348934"/>
    <n v="11547"/>
    <s v="Small"/>
    <s v="Hybrid"/>
    <n v="2"/>
    <n v="22.54"/>
    <n v="367052"/>
    <n v="1"/>
  </r>
  <r>
    <s v="Startup_3479"/>
    <x v="6"/>
    <n v="2"/>
    <n v="35828005"/>
    <n v="3"/>
    <n v="24"/>
    <n v="300"/>
    <n v="29177337"/>
    <n v="538215"/>
    <s v="Small"/>
    <s v="B2C"/>
    <n v="1"/>
    <n v="76.239999999999995"/>
    <n v="837678"/>
    <n v="1"/>
  </r>
  <r>
    <s v="Startup_3480"/>
    <x v="4"/>
    <n v="10"/>
    <n v="22083838"/>
    <n v="1"/>
    <n v="3"/>
    <n v="661"/>
    <n v="65843746"/>
    <n v="975984"/>
    <s v="Large"/>
    <s v="B2C"/>
    <n v="3"/>
    <n v="40.39"/>
    <n v="671313"/>
    <n v="1"/>
  </r>
  <r>
    <s v="Startup_3481"/>
    <x v="1"/>
    <n v="6"/>
    <n v="35091605"/>
    <n v="3"/>
    <n v="8"/>
    <n v="945"/>
    <n v="35883151"/>
    <n v="803851"/>
    <s v="Small"/>
    <s v="B2C"/>
    <n v="1"/>
    <n v="21.41"/>
    <n v="400229"/>
    <n v="1"/>
  </r>
  <r>
    <s v="Startup_3482"/>
    <x v="1"/>
    <n v="6"/>
    <n v="32796043"/>
    <n v="3"/>
    <n v="0"/>
    <n v="540"/>
    <n v="14726663"/>
    <n v="545729"/>
    <s v="Small"/>
    <s v="B2C"/>
    <n v="9"/>
    <n v="12.03"/>
    <n v="665485"/>
    <n v="1"/>
  </r>
  <r>
    <s v="Startup_3483"/>
    <x v="0"/>
    <n v="8"/>
    <n v="41317450"/>
    <n v="3"/>
    <n v="25"/>
    <n v="564"/>
    <n v="1752249"/>
    <n v="520830"/>
    <s v="Large"/>
    <s v="B2B"/>
    <n v="2"/>
    <n v="59.29"/>
    <n v="638527"/>
    <n v="1"/>
  </r>
  <r>
    <s v="Startup_3484"/>
    <x v="5"/>
    <n v="6"/>
    <n v="7267610"/>
    <n v="4"/>
    <n v="12"/>
    <n v="920"/>
    <n v="81035307"/>
    <n v="271159"/>
    <s v="Large"/>
    <s v="B2C"/>
    <n v="1"/>
    <n v="5.36"/>
    <n v="722965"/>
    <n v="1"/>
  </r>
  <r>
    <s v="Startup_3485"/>
    <x v="6"/>
    <n v="5"/>
    <n v="14672655"/>
    <n v="4"/>
    <n v="3"/>
    <n v="656"/>
    <n v="80919514"/>
    <n v="690083"/>
    <s v="Medium"/>
    <s v="B2C"/>
    <n v="1"/>
    <n v="90.57"/>
    <n v="918663"/>
    <n v="1"/>
  </r>
  <r>
    <s v="Startup_3486"/>
    <x v="3"/>
    <n v="10"/>
    <n v="29135636"/>
    <n v="3"/>
    <n v="13"/>
    <n v="585"/>
    <n v="5175042"/>
    <n v="445345"/>
    <s v="Medium"/>
    <s v="B2B"/>
    <n v="8"/>
    <n v="54.5"/>
    <n v="96811"/>
    <n v="1"/>
  </r>
  <r>
    <s v="Startup_3487"/>
    <x v="4"/>
    <n v="4"/>
    <n v="15687606"/>
    <n v="3"/>
    <n v="13"/>
    <n v="388"/>
    <n v="88299229"/>
    <n v="912149"/>
    <s v="Large"/>
    <s v="B2C"/>
    <n v="4"/>
    <n v="26.65"/>
    <n v="364071"/>
    <n v="1"/>
  </r>
  <r>
    <s v="Startup_3488"/>
    <x v="6"/>
    <n v="14"/>
    <n v="31633656"/>
    <n v="4"/>
    <n v="20"/>
    <n v="627"/>
    <n v="46691124"/>
    <n v="566212"/>
    <s v="Large"/>
    <s v="B2C"/>
    <n v="2"/>
    <n v="30.19"/>
    <n v="308686"/>
    <n v="1"/>
  </r>
  <r>
    <s v="Startup_3489"/>
    <x v="2"/>
    <n v="2"/>
    <n v="47217130"/>
    <n v="1"/>
    <n v="16"/>
    <n v="973"/>
    <n v="7583913"/>
    <n v="117181"/>
    <s v="Small"/>
    <s v="B2B"/>
    <n v="1"/>
    <n v="7.17"/>
    <n v="174989"/>
    <n v="1"/>
  </r>
  <r>
    <s v="Startup_3490"/>
    <x v="6"/>
    <n v="5"/>
    <n v="17088694"/>
    <n v="4"/>
    <n v="15"/>
    <n v="437"/>
    <n v="25692942"/>
    <n v="585897"/>
    <s v="Medium"/>
    <s v="Hybrid"/>
    <n v="5"/>
    <n v="58.32"/>
    <n v="903344"/>
    <n v="1"/>
  </r>
  <r>
    <s v="Startup_3491"/>
    <x v="1"/>
    <n v="0"/>
    <n v="40350683"/>
    <n v="2"/>
    <n v="18"/>
    <n v="752"/>
    <n v="42250312"/>
    <n v="768854"/>
    <s v="Small"/>
    <s v="B2B"/>
    <n v="7"/>
    <n v="92.74"/>
    <n v="522513"/>
    <n v="1"/>
  </r>
  <r>
    <s v="Startup_3492"/>
    <x v="0"/>
    <n v="7"/>
    <n v="19199442"/>
    <n v="3"/>
    <n v="27"/>
    <n v="980"/>
    <n v="51059491"/>
    <n v="486780"/>
    <s v="Small"/>
    <s v="Hybrid"/>
    <n v="7"/>
    <n v="36.880000000000003"/>
    <n v="720140"/>
    <n v="1"/>
  </r>
  <r>
    <s v="Startup_3493"/>
    <x v="6"/>
    <n v="10"/>
    <n v="936064"/>
    <n v="1"/>
    <n v="4"/>
    <n v="260"/>
    <n v="88064008"/>
    <n v="686799"/>
    <s v="Large"/>
    <s v="B2C"/>
    <n v="6"/>
    <n v="42"/>
    <n v="377380"/>
    <n v="1"/>
  </r>
  <r>
    <s v="Startup_3494"/>
    <x v="2"/>
    <n v="2"/>
    <n v="36450136"/>
    <n v="1"/>
    <n v="9"/>
    <n v="558"/>
    <n v="99390433"/>
    <n v="533277"/>
    <s v="Large"/>
    <s v="Hybrid"/>
    <n v="3"/>
    <n v="84.51"/>
    <n v="9698"/>
    <n v="1"/>
  </r>
  <r>
    <s v="Startup_3495"/>
    <x v="0"/>
    <n v="3"/>
    <n v="32076512"/>
    <n v="3"/>
    <n v="21"/>
    <n v="751"/>
    <n v="69149486"/>
    <n v="517223"/>
    <s v="Large"/>
    <s v="B2B"/>
    <n v="3"/>
    <n v="74.13"/>
    <n v="518735"/>
    <n v="1"/>
  </r>
  <r>
    <s v="Startup_3496"/>
    <x v="5"/>
    <n v="10"/>
    <n v="32345694"/>
    <n v="3"/>
    <n v="4"/>
    <n v="970"/>
    <n v="52385900"/>
    <n v="664534"/>
    <s v="Large"/>
    <s v="B2C"/>
    <n v="6"/>
    <n v="99.07"/>
    <n v="573862"/>
    <n v="1"/>
  </r>
  <r>
    <s v="Startup_3497"/>
    <x v="6"/>
    <n v="1"/>
    <n v="4463338"/>
    <n v="1"/>
    <n v="12"/>
    <n v="145"/>
    <n v="10334522"/>
    <n v="710182"/>
    <s v="Medium"/>
    <s v="Hybrid"/>
    <n v="9"/>
    <n v="33.19"/>
    <n v="842402"/>
    <n v="1"/>
  </r>
  <r>
    <s v="Startup_3498"/>
    <x v="6"/>
    <n v="9"/>
    <n v="9996062"/>
    <n v="2"/>
    <n v="23"/>
    <n v="314"/>
    <n v="74523680"/>
    <n v="182652"/>
    <s v="Large"/>
    <s v="B2B"/>
    <n v="7"/>
    <n v="28.09"/>
    <n v="82551"/>
    <n v="1"/>
  </r>
  <r>
    <s v="Startup_3499"/>
    <x v="5"/>
    <n v="2"/>
    <n v="22300362"/>
    <n v="2"/>
    <n v="3"/>
    <n v="348"/>
    <n v="19246224"/>
    <n v="699005"/>
    <s v="Medium"/>
    <s v="Hybrid"/>
    <n v="1"/>
    <n v="0.41"/>
    <n v="857521"/>
    <n v="1"/>
  </r>
  <r>
    <s v="Startup_3500"/>
    <x v="2"/>
    <n v="8"/>
    <n v="13344216"/>
    <n v="2"/>
    <n v="29"/>
    <n v="656"/>
    <n v="56738178"/>
    <n v="639219"/>
    <s v="Large"/>
    <s v="B2C"/>
    <n v="5"/>
    <n v="9.9499999999999993"/>
    <n v="32639"/>
    <n v="1"/>
  </r>
  <r>
    <s v="Startup_3501"/>
    <x v="2"/>
    <n v="12"/>
    <n v="14796255"/>
    <n v="2"/>
    <n v="20"/>
    <n v="882"/>
    <n v="52964636"/>
    <n v="859620"/>
    <s v="Medium"/>
    <s v="Hybrid"/>
    <n v="1"/>
    <n v="9.85"/>
    <n v="88772"/>
    <n v="1"/>
  </r>
  <r>
    <s v="Startup_3502"/>
    <x v="4"/>
    <n v="7"/>
    <n v="32596143"/>
    <n v="1"/>
    <n v="23"/>
    <n v="641"/>
    <n v="49278194"/>
    <n v="76705"/>
    <s v="Medium"/>
    <s v="B2C"/>
    <n v="4"/>
    <n v="86.18"/>
    <n v="882654"/>
    <n v="1"/>
  </r>
  <r>
    <s v="Startup_3503"/>
    <x v="5"/>
    <n v="4"/>
    <n v="15787127"/>
    <n v="3"/>
    <n v="18"/>
    <n v="435"/>
    <n v="83618682"/>
    <n v="988656"/>
    <s v="Large"/>
    <s v="Hybrid"/>
    <n v="8"/>
    <n v="76.86"/>
    <n v="765106"/>
    <n v="1"/>
  </r>
  <r>
    <s v="Startup_3504"/>
    <x v="3"/>
    <n v="6"/>
    <n v="35539708"/>
    <n v="3"/>
    <n v="18"/>
    <n v="814"/>
    <n v="86542514"/>
    <n v="456989"/>
    <s v="Medium"/>
    <s v="Hybrid"/>
    <n v="3"/>
    <n v="83.93"/>
    <n v="286224"/>
    <n v="1"/>
  </r>
  <r>
    <s v="Startup_3505"/>
    <x v="3"/>
    <n v="8"/>
    <n v="26695959"/>
    <n v="3"/>
    <n v="1"/>
    <n v="420"/>
    <n v="25102542"/>
    <n v="348524"/>
    <s v="Medium"/>
    <s v="Hybrid"/>
    <n v="3"/>
    <n v="44.11"/>
    <n v="345720"/>
    <n v="1"/>
  </r>
  <r>
    <s v="Startup_3506"/>
    <x v="1"/>
    <n v="10"/>
    <n v="20793064"/>
    <n v="2"/>
    <n v="26"/>
    <n v="380"/>
    <n v="51896552"/>
    <n v="403706"/>
    <s v="Small"/>
    <s v="Hybrid"/>
    <n v="1"/>
    <n v="4.22"/>
    <n v="382191"/>
    <n v="1"/>
  </r>
  <r>
    <s v="Startup_3507"/>
    <x v="6"/>
    <n v="1"/>
    <n v="24132010"/>
    <n v="3"/>
    <n v="11"/>
    <n v="837"/>
    <n v="46452867"/>
    <n v="453516"/>
    <s v="Small"/>
    <s v="B2B"/>
    <n v="4"/>
    <n v="56.74"/>
    <n v="22629"/>
    <n v="1"/>
  </r>
  <r>
    <s v="Startup_3508"/>
    <x v="0"/>
    <n v="10"/>
    <n v="45705914"/>
    <n v="2"/>
    <n v="19"/>
    <n v="555"/>
    <n v="57777329"/>
    <n v="358243"/>
    <s v="Small"/>
    <s v="B2C"/>
    <n v="8"/>
    <n v="53.87"/>
    <n v="176376"/>
    <n v="1"/>
  </r>
  <r>
    <s v="Startup_3509"/>
    <x v="4"/>
    <n v="2"/>
    <n v="49533940"/>
    <n v="4"/>
    <n v="9"/>
    <n v="985"/>
    <n v="63494887"/>
    <n v="943244"/>
    <s v="Small"/>
    <s v="B2B"/>
    <n v="2"/>
    <n v="82.24"/>
    <n v="805537"/>
    <n v="1"/>
  </r>
  <r>
    <s v="Startup_3510"/>
    <x v="6"/>
    <n v="8"/>
    <n v="42571254"/>
    <n v="1"/>
    <n v="3"/>
    <n v="732"/>
    <n v="3702689"/>
    <n v="283086"/>
    <s v="Large"/>
    <s v="B2B"/>
    <n v="1"/>
    <n v="5.67"/>
    <n v="883524"/>
    <n v="1"/>
  </r>
  <r>
    <s v="Startup_3511"/>
    <x v="6"/>
    <n v="2"/>
    <n v="31702152"/>
    <n v="2"/>
    <n v="26"/>
    <n v="692"/>
    <n v="93438142"/>
    <n v="732924"/>
    <s v="Small"/>
    <s v="B2C"/>
    <n v="7"/>
    <n v="40.75"/>
    <n v="45127"/>
    <n v="1"/>
  </r>
  <r>
    <s v="Startup_3512"/>
    <x v="5"/>
    <n v="8"/>
    <n v="41645982"/>
    <n v="4"/>
    <n v="27"/>
    <n v="604"/>
    <n v="23191912"/>
    <n v="114066"/>
    <s v="Large"/>
    <s v="B2C"/>
    <n v="6"/>
    <n v="75.59"/>
    <n v="175470"/>
    <n v="1"/>
  </r>
  <r>
    <s v="Startup_3513"/>
    <x v="2"/>
    <n v="1"/>
    <n v="40715912"/>
    <n v="4"/>
    <n v="27"/>
    <n v="100"/>
    <n v="80396016"/>
    <n v="819416"/>
    <s v="Small"/>
    <s v="B2B"/>
    <n v="3"/>
    <n v="79.180000000000007"/>
    <n v="93501"/>
    <n v="1"/>
  </r>
  <r>
    <s v="Startup_3514"/>
    <x v="1"/>
    <n v="2"/>
    <n v="43376888"/>
    <n v="2"/>
    <n v="4"/>
    <n v="566"/>
    <n v="46793559"/>
    <n v="222773"/>
    <s v="Medium"/>
    <s v="Hybrid"/>
    <n v="7"/>
    <n v="81.66"/>
    <n v="541744"/>
    <n v="1"/>
  </r>
  <r>
    <s v="Startup_3515"/>
    <x v="3"/>
    <n v="5"/>
    <n v="10365868"/>
    <n v="3"/>
    <n v="13"/>
    <n v="252"/>
    <n v="83374529"/>
    <n v="213159"/>
    <s v="Large"/>
    <s v="B2C"/>
    <n v="4"/>
    <n v="23.75"/>
    <n v="964676"/>
    <n v="1"/>
  </r>
  <r>
    <s v="Startup_3516"/>
    <x v="1"/>
    <n v="11"/>
    <n v="43078894"/>
    <n v="4"/>
    <n v="24"/>
    <n v="310"/>
    <n v="66182937"/>
    <n v="142173"/>
    <s v="Large"/>
    <s v="B2C"/>
    <n v="3"/>
    <n v="54.91"/>
    <n v="865644"/>
    <n v="1"/>
  </r>
  <r>
    <s v="Startup_3517"/>
    <x v="5"/>
    <n v="13"/>
    <n v="39647371"/>
    <n v="1"/>
    <n v="23"/>
    <n v="446"/>
    <n v="2340235"/>
    <n v="270657"/>
    <s v="Small"/>
    <s v="B2C"/>
    <n v="6"/>
    <n v="80"/>
    <n v="206531"/>
    <n v="1"/>
  </r>
  <r>
    <s v="Startup_3518"/>
    <x v="5"/>
    <n v="1"/>
    <n v="800444"/>
    <n v="1"/>
    <n v="23"/>
    <n v="210"/>
    <n v="7175292"/>
    <n v="883297"/>
    <s v="Medium"/>
    <s v="Hybrid"/>
    <n v="4"/>
    <n v="10.119999999999999"/>
    <n v="632209"/>
    <n v="1"/>
  </r>
  <r>
    <s v="Startup_3519"/>
    <x v="1"/>
    <n v="5"/>
    <n v="33278825"/>
    <n v="2"/>
    <n v="29"/>
    <n v="24"/>
    <n v="71332776"/>
    <n v="505520"/>
    <s v="Small"/>
    <s v="Hybrid"/>
    <n v="1"/>
    <n v="68.739999999999995"/>
    <n v="809631"/>
    <n v="1"/>
  </r>
  <r>
    <s v="Startup_3520"/>
    <x v="3"/>
    <n v="4"/>
    <n v="7690527"/>
    <n v="1"/>
    <n v="27"/>
    <n v="745"/>
    <n v="35838934"/>
    <n v="834573"/>
    <s v="Small"/>
    <s v="B2C"/>
    <n v="3"/>
    <n v="25.75"/>
    <n v="44884"/>
    <n v="1"/>
  </r>
  <r>
    <s v="Startup_3521"/>
    <x v="6"/>
    <n v="0"/>
    <n v="16321809"/>
    <n v="3"/>
    <n v="25"/>
    <n v="92"/>
    <n v="17161224"/>
    <n v="634679"/>
    <s v="Medium"/>
    <s v="B2C"/>
    <n v="4"/>
    <n v="33.26"/>
    <n v="745197"/>
    <n v="1"/>
  </r>
  <r>
    <s v="Startup_3522"/>
    <x v="4"/>
    <n v="3"/>
    <n v="126571"/>
    <n v="1"/>
    <n v="5"/>
    <n v="559"/>
    <n v="25298225"/>
    <n v="687734"/>
    <s v="Large"/>
    <s v="B2B"/>
    <n v="7"/>
    <n v="14.14"/>
    <n v="378204"/>
    <n v="1"/>
  </r>
  <r>
    <s v="Startup_3523"/>
    <x v="6"/>
    <n v="9"/>
    <n v="17199915"/>
    <n v="1"/>
    <n v="3"/>
    <n v="895"/>
    <n v="78850594"/>
    <n v="318294"/>
    <s v="Small"/>
    <s v="B2C"/>
    <n v="3"/>
    <n v="21.59"/>
    <n v="486687"/>
    <n v="1"/>
  </r>
  <r>
    <s v="Startup_3524"/>
    <x v="1"/>
    <n v="5"/>
    <n v="19322375"/>
    <n v="2"/>
    <n v="4"/>
    <n v="556"/>
    <n v="33969883"/>
    <n v="579268"/>
    <s v="Small"/>
    <s v="B2B"/>
    <n v="5"/>
    <n v="60.8"/>
    <n v="311208"/>
    <n v="1"/>
  </r>
  <r>
    <s v="Startup_3525"/>
    <x v="1"/>
    <n v="11"/>
    <n v="19394623"/>
    <n v="4"/>
    <n v="21"/>
    <n v="712"/>
    <n v="95868218"/>
    <n v="347075"/>
    <s v="Medium"/>
    <s v="Hybrid"/>
    <n v="9"/>
    <n v="47.81"/>
    <n v="925800"/>
    <n v="1"/>
  </r>
  <r>
    <s v="Startup_3526"/>
    <x v="5"/>
    <n v="1"/>
    <n v="14132797"/>
    <n v="4"/>
    <n v="4"/>
    <n v="843"/>
    <n v="74529249"/>
    <n v="935961"/>
    <s v="Medium"/>
    <s v="B2C"/>
    <n v="2"/>
    <n v="32.65"/>
    <n v="691229"/>
    <n v="1"/>
  </r>
  <r>
    <s v="Startup_3527"/>
    <x v="4"/>
    <n v="8"/>
    <n v="26565773"/>
    <n v="3"/>
    <n v="27"/>
    <n v="686"/>
    <n v="18168408"/>
    <n v="750858"/>
    <s v="Small"/>
    <s v="Hybrid"/>
    <n v="3"/>
    <n v="42.46"/>
    <n v="732443"/>
    <n v="1"/>
  </r>
  <r>
    <s v="Startup_3528"/>
    <x v="0"/>
    <n v="6"/>
    <n v="8132481"/>
    <n v="4"/>
    <n v="5"/>
    <n v="313"/>
    <n v="14243010"/>
    <n v="789976"/>
    <s v="Small"/>
    <s v="B2C"/>
    <n v="3"/>
    <n v="82.77"/>
    <n v="147675"/>
    <n v="1"/>
  </r>
  <r>
    <s v="Startup_3529"/>
    <x v="2"/>
    <n v="14"/>
    <n v="28604618"/>
    <n v="4"/>
    <n v="14"/>
    <n v="620"/>
    <n v="86536530"/>
    <n v="995467"/>
    <s v="Large"/>
    <s v="B2B"/>
    <n v="9"/>
    <n v="64.38"/>
    <n v="174257"/>
    <n v="1"/>
  </r>
  <r>
    <s v="Startup_3530"/>
    <x v="2"/>
    <n v="10"/>
    <n v="24512032"/>
    <n v="2"/>
    <n v="6"/>
    <n v="157"/>
    <n v="53301893"/>
    <n v="495579"/>
    <s v="Large"/>
    <s v="B2B"/>
    <n v="2"/>
    <n v="51.82"/>
    <n v="99614"/>
    <n v="1"/>
  </r>
  <r>
    <s v="Startup_3531"/>
    <x v="2"/>
    <n v="9"/>
    <n v="23525162"/>
    <n v="4"/>
    <n v="1"/>
    <n v="53"/>
    <n v="42791751"/>
    <n v="725747"/>
    <s v="Small"/>
    <s v="B2C"/>
    <n v="8"/>
    <n v="2.4900000000000002"/>
    <n v="80835"/>
    <n v="1"/>
  </r>
  <r>
    <s v="Startup_3532"/>
    <x v="3"/>
    <n v="0"/>
    <n v="23096505"/>
    <n v="3"/>
    <n v="1"/>
    <n v="151"/>
    <n v="47738638"/>
    <n v="813698"/>
    <s v="Small"/>
    <s v="Hybrid"/>
    <n v="2"/>
    <n v="58.08"/>
    <n v="890933"/>
    <n v="1"/>
  </r>
  <r>
    <s v="Startup_3533"/>
    <x v="0"/>
    <n v="4"/>
    <n v="2359880"/>
    <n v="4"/>
    <n v="29"/>
    <n v="811"/>
    <n v="31675289"/>
    <n v="127020"/>
    <s v="Medium"/>
    <s v="Hybrid"/>
    <n v="5"/>
    <n v="14.81"/>
    <n v="255014"/>
    <n v="1"/>
  </r>
  <r>
    <s v="Startup_3534"/>
    <x v="4"/>
    <n v="9"/>
    <n v="24303623"/>
    <n v="3"/>
    <n v="23"/>
    <n v="551"/>
    <n v="47729158"/>
    <n v="515749"/>
    <s v="Medium"/>
    <s v="B2C"/>
    <n v="8"/>
    <n v="62.02"/>
    <n v="577371"/>
    <n v="1"/>
  </r>
  <r>
    <s v="Startup_3535"/>
    <x v="4"/>
    <n v="5"/>
    <n v="4678308"/>
    <n v="1"/>
    <n v="10"/>
    <n v="234"/>
    <n v="65653022"/>
    <n v="495125"/>
    <s v="Small"/>
    <s v="B2B"/>
    <n v="9"/>
    <n v="38.99"/>
    <n v="469385"/>
    <n v="1"/>
  </r>
  <r>
    <s v="Startup_3536"/>
    <x v="5"/>
    <n v="1"/>
    <n v="36797008"/>
    <n v="1"/>
    <n v="29"/>
    <n v="111"/>
    <n v="43756809"/>
    <n v="340875"/>
    <s v="Large"/>
    <s v="Hybrid"/>
    <n v="5"/>
    <n v="42.11"/>
    <n v="247033"/>
    <n v="1"/>
  </r>
  <r>
    <s v="Startup_3537"/>
    <x v="5"/>
    <n v="2"/>
    <n v="29681355"/>
    <n v="2"/>
    <n v="29"/>
    <n v="974"/>
    <n v="93904233"/>
    <n v="113165"/>
    <s v="Small"/>
    <s v="Hybrid"/>
    <n v="7"/>
    <n v="70.23"/>
    <n v="129844"/>
    <n v="1"/>
  </r>
  <r>
    <s v="Startup_3538"/>
    <x v="5"/>
    <n v="4"/>
    <n v="47421931"/>
    <n v="1"/>
    <n v="26"/>
    <n v="930"/>
    <n v="7661669"/>
    <n v="653409"/>
    <s v="Large"/>
    <s v="B2C"/>
    <n v="5"/>
    <n v="73.989999999999995"/>
    <n v="837811"/>
    <n v="1"/>
  </r>
  <r>
    <s v="Startup_3539"/>
    <x v="1"/>
    <n v="8"/>
    <n v="21282339"/>
    <n v="4"/>
    <n v="24"/>
    <n v="818"/>
    <n v="3446733"/>
    <n v="208681"/>
    <s v="Large"/>
    <s v="Hybrid"/>
    <n v="9"/>
    <n v="74.61"/>
    <n v="977816"/>
    <n v="1"/>
  </r>
  <r>
    <s v="Startup_3540"/>
    <x v="5"/>
    <n v="7"/>
    <n v="11982280"/>
    <n v="4"/>
    <n v="9"/>
    <n v="283"/>
    <n v="53910028"/>
    <n v="8595"/>
    <s v="Large"/>
    <s v="B2C"/>
    <n v="2"/>
    <n v="39.5"/>
    <n v="255042"/>
    <n v="1"/>
  </r>
  <r>
    <s v="Startup_3541"/>
    <x v="4"/>
    <n v="0"/>
    <n v="49007512"/>
    <n v="2"/>
    <n v="15"/>
    <n v="616"/>
    <n v="54454634"/>
    <n v="527181"/>
    <s v="Medium"/>
    <s v="B2B"/>
    <n v="2"/>
    <n v="51.75"/>
    <n v="441679"/>
    <n v="1"/>
  </r>
  <r>
    <s v="Startup_3542"/>
    <x v="2"/>
    <n v="3"/>
    <n v="16831498"/>
    <n v="2"/>
    <n v="26"/>
    <n v="681"/>
    <n v="60149751"/>
    <n v="216041"/>
    <s v="Small"/>
    <s v="Hybrid"/>
    <n v="8"/>
    <n v="74"/>
    <n v="56836"/>
    <n v="1"/>
  </r>
  <r>
    <s v="Startup_3543"/>
    <x v="0"/>
    <n v="11"/>
    <n v="21025367"/>
    <n v="3"/>
    <n v="18"/>
    <n v="519"/>
    <n v="48155439"/>
    <n v="112726"/>
    <s v="Medium"/>
    <s v="B2C"/>
    <n v="2"/>
    <n v="25.18"/>
    <n v="537252"/>
    <n v="1"/>
  </r>
  <r>
    <s v="Startup_3544"/>
    <x v="4"/>
    <n v="7"/>
    <n v="8105283"/>
    <n v="2"/>
    <n v="29"/>
    <n v="905"/>
    <n v="79388784"/>
    <n v="560190"/>
    <s v="Medium"/>
    <s v="B2C"/>
    <n v="1"/>
    <n v="86.52"/>
    <n v="280412"/>
    <n v="1"/>
  </r>
  <r>
    <s v="Startup_3545"/>
    <x v="2"/>
    <n v="11"/>
    <n v="702177"/>
    <n v="1"/>
    <n v="18"/>
    <n v="18"/>
    <n v="34336784"/>
    <n v="185965"/>
    <s v="Large"/>
    <s v="B2B"/>
    <n v="3"/>
    <n v="58.96"/>
    <n v="312334"/>
    <n v="1"/>
  </r>
  <r>
    <s v="Startup_3546"/>
    <x v="5"/>
    <n v="10"/>
    <n v="5351159"/>
    <n v="1"/>
    <n v="15"/>
    <n v="637"/>
    <n v="92795052"/>
    <n v="458834"/>
    <s v="Small"/>
    <s v="B2C"/>
    <n v="9"/>
    <n v="19.87"/>
    <n v="790648"/>
    <n v="1"/>
  </r>
  <r>
    <s v="Startup_3547"/>
    <x v="6"/>
    <n v="8"/>
    <n v="27890646"/>
    <n v="3"/>
    <n v="6"/>
    <n v="467"/>
    <n v="11075299"/>
    <n v="244320"/>
    <s v="Medium"/>
    <s v="B2B"/>
    <n v="4"/>
    <n v="55.03"/>
    <n v="250592"/>
    <n v="1"/>
  </r>
  <r>
    <s v="Startup_3548"/>
    <x v="3"/>
    <n v="2"/>
    <n v="40780012"/>
    <n v="1"/>
    <n v="6"/>
    <n v="977"/>
    <n v="59540616"/>
    <n v="465430"/>
    <s v="Large"/>
    <s v="B2B"/>
    <n v="9"/>
    <n v="86.29"/>
    <n v="518238"/>
    <n v="1"/>
  </r>
  <r>
    <s v="Startup_3549"/>
    <x v="5"/>
    <n v="7"/>
    <n v="24930718"/>
    <n v="3"/>
    <n v="18"/>
    <n v="161"/>
    <n v="57217920"/>
    <n v="415962"/>
    <s v="Small"/>
    <s v="Hybrid"/>
    <n v="5"/>
    <n v="29.78"/>
    <n v="942662"/>
    <n v="1"/>
  </r>
  <r>
    <s v="Startup_3550"/>
    <x v="1"/>
    <n v="12"/>
    <n v="23433525"/>
    <n v="4"/>
    <n v="3"/>
    <n v="197"/>
    <n v="97484187"/>
    <n v="364085"/>
    <s v="Medium"/>
    <s v="B2C"/>
    <n v="4"/>
    <n v="5.98"/>
    <n v="791728"/>
    <n v="1"/>
  </r>
  <r>
    <s v="Startup_3551"/>
    <x v="1"/>
    <n v="10"/>
    <n v="49212171"/>
    <n v="3"/>
    <n v="23"/>
    <n v="656"/>
    <n v="91184562"/>
    <n v="133842"/>
    <s v="Medium"/>
    <s v="B2C"/>
    <n v="8"/>
    <n v="17.43"/>
    <n v="282478"/>
    <n v="1"/>
  </r>
  <r>
    <s v="Startup_3552"/>
    <x v="6"/>
    <n v="10"/>
    <n v="30097141"/>
    <n v="3"/>
    <n v="8"/>
    <n v="789"/>
    <n v="37887658"/>
    <n v="6970"/>
    <s v="Medium"/>
    <s v="B2B"/>
    <n v="8"/>
    <n v="2.46"/>
    <n v="516604"/>
    <n v="1"/>
  </r>
  <r>
    <s v="Startup_3553"/>
    <x v="5"/>
    <n v="9"/>
    <n v="4086351"/>
    <n v="3"/>
    <n v="1"/>
    <n v="329"/>
    <n v="1266791"/>
    <n v="126587"/>
    <s v="Medium"/>
    <s v="B2C"/>
    <n v="1"/>
    <n v="16.45"/>
    <n v="747480"/>
    <n v="1"/>
  </r>
  <r>
    <s v="Startup_3554"/>
    <x v="0"/>
    <n v="3"/>
    <n v="7147343"/>
    <n v="3"/>
    <n v="18"/>
    <n v="431"/>
    <n v="24647504"/>
    <n v="585431"/>
    <s v="Large"/>
    <s v="B2C"/>
    <n v="6"/>
    <n v="35.299999999999997"/>
    <n v="670642"/>
    <n v="1"/>
  </r>
  <r>
    <s v="Startup_3555"/>
    <x v="0"/>
    <n v="2"/>
    <n v="49458565"/>
    <n v="1"/>
    <n v="14"/>
    <n v="908"/>
    <n v="81211540"/>
    <n v="957984"/>
    <s v="Small"/>
    <s v="B2B"/>
    <n v="5"/>
    <n v="33.74"/>
    <n v="105540"/>
    <n v="1"/>
  </r>
  <r>
    <s v="Startup_3556"/>
    <x v="2"/>
    <n v="13"/>
    <n v="29162912"/>
    <n v="2"/>
    <n v="19"/>
    <n v="979"/>
    <n v="86774553"/>
    <n v="195331"/>
    <s v="Small"/>
    <s v="B2C"/>
    <n v="8"/>
    <n v="96.46"/>
    <n v="927633"/>
    <n v="1"/>
  </r>
  <r>
    <s v="Startup_3557"/>
    <x v="3"/>
    <n v="1"/>
    <n v="646222"/>
    <n v="4"/>
    <n v="18"/>
    <n v="748"/>
    <n v="58508737"/>
    <n v="640575"/>
    <s v="Large"/>
    <s v="B2B"/>
    <n v="8"/>
    <n v="16.920000000000002"/>
    <n v="807332"/>
    <n v="1"/>
  </r>
  <r>
    <s v="Startup_3558"/>
    <x v="1"/>
    <n v="1"/>
    <n v="8785763"/>
    <n v="3"/>
    <n v="13"/>
    <n v="763"/>
    <n v="6849830"/>
    <n v="170813"/>
    <s v="Small"/>
    <s v="B2C"/>
    <n v="8"/>
    <n v="95.94"/>
    <n v="433090"/>
    <n v="1"/>
  </r>
  <r>
    <s v="Startup_3559"/>
    <x v="5"/>
    <n v="8"/>
    <n v="31133800"/>
    <n v="3"/>
    <n v="12"/>
    <n v="614"/>
    <n v="59965302"/>
    <n v="215736"/>
    <s v="Medium"/>
    <s v="B2B"/>
    <n v="8"/>
    <n v="27.44"/>
    <n v="361102"/>
    <n v="1"/>
  </r>
  <r>
    <s v="Startup_3560"/>
    <x v="6"/>
    <n v="12"/>
    <n v="40202157"/>
    <n v="4"/>
    <n v="18"/>
    <n v="427"/>
    <n v="97832867"/>
    <n v="406940"/>
    <s v="Medium"/>
    <s v="B2C"/>
    <n v="3"/>
    <n v="18.02"/>
    <n v="602312"/>
    <n v="1"/>
  </r>
  <r>
    <s v="Startup_3561"/>
    <x v="4"/>
    <n v="11"/>
    <n v="35309639"/>
    <n v="4"/>
    <n v="27"/>
    <n v="898"/>
    <n v="51903622"/>
    <n v="541074"/>
    <s v="Small"/>
    <s v="B2C"/>
    <n v="7"/>
    <n v="86.76"/>
    <n v="892717"/>
    <n v="1"/>
  </r>
  <r>
    <s v="Startup_3562"/>
    <x v="5"/>
    <n v="12"/>
    <n v="6960927"/>
    <n v="3"/>
    <n v="7"/>
    <n v="894"/>
    <n v="6930484"/>
    <n v="817418"/>
    <s v="Small"/>
    <s v="B2C"/>
    <n v="1"/>
    <n v="44.94"/>
    <n v="201422"/>
    <n v="1"/>
  </r>
  <r>
    <s v="Startup_3563"/>
    <x v="4"/>
    <n v="3"/>
    <n v="17043116"/>
    <n v="4"/>
    <n v="23"/>
    <n v="699"/>
    <n v="91012117"/>
    <n v="601965"/>
    <s v="Large"/>
    <s v="B2B"/>
    <n v="9"/>
    <n v="23.56"/>
    <n v="739627"/>
    <n v="1"/>
  </r>
  <r>
    <s v="Startup_3564"/>
    <x v="5"/>
    <n v="7"/>
    <n v="37990152"/>
    <n v="4"/>
    <n v="22"/>
    <n v="885"/>
    <n v="75520510"/>
    <n v="179443"/>
    <s v="Medium"/>
    <s v="Hybrid"/>
    <n v="6"/>
    <n v="72.25"/>
    <n v="918308"/>
    <n v="1"/>
  </r>
  <r>
    <s v="Startup_3565"/>
    <x v="3"/>
    <n v="6"/>
    <n v="23291522"/>
    <n v="1"/>
    <n v="26"/>
    <n v="721"/>
    <n v="4814863"/>
    <n v="435955"/>
    <s v="Small"/>
    <s v="Hybrid"/>
    <n v="7"/>
    <n v="15.51"/>
    <n v="748145"/>
    <n v="1"/>
  </r>
  <r>
    <s v="Startup_3566"/>
    <x v="2"/>
    <n v="5"/>
    <n v="34376197"/>
    <n v="1"/>
    <n v="20"/>
    <n v="788"/>
    <n v="21896391"/>
    <n v="577190"/>
    <s v="Large"/>
    <s v="B2C"/>
    <n v="9"/>
    <n v="98.17"/>
    <n v="445762"/>
    <n v="1"/>
  </r>
  <r>
    <s v="Startup_3567"/>
    <x v="5"/>
    <n v="11"/>
    <n v="30190619"/>
    <n v="3"/>
    <n v="4"/>
    <n v="674"/>
    <n v="89656370"/>
    <n v="703913"/>
    <s v="Small"/>
    <s v="Hybrid"/>
    <n v="2"/>
    <n v="83.6"/>
    <n v="209314"/>
    <n v="1"/>
  </r>
  <r>
    <s v="Startup_3568"/>
    <x v="4"/>
    <n v="13"/>
    <n v="21260136"/>
    <n v="1"/>
    <n v="13"/>
    <n v="929"/>
    <n v="34953143"/>
    <n v="31121"/>
    <s v="Large"/>
    <s v="B2B"/>
    <n v="5"/>
    <n v="24.88"/>
    <n v="324680"/>
    <n v="1"/>
  </r>
  <r>
    <s v="Startup_3569"/>
    <x v="3"/>
    <n v="12"/>
    <n v="18557472"/>
    <n v="3"/>
    <n v="12"/>
    <n v="702"/>
    <n v="54515561"/>
    <n v="855938"/>
    <s v="Large"/>
    <s v="B2C"/>
    <n v="7"/>
    <n v="25.45"/>
    <n v="524253"/>
    <n v="1"/>
  </r>
  <r>
    <s v="Startup_3570"/>
    <x v="1"/>
    <n v="9"/>
    <n v="22857932"/>
    <n v="1"/>
    <n v="11"/>
    <n v="220"/>
    <n v="91049023"/>
    <n v="991894"/>
    <s v="Large"/>
    <s v="B2C"/>
    <n v="7"/>
    <n v="65.599999999999994"/>
    <n v="714740"/>
    <n v="1"/>
  </r>
  <r>
    <s v="Startup_3571"/>
    <x v="0"/>
    <n v="9"/>
    <n v="12240762"/>
    <n v="3"/>
    <n v="0"/>
    <n v="955"/>
    <n v="21289743"/>
    <n v="76056"/>
    <s v="Small"/>
    <s v="Hybrid"/>
    <n v="7"/>
    <n v="31.11"/>
    <n v="318570"/>
    <n v="1"/>
  </r>
  <r>
    <s v="Startup_3572"/>
    <x v="4"/>
    <n v="8"/>
    <n v="8474680"/>
    <n v="1"/>
    <n v="18"/>
    <n v="438"/>
    <n v="49731586"/>
    <n v="146931"/>
    <s v="Large"/>
    <s v="B2C"/>
    <n v="7"/>
    <n v="11.12"/>
    <n v="182317"/>
    <n v="1"/>
  </r>
  <r>
    <s v="Startup_3573"/>
    <x v="6"/>
    <n v="2"/>
    <n v="29373511"/>
    <n v="1"/>
    <n v="21"/>
    <n v="210"/>
    <n v="99371012"/>
    <n v="710754"/>
    <s v="Small"/>
    <s v="B2C"/>
    <n v="5"/>
    <n v="73.7"/>
    <n v="655487"/>
    <n v="1"/>
  </r>
  <r>
    <s v="Startup_3574"/>
    <x v="5"/>
    <n v="7"/>
    <n v="22577452"/>
    <n v="2"/>
    <n v="28"/>
    <n v="627"/>
    <n v="76516267"/>
    <n v="167403"/>
    <s v="Large"/>
    <s v="Hybrid"/>
    <n v="9"/>
    <n v="25.53"/>
    <n v="464971"/>
    <n v="1"/>
  </r>
  <r>
    <s v="Startup_3575"/>
    <x v="2"/>
    <n v="9"/>
    <n v="42267037"/>
    <n v="2"/>
    <n v="22"/>
    <n v="183"/>
    <n v="72971662"/>
    <n v="208961"/>
    <s v="Large"/>
    <s v="B2B"/>
    <n v="1"/>
    <n v="95.85"/>
    <n v="31881"/>
    <n v="1"/>
  </r>
  <r>
    <s v="Startup_3576"/>
    <x v="4"/>
    <n v="10"/>
    <n v="28282598"/>
    <n v="3"/>
    <n v="14"/>
    <n v="101"/>
    <n v="67849509"/>
    <n v="787172"/>
    <s v="Large"/>
    <s v="Hybrid"/>
    <n v="7"/>
    <n v="15.81"/>
    <n v="421180"/>
    <n v="1"/>
  </r>
  <r>
    <s v="Startup_3577"/>
    <x v="0"/>
    <n v="12"/>
    <n v="6936563"/>
    <n v="3"/>
    <n v="28"/>
    <n v="553"/>
    <n v="17807739"/>
    <n v="222131"/>
    <s v="Medium"/>
    <s v="B2B"/>
    <n v="5"/>
    <n v="72.290000000000006"/>
    <n v="968154"/>
    <n v="1"/>
  </r>
  <r>
    <s v="Startup_3578"/>
    <x v="5"/>
    <n v="13"/>
    <n v="2785451"/>
    <n v="4"/>
    <n v="18"/>
    <n v="825"/>
    <n v="77455592"/>
    <n v="695239"/>
    <s v="Small"/>
    <s v="B2C"/>
    <n v="3"/>
    <n v="3.08"/>
    <n v="670161"/>
    <n v="1"/>
  </r>
  <r>
    <s v="Startup_3579"/>
    <x v="6"/>
    <n v="7"/>
    <n v="34913539"/>
    <n v="3"/>
    <n v="28"/>
    <n v="262"/>
    <n v="60505329"/>
    <n v="63853"/>
    <s v="Medium"/>
    <s v="B2B"/>
    <n v="5"/>
    <n v="84.47"/>
    <n v="739466"/>
    <n v="1"/>
  </r>
  <r>
    <s v="Startup_3580"/>
    <x v="4"/>
    <n v="8"/>
    <n v="18320388"/>
    <n v="1"/>
    <n v="22"/>
    <n v="967"/>
    <n v="58273620"/>
    <n v="657139"/>
    <s v="Medium"/>
    <s v="B2B"/>
    <n v="6"/>
    <n v="26.35"/>
    <n v="543669"/>
    <n v="1"/>
  </r>
  <r>
    <s v="Startup_3581"/>
    <x v="6"/>
    <n v="8"/>
    <n v="26474616"/>
    <n v="1"/>
    <n v="7"/>
    <n v="156"/>
    <n v="22801454"/>
    <n v="161181"/>
    <s v="Small"/>
    <s v="Hybrid"/>
    <n v="1"/>
    <n v="49.14"/>
    <n v="368973"/>
    <n v="1"/>
  </r>
  <r>
    <s v="Startup_3582"/>
    <x v="4"/>
    <n v="3"/>
    <n v="13445919"/>
    <n v="1"/>
    <n v="26"/>
    <n v="201"/>
    <n v="50616554"/>
    <n v="894975"/>
    <s v="Medium"/>
    <s v="B2C"/>
    <n v="9"/>
    <n v="7.61"/>
    <n v="173368"/>
    <n v="1"/>
  </r>
  <r>
    <s v="Startup_3583"/>
    <x v="1"/>
    <n v="4"/>
    <n v="44975197"/>
    <n v="1"/>
    <n v="6"/>
    <n v="25"/>
    <n v="1973680"/>
    <n v="973298"/>
    <s v="Medium"/>
    <s v="Hybrid"/>
    <n v="2"/>
    <n v="75.650000000000006"/>
    <n v="688464"/>
    <n v="1"/>
  </r>
  <r>
    <s v="Startup_3584"/>
    <x v="1"/>
    <n v="2"/>
    <n v="4691204"/>
    <n v="2"/>
    <n v="22"/>
    <n v="886"/>
    <n v="61354423"/>
    <n v="626450"/>
    <s v="Small"/>
    <s v="B2C"/>
    <n v="4"/>
    <n v="65"/>
    <n v="720910"/>
    <n v="1"/>
  </r>
  <r>
    <s v="Startup_3585"/>
    <x v="1"/>
    <n v="1"/>
    <n v="49705517"/>
    <n v="2"/>
    <n v="23"/>
    <n v="185"/>
    <n v="95676951"/>
    <n v="92582"/>
    <s v="Large"/>
    <s v="Hybrid"/>
    <n v="1"/>
    <n v="43.64"/>
    <n v="11592"/>
    <n v="1"/>
  </r>
  <r>
    <s v="Startup_3586"/>
    <x v="5"/>
    <n v="11"/>
    <n v="6933042"/>
    <n v="1"/>
    <n v="2"/>
    <n v="619"/>
    <n v="43616139"/>
    <n v="883323"/>
    <s v="Medium"/>
    <s v="B2B"/>
    <n v="2"/>
    <n v="8.5"/>
    <n v="317741"/>
    <n v="1"/>
  </r>
  <r>
    <s v="Startup_3587"/>
    <x v="3"/>
    <n v="14"/>
    <n v="7734746"/>
    <n v="3"/>
    <n v="0"/>
    <n v="936"/>
    <n v="5758245"/>
    <n v="933821"/>
    <s v="Small"/>
    <s v="B2C"/>
    <n v="1"/>
    <n v="73.650000000000006"/>
    <n v="362194"/>
    <n v="1"/>
  </r>
  <r>
    <s v="Startup_3588"/>
    <x v="2"/>
    <n v="2"/>
    <n v="8737130"/>
    <n v="1"/>
    <n v="23"/>
    <n v="826"/>
    <n v="70346220"/>
    <n v="216326"/>
    <s v="Medium"/>
    <s v="Hybrid"/>
    <n v="9"/>
    <n v="10.51"/>
    <n v="845885"/>
    <n v="1"/>
  </r>
  <r>
    <s v="Startup_3589"/>
    <x v="6"/>
    <n v="9"/>
    <n v="25117667"/>
    <n v="4"/>
    <n v="24"/>
    <n v="931"/>
    <n v="73028542"/>
    <n v="192401"/>
    <s v="Medium"/>
    <s v="B2C"/>
    <n v="9"/>
    <n v="11.2"/>
    <n v="802623"/>
    <n v="1"/>
  </r>
  <r>
    <s v="Startup_3590"/>
    <x v="5"/>
    <n v="0"/>
    <n v="33841710"/>
    <n v="3"/>
    <n v="18"/>
    <n v="574"/>
    <n v="47310962"/>
    <n v="702661"/>
    <s v="Large"/>
    <s v="Hybrid"/>
    <n v="3"/>
    <n v="78.38"/>
    <n v="176495"/>
    <n v="1"/>
  </r>
  <r>
    <s v="Startup_3591"/>
    <x v="6"/>
    <n v="3"/>
    <n v="12606150"/>
    <n v="2"/>
    <n v="25"/>
    <n v="224"/>
    <n v="68127102"/>
    <n v="376118"/>
    <s v="Small"/>
    <s v="Hybrid"/>
    <n v="5"/>
    <n v="85.46"/>
    <n v="267504"/>
    <n v="1"/>
  </r>
  <r>
    <s v="Startup_3592"/>
    <x v="2"/>
    <n v="6"/>
    <n v="32688234"/>
    <n v="3"/>
    <n v="17"/>
    <n v="60"/>
    <n v="47399917"/>
    <n v="604494"/>
    <s v="Small"/>
    <s v="B2B"/>
    <n v="9"/>
    <n v="97.75"/>
    <n v="181082"/>
    <n v="1"/>
  </r>
  <r>
    <s v="Startup_3593"/>
    <x v="3"/>
    <n v="9"/>
    <n v="19423836"/>
    <n v="2"/>
    <n v="18"/>
    <n v="518"/>
    <n v="90293989"/>
    <n v="926528"/>
    <s v="Small"/>
    <s v="Hybrid"/>
    <n v="2"/>
    <n v="32.06"/>
    <n v="644263"/>
    <n v="1"/>
  </r>
  <r>
    <s v="Startup_3594"/>
    <x v="3"/>
    <n v="2"/>
    <n v="29863201"/>
    <n v="1"/>
    <n v="18"/>
    <n v="46"/>
    <n v="97448078"/>
    <n v="581009"/>
    <s v="Small"/>
    <s v="Hybrid"/>
    <n v="4"/>
    <n v="72.08"/>
    <n v="157673"/>
    <n v="1"/>
  </r>
  <r>
    <s v="Startup_3595"/>
    <x v="5"/>
    <n v="10"/>
    <n v="5739969"/>
    <n v="2"/>
    <n v="14"/>
    <n v="812"/>
    <n v="46271937"/>
    <n v="644244"/>
    <s v="Small"/>
    <s v="Hybrid"/>
    <n v="3"/>
    <n v="68.61"/>
    <n v="472548"/>
    <n v="1"/>
  </r>
  <r>
    <s v="Startup_3596"/>
    <x v="5"/>
    <n v="1"/>
    <n v="20158969"/>
    <n v="3"/>
    <n v="27"/>
    <n v="94"/>
    <n v="65122595"/>
    <n v="239292"/>
    <s v="Large"/>
    <s v="Hybrid"/>
    <n v="9"/>
    <n v="86.17"/>
    <n v="196282"/>
    <n v="1"/>
  </r>
  <r>
    <s v="Startup_3597"/>
    <x v="6"/>
    <n v="1"/>
    <n v="41787047"/>
    <n v="1"/>
    <n v="27"/>
    <n v="155"/>
    <n v="69166595"/>
    <n v="339549"/>
    <s v="Small"/>
    <s v="B2C"/>
    <n v="1"/>
    <n v="8.23"/>
    <n v="654627"/>
    <n v="1"/>
  </r>
  <r>
    <s v="Startup_3598"/>
    <x v="5"/>
    <n v="6"/>
    <n v="5482021"/>
    <n v="4"/>
    <n v="25"/>
    <n v="766"/>
    <n v="80398011"/>
    <n v="206728"/>
    <s v="Large"/>
    <s v="B2C"/>
    <n v="8"/>
    <n v="82.39"/>
    <n v="572714"/>
    <n v="1"/>
  </r>
  <r>
    <s v="Startup_3599"/>
    <x v="6"/>
    <n v="10"/>
    <n v="33843788"/>
    <n v="2"/>
    <n v="14"/>
    <n v="475"/>
    <n v="64787922"/>
    <n v="797098"/>
    <s v="Small"/>
    <s v="Hybrid"/>
    <n v="2"/>
    <n v="87.06"/>
    <n v="840050"/>
    <n v="1"/>
  </r>
  <r>
    <s v="Startup_3600"/>
    <x v="1"/>
    <n v="0"/>
    <n v="29326107"/>
    <n v="2"/>
    <n v="21"/>
    <n v="210"/>
    <n v="24152000"/>
    <n v="666982"/>
    <s v="Large"/>
    <s v="B2B"/>
    <n v="6"/>
    <n v="6.37"/>
    <n v="178881"/>
    <n v="1"/>
  </r>
  <r>
    <s v="Startup_3601"/>
    <x v="4"/>
    <n v="12"/>
    <n v="28644515"/>
    <n v="1"/>
    <n v="8"/>
    <n v="614"/>
    <n v="67467199"/>
    <n v="184916"/>
    <s v="Large"/>
    <s v="B2C"/>
    <n v="8"/>
    <n v="23.81"/>
    <n v="196458"/>
    <n v="1"/>
  </r>
  <r>
    <s v="Startup_3602"/>
    <x v="1"/>
    <n v="5"/>
    <n v="49993132"/>
    <n v="3"/>
    <n v="21"/>
    <n v="696"/>
    <n v="67432003"/>
    <n v="515382"/>
    <s v="Large"/>
    <s v="B2B"/>
    <n v="4"/>
    <n v="36.99"/>
    <n v="817144"/>
    <n v="1"/>
  </r>
  <r>
    <s v="Startup_3603"/>
    <x v="5"/>
    <n v="3"/>
    <n v="12182582"/>
    <n v="4"/>
    <n v="23"/>
    <n v="82"/>
    <n v="25575974"/>
    <n v="707736"/>
    <s v="Small"/>
    <s v="Hybrid"/>
    <n v="3"/>
    <n v="35.49"/>
    <n v="268048"/>
    <n v="1"/>
  </r>
  <r>
    <s v="Startup_3604"/>
    <x v="0"/>
    <n v="11"/>
    <n v="20592765"/>
    <n v="3"/>
    <n v="11"/>
    <n v="74"/>
    <n v="47091621"/>
    <n v="432826"/>
    <s v="Medium"/>
    <s v="B2B"/>
    <n v="8"/>
    <n v="25.28"/>
    <n v="234834"/>
    <n v="1"/>
  </r>
  <r>
    <s v="Startup_3605"/>
    <x v="3"/>
    <n v="14"/>
    <n v="38871764"/>
    <n v="1"/>
    <n v="22"/>
    <n v="65"/>
    <n v="17559922"/>
    <n v="936925"/>
    <s v="Medium"/>
    <s v="B2B"/>
    <n v="3"/>
    <n v="25.11"/>
    <n v="187355"/>
    <n v="1"/>
  </r>
  <r>
    <s v="Startup_3606"/>
    <x v="4"/>
    <n v="7"/>
    <n v="32370534"/>
    <n v="3"/>
    <n v="16"/>
    <n v="39"/>
    <n v="329072"/>
    <n v="86792"/>
    <s v="Large"/>
    <s v="B2C"/>
    <n v="2"/>
    <n v="2.4"/>
    <n v="902741"/>
    <n v="1"/>
  </r>
  <r>
    <s v="Startup_3607"/>
    <x v="2"/>
    <n v="11"/>
    <n v="43349566"/>
    <n v="4"/>
    <n v="1"/>
    <n v="264"/>
    <n v="67490927"/>
    <n v="866027"/>
    <s v="Medium"/>
    <s v="Hybrid"/>
    <n v="4"/>
    <n v="63.46"/>
    <n v="972007"/>
    <n v="1"/>
  </r>
  <r>
    <s v="Startup_3608"/>
    <x v="3"/>
    <n v="6"/>
    <n v="23120089"/>
    <n v="1"/>
    <n v="12"/>
    <n v="278"/>
    <n v="16567098"/>
    <n v="570360"/>
    <s v="Medium"/>
    <s v="B2C"/>
    <n v="8"/>
    <n v="48.41"/>
    <n v="650047"/>
    <n v="1"/>
  </r>
  <r>
    <s v="Startup_3609"/>
    <x v="2"/>
    <n v="0"/>
    <n v="4754294"/>
    <n v="3"/>
    <n v="13"/>
    <n v="275"/>
    <n v="20141093"/>
    <n v="105761"/>
    <s v="Large"/>
    <s v="Hybrid"/>
    <n v="8"/>
    <n v="38.96"/>
    <n v="530062"/>
    <n v="1"/>
  </r>
  <r>
    <s v="Startup_3610"/>
    <x v="3"/>
    <n v="9"/>
    <n v="9299089"/>
    <n v="4"/>
    <n v="11"/>
    <n v="132"/>
    <n v="45644523"/>
    <n v="523397"/>
    <s v="Small"/>
    <s v="Hybrid"/>
    <n v="3"/>
    <n v="36.520000000000003"/>
    <n v="280996"/>
    <n v="1"/>
  </r>
  <r>
    <s v="Startup_3611"/>
    <x v="5"/>
    <n v="9"/>
    <n v="7215503"/>
    <n v="4"/>
    <n v="14"/>
    <n v="260"/>
    <n v="97297279"/>
    <n v="723769"/>
    <s v="Medium"/>
    <s v="B2C"/>
    <n v="5"/>
    <n v="52.46"/>
    <n v="973486"/>
    <n v="1"/>
  </r>
  <r>
    <s v="Startup_3612"/>
    <x v="1"/>
    <n v="9"/>
    <n v="28646767"/>
    <n v="2"/>
    <n v="10"/>
    <n v="444"/>
    <n v="80823978"/>
    <n v="421563"/>
    <s v="Medium"/>
    <s v="B2B"/>
    <n v="7"/>
    <n v="26.95"/>
    <n v="636876"/>
    <n v="1"/>
  </r>
  <r>
    <s v="Startup_3613"/>
    <x v="0"/>
    <n v="4"/>
    <n v="21611419"/>
    <n v="3"/>
    <n v="22"/>
    <n v="98"/>
    <n v="44322720"/>
    <n v="305590"/>
    <s v="Large"/>
    <s v="B2C"/>
    <n v="8"/>
    <n v="17.25"/>
    <n v="547087"/>
    <n v="1"/>
  </r>
  <r>
    <s v="Startup_3614"/>
    <x v="0"/>
    <n v="7"/>
    <n v="23270949"/>
    <n v="2"/>
    <n v="13"/>
    <n v="482"/>
    <n v="73543192"/>
    <n v="696909"/>
    <s v="Large"/>
    <s v="B2C"/>
    <n v="8"/>
    <n v="42.04"/>
    <n v="684019"/>
    <n v="1"/>
  </r>
  <r>
    <s v="Startup_3615"/>
    <x v="6"/>
    <n v="0"/>
    <n v="4065832"/>
    <n v="1"/>
    <n v="26"/>
    <n v="251"/>
    <n v="97877229"/>
    <n v="587874"/>
    <s v="Medium"/>
    <s v="Hybrid"/>
    <n v="8"/>
    <n v="30.86"/>
    <n v="943673"/>
    <n v="1"/>
  </r>
  <r>
    <s v="Startup_3616"/>
    <x v="1"/>
    <n v="14"/>
    <n v="42826771"/>
    <n v="4"/>
    <n v="13"/>
    <n v="277"/>
    <n v="45101963"/>
    <n v="707285"/>
    <s v="Small"/>
    <s v="B2C"/>
    <n v="9"/>
    <n v="59.73"/>
    <n v="649068"/>
    <n v="1"/>
  </r>
  <r>
    <s v="Startup_3617"/>
    <x v="1"/>
    <n v="0"/>
    <n v="39322880"/>
    <n v="3"/>
    <n v="21"/>
    <n v="718"/>
    <n v="4827030"/>
    <n v="483482"/>
    <s v="Medium"/>
    <s v="B2C"/>
    <n v="6"/>
    <n v="79.75"/>
    <n v="873314"/>
    <n v="1"/>
  </r>
  <r>
    <s v="Startup_3618"/>
    <x v="6"/>
    <n v="7"/>
    <n v="48541289"/>
    <n v="3"/>
    <n v="11"/>
    <n v="919"/>
    <n v="42309009"/>
    <n v="296078"/>
    <s v="Medium"/>
    <s v="B2B"/>
    <n v="3"/>
    <n v="41.67"/>
    <n v="364487"/>
    <n v="1"/>
  </r>
  <r>
    <s v="Startup_3619"/>
    <x v="3"/>
    <n v="8"/>
    <n v="1325836"/>
    <n v="3"/>
    <n v="18"/>
    <n v="189"/>
    <n v="14480752"/>
    <n v="387028"/>
    <s v="Small"/>
    <s v="B2C"/>
    <n v="3"/>
    <n v="70.47"/>
    <n v="162265"/>
    <n v="1"/>
  </r>
  <r>
    <s v="Startup_3620"/>
    <x v="6"/>
    <n v="12"/>
    <n v="32814400"/>
    <n v="3"/>
    <n v="3"/>
    <n v="272"/>
    <n v="26961581"/>
    <n v="915696"/>
    <s v="Small"/>
    <s v="Hybrid"/>
    <n v="1"/>
    <n v="76.48"/>
    <n v="785224"/>
    <n v="1"/>
  </r>
  <r>
    <s v="Startup_3621"/>
    <x v="0"/>
    <n v="9"/>
    <n v="11859951"/>
    <n v="2"/>
    <n v="15"/>
    <n v="100"/>
    <n v="23040825"/>
    <n v="376207"/>
    <s v="Large"/>
    <s v="B2B"/>
    <n v="6"/>
    <n v="10.96"/>
    <n v="823076"/>
    <n v="1"/>
  </r>
  <r>
    <s v="Startup_3622"/>
    <x v="4"/>
    <n v="1"/>
    <n v="16180501"/>
    <n v="3"/>
    <n v="29"/>
    <n v="18"/>
    <n v="13234905"/>
    <n v="512827"/>
    <s v="Small"/>
    <s v="B2C"/>
    <n v="1"/>
    <n v="85.89"/>
    <n v="186075"/>
    <n v="1"/>
  </r>
  <r>
    <s v="Startup_3623"/>
    <x v="0"/>
    <n v="8"/>
    <n v="9708901"/>
    <n v="3"/>
    <n v="14"/>
    <n v="317"/>
    <n v="31332171"/>
    <n v="178363"/>
    <s v="Small"/>
    <s v="B2C"/>
    <n v="4"/>
    <n v="18.14"/>
    <n v="330040"/>
    <n v="1"/>
  </r>
  <r>
    <s v="Startup_3624"/>
    <x v="4"/>
    <n v="9"/>
    <n v="18581130"/>
    <n v="1"/>
    <n v="14"/>
    <n v="73"/>
    <n v="11010617"/>
    <n v="113077"/>
    <s v="Small"/>
    <s v="B2C"/>
    <n v="1"/>
    <n v="8.2899999999999991"/>
    <n v="94711"/>
    <n v="1"/>
  </r>
  <r>
    <s v="Startup_3625"/>
    <x v="2"/>
    <n v="2"/>
    <n v="25395227"/>
    <n v="3"/>
    <n v="3"/>
    <n v="23"/>
    <n v="81573336"/>
    <n v="732458"/>
    <s v="Medium"/>
    <s v="B2B"/>
    <n v="4"/>
    <n v="81.53"/>
    <n v="960308"/>
    <n v="1"/>
  </r>
  <r>
    <s v="Startup_3626"/>
    <x v="1"/>
    <n v="2"/>
    <n v="11356214"/>
    <n v="2"/>
    <n v="14"/>
    <n v="274"/>
    <n v="59872372"/>
    <n v="158710"/>
    <s v="Large"/>
    <s v="B2B"/>
    <n v="1"/>
    <n v="73.12"/>
    <n v="756463"/>
    <n v="1"/>
  </r>
  <r>
    <s v="Startup_3627"/>
    <x v="0"/>
    <n v="11"/>
    <n v="2760621"/>
    <n v="4"/>
    <n v="16"/>
    <n v="423"/>
    <n v="41860873"/>
    <n v="270383"/>
    <s v="Medium"/>
    <s v="B2B"/>
    <n v="4"/>
    <n v="81.96"/>
    <n v="815208"/>
    <n v="1"/>
  </r>
  <r>
    <s v="Startup_3628"/>
    <x v="6"/>
    <n v="6"/>
    <n v="9906794"/>
    <n v="3"/>
    <n v="11"/>
    <n v="282"/>
    <n v="24949342"/>
    <n v="640686"/>
    <s v="Small"/>
    <s v="B2B"/>
    <n v="9"/>
    <n v="93.66"/>
    <n v="998998"/>
    <n v="1"/>
  </r>
  <r>
    <s v="Startup_3629"/>
    <x v="0"/>
    <n v="13"/>
    <n v="13622224"/>
    <n v="3"/>
    <n v="3"/>
    <n v="297"/>
    <n v="86977829"/>
    <n v="990708"/>
    <s v="Large"/>
    <s v="B2C"/>
    <n v="2"/>
    <n v="90.5"/>
    <n v="618413"/>
    <n v="1"/>
  </r>
  <r>
    <s v="Startup_3630"/>
    <x v="4"/>
    <n v="5"/>
    <n v="27203968"/>
    <n v="2"/>
    <n v="2"/>
    <n v="440"/>
    <n v="18081561"/>
    <n v="994877"/>
    <s v="Large"/>
    <s v="B2B"/>
    <n v="9"/>
    <n v="39.72"/>
    <n v="544006"/>
    <n v="1"/>
  </r>
  <r>
    <s v="Startup_3631"/>
    <x v="6"/>
    <n v="11"/>
    <n v="28389758"/>
    <n v="4"/>
    <n v="1"/>
    <n v="666"/>
    <n v="83475979"/>
    <n v="376816"/>
    <s v="Large"/>
    <s v="Hybrid"/>
    <n v="1"/>
    <n v="36.33"/>
    <n v="497083"/>
    <n v="1"/>
  </r>
  <r>
    <s v="Startup_3632"/>
    <x v="5"/>
    <n v="0"/>
    <n v="42537916"/>
    <n v="3"/>
    <n v="2"/>
    <n v="787"/>
    <n v="21418462"/>
    <n v="764171"/>
    <s v="Large"/>
    <s v="B2B"/>
    <n v="7"/>
    <n v="29.51"/>
    <n v="798130"/>
    <n v="1"/>
  </r>
  <r>
    <s v="Startup_3633"/>
    <x v="4"/>
    <n v="4"/>
    <n v="46666204"/>
    <n v="1"/>
    <n v="25"/>
    <n v="193"/>
    <n v="4092788"/>
    <n v="538904"/>
    <s v="Medium"/>
    <s v="Hybrid"/>
    <n v="9"/>
    <n v="52.99"/>
    <n v="502354"/>
    <n v="1"/>
  </r>
  <r>
    <s v="Startup_3634"/>
    <x v="3"/>
    <n v="0"/>
    <n v="15039487"/>
    <n v="3"/>
    <n v="10"/>
    <n v="356"/>
    <n v="30593"/>
    <n v="470594"/>
    <s v="Small"/>
    <s v="B2B"/>
    <n v="2"/>
    <n v="23.99"/>
    <n v="356062"/>
    <n v="1"/>
  </r>
  <r>
    <s v="Startup_3635"/>
    <x v="0"/>
    <n v="1"/>
    <n v="45277530"/>
    <n v="3"/>
    <n v="15"/>
    <n v="714"/>
    <n v="99706062"/>
    <n v="343355"/>
    <s v="Large"/>
    <s v="B2B"/>
    <n v="4"/>
    <n v="32.89"/>
    <n v="382677"/>
    <n v="1"/>
  </r>
  <r>
    <s v="Startup_3636"/>
    <x v="5"/>
    <n v="3"/>
    <n v="22786635"/>
    <n v="2"/>
    <n v="21"/>
    <n v="248"/>
    <n v="96995869"/>
    <n v="259214"/>
    <s v="Medium"/>
    <s v="B2C"/>
    <n v="5"/>
    <n v="1.57"/>
    <n v="65956"/>
    <n v="1"/>
  </r>
  <r>
    <s v="Startup_3637"/>
    <x v="3"/>
    <n v="3"/>
    <n v="37040153"/>
    <n v="4"/>
    <n v="16"/>
    <n v="288"/>
    <n v="27169141"/>
    <n v="201738"/>
    <s v="Large"/>
    <s v="B2C"/>
    <n v="5"/>
    <n v="87.32"/>
    <n v="315680"/>
    <n v="1"/>
  </r>
  <r>
    <s v="Startup_3638"/>
    <x v="4"/>
    <n v="13"/>
    <n v="2237831"/>
    <n v="1"/>
    <n v="12"/>
    <n v="145"/>
    <n v="45858813"/>
    <n v="587164"/>
    <s v="Large"/>
    <s v="B2B"/>
    <n v="8"/>
    <n v="39.020000000000003"/>
    <n v="820310"/>
    <n v="1"/>
  </r>
  <r>
    <s v="Startup_3639"/>
    <x v="6"/>
    <n v="0"/>
    <n v="19701586"/>
    <n v="1"/>
    <n v="12"/>
    <n v="323"/>
    <n v="94552016"/>
    <n v="167555"/>
    <s v="Large"/>
    <s v="Hybrid"/>
    <n v="4"/>
    <n v="39.51"/>
    <n v="867397"/>
    <n v="1"/>
  </r>
  <r>
    <s v="Startup_3640"/>
    <x v="6"/>
    <n v="0"/>
    <n v="42800630"/>
    <n v="3"/>
    <n v="17"/>
    <n v="316"/>
    <n v="35273444"/>
    <n v="358222"/>
    <s v="Large"/>
    <s v="Hybrid"/>
    <n v="6"/>
    <n v="78.489999999999995"/>
    <n v="371192"/>
    <n v="1"/>
  </r>
  <r>
    <s v="Startup_3641"/>
    <x v="0"/>
    <n v="1"/>
    <n v="18677486"/>
    <n v="3"/>
    <n v="15"/>
    <n v="332"/>
    <n v="74368989"/>
    <n v="722592"/>
    <s v="Small"/>
    <s v="Hybrid"/>
    <n v="7"/>
    <n v="19.010000000000002"/>
    <n v="530190"/>
    <n v="1"/>
  </r>
  <r>
    <s v="Startup_3642"/>
    <x v="6"/>
    <n v="11"/>
    <n v="33790860"/>
    <n v="2"/>
    <n v="21"/>
    <n v="862"/>
    <n v="97627534"/>
    <n v="486721"/>
    <s v="Small"/>
    <s v="B2C"/>
    <n v="2"/>
    <n v="25.78"/>
    <n v="795683"/>
    <n v="1"/>
  </r>
  <r>
    <s v="Startup_3643"/>
    <x v="0"/>
    <n v="1"/>
    <n v="6289807"/>
    <n v="1"/>
    <n v="9"/>
    <n v="35"/>
    <n v="17649738"/>
    <n v="426475"/>
    <s v="Large"/>
    <s v="Hybrid"/>
    <n v="6"/>
    <n v="14.17"/>
    <n v="939387"/>
    <n v="1"/>
  </r>
  <r>
    <s v="Startup_3644"/>
    <x v="3"/>
    <n v="11"/>
    <n v="46380527"/>
    <n v="3"/>
    <n v="22"/>
    <n v="33"/>
    <n v="40438083"/>
    <n v="223274"/>
    <s v="Large"/>
    <s v="B2C"/>
    <n v="1"/>
    <n v="17.989999999999998"/>
    <n v="483284"/>
    <n v="1"/>
  </r>
  <r>
    <s v="Startup_3645"/>
    <x v="1"/>
    <n v="11"/>
    <n v="16429558"/>
    <n v="4"/>
    <n v="10"/>
    <n v="449"/>
    <n v="48582049"/>
    <n v="504748"/>
    <s v="Medium"/>
    <s v="B2B"/>
    <n v="7"/>
    <n v="33.18"/>
    <n v="984610"/>
    <n v="1"/>
  </r>
  <r>
    <s v="Startup_3646"/>
    <x v="1"/>
    <n v="2"/>
    <n v="2266740"/>
    <n v="4"/>
    <n v="20"/>
    <n v="956"/>
    <n v="11237578"/>
    <n v="823301"/>
    <s v="Medium"/>
    <s v="B2C"/>
    <n v="1"/>
    <n v="34.619999999999997"/>
    <n v="263060"/>
    <n v="1"/>
  </r>
  <r>
    <s v="Startup_3647"/>
    <x v="0"/>
    <n v="12"/>
    <n v="17060555"/>
    <n v="3"/>
    <n v="22"/>
    <n v="132"/>
    <n v="23067867"/>
    <n v="956800"/>
    <s v="Small"/>
    <s v="B2B"/>
    <n v="5"/>
    <n v="1.92"/>
    <n v="147372"/>
    <n v="1"/>
  </r>
  <r>
    <s v="Startup_3648"/>
    <x v="2"/>
    <n v="11"/>
    <n v="25345699"/>
    <n v="4"/>
    <n v="12"/>
    <n v="6"/>
    <n v="79965223"/>
    <n v="390803"/>
    <s v="Large"/>
    <s v="Hybrid"/>
    <n v="4"/>
    <n v="20.07"/>
    <n v="75369"/>
    <n v="1"/>
  </r>
  <r>
    <s v="Startup_3649"/>
    <x v="6"/>
    <n v="7"/>
    <n v="26594560"/>
    <n v="3"/>
    <n v="25"/>
    <n v="673"/>
    <n v="83518345"/>
    <n v="193344"/>
    <s v="Medium"/>
    <s v="Hybrid"/>
    <n v="1"/>
    <n v="10.54"/>
    <n v="52392"/>
    <n v="1"/>
  </r>
  <r>
    <s v="Startup_3650"/>
    <x v="4"/>
    <n v="9"/>
    <n v="17028324"/>
    <n v="4"/>
    <n v="3"/>
    <n v="154"/>
    <n v="64257363"/>
    <n v="174708"/>
    <s v="Medium"/>
    <s v="B2C"/>
    <n v="9"/>
    <n v="44.42"/>
    <n v="943322"/>
    <n v="1"/>
  </r>
  <r>
    <s v="Startup_3651"/>
    <x v="2"/>
    <n v="5"/>
    <n v="47483139"/>
    <n v="3"/>
    <n v="16"/>
    <n v="884"/>
    <n v="36585368"/>
    <n v="255987"/>
    <s v="Small"/>
    <s v="Hybrid"/>
    <n v="5"/>
    <n v="47.66"/>
    <n v="378873"/>
    <n v="1"/>
  </r>
  <r>
    <s v="Startup_3652"/>
    <x v="4"/>
    <n v="12"/>
    <n v="27626356"/>
    <n v="1"/>
    <n v="13"/>
    <n v="601"/>
    <n v="94812521"/>
    <n v="235703"/>
    <s v="Small"/>
    <s v="B2B"/>
    <n v="3"/>
    <n v="42.83"/>
    <n v="977631"/>
    <n v="1"/>
  </r>
  <r>
    <s v="Startup_3653"/>
    <x v="4"/>
    <n v="12"/>
    <n v="25658685"/>
    <n v="1"/>
    <n v="2"/>
    <n v="295"/>
    <n v="41551176"/>
    <n v="782806"/>
    <s v="Medium"/>
    <s v="B2B"/>
    <n v="9"/>
    <n v="98.76"/>
    <n v="125075"/>
    <n v="1"/>
  </r>
  <r>
    <s v="Startup_3654"/>
    <x v="3"/>
    <n v="4"/>
    <n v="43451471"/>
    <n v="3"/>
    <n v="15"/>
    <n v="392"/>
    <n v="18536014"/>
    <n v="252212"/>
    <s v="Medium"/>
    <s v="B2C"/>
    <n v="5"/>
    <n v="58.85"/>
    <n v="978880"/>
    <n v="1"/>
  </r>
  <r>
    <s v="Startup_3655"/>
    <x v="2"/>
    <n v="12"/>
    <n v="28828764"/>
    <n v="2"/>
    <n v="18"/>
    <n v="288"/>
    <n v="76216155"/>
    <n v="67911"/>
    <s v="Large"/>
    <s v="B2B"/>
    <n v="2"/>
    <n v="99.81"/>
    <n v="681329"/>
    <n v="1"/>
  </r>
  <r>
    <s v="Startup_3656"/>
    <x v="4"/>
    <n v="4"/>
    <n v="24054190"/>
    <n v="4"/>
    <n v="27"/>
    <n v="82"/>
    <n v="51936224"/>
    <n v="13570"/>
    <s v="Large"/>
    <s v="B2B"/>
    <n v="1"/>
    <n v="66.12"/>
    <n v="888717"/>
    <n v="1"/>
  </r>
  <r>
    <s v="Startup_3657"/>
    <x v="2"/>
    <n v="3"/>
    <n v="42321789"/>
    <n v="3"/>
    <n v="14"/>
    <n v="421"/>
    <n v="42291534"/>
    <n v="292064"/>
    <s v="Small"/>
    <s v="Hybrid"/>
    <n v="4"/>
    <n v="43.29"/>
    <n v="68318"/>
    <n v="1"/>
  </r>
  <r>
    <s v="Startup_3658"/>
    <x v="4"/>
    <n v="12"/>
    <n v="46865084"/>
    <n v="4"/>
    <n v="6"/>
    <n v="808"/>
    <n v="24370343"/>
    <n v="20461"/>
    <s v="Medium"/>
    <s v="B2C"/>
    <n v="7"/>
    <n v="16.91"/>
    <n v="158622"/>
    <n v="1"/>
  </r>
  <r>
    <s v="Startup_3659"/>
    <x v="3"/>
    <n v="0"/>
    <n v="47684576"/>
    <n v="2"/>
    <n v="7"/>
    <n v="245"/>
    <n v="60043451"/>
    <n v="482496"/>
    <s v="Small"/>
    <s v="B2B"/>
    <n v="3"/>
    <n v="24.38"/>
    <n v="566703"/>
    <n v="1"/>
  </r>
  <r>
    <s v="Startup_3660"/>
    <x v="6"/>
    <n v="2"/>
    <n v="41003009"/>
    <n v="4"/>
    <n v="24"/>
    <n v="75"/>
    <n v="13345174"/>
    <n v="565395"/>
    <s v="Large"/>
    <s v="B2B"/>
    <n v="6"/>
    <n v="38.909999999999997"/>
    <n v="842581"/>
    <n v="1"/>
  </r>
  <r>
    <s v="Startup_3661"/>
    <x v="6"/>
    <n v="8"/>
    <n v="29942989"/>
    <n v="1"/>
    <n v="20"/>
    <n v="124"/>
    <n v="73193239"/>
    <n v="806319"/>
    <s v="Large"/>
    <s v="Hybrid"/>
    <n v="5"/>
    <n v="79.569999999999993"/>
    <n v="873995"/>
    <n v="1"/>
  </r>
  <r>
    <s v="Startup_3662"/>
    <x v="6"/>
    <n v="7"/>
    <n v="31807988"/>
    <n v="2"/>
    <n v="9"/>
    <n v="815"/>
    <n v="49853233"/>
    <n v="214715"/>
    <s v="Large"/>
    <s v="B2B"/>
    <n v="4"/>
    <n v="39.5"/>
    <n v="950029"/>
    <n v="1"/>
  </r>
  <r>
    <s v="Startup_3663"/>
    <x v="3"/>
    <n v="3"/>
    <n v="17083107"/>
    <n v="1"/>
    <n v="17"/>
    <n v="706"/>
    <n v="63952547"/>
    <n v="81397"/>
    <s v="Medium"/>
    <s v="B2C"/>
    <n v="6"/>
    <n v="75.64"/>
    <n v="872857"/>
    <n v="1"/>
  </r>
  <r>
    <s v="Startup_3664"/>
    <x v="1"/>
    <n v="5"/>
    <n v="4898510"/>
    <n v="2"/>
    <n v="1"/>
    <n v="258"/>
    <n v="27356900"/>
    <n v="170017"/>
    <s v="Medium"/>
    <s v="B2C"/>
    <n v="2"/>
    <n v="87.6"/>
    <n v="359133"/>
    <n v="1"/>
  </r>
  <r>
    <s v="Startup_3665"/>
    <x v="0"/>
    <n v="8"/>
    <n v="22861037"/>
    <n v="2"/>
    <n v="6"/>
    <n v="964"/>
    <n v="7095370"/>
    <n v="151487"/>
    <s v="Large"/>
    <s v="B2B"/>
    <n v="2"/>
    <n v="34.409999999999997"/>
    <n v="666127"/>
    <n v="1"/>
  </r>
  <r>
    <s v="Startup_3666"/>
    <x v="6"/>
    <n v="1"/>
    <n v="6011424"/>
    <n v="2"/>
    <n v="10"/>
    <n v="775"/>
    <n v="7858963"/>
    <n v="893525"/>
    <s v="Small"/>
    <s v="Hybrid"/>
    <n v="7"/>
    <n v="24.26"/>
    <n v="322967"/>
    <n v="1"/>
  </r>
  <r>
    <s v="Startup_3667"/>
    <x v="1"/>
    <n v="5"/>
    <n v="6366803"/>
    <n v="4"/>
    <n v="7"/>
    <n v="248"/>
    <n v="66986349"/>
    <n v="98551"/>
    <s v="Small"/>
    <s v="B2B"/>
    <n v="8"/>
    <n v="20.190000000000001"/>
    <n v="249651"/>
    <n v="1"/>
  </r>
  <r>
    <s v="Startup_3668"/>
    <x v="5"/>
    <n v="8"/>
    <n v="46060433"/>
    <n v="3"/>
    <n v="24"/>
    <n v="182"/>
    <n v="21525026"/>
    <n v="972912"/>
    <s v="Small"/>
    <s v="B2C"/>
    <n v="3"/>
    <n v="57.23"/>
    <n v="843191"/>
    <n v="1"/>
  </r>
  <r>
    <s v="Startup_3669"/>
    <x v="1"/>
    <n v="5"/>
    <n v="41444975"/>
    <n v="2"/>
    <n v="9"/>
    <n v="20"/>
    <n v="23915484"/>
    <n v="310508"/>
    <s v="Medium"/>
    <s v="Hybrid"/>
    <n v="8"/>
    <n v="69.760000000000005"/>
    <n v="453125"/>
    <n v="1"/>
  </r>
  <r>
    <s v="Startup_3670"/>
    <x v="2"/>
    <n v="13"/>
    <n v="36908246"/>
    <n v="3"/>
    <n v="13"/>
    <n v="544"/>
    <n v="84569909"/>
    <n v="532687"/>
    <s v="Large"/>
    <s v="B2B"/>
    <n v="8"/>
    <n v="98.5"/>
    <n v="805116"/>
    <n v="1"/>
  </r>
  <r>
    <s v="Startup_3671"/>
    <x v="1"/>
    <n v="0"/>
    <n v="45318467"/>
    <n v="4"/>
    <n v="11"/>
    <n v="12"/>
    <n v="7320027"/>
    <n v="426491"/>
    <s v="Small"/>
    <s v="B2C"/>
    <n v="6"/>
    <n v="56.86"/>
    <n v="939890"/>
    <n v="1"/>
  </r>
  <r>
    <s v="Startup_3672"/>
    <x v="5"/>
    <n v="12"/>
    <n v="48306242"/>
    <n v="2"/>
    <n v="21"/>
    <n v="138"/>
    <n v="20534670"/>
    <n v="852801"/>
    <s v="Medium"/>
    <s v="B2C"/>
    <n v="4"/>
    <n v="52.66"/>
    <n v="67613"/>
    <n v="1"/>
  </r>
  <r>
    <s v="Startup_3673"/>
    <x v="0"/>
    <n v="2"/>
    <n v="37666049"/>
    <n v="2"/>
    <n v="23"/>
    <n v="173"/>
    <n v="3774025"/>
    <n v="187815"/>
    <s v="Small"/>
    <s v="B2B"/>
    <n v="8"/>
    <n v="65.599999999999994"/>
    <n v="51299"/>
    <n v="1"/>
  </r>
  <r>
    <s v="Startup_3674"/>
    <x v="3"/>
    <n v="8"/>
    <n v="39074487"/>
    <n v="3"/>
    <n v="2"/>
    <n v="837"/>
    <n v="3268979"/>
    <n v="55186"/>
    <s v="Small"/>
    <s v="B2B"/>
    <n v="5"/>
    <n v="95.81"/>
    <n v="280233"/>
    <n v="1"/>
  </r>
  <r>
    <s v="Startup_3675"/>
    <x v="5"/>
    <n v="2"/>
    <n v="9761879"/>
    <n v="2"/>
    <n v="10"/>
    <n v="150"/>
    <n v="97082547"/>
    <n v="369872"/>
    <s v="Large"/>
    <s v="B2B"/>
    <n v="3"/>
    <n v="69.11"/>
    <n v="851375"/>
    <n v="1"/>
  </r>
  <r>
    <s v="Startup_3676"/>
    <x v="0"/>
    <n v="8"/>
    <n v="43219792"/>
    <n v="4"/>
    <n v="4"/>
    <n v="347"/>
    <n v="24958431"/>
    <n v="680937"/>
    <s v="Small"/>
    <s v="B2B"/>
    <n v="7"/>
    <n v="38.159999999999997"/>
    <n v="394223"/>
    <n v="1"/>
  </r>
  <r>
    <s v="Startup_3677"/>
    <x v="1"/>
    <n v="11"/>
    <n v="36826584"/>
    <n v="4"/>
    <n v="16"/>
    <n v="159"/>
    <n v="52231589"/>
    <n v="761063"/>
    <s v="Small"/>
    <s v="B2B"/>
    <n v="1"/>
    <n v="11.84"/>
    <n v="267133"/>
    <n v="1"/>
  </r>
  <r>
    <s v="Startup_3678"/>
    <x v="5"/>
    <n v="2"/>
    <n v="12788088"/>
    <n v="1"/>
    <n v="28"/>
    <n v="891"/>
    <n v="27125833"/>
    <n v="975179"/>
    <s v="Large"/>
    <s v="Hybrid"/>
    <n v="3"/>
    <n v="83.09"/>
    <n v="799296"/>
    <n v="1"/>
  </r>
  <r>
    <s v="Startup_3679"/>
    <x v="6"/>
    <n v="10"/>
    <n v="16947953"/>
    <n v="4"/>
    <n v="13"/>
    <n v="282"/>
    <n v="65164061"/>
    <n v="553425"/>
    <s v="Large"/>
    <s v="B2C"/>
    <n v="3"/>
    <n v="8.89"/>
    <n v="915771"/>
    <n v="1"/>
  </r>
  <r>
    <s v="Startup_3680"/>
    <x v="4"/>
    <n v="6"/>
    <n v="6535105"/>
    <n v="2"/>
    <n v="1"/>
    <n v="152"/>
    <n v="60217813"/>
    <n v="103823"/>
    <s v="Small"/>
    <s v="B2B"/>
    <n v="4"/>
    <n v="67.510000000000005"/>
    <n v="940055"/>
    <n v="1"/>
  </r>
  <r>
    <s v="Startup_3681"/>
    <x v="4"/>
    <n v="13"/>
    <n v="26662225"/>
    <n v="3"/>
    <n v="19"/>
    <n v="996"/>
    <n v="39968852"/>
    <n v="293534"/>
    <s v="Small"/>
    <s v="B2C"/>
    <n v="6"/>
    <n v="2.2599999999999998"/>
    <n v="161627"/>
    <n v="1"/>
  </r>
  <r>
    <s v="Startup_3682"/>
    <x v="2"/>
    <n v="11"/>
    <n v="46214111"/>
    <n v="4"/>
    <n v="23"/>
    <n v="219"/>
    <n v="95134774"/>
    <n v="807380"/>
    <s v="Medium"/>
    <s v="Hybrid"/>
    <n v="7"/>
    <n v="91.91"/>
    <n v="956145"/>
    <n v="1"/>
  </r>
  <r>
    <s v="Startup_3683"/>
    <x v="6"/>
    <n v="2"/>
    <n v="14503055"/>
    <n v="4"/>
    <n v="10"/>
    <n v="41"/>
    <n v="47299161"/>
    <n v="70753"/>
    <s v="Medium"/>
    <s v="B2C"/>
    <n v="8"/>
    <n v="67.849999999999994"/>
    <n v="358972"/>
    <n v="1"/>
  </r>
  <r>
    <s v="Startup_3684"/>
    <x v="0"/>
    <n v="6"/>
    <n v="34393836"/>
    <n v="4"/>
    <n v="21"/>
    <n v="809"/>
    <n v="70783876"/>
    <n v="465019"/>
    <s v="Large"/>
    <s v="Hybrid"/>
    <n v="4"/>
    <n v="70.819999999999993"/>
    <n v="600851"/>
    <n v="1"/>
  </r>
  <r>
    <s v="Startup_3685"/>
    <x v="6"/>
    <n v="4"/>
    <n v="29444901"/>
    <n v="1"/>
    <n v="2"/>
    <n v="836"/>
    <n v="5349727"/>
    <n v="793918"/>
    <s v="Large"/>
    <s v="B2C"/>
    <n v="2"/>
    <n v="35.46"/>
    <n v="635157"/>
    <n v="1"/>
  </r>
  <r>
    <s v="Startup_3686"/>
    <x v="1"/>
    <n v="11"/>
    <n v="46861274"/>
    <n v="2"/>
    <n v="19"/>
    <n v="562"/>
    <n v="7915110"/>
    <n v="383384"/>
    <s v="Small"/>
    <s v="Hybrid"/>
    <n v="2"/>
    <n v="88.96"/>
    <n v="297581"/>
    <n v="1"/>
  </r>
  <r>
    <s v="Startup_3687"/>
    <x v="0"/>
    <n v="2"/>
    <n v="39515379"/>
    <n v="2"/>
    <n v="5"/>
    <n v="471"/>
    <n v="33159590"/>
    <n v="557459"/>
    <s v="Medium"/>
    <s v="B2C"/>
    <n v="7"/>
    <n v="61.04"/>
    <n v="80128"/>
    <n v="1"/>
  </r>
  <r>
    <s v="Startup_3688"/>
    <x v="6"/>
    <n v="5"/>
    <n v="30814212"/>
    <n v="3"/>
    <n v="10"/>
    <n v="933"/>
    <n v="4617627"/>
    <n v="234874"/>
    <s v="Small"/>
    <s v="B2B"/>
    <n v="6"/>
    <n v="45.17"/>
    <n v="228398"/>
    <n v="1"/>
  </r>
  <r>
    <s v="Startup_3689"/>
    <x v="5"/>
    <n v="14"/>
    <n v="31760245"/>
    <n v="1"/>
    <n v="11"/>
    <n v="764"/>
    <n v="31629888"/>
    <n v="279884"/>
    <s v="Medium"/>
    <s v="Hybrid"/>
    <n v="4"/>
    <n v="16.940000000000001"/>
    <n v="310596"/>
    <n v="1"/>
  </r>
  <r>
    <s v="Startup_3690"/>
    <x v="5"/>
    <n v="0"/>
    <n v="12638084"/>
    <n v="3"/>
    <n v="19"/>
    <n v="37"/>
    <n v="96732056"/>
    <n v="324884"/>
    <s v="Medium"/>
    <s v="B2B"/>
    <n v="6"/>
    <n v="30.79"/>
    <n v="460277"/>
    <n v="1"/>
  </r>
  <r>
    <s v="Startup_3691"/>
    <x v="1"/>
    <n v="13"/>
    <n v="47294638"/>
    <n v="2"/>
    <n v="0"/>
    <n v="505"/>
    <n v="46628276"/>
    <n v="922664"/>
    <s v="Medium"/>
    <s v="B2C"/>
    <n v="7"/>
    <n v="28.51"/>
    <n v="32139"/>
    <n v="1"/>
  </r>
  <r>
    <s v="Startup_3692"/>
    <x v="0"/>
    <n v="8"/>
    <n v="45726645"/>
    <n v="4"/>
    <n v="19"/>
    <n v="884"/>
    <n v="99713632"/>
    <n v="774258"/>
    <s v="Medium"/>
    <s v="B2B"/>
    <n v="6"/>
    <n v="17.63"/>
    <n v="359122"/>
    <n v="1"/>
  </r>
  <r>
    <s v="Startup_3693"/>
    <x v="5"/>
    <n v="11"/>
    <n v="46824600"/>
    <n v="3"/>
    <n v="6"/>
    <n v="778"/>
    <n v="6382613"/>
    <n v="616289"/>
    <s v="Small"/>
    <s v="Hybrid"/>
    <n v="8"/>
    <n v="77.150000000000006"/>
    <n v="380747"/>
    <n v="1"/>
  </r>
  <r>
    <s v="Startup_3694"/>
    <x v="2"/>
    <n v="14"/>
    <n v="4876755"/>
    <n v="1"/>
    <n v="26"/>
    <n v="57"/>
    <n v="69062576"/>
    <n v="465417"/>
    <s v="Small"/>
    <s v="B2C"/>
    <n v="2"/>
    <n v="74.56"/>
    <n v="311926"/>
    <n v="1"/>
  </r>
  <r>
    <s v="Startup_3695"/>
    <x v="4"/>
    <n v="6"/>
    <n v="19676745"/>
    <n v="4"/>
    <n v="19"/>
    <n v="52"/>
    <n v="13240162"/>
    <n v="488292"/>
    <s v="Medium"/>
    <s v="B2B"/>
    <n v="4"/>
    <n v="22.79"/>
    <n v="765482"/>
    <n v="1"/>
  </r>
  <r>
    <s v="Startup_3696"/>
    <x v="2"/>
    <n v="4"/>
    <n v="31347197"/>
    <n v="3"/>
    <n v="26"/>
    <n v="716"/>
    <n v="25784350"/>
    <n v="854163"/>
    <s v="Medium"/>
    <s v="B2B"/>
    <n v="7"/>
    <n v="55.52"/>
    <n v="714012"/>
    <n v="1"/>
  </r>
  <r>
    <s v="Startup_3697"/>
    <x v="2"/>
    <n v="6"/>
    <n v="21891945"/>
    <n v="1"/>
    <n v="13"/>
    <n v="237"/>
    <n v="24109648"/>
    <n v="808864"/>
    <s v="Medium"/>
    <s v="Hybrid"/>
    <n v="5"/>
    <n v="47.51"/>
    <n v="259342"/>
    <n v="1"/>
  </r>
  <r>
    <s v="Startup_3698"/>
    <x v="6"/>
    <n v="11"/>
    <n v="19876888"/>
    <n v="2"/>
    <n v="16"/>
    <n v="528"/>
    <n v="58000131"/>
    <n v="788659"/>
    <s v="Medium"/>
    <s v="B2B"/>
    <n v="9"/>
    <n v="15.54"/>
    <n v="330313"/>
    <n v="1"/>
  </r>
  <r>
    <s v="Startup_3699"/>
    <x v="5"/>
    <n v="10"/>
    <n v="46026376"/>
    <n v="2"/>
    <n v="28"/>
    <n v="111"/>
    <n v="30074756"/>
    <n v="267916"/>
    <s v="Medium"/>
    <s v="Hybrid"/>
    <n v="2"/>
    <n v="43.95"/>
    <n v="752534"/>
    <n v="1"/>
  </r>
  <r>
    <s v="Startup_3700"/>
    <x v="0"/>
    <n v="9"/>
    <n v="43104651"/>
    <n v="1"/>
    <n v="8"/>
    <n v="297"/>
    <n v="55547044"/>
    <n v="717317"/>
    <s v="Small"/>
    <s v="Hybrid"/>
    <n v="8"/>
    <n v="19.43"/>
    <n v="616632"/>
    <n v="1"/>
  </r>
  <r>
    <s v="Startup_3701"/>
    <x v="1"/>
    <n v="8"/>
    <n v="26215316"/>
    <n v="2"/>
    <n v="14"/>
    <n v="798"/>
    <n v="42753003"/>
    <n v="876895"/>
    <s v="Large"/>
    <s v="B2C"/>
    <n v="7"/>
    <n v="12.42"/>
    <n v="326769"/>
    <n v="1"/>
  </r>
  <r>
    <s v="Startup_3702"/>
    <x v="3"/>
    <n v="2"/>
    <n v="33140622"/>
    <n v="1"/>
    <n v="6"/>
    <n v="556"/>
    <n v="84222871"/>
    <n v="482835"/>
    <s v="Large"/>
    <s v="B2C"/>
    <n v="5"/>
    <n v="10.39"/>
    <n v="578189"/>
    <n v="1"/>
  </r>
  <r>
    <s v="Startup_3703"/>
    <x v="6"/>
    <n v="3"/>
    <n v="38121911"/>
    <n v="1"/>
    <n v="20"/>
    <n v="788"/>
    <n v="84478136"/>
    <n v="446630"/>
    <s v="Large"/>
    <s v="B2B"/>
    <n v="2"/>
    <n v="14.67"/>
    <n v="660294"/>
    <n v="1"/>
  </r>
  <r>
    <s v="Startup_3704"/>
    <x v="0"/>
    <n v="14"/>
    <n v="7932643"/>
    <n v="1"/>
    <n v="1"/>
    <n v="961"/>
    <n v="95090401"/>
    <n v="417301"/>
    <s v="Large"/>
    <s v="B2B"/>
    <n v="1"/>
    <n v="63.01"/>
    <n v="597203"/>
    <n v="1"/>
  </r>
  <r>
    <s v="Startup_3705"/>
    <x v="6"/>
    <n v="10"/>
    <n v="16263833"/>
    <n v="1"/>
    <n v="13"/>
    <n v="867"/>
    <n v="79087499"/>
    <n v="917976"/>
    <s v="Medium"/>
    <s v="B2C"/>
    <n v="7"/>
    <n v="22.98"/>
    <n v="888695"/>
    <n v="1"/>
  </r>
  <r>
    <s v="Startup_3706"/>
    <x v="1"/>
    <n v="7"/>
    <n v="27704377"/>
    <n v="1"/>
    <n v="5"/>
    <n v="194"/>
    <n v="76898270"/>
    <n v="117576"/>
    <s v="Large"/>
    <s v="B2B"/>
    <n v="9"/>
    <n v="98.37"/>
    <n v="354676"/>
    <n v="1"/>
  </r>
  <r>
    <s v="Startup_3707"/>
    <x v="1"/>
    <n v="1"/>
    <n v="12371042"/>
    <n v="3"/>
    <n v="26"/>
    <n v="626"/>
    <n v="81936151"/>
    <n v="817561"/>
    <s v="Large"/>
    <s v="B2B"/>
    <n v="9"/>
    <n v="49.54"/>
    <n v="755068"/>
    <n v="1"/>
  </r>
  <r>
    <s v="Startup_3708"/>
    <x v="1"/>
    <n v="5"/>
    <n v="47633540"/>
    <n v="1"/>
    <n v="8"/>
    <n v="670"/>
    <n v="22595539"/>
    <n v="647681"/>
    <s v="Medium"/>
    <s v="B2B"/>
    <n v="5"/>
    <n v="20.16"/>
    <n v="315802"/>
    <n v="1"/>
  </r>
  <r>
    <s v="Startup_3709"/>
    <x v="1"/>
    <n v="10"/>
    <n v="26657333"/>
    <n v="1"/>
    <n v="0"/>
    <n v="804"/>
    <n v="24653285"/>
    <n v="73584"/>
    <s v="Large"/>
    <s v="B2B"/>
    <n v="4"/>
    <n v="3.8"/>
    <n v="93892"/>
    <n v="1"/>
  </r>
  <r>
    <s v="Startup_3710"/>
    <x v="1"/>
    <n v="5"/>
    <n v="44679220"/>
    <n v="4"/>
    <n v="4"/>
    <n v="29"/>
    <n v="76740755"/>
    <n v="831785"/>
    <s v="Medium"/>
    <s v="B2C"/>
    <n v="2"/>
    <n v="29.51"/>
    <n v="470231"/>
    <n v="1"/>
  </r>
  <r>
    <s v="Startup_3711"/>
    <x v="3"/>
    <n v="1"/>
    <n v="23964019"/>
    <n v="1"/>
    <n v="29"/>
    <n v="882"/>
    <n v="20504817"/>
    <n v="802452"/>
    <s v="Small"/>
    <s v="B2B"/>
    <n v="9"/>
    <n v="75.73"/>
    <n v="189667"/>
    <n v="1"/>
  </r>
  <r>
    <s v="Startup_3712"/>
    <x v="3"/>
    <n v="7"/>
    <n v="33797074"/>
    <n v="2"/>
    <n v="14"/>
    <n v="718"/>
    <n v="6392968"/>
    <n v="527824"/>
    <s v="Medium"/>
    <s v="B2B"/>
    <n v="2"/>
    <n v="3.67"/>
    <n v="813361"/>
    <n v="1"/>
  </r>
  <r>
    <s v="Startup_3713"/>
    <x v="0"/>
    <n v="13"/>
    <n v="11428324"/>
    <n v="1"/>
    <n v="6"/>
    <n v="566"/>
    <n v="70562849"/>
    <n v="140679"/>
    <s v="Medium"/>
    <s v="B2C"/>
    <n v="6"/>
    <n v="73.06"/>
    <n v="743789"/>
    <n v="1"/>
  </r>
  <r>
    <s v="Startup_3714"/>
    <x v="0"/>
    <n v="11"/>
    <n v="36763452"/>
    <n v="3"/>
    <n v="10"/>
    <n v="549"/>
    <n v="20739728"/>
    <n v="434788"/>
    <s v="Small"/>
    <s v="Hybrid"/>
    <n v="3"/>
    <n v="1.45"/>
    <n v="344756"/>
    <n v="1"/>
  </r>
  <r>
    <s v="Startup_3715"/>
    <x v="2"/>
    <n v="1"/>
    <n v="10647372"/>
    <n v="3"/>
    <n v="12"/>
    <n v="646"/>
    <n v="31524350"/>
    <n v="65451"/>
    <s v="Large"/>
    <s v="Hybrid"/>
    <n v="5"/>
    <n v="39.090000000000003"/>
    <n v="892947"/>
    <n v="1"/>
  </r>
  <r>
    <s v="Startup_3716"/>
    <x v="5"/>
    <n v="1"/>
    <n v="24906721"/>
    <n v="3"/>
    <n v="13"/>
    <n v="462"/>
    <n v="58263871"/>
    <n v="798295"/>
    <s v="Medium"/>
    <s v="Hybrid"/>
    <n v="6"/>
    <n v="87.16"/>
    <n v="170606"/>
    <n v="1"/>
  </r>
  <r>
    <s v="Startup_3717"/>
    <x v="0"/>
    <n v="5"/>
    <n v="26071991"/>
    <n v="3"/>
    <n v="13"/>
    <n v="266"/>
    <n v="8866090"/>
    <n v="243678"/>
    <s v="Large"/>
    <s v="Hybrid"/>
    <n v="6"/>
    <n v="76.989999999999995"/>
    <n v="432595"/>
    <n v="1"/>
  </r>
  <r>
    <s v="Startup_3718"/>
    <x v="2"/>
    <n v="11"/>
    <n v="23411501"/>
    <n v="1"/>
    <n v="18"/>
    <n v="536"/>
    <n v="61171717"/>
    <n v="750788"/>
    <s v="Small"/>
    <s v="B2B"/>
    <n v="1"/>
    <n v="70.36"/>
    <n v="826956"/>
    <n v="1"/>
  </r>
  <r>
    <s v="Startup_3719"/>
    <x v="4"/>
    <n v="12"/>
    <n v="49467768"/>
    <n v="3"/>
    <n v="29"/>
    <n v="877"/>
    <n v="47476137"/>
    <n v="622729"/>
    <s v="Large"/>
    <s v="B2C"/>
    <n v="1"/>
    <n v="20.18"/>
    <n v="663132"/>
    <n v="1"/>
  </r>
  <r>
    <s v="Startup_3720"/>
    <x v="3"/>
    <n v="6"/>
    <n v="28889920"/>
    <n v="4"/>
    <n v="26"/>
    <n v="603"/>
    <n v="43096816"/>
    <n v="978347"/>
    <s v="Large"/>
    <s v="Hybrid"/>
    <n v="5"/>
    <n v="68.88"/>
    <n v="823824"/>
    <n v="1"/>
  </r>
  <r>
    <s v="Startup_3721"/>
    <x v="2"/>
    <n v="5"/>
    <n v="13654744"/>
    <n v="2"/>
    <n v="2"/>
    <n v="443"/>
    <n v="62900039"/>
    <n v="94962"/>
    <s v="Large"/>
    <s v="Hybrid"/>
    <n v="7"/>
    <n v="95.18"/>
    <n v="474184"/>
    <n v="1"/>
  </r>
  <r>
    <s v="Startup_3722"/>
    <x v="6"/>
    <n v="10"/>
    <n v="49448769"/>
    <n v="3"/>
    <n v="6"/>
    <n v="532"/>
    <n v="74228189"/>
    <n v="759878"/>
    <s v="Medium"/>
    <s v="Hybrid"/>
    <n v="5"/>
    <n v="89.78"/>
    <n v="746569"/>
    <n v="1"/>
  </r>
  <r>
    <s v="Startup_3723"/>
    <x v="2"/>
    <n v="9"/>
    <n v="43990328"/>
    <n v="2"/>
    <n v="19"/>
    <n v="11"/>
    <n v="16471493"/>
    <n v="245633"/>
    <s v="Small"/>
    <s v="B2B"/>
    <n v="1"/>
    <n v="35.79"/>
    <n v="76329"/>
    <n v="1"/>
  </r>
  <r>
    <s v="Startup_3724"/>
    <x v="6"/>
    <n v="8"/>
    <n v="1268857"/>
    <n v="3"/>
    <n v="4"/>
    <n v="713"/>
    <n v="9965183"/>
    <n v="133624"/>
    <s v="Small"/>
    <s v="B2C"/>
    <n v="8"/>
    <n v="67"/>
    <n v="869479"/>
    <n v="1"/>
  </r>
  <r>
    <s v="Startup_3725"/>
    <x v="3"/>
    <n v="0"/>
    <n v="1447337"/>
    <n v="4"/>
    <n v="4"/>
    <n v="861"/>
    <n v="93483891"/>
    <n v="135181"/>
    <s v="Large"/>
    <s v="B2C"/>
    <n v="7"/>
    <n v="76.28"/>
    <n v="550462"/>
    <n v="1"/>
  </r>
  <r>
    <s v="Startup_3726"/>
    <x v="5"/>
    <n v="7"/>
    <n v="3890976"/>
    <n v="2"/>
    <n v="4"/>
    <n v="505"/>
    <n v="20179725"/>
    <n v="847461"/>
    <s v="Large"/>
    <s v="B2B"/>
    <n v="8"/>
    <n v="63.34"/>
    <n v="598310"/>
    <n v="1"/>
  </r>
  <r>
    <s v="Startup_3727"/>
    <x v="0"/>
    <n v="12"/>
    <n v="9744854"/>
    <n v="2"/>
    <n v="18"/>
    <n v="407"/>
    <n v="14188118"/>
    <n v="235018"/>
    <s v="Small"/>
    <s v="B2B"/>
    <n v="6"/>
    <n v="39.4"/>
    <n v="161021"/>
    <n v="1"/>
  </r>
  <r>
    <s v="Startup_3728"/>
    <x v="2"/>
    <n v="13"/>
    <n v="38150178"/>
    <n v="4"/>
    <n v="27"/>
    <n v="974"/>
    <n v="37580993"/>
    <n v="815687"/>
    <s v="Medium"/>
    <s v="Hybrid"/>
    <n v="3"/>
    <n v="26.44"/>
    <n v="195284"/>
    <n v="1"/>
  </r>
  <r>
    <s v="Startup_3729"/>
    <x v="0"/>
    <n v="4"/>
    <n v="9010465"/>
    <n v="3"/>
    <n v="0"/>
    <n v="587"/>
    <n v="26327013"/>
    <n v="557496"/>
    <s v="Small"/>
    <s v="B2C"/>
    <n v="5"/>
    <n v="86.79"/>
    <n v="72745"/>
    <n v="1"/>
  </r>
  <r>
    <s v="Startup_3730"/>
    <x v="1"/>
    <n v="0"/>
    <n v="1092248"/>
    <n v="4"/>
    <n v="13"/>
    <n v="624"/>
    <n v="6724009"/>
    <n v="602200"/>
    <s v="Medium"/>
    <s v="B2B"/>
    <n v="8"/>
    <n v="35.42"/>
    <n v="293834"/>
    <n v="1"/>
  </r>
  <r>
    <s v="Startup_3731"/>
    <x v="2"/>
    <n v="6"/>
    <n v="37844843"/>
    <n v="4"/>
    <n v="5"/>
    <n v="478"/>
    <n v="96624160"/>
    <n v="414675"/>
    <s v="Small"/>
    <s v="Hybrid"/>
    <n v="1"/>
    <n v="93.51"/>
    <n v="754091"/>
    <n v="1"/>
  </r>
  <r>
    <s v="Startup_3732"/>
    <x v="5"/>
    <n v="8"/>
    <n v="18129755"/>
    <n v="2"/>
    <n v="25"/>
    <n v="448"/>
    <n v="36215203"/>
    <n v="994798"/>
    <s v="Large"/>
    <s v="B2B"/>
    <n v="3"/>
    <n v="76.14"/>
    <n v="938346"/>
    <n v="1"/>
  </r>
  <r>
    <s v="Startup_3733"/>
    <x v="6"/>
    <n v="6"/>
    <n v="21410778"/>
    <n v="4"/>
    <n v="9"/>
    <n v="624"/>
    <n v="32862173"/>
    <n v="504295"/>
    <s v="Small"/>
    <s v="B2B"/>
    <n v="8"/>
    <n v="58.77"/>
    <n v="396926"/>
    <n v="1"/>
  </r>
  <r>
    <s v="Startup_3734"/>
    <x v="4"/>
    <n v="8"/>
    <n v="18892899"/>
    <n v="2"/>
    <n v="24"/>
    <n v="69"/>
    <n v="25941439"/>
    <n v="691355"/>
    <s v="Large"/>
    <s v="Hybrid"/>
    <n v="1"/>
    <n v="87.88"/>
    <n v="467372"/>
    <n v="1"/>
  </r>
  <r>
    <s v="Startup_3735"/>
    <x v="1"/>
    <n v="10"/>
    <n v="2578208"/>
    <n v="1"/>
    <n v="20"/>
    <n v="291"/>
    <n v="51468051"/>
    <n v="937759"/>
    <s v="Medium"/>
    <s v="B2C"/>
    <n v="5"/>
    <n v="47.59"/>
    <n v="439893"/>
    <n v="1"/>
  </r>
  <r>
    <s v="Startup_3736"/>
    <x v="5"/>
    <n v="1"/>
    <n v="35381379"/>
    <n v="2"/>
    <n v="14"/>
    <n v="224"/>
    <n v="59225737"/>
    <n v="671505"/>
    <s v="Small"/>
    <s v="B2C"/>
    <n v="2"/>
    <n v="86.47"/>
    <n v="340848"/>
    <n v="1"/>
  </r>
  <r>
    <s v="Startup_3737"/>
    <x v="2"/>
    <n v="7"/>
    <n v="4437467"/>
    <n v="2"/>
    <n v="14"/>
    <n v="403"/>
    <n v="7076075"/>
    <n v="152067"/>
    <s v="Small"/>
    <s v="B2B"/>
    <n v="9"/>
    <n v="40.520000000000003"/>
    <n v="480792"/>
    <n v="1"/>
  </r>
  <r>
    <s v="Startup_3738"/>
    <x v="4"/>
    <n v="0"/>
    <n v="1179738"/>
    <n v="2"/>
    <n v="19"/>
    <n v="743"/>
    <n v="15020218"/>
    <n v="718288"/>
    <s v="Small"/>
    <s v="B2B"/>
    <n v="3"/>
    <n v="78.069999999999993"/>
    <n v="406042"/>
    <n v="1"/>
  </r>
  <r>
    <s v="Startup_3739"/>
    <x v="1"/>
    <n v="9"/>
    <n v="41791041"/>
    <n v="4"/>
    <n v="8"/>
    <n v="423"/>
    <n v="7203831"/>
    <n v="573910"/>
    <s v="Large"/>
    <s v="B2C"/>
    <n v="8"/>
    <n v="86.75"/>
    <n v="356284"/>
    <n v="1"/>
  </r>
  <r>
    <s v="Startup_3740"/>
    <x v="6"/>
    <n v="4"/>
    <n v="43670645"/>
    <n v="2"/>
    <n v="11"/>
    <n v="544"/>
    <n v="19163856"/>
    <n v="337341"/>
    <s v="Medium"/>
    <s v="B2C"/>
    <n v="5"/>
    <n v="11.55"/>
    <n v="770302"/>
    <n v="1"/>
  </r>
  <r>
    <s v="Startup_3741"/>
    <x v="4"/>
    <n v="3"/>
    <n v="875029"/>
    <n v="1"/>
    <n v="23"/>
    <n v="656"/>
    <n v="85918932"/>
    <n v="255044"/>
    <s v="Large"/>
    <s v="Hybrid"/>
    <n v="5"/>
    <n v="75.040000000000006"/>
    <n v="196571"/>
    <n v="1"/>
  </r>
  <r>
    <s v="Startup_3742"/>
    <x v="1"/>
    <n v="10"/>
    <n v="45723262"/>
    <n v="1"/>
    <n v="4"/>
    <n v="159"/>
    <n v="83863542"/>
    <n v="600762"/>
    <s v="Small"/>
    <s v="B2C"/>
    <n v="2"/>
    <n v="98.59"/>
    <n v="146344"/>
    <n v="1"/>
  </r>
  <r>
    <s v="Startup_3743"/>
    <x v="3"/>
    <n v="14"/>
    <n v="34127061"/>
    <n v="4"/>
    <n v="21"/>
    <n v="220"/>
    <n v="59611112"/>
    <n v="162793"/>
    <s v="Large"/>
    <s v="B2B"/>
    <n v="8"/>
    <n v="37.880000000000003"/>
    <n v="217616"/>
    <n v="1"/>
  </r>
  <r>
    <s v="Startup_3744"/>
    <x v="2"/>
    <n v="4"/>
    <n v="21291408"/>
    <n v="1"/>
    <n v="2"/>
    <n v="828"/>
    <n v="6829382"/>
    <n v="75704"/>
    <s v="Small"/>
    <s v="Hybrid"/>
    <n v="9"/>
    <n v="9.94"/>
    <n v="507111"/>
    <n v="1"/>
  </r>
  <r>
    <s v="Startup_3745"/>
    <x v="3"/>
    <n v="0"/>
    <n v="47052652"/>
    <n v="1"/>
    <n v="14"/>
    <n v="510"/>
    <n v="65434883"/>
    <n v="421915"/>
    <s v="Small"/>
    <s v="B2C"/>
    <n v="5"/>
    <n v="68.5"/>
    <n v="836823"/>
    <n v="1"/>
  </r>
  <r>
    <s v="Startup_3746"/>
    <x v="2"/>
    <n v="5"/>
    <n v="46195036"/>
    <n v="4"/>
    <n v="29"/>
    <n v="172"/>
    <n v="9470795"/>
    <n v="537402"/>
    <s v="Small"/>
    <s v="Hybrid"/>
    <n v="1"/>
    <n v="33.61"/>
    <n v="608287"/>
    <n v="1"/>
  </r>
  <r>
    <s v="Startup_3747"/>
    <x v="2"/>
    <n v="12"/>
    <n v="41828504"/>
    <n v="2"/>
    <n v="21"/>
    <n v="695"/>
    <n v="27318917"/>
    <n v="195126"/>
    <s v="Medium"/>
    <s v="Hybrid"/>
    <n v="1"/>
    <n v="93.45"/>
    <n v="339936"/>
    <n v="1"/>
  </r>
  <r>
    <s v="Startup_3748"/>
    <x v="1"/>
    <n v="7"/>
    <n v="35810072"/>
    <n v="2"/>
    <n v="17"/>
    <n v="611"/>
    <n v="91314935"/>
    <n v="685846"/>
    <s v="Large"/>
    <s v="B2C"/>
    <n v="7"/>
    <n v="85.56"/>
    <n v="541532"/>
    <n v="1"/>
  </r>
  <r>
    <s v="Startup_3749"/>
    <x v="2"/>
    <n v="0"/>
    <n v="19884373"/>
    <n v="1"/>
    <n v="18"/>
    <n v="818"/>
    <n v="32143728"/>
    <n v="27407"/>
    <s v="Large"/>
    <s v="Hybrid"/>
    <n v="3"/>
    <n v="36.43"/>
    <n v="731452"/>
    <n v="1"/>
  </r>
  <r>
    <s v="Startup_3750"/>
    <x v="6"/>
    <n v="2"/>
    <n v="19100725"/>
    <n v="3"/>
    <n v="14"/>
    <n v="84"/>
    <n v="96647284"/>
    <n v="191581"/>
    <s v="Medium"/>
    <s v="B2C"/>
    <n v="1"/>
    <n v="16.690000000000001"/>
    <n v="466724"/>
    <n v="1"/>
  </r>
  <r>
    <s v="Startup_3751"/>
    <x v="6"/>
    <n v="3"/>
    <n v="32973108"/>
    <n v="4"/>
    <n v="12"/>
    <n v="894"/>
    <n v="37434711"/>
    <n v="449443"/>
    <s v="Large"/>
    <s v="B2B"/>
    <n v="9"/>
    <n v="21.86"/>
    <n v="66093"/>
    <n v="1"/>
  </r>
  <r>
    <s v="Startup_3752"/>
    <x v="0"/>
    <n v="2"/>
    <n v="25110628"/>
    <n v="3"/>
    <n v="0"/>
    <n v="761"/>
    <n v="16089487"/>
    <n v="121615"/>
    <s v="Large"/>
    <s v="Hybrid"/>
    <n v="7"/>
    <n v="59.71"/>
    <n v="832583"/>
    <n v="1"/>
  </r>
  <r>
    <s v="Startup_3753"/>
    <x v="0"/>
    <n v="7"/>
    <n v="6128706"/>
    <n v="4"/>
    <n v="16"/>
    <n v="705"/>
    <n v="41205903"/>
    <n v="439845"/>
    <s v="Medium"/>
    <s v="B2B"/>
    <n v="6"/>
    <n v="59.57"/>
    <n v="105165"/>
    <n v="1"/>
  </r>
  <r>
    <s v="Startup_3754"/>
    <x v="2"/>
    <n v="1"/>
    <n v="15487371"/>
    <n v="2"/>
    <n v="21"/>
    <n v="582"/>
    <n v="57630058"/>
    <n v="918936"/>
    <s v="Large"/>
    <s v="B2C"/>
    <n v="3"/>
    <n v="73.599999999999994"/>
    <n v="59339"/>
    <n v="1"/>
  </r>
  <r>
    <s v="Startup_3755"/>
    <x v="6"/>
    <n v="12"/>
    <n v="42282200"/>
    <n v="1"/>
    <n v="1"/>
    <n v="279"/>
    <n v="51104529"/>
    <n v="583441"/>
    <s v="Medium"/>
    <s v="B2B"/>
    <n v="6"/>
    <n v="33.53"/>
    <n v="229210"/>
    <n v="1"/>
  </r>
  <r>
    <s v="Startup_3756"/>
    <x v="3"/>
    <n v="12"/>
    <n v="46697459"/>
    <n v="1"/>
    <n v="18"/>
    <n v="395"/>
    <n v="98563091"/>
    <n v="781517"/>
    <s v="Large"/>
    <s v="B2C"/>
    <n v="9"/>
    <n v="13.96"/>
    <n v="72270"/>
    <n v="1"/>
  </r>
  <r>
    <s v="Startup_3757"/>
    <x v="3"/>
    <n v="3"/>
    <n v="3197633"/>
    <n v="2"/>
    <n v="13"/>
    <n v="737"/>
    <n v="88695619"/>
    <n v="438777"/>
    <s v="Medium"/>
    <s v="Hybrid"/>
    <n v="6"/>
    <n v="67.73"/>
    <n v="246019"/>
    <n v="1"/>
  </r>
  <r>
    <s v="Startup_3758"/>
    <x v="3"/>
    <n v="2"/>
    <n v="24712110"/>
    <n v="1"/>
    <n v="17"/>
    <n v="402"/>
    <n v="99975441"/>
    <n v="264033"/>
    <s v="Small"/>
    <s v="B2B"/>
    <n v="1"/>
    <n v="7.89"/>
    <n v="561667"/>
    <n v="1"/>
  </r>
  <r>
    <s v="Startup_3759"/>
    <x v="2"/>
    <n v="1"/>
    <n v="19883917"/>
    <n v="4"/>
    <n v="26"/>
    <n v="458"/>
    <n v="52023575"/>
    <n v="560873"/>
    <s v="Medium"/>
    <s v="Hybrid"/>
    <n v="2"/>
    <n v="35.75"/>
    <n v="454206"/>
    <n v="1"/>
  </r>
  <r>
    <s v="Startup_3760"/>
    <x v="2"/>
    <n v="12"/>
    <n v="7236524"/>
    <n v="3"/>
    <n v="12"/>
    <n v="88"/>
    <n v="72063830"/>
    <n v="213513"/>
    <s v="Small"/>
    <s v="B2C"/>
    <n v="8"/>
    <n v="14.35"/>
    <n v="821489"/>
    <n v="1"/>
  </r>
  <r>
    <s v="Startup_3761"/>
    <x v="2"/>
    <n v="6"/>
    <n v="21761969"/>
    <n v="4"/>
    <n v="10"/>
    <n v="921"/>
    <n v="19081021"/>
    <n v="878064"/>
    <s v="Medium"/>
    <s v="Hybrid"/>
    <n v="3"/>
    <n v="61.03"/>
    <n v="243081"/>
    <n v="1"/>
  </r>
  <r>
    <s v="Startup_3762"/>
    <x v="3"/>
    <n v="14"/>
    <n v="13070901"/>
    <n v="3"/>
    <n v="0"/>
    <n v="266"/>
    <n v="80395082"/>
    <n v="717686"/>
    <s v="Small"/>
    <s v="Hybrid"/>
    <n v="7"/>
    <n v="8.43"/>
    <n v="359843"/>
    <n v="1"/>
  </r>
  <r>
    <s v="Startup_3763"/>
    <x v="0"/>
    <n v="9"/>
    <n v="21987407"/>
    <n v="2"/>
    <n v="4"/>
    <n v="737"/>
    <n v="16897464"/>
    <n v="612254"/>
    <s v="Large"/>
    <s v="B2C"/>
    <n v="8"/>
    <n v="39.17"/>
    <n v="784155"/>
    <n v="1"/>
  </r>
  <r>
    <s v="Startup_3764"/>
    <x v="4"/>
    <n v="0"/>
    <n v="49881237"/>
    <n v="3"/>
    <n v="19"/>
    <n v="920"/>
    <n v="55881686"/>
    <n v="57644"/>
    <s v="Small"/>
    <s v="B2C"/>
    <n v="7"/>
    <n v="13.58"/>
    <n v="122960"/>
    <n v="1"/>
  </r>
  <r>
    <s v="Startup_3765"/>
    <x v="1"/>
    <n v="13"/>
    <n v="27917682"/>
    <n v="2"/>
    <n v="8"/>
    <n v="434"/>
    <n v="32693333"/>
    <n v="410470"/>
    <s v="Medium"/>
    <s v="Hybrid"/>
    <n v="3"/>
    <n v="32.229999999999997"/>
    <n v="176156"/>
    <n v="1"/>
  </r>
  <r>
    <s v="Startup_3766"/>
    <x v="1"/>
    <n v="13"/>
    <n v="45814814"/>
    <n v="4"/>
    <n v="22"/>
    <n v="646"/>
    <n v="4640254"/>
    <n v="58675"/>
    <s v="Large"/>
    <s v="B2B"/>
    <n v="9"/>
    <n v="57.89"/>
    <n v="564105"/>
    <n v="1"/>
  </r>
  <r>
    <s v="Startup_3767"/>
    <x v="3"/>
    <n v="4"/>
    <n v="35318241"/>
    <n v="3"/>
    <n v="15"/>
    <n v="376"/>
    <n v="33914838"/>
    <n v="639379"/>
    <s v="Large"/>
    <s v="B2C"/>
    <n v="1"/>
    <n v="21.81"/>
    <n v="132672"/>
    <n v="1"/>
  </r>
  <r>
    <s v="Startup_3768"/>
    <x v="2"/>
    <n v="7"/>
    <n v="5994686"/>
    <n v="2"/>
    <n v="25"/>
    <n v="102"/>
    <n v="98024214"/>
    <n v="478254"/>
    <s v="Medium"/>
    <s v="B2B"/>
    <n v="2"/>
    <n v="23.6"/>
    <n v="673353"/>
    <n v="1"/>
  </r>
  <r>
    <s v="Startup_3769"/>
    <x v="0"/>
    <n v="1"/>
    <n v="6742702"/>
    <n v="1"/>
    <n v="7"/>
    <n v="533"/>
    <n v="68890652"/>
    <n v="330359"/>
    <s v="Medium"/>
    <s v="B2C"/>
    <n v="6"/>
    <n v="89.11"/>
    <n v="731172"/>
    <n v="1"/>
  </r>
  <r>
    <s v="Startup_3770"/>
    <x v="4"/>
    <n v="14"/>
    <n v="6086079"/>
    <n v="2"/>
    <n v="1"/>
    <n v="44"/>
    <n v="91032784"/>
    <n v="568964"/>
    <s v="Small"/>
    <s v="Hybrid"/>
    <n v="9"/>
    <n v="23.1"/>
    <n v="804865"/>
    <n v="1"/>
  </r>
  <r>
    <s v="Startup_3771"/>
    <x v="2"/>
    <n v="12"/>
    <n v="22261328"/>
    <n v="2"/>
    <n v="17"/>
    <n v="11"/>
    <n v="22445964"/>
    <n v="660060"/>
    <s v="Medium"/>
    <s v="B2C"/>
    <n v="7"/>
    <n v="28.63"/>
    <n v="66132"/>
    <n v="1"/>
  </r>
  <r>
    <s v="Startup_3772"/>
    <x v="1"/>
    <n v="7"/>
    <n v="728091"/>
    <n v="4"/>
    <n v="28"/>
    <n v="548"/>
    <n v="37279267"/>
    <n v="546487"/>
    <s v="Small"/>
    <s v="Hybrid"/>
    <n v="8"/>
    <n v="17.07"/>
    <n v="815866"/>
    <n v="1"/>
  </r>
  <r>
    <s v="Startup_3773"/>
    <x v="3"/>
    <n v="2"/>
    <n v="24759758"/>
    <n v="2"/>
    <n v="18"/>
    <n v="537"/>
    <n v="30589372"/>
    <n v="465439"/>
    <s v="Medium"/>
    <s v="B2C"/>
    <n v="8"/>
    <n v="46.02"/>
    <n v="606375"/>
    <n v="1"/>
  </r>
  <r>
    <s v="Startup_3774"/>
    <x v="4"/>
    <n v="11"/>
    <n v="40989372"/>
    <n v="1"/>
    <n v="1"/>
    <n v="112"/>
    <n v="24243951"/>
    <n v="326466"/>
    <s v="Large"/>
    <s v="Hybrid"/>
    <n v="7"/>
    <n v="81.96"/>
    <n v="321072"/>
    <n v="1"/>
  </r>
  <r>
    <s v="Startup_3775"/>
    <x v="2"/>
    <n v="9"/>
    <n v="24890488"/>
    <n v="1"/>
    <n v="14"/>
    <n v="188"/>
    <n v="3074268"/>
    <n v="391953"/>
    <s v="Small"/>
    <s v="B2B"/>
    <n v="4"/>
    <n v="22.97"/>
    <n v="12489"/>
    <n v="1"/>
  </r>
  <r>
    <s v="Startup_3776"/>
    <x v="0"/>
    <n v="3"/>
    <n v="26310382"/>
    <n v="1"/>
    <n v="0"/>
    <n v="388"/>
    <n v="29233886"/>
    <n v="169771"/>
    <s v="Small"/>
    <s v="B2C"/>
    <n v="4"/>
    <n v="21.47"/>
    <n v="452698"/>
    <n v="1"/>
  </r>
  <r>
    <s v="Startup_3777"/>
    <x v="6"/>
    <n v="10"/>
    <n v="44526862"/>
    <n v="4"/>
    <n v="18"/>
    <n v="886"/>
    <n v="21348956"/>
    <n v="982336"/>
    <s v="Small"/>
    <s v="B2C"/>
    <n v="6"/>
    <n v="96.74"/>
    <n v="895421"/>
    <n v="1"/>
  </r>
  <r>
    <s v="Startup_3778"/>
    <x v="5"/>
    <n v="3"/>
    <n v="30269753"/>
    <n v="3"/>
    <n v="5"/>
    <n v="378"/>
    <n v="81900833"/>
    <n v="315969"/>
    <s v="Small"/>
    <s v="B2C"/>
    <n v="8"/>
    <n v="12.96"/>
    <n v="890839"/>
    <n v="1"/>
  </r>
  <r>
    <s v="Startup_3779"/>
    <x v="3"/>
    <n v="13"/>
    <n v="23900445"/>
    <n v="1"/>
    <n v="27"/>
    <n v="274"/>
    <n v="27415532"/>
    <n v="520837"/>
    <s v="Small"/>
    <s v="B2B"/>
    <n v="5"/>
    <n v="24.58"/>
    <n v="963124"/>
    <n v="1"/>
  </r>
  <r>
    <s v="Startup_3780"/>
    <x v="3"/>
    <n v="6"/>
    <n v="6607430"/>
    <n v="1"/>
    <n v="11"/>
    <n v="998"/>
    <n v="41365113"/>
    <n v="518045"/>
    <s v="Medium"/>
    <s v="Hybrid"/>
    <n v="9"/>
    <n v="43.06"/>
    <n v="401484"/>
    <n v="1"/>
  </r>
  <r>
    <s v="Startup_3781"/>
    <x v="1"/>
    <n v="13"/>
    <n v="17571758"/>
    <n v="4"/>
    <n v="10"/>
    <n v="544"/>
    <n v="34903684"/>
    <n v="460954"/>
    <s v="Medium"/>
    <s v="B2B"/>
    <n v="9"/>
    <n v="51.76"/>
    <n v="754560"/>
    <n v="1"/>
  </r>
  <r>
    <s v="Startup_3782"/>
    <x v="3"/>
    <n v="8"/>
    <n v="49127600"/>
    <n v="3"/>
    <n v="28"/>
    <n v="223"/>
    <n v="81010707"/>
    <n v="188853"/>
    <s v="Small"/>
    <s v="Hybrid"/>
    <n v="9"/>
    <n v="21.9"/>
    <n v="173622"/>
    <n v="1"/>
  </r>
  <r>
    <s v="Startup_3783"/>
    <x v="4"/>
    <n v="13"/>
    <n v="45287616"/>
    <n v="1"/>
    <n v="11"/>
    <n v="920"/>
    <n v="80632478"/>
    <n v="823194"/>
    <s v="Large"/>
    <s v="B2B"/>
    <n v="7"/>
    <n v="95.36"/>
    <n v="334267"/>
    <n v="1"/>
  </r>
  <r>
    <s v="Startup_3784"/>
    <x v="3"/>
    <n v="7"/>
    <n v="14695460"/>
    <n v="2"/>
    <n v="2"/>
    <n v="568"/>
    <n v="38036199"/>
    <n v="441772"/>
    <s v="Small"/>
    <s v="B2C"/>
    <n v="6"/>
    <n v="85.4"/>
    <n v="127919"/>
    <n v="1"/>
  </r>
  <r>
    <s v="Startup_3785"/>
    <x v="0"/>
    <n v="1"/>
    <n v="46496801"/>
    <n v="3"/>
    <n v="4"/>
    <n v="978"/>
    <n v="28748151"/>
    <n v="257363"/>
    <s v="Large"/>
    <s v="Hybrid"/>
    <n v="3"/>
    <n v="58.04"/>
    <n v="772015"/>
    <n v="1"/>
  </r>
  <r>
    <s v="Startup_3786"/>
    <x v="5"/>
    <n v="2"/>
    <n v="18400135"/>
    <n v="4"/>
    <n v="12"/>
    <n v="201"/>
    <n v="10332768"/>
    <n v="575169"/>
    <s v="Large"/>
    <s v="Hybrid"/>
    <n v="4"/>
    <n v="50.31"/>
    <n v="405963"/>
    <n v="1"/>
  </r>
  <r>
    <s v="Startup_3787"/>
    <x v="2"/>
    <n v="14"/>
    <n v="19736425"/>
    <n v="4"/>
    <n v="5"/>
    <n v="162"/>
    <n v="82233484"/>
    <n v="149655"/>
    <s v="Large"/>
    <s v="B2C"/>
    <n v="1"/>
    <n v="81.3"/>
    <n v="505707"/>
    <n v="1"/>
  </r>
  <r>
    <s v="Startup_3788"/>
    <x v="4"/>
    <n v="7"/>
    <n v="3283133"/>
    <n v="1"/>
    <n v="3"/>
    <n v="51"/>
    <n v="16960691"/>
    <n v="743998"/>
    <s v="Medium"/>
    <s v="Hybrid"/>
    <n v="6"/>
    <n v="84.24"/>
    <n v="991553"/>
    <n v="1"/>
  </r>
  <r>
    <s v="Startup_3789"/>
    <x v="1"/>
    <n v="2"/>
    <n v="30454809"/>
    <n v="1"/>
    <n v="17"/>
    <n v="609"/>
    <n v="41409734"/>
    <n v="471096"/>
    <s v="Large"/>
    <s v="Hybrid"/>
    <n v="4"/>
    <n v="63.1"/>
    <n v="864412"/>
    <n v="1"/>
  </r>
  <r>
    <s v="Startup_3790"/>
    <x v="0"/>
    <n v="1"/>
    <n v="12394927"/>
    <n v="1"/>
    <n v="26"/>
    <n v="277"/>
    <n v="25265608"/>
    <n v="312747"/>
    <s v="Medium"/>
    <s v="Hybrid"/>
    <n v="1"/>
    <n v="79.37"/>
    <n v="258946"/>
    <n v="1"/>
  </r>
  <r>
    <s v="Startup_3791"/>
    <x v="6"/>
    <n v="11"/>
    <n v="48095862"/>
    <n v="3"/>
    <n v="2"/>
    <n v="964"/>
    <n v="66058989"/>
    <n v="803538"/>
    <s v="Small"/>
    <s v="B2B"/>
    <n v="3"/>
    <n v="6.95"/>
    <n v="40567"/>
    <n v="1"/>
  </r>
  <r>
    <s v="Startup_3792"/>
    <x v="3"/>
    <n v="1"/>
    <n v="45875394"/>
    <n v="2"/>
    <n v="1"/>
    <n v="434"/>
    <n v="10684530"/>
    <n v="225597"/>
    <s v="Large"/>
    <s v="B2B"/>
    <n v="4"/>
    <n v="68.05"/>
    <n v="443083"/>
    <n v="1"/>
  </r>
  <r>
    <s v="Startup_3793"/>
    <x v="2"/>
    <n v="3"/>
    <n v="14111125"/>
    <n v="2"/>
    <n v="27"/>
    <n v="849"/>
    <n v="22686043"/>
    <n v="334309"/>
    <s v="Small"/>
    <s v="Hybrid"/>
    <n v="6"/>
    <n v="37.53"/>
    <n v="645818"/>
    <n v="1"/>
  </r>
  <r>
    <s v="Startup_3794"/>
    <x v="2"/>
    <n v="7"/>
    <n v="43404137"/>
    <n v="3"/>
    <n v="23"/>
    <n v="632"/>
    <n v="62591793"/>
    <n v="566434"/>
    <s v="Large"/>
    <s v="Hybrid"/>
    <n v="1"/>
    <n v="30.03"/>
    <n v="58474"/>
    <n v="1"/>
  </r>
  <r>
    <s v="Startup_3795"/>
    <x v="5"/>
    <n v="6"/>
    <n v="23020072"/>
    <n v="1"/>
    <n v="26"/>
    <n v="430"/>
    <n v="97454706"/>
    <n v="443945"/>
    <s v="Medium"/>
    <s v="B2B"/>
    <n v="9"/>
    <n v="70.89"/>
    <n v="734170"/>
    <n v="1"/>
  </r>
  <r>
    <s v="Startup_3796"/>
    <x v="5"/>
    <n v="13"/>
    <n v="34411717"/>
    <n v="1"/>
    <n v="11"/>
    <n v="555"/>
    <n v="25231644"/>
    <n v="510141"/>
    <s v="Medium"/>
    <s v="Hybrid"/>
    <n v="6"/>
    <n v="21.09"/>
    <n v="288632"/>
    <n v="1"/>
  </r>
  <r>
    <s v="Startup_3797"/>
    <x v="6"/>
    <n v="1"/>
    <n v="11202085"/>
    <n v="2"/>
    <n v="20"/>
    <n v="117"/>
    <n v="69723789"/>
    <n v="81827"/>
    <s v="Small"/>
    <s v="B2B"/>
    <n v="6"/>
    <n v="64.69"/>
    <n v="284952"/>
    <n v="1"/>
  </r>
  <r>
    <s v="Startup_3798"/>
    <x v="4"/>
    <n v="14"/>
    <n v="18275751"/>
    <n v="2"/>
    <n v="29"/>
    <n v="933"/>
    <n v="46489852"/>
    <n v="659238"/>
    <s v="Small"/>
    <s v="B2C"/>
    <n v="5"/>
    <n v="45.64"/>
    <n v="761059"/>
    <n v="1"/>
  </r>
  <r>
    <s v="Startup_3799"/>
    <x v="0"/>
    <n v="8"/>
    <n v="34564663"/>
    <n v="4"/>
    <n v="14"/>
    <n v="289"/>
    <n v="48410736"/>
    <n v="100123"/>
    <s v="Large"/>
    <s v="B2C"/>
    <n v="7"/>
    <n v="90.12"/>
    <n v="831654"/>
    <n v="1"/>
  </r>
  <r>
    <s v="Startup_3800"/>
    <x v="4"/>
    <n v="14"/>
    <n v="27334403"/>
    <n v="1"/>
    <n v="28"/>
    <n v="328"/>
    <n v="75324323"/>
    <n v="11030"/>
    <s v="Large"/>
    <s v="B2C"/>
    <n v="8"/>
    <n v="82.97"/>
    <n v="965617"/>
    <n v="1"/>
  </r>
  <r>
    <s v="Startup_3801"/>
    <x v="2"/>
    <n v="12"/>
    <n v="37042668"/>
    <n v="2"/>
    <n v="15"/>
    <n v="864"/>
    <n v="63371810"/>
    <n v="11311"/>
    <s v="Medium"/>
    <s v="B2B"/>
    <n v="2"/>
    <n v="58.06"/>
    <n v="238769"/>
    <n v="1"/>
  </r>
  <r>
    <s v="Startup_3802"/>
    <x v="3"/>
    <n v="13"/>
    <n v="29886808"/>
    <n v="3"/>
    <n v="12"/>
    <n v="250"/>
    <n v="45031449"/>
    <n v="922261"/>
    <s v="Small"/>
    <s v="B2C"/>
    <n v="8"/>
    <n v="11.41"/>
    <n v="559554"/>
    <n v="1"/>
  </r>
  <r>
    <s v="Startup_3803"/>
    <x v="5"/>
    <n v="2"/>
    <n v="35796983"/>
    <n v="1"/>
    <n v="18"/>
    <n v="716"/>
    <n v="68545528"/>
    <n v="99401"/>
    <s v="Medium"/>
    <s v="B2C"/>
    <n v="8"/>
    <n v="50.53"/>
    <n v="266030"/>
    <n v="1"/>
  </r>
  <r>
    <s v="Startup_3804"/>
    <x v="4"/>
    <n v="5"/>
    <n v="32674519"/>
    <n v="2"/>
    <n v="7"/>
    <n v="737"/>
    <n v="66190546"/>
    <n v="522004"/>
    <s v="Small"/>
    <s v="B2B"/>
    <n v="2"/>
    <n v="51.39"/>
    <n v="735747"/>
    <n v="1"/>
  </r>
  <r>
    <s v="Startup_3805"/>
    <x v="2"/>
    <n v="12"/>
    <n v="23039280"/>
    <n v="4"/>
    <n v="17"/>
    <n v="561"/>
    <n v="32490441"/>
    <n v="982973"/>
    <s v="Large"/>
    <s v="B2B"/>
    <n v="9"/>
    <n v="57.89"/>
    <n v="577032"/>
    <n v="1"/>
  </r>
  <r>
    <s v="Startup_3806"/>
    <x v="1"/>
    <n v="9"/>
    <n v="27140918"/>
    <n v="3"/>
    <n v="18"/>
    <n v="879"/>
    <n v="18937215"/>
    <n v="869579"/>
    <s v="Medium"/>
    <s v="B2B"/>
    <n v="5"/>
    <n v="75.900000000000006"/>
    <n v="996557"/>
    <n v="1"/>
  </r>
  <r>
    <s v="Startup_3807"/>
    <x v="2"/>
    <n v="2"/>
    <n v="27477195"/>
    <n v="1"/>
    <n v="10"/>
    <n v="265"/>
    <n v="87592387"/>
    <n v="321221"/>
    <s v="Small"/>
    <s v="B2C"/>
    <n v="9"/>
    <n v="79.41"/>
    <n v="107774"/>
    <n v="1"/>
  </r>
  <r>
    <s v="Startup_3808"/>
    <x v="3"/>
    <n v="1"/>
    <n v="33160779"/>
    <n v="3"/>
    <n v="21"/>
    <n v="176"/>
    <n v="32231454"/>
    <n v="47477"/>
    <s v="Small"/>
    <s v="B2C"/>
    <n v="9"/>
    <n v="64.959999999999994"/>
    <n v="253428"/>
    <n v="1"/>
  </r>
  <r>
    <s v="Startup_3809"/>
    <x v="6"/>
    <n v="11"/>
    <n v="9995709"/>
    <n v="2"/>
    <n v="2"/>
    <n v="217"/>
    <n v="76044525"/>
    <n v="830119"/>
    <s v="Large"/>
    <s v="Hybrid"/>
    <n v="7"/>
    <n v="78.400000000000006"/>
    <n v="296453"/>
    <n v="1"/>
  </r>
  <r>
    <s v="Startup_3810"/>
    <x v="5"/>
    <n v="8"/>
    <n v="30495329"/>
    <n v="4"/>
    <n v="6"/>
    <n v="384"/>
    <n v="17953821"/>
    <n v="354266"/>
    <s v="Small"/>
    <s v="Hybrid"/>
    <n v="7"/>
    <n v="15.93"/>
    <n v="612757"/>
    <n v="1"/>
  </r>
  <r>
    <s v="Startup_3811"/>
    <x v="1"/>
    <n v="12"/>
    <n v="21531600"/>
    <n v="4"/>
    <n v="9"/>
    <n v="185"/>
    <n v="61161029"/>
    <n v="568288"/>
    <s v="Large"/>
    <s v="Hybrid"/>
    <n v="7"/>
    <n v="11.7"/>
    <n v="59027"/>
    <n v="1"/>
  </r>
  <r>
    <s v="Startup_3812"/>
    <x v="5"/>
    <n v="2"/>
    <n v="45566182"/>
    <n v="3"/>
    <n v="0"/>
    <n v="671"/>
    <n v="18460085"/>
    <n v="122235"/>
    <s v="Medium"/>
    <s v="B2B"/>
    <n v="1"/>
    <n v="43.44"/>
    <n v="460301"/>
    <n v="1"/>
  </r>
  <r>
    <s v="Startup_3813"/>
    <x v="6"/>
    <n v="5"/>
    <n v="48231180"/>
    <n v="1"/>
    <n v="1"/>
    <n v="894"/>
    <n v="3846153"/>
    <n v="516297"/>
    <s v="Large"/>
    <s v="B2C"/>
    <n v="2"/>
    <n v="96.84"/>
    <n v="726258"/>
    <n v="1"/>
  </r>
  <r>
    <s v="Startup_3814"/>
    <x v="2"/>
    <n v="10"/>
    <n v="43307127"/>
    <n v="2"/>
    <n v="26"/>
    <n v="146"/>
    <n v="44508983"/>
    <n v="790535"/>
    <s v="Small"/>
    <s v="B2C"/>
    <n v="2"/>
    <n v="58.31"/>
    <n v="273985"/>
    <n v="1"/>
  </r>
  <r>
    <s v="Startup_3815"/>
    <x v="5"/>
    <n v="10"/>
    <n v="8410341"/>
    <n v="4"/>
    <n v="19"/>
    <n v="753"/>
    <n v="20515651"/>
    <n v="85175"/>
    <s v="Large"/>
    <s v="B2B"/>
    <n v="7"/>
    <n v="72.34"/>
    <n v="276680"/>
    <n v="1"/>
  </r>
  <r>
    <s v="Startup_3816"/>
    <x v="5"/>
    <n v="4"/>
    <n v="20098491"/>
    <n v="1"/>
    <n v="29"/>
    <n v="512"/>
    <n v="33650154"/>
    <n v="765222"/>
    <s v="Large"/>
    <s v="B2B"/>
    <n v="8"/>
    <n v="67.319999999999993"/>
    <n v="281922"/>
    <n v="1"/>
  </r>
  <r>
    <s v="Startup_3817"/>
    <x v="1"/>
    <n v="6"/>
    <n v="1916417"/>
    <n v="4"/>
    <n v="8"/>
    <n v="195"/>
    <n v="83007679"/>
    <n v="758587"/>
    <s v="Small"/>
    <s v="Hybrid"/>
    <n v="3"/>
    <n v="25.4"/>
    <n v="248507"/>
    <n v="1"/>
  </r>
  <r>
    <s v="Startup_3818"/>
    <x v="3"/>
    <n v="13"/>
    <n v="1715778"/>
    <n v="3"/>
    <n v="5"/>
    <n v="227"/>
    <n v="7026726"/>
    <n v="106444"/>
    <s v="Large"/>
    <s v="Hybrid"/>
    <n v="9"/>
    <n v="43.52"/>
    <n v="896985"/>
    <n v="1"/>
  </r>
  <r>
    <s v="Startup_3819"/>
    <x v="1"/>
    <n v="1"/>
    <n v="47576151"/>
    <n v="1"/>
    <n v="28"/>
    <n v="271"/>
    <n v="23716167"/>
    <n v="966853"/>
    <s v="Large"/>
    <s v="B2C"/>
    <n v="5"/>
    <n v="97.87"/>
    <n v="938373"/>
    <n v="1"/>
  </r>
  <r>
    <s v="Startup_3820"/>
    <x v="2"/>
    <n v="2"/>
    <n v="39360666"/>
    <n v="2"/>
    <n v="20"/>
    <n v="216"/>
    <n v="19795532"/>
    <n v="595631"/>
    <s v="Large"/>
    <s v="B2C"/>
    <n v="7"/>
    <n v="27.92"/>
    <n v="467049"/>
    <n v="1"/>
  </r>
  <r>
    <s v="Startup_3821"/>
    <x v="1"/>
    <n v="13"/>
    <n v="24029129"/>
    <n v="3"/>
    <n v="1"/>
    <n v="521"/>
    <n v="8418886"/>
    <n v="533593"/>
    <s v="Medium"/>
    <s v="B2C"/>
    <n v="3"/>
    <n v="56.86"/>
    <n v="42092"/>
    <n v="1"/>
  </r>
  <r>
    <s v="Startup_3822"/>
    <x v="3"/>
    <n v="0"/>
    <n v="27877384"/>
    <n v="1"/>
    <n v="16"/>
    <n v="548"/>
    <n v="63064543"/>
    <n v="906396"/>
    <s v="Large"/>
    <s v="Hybrid"/>
    <n v="4"/>
    <n v="79.22"/>
    <n v="271685"/>
    <n v="1"/>
  </r>
  <r>
    <s v="Startup_3823"/>
    <x v="6"/>
    <n v="1"/>
    <n v="5919887"/>
    <n v="2"/>
    <n v="8"/>
    <n v="355"/>
    <n v="36101688"/>
    <n v="474276"/>
    <s v="Medium"/>
    <s v="B2C"/>
    <n v="9"/>
    <n v="33.26"/>
    <n v="962552"/>
    <n v="1"/>
  </r>
  <r>
    <s v="Startup_3824"/>
    <x v="2"/>
    <n v="7"/>
    <n v="33197888"/>
    <n v="4"/>
    <n v="10"/>
    <n v="868"/>
    <n v="7190322"/>
    <n v="124238"/>
    <s v="Small"/>
    <s v="Hybrid"/>
    <n v="8"/>
    <n v="66.52"/>
    <n v="314425"/>
    <n v="1"/>
  </r>
  <r>
    <s v="Startup_3825"/>
    <x v="5"/>
    <n v="13"/>
    <n v="35773326"/>
    <n v="1"/>
    <n v="13"/>
    <n v="735"/>
    <n v="21820400"/>
    <n v="139192"/>
    <s v="Small"/>
    <s v="B2B"/>
    <n v="4"/>
    <n v="95.74"/>
    <n v="45525"/>
    <n v="1"/>
  </r>
  <r>
    <s v="Startup_3826"/>
    <x v="0"/>
    <n v="13"/>
    <n v="19971553"/>
    <n v="4"/>
    <n v="29"/>
    <n v="378"/>
    <n v="13677859"/>
    <n v="330767"/>
    <s v="Small"/>
    <s v="Hybrid"/>
    <n v="8"/>
    <n v="21.56"/>
    <n v="795409"/>
    <n v="1"/>
  </r>
  <r>
    <s v="Startup_3827"/>
    <x v="0"/>
    <n v="13"/>
    <n v="16973504"/>
    <n v="2"/>
    <n v="7"/>
    <n v="126"/>
    <n v="68647202"/>
    <n v="911191"/>
    <s v="Small"/>
    <s v="B2C"/>
    <n v="7"/>
    <n v="89.2"/>
    <n v="824425"/>
    <n v="1"/>
  </r>
  <r>
    <s v="Startup_3828"/>
    <x v="0"/>
    <n v="10"/>
    <n v="4886985"/>
    <n v="3"/>
    <n v="27"/>
    <n v="296"/>
    <n v="27714584"/>
    <n v="543830"/>
    <s v="Small"/>
    <s v="B2B"/>
    <n v="4"/>
    <n v="96.43"/>
    <n v="195350"/>
    <n v="1"/>
  </r>
  <r>
    <s v="Startup_3829"/>
    <x v="3"/>
    <n v="10"/>
    <n v="43258040"/>
    <n v="4"/>
    <n v="11"/>
    <n v="823"/>
    <n v="4169548"/>
    <n v="92315"/>
    <s v="Medium"/>
    <s v="B2B"/>
    <n v="1"/>
    <n v="38.72"/>
    <n v="915790"/>
    <n v="1"/>
  </r>
  <r>
    <s v="Startup_3830"/>
    <x v="4"/>
    <n v="14"/>
    <n v="40404782"/>
    <n v="1"/>
    <n v="25"/>
    <n v="551"/>
    <n v="66467276"/>
    <n v="480779"/>
    <s v="Small"/>
    <s v="B2C"/>
    <n v="4"/>
    <n v="26.21"/>
    <n v="324311"/>
    <n v="1"/>
  </r>
  <r>
    <s v="Startup_3831"/>
    <x v="1"/>
    <n v="8"/>
    <n v="28873410"/>
    <n v="1"/>
    <n v="6"/>
    <n v="466"/>
    <n v="19900269"/>
    <n v="873353"/>
    <s v="Large"/>
    <s v="B2B"/>
    <n v="5"/>
    <n v="32.81"/>
    <n v="980618"/>
    <n v="1"/>
  </r>
  <r>
    <s v="Startup_3832"/>
    <x v="4"/>
    <n v="9"/>
    <n v="18982900"/>
    <n v="2"/>
    <n v="24"/>
    <n v="985"/>
    <n v="31467337"/>
    <n v="66208"/>
    <s v="Large"/>
    <s v="Hybrid"/>
    <n v="4"/>
    <n v="37.22"/>
    <n v="707442"/>
    <n v="1"/>
  </r>
  <r>
    <s v="Startup_3833"/>
    <x v="0"/>
    <n v="4"/>
    <n v="5149206"/>
    <n v="3"/>
    <n v="12"/>
    <n v="621"/>
    <n v="18200408"/>
    <n v="511561"/>
    <s v="Large"/>
    <s v="Hybrid"/>
    <n v="2"/>
    <n v="66.91"/>
    <n v="184424"/>
    <n v="1"/>
  </r>
  <r>
    <s v="Startup_3834"/>
    <x v="3"/>
    <n v="0"/>
    <n v="34074328"/>
    <n v="2"/>
    <n v="16"/>
    <n v="521"/>
    <n v="84055124"/>
    <n v="627069"/>
    <s v="Small"/>
    <s v="Hybrid"/>
    <n v="5"/>
    <n v="32.81"/>
    <n v="282497"/>
    <n v="1"/>
  </r>
  <r>
    <s v="Startup_3835"/>
    <x v="1"/>
    <n v="6"/>
    <n v="35020239"/>
    <n v="2"/>
    <n v="12"/>
    <n v="139"/>
    <n v="40088698"/>
    <n v="37165"/>
    <s v="Large"/>
    <s v="Hybrid"/>
    <n v="7"/>
    <n v="67.64"/>
    <n v="54363"/>
    <n v="1"/>
  </r>
  <r>
    <s v="Startup_3836"/>
    <x v="6"/>
    <n v="4"/>
    <n v="2280862"/>
    <n v="1"/>
    <n v="14"/>
    <n v="266"/>
    <n v="27094199"/>
    <n v="620606"/>
    <s v="Large"/>
    <s v="B2B"/>
    <n v="8"/>
    <n v="81.66"/>
    <n v="273606"/>
    <n v="1"/>
  </r>
  <r>
    <s v="Startup_3837"/>
    <x v="0"/>
    <n v="6"/>
    <n v="13137126"/>
    <n v="4"/>
    <n v="0"/>
    <n v="931"/>
    <n v="88073051"/>
    <n v="113301"/>
    <s v="Large"/>
    <s v="B2B"/>
    <n v="1"/>
    <n v="1.52"/>
    <n v="820966"/>
    <n v="1"/>
  </r>
  <r>
    <s v="Startup_3838"/>
    <x v="2"/>
    <n v="2"/>
    <n v="14037407"/>
    <n v="4"/>
    <n v="14"/>
    <n v="394"/>
    <n v="45320126"/>
    <n v="49168"/>
    <s v="Medium"/>
    <s v="B2C"/>
    <n v="4"/>
    <n v="46.85"/>
    <n v="410079"/>
    <n v="1"/>
  </r>
  <r>
    <s v="Startup_3839"/>
    <x v="4"/>
    <n v="1"/>
    <n v="2524420"/>
    <n v="3"/>
    <n v="22"/>
    <n v="366"/>
    <n v="48670861"/>
    <n v="112336"/>
    <s v="Large"/>
    <s v="B2C"/>
    <n v="5"/>
    <n v="89.44"/>
    <n v="80091"/>
    <n v="1"/>
  </r>
  <r>
    <s v="Startup_3840"/>
    <x v="4"/>
    <n v="8"/>
    <n v="15827326"/>
    <n v="3"/>
    <n v="27"/>
    <n v="206"/>
    <n v="21712307"/>
    <n v="502841"/>
    <s v="Large"/>
    <s v="B2C"/>
    <n v="2"/>
    <n v="12.67"/>
    <n v="12828"/>
    <n v="1"/>
  </r>
  <r>
    <s v="Startup_3841"/>
    <x v="0"/>
    <n v="5"/>
    <n v="40245811"/>
    <n v="1"/>
    <n v="10"/>
    <n v="395"/>
    <n v="81164669"/>
    <n v="24056"/>
    <s v="Small"/>
    <s v="B2C"/>
    <n v="6"/>
    <n v="17.440000000000001"/>
    <n v="877039"/>
    <n v="1"/>
  </r>
  <r>
    <s v="Startup_3842"/>
    <x v="1"/>
    <n v="5"/>
    <n v="12155392"/>
    <n v="4"/>
    <n v="22"/>
    <n v="805"/>
    <n v="66957764"/>
    <n v="691249"/>
    <s v="Large"/>
    <s v="B2B"/>
    <n v="8"/>
    <n v="44.5"/>
    <n v="726661"/>
    <n v="1"/>
  </r>
  <r>
    <s v="Startup_3843"/>
    <x v="2"/>
    <n v="5"/>
    <n v="12268205"/>
    <n v="2"/>
    <n v="26"/>
    <n v="742"/>
    <n v="94940523"/>
    <n v="67995"/>
    <s v="Small"/>
    <s v="B2C"/>
    <n v="3"/>
    <n v="28.85"/>
    <n v="451009"/>
    <n v="1"/>
  </r>
  <r>
    <s v="Startup_3844"/>
    <x v="4"/>
    <n v="2"/>
    <n v="35134142"/>
    <n v="3"/>
    <n v="7"/>
    <n v="466"/>
    <n v="31162505"/>
    <n v="323911"/>
    <s v="Large"/>
    <s v="Hybrid"/>
    <n v="1"/>
    <n v="17.670000000000002"/>
    <n v="590047"/>
    <n v="1"/>
  </r>
  <r>
    <s v="Startup_3845"/>
    <x v="1"/>
    <n v="14"/>
    <n v="30416225"/>
    <n v="3"/>
    <n v="5"/>
    <n v="428"/>
    <n v="86360303"/>
    <n v="699918"/>
    <s v="Medium"/>
    <s v="Hybrid"/>
    <n v="6"/>
    <n v="97.24"/>
    <n v="715751"/>
    <n v="1"/>
  </r>
  <r>
    <s v="Startup_3846"/>
    <x v="6"/>
    <n v="7"/>
    <n v="1283827"/>
    <n v="4"/>
    <n v="9"/>
    <n v="368"/>
    <n v="74582464"/>
    <n v="775265"/>
    <s v="Large"/>
    <s v="Hybrid"/>
    <n v="8"/>
    <n v="86.97"/>
    <n v="224670"/>
    <n v="1"/>
  </r>
  <r>
    <s v="Startup_3847"/>
    <x v="0"/>
    <n v="5"/>
    <n v="7896169"/>
    <n v="3"/>
    <n v="17"/>
    <n v="382"/>
    <n v="59378893"/>
    <n v="40625"/>
    <s v="Large"/>
    <s v="B2B"/>
    <n v="4"/>
    <n v="76.739999999999995"/>
    <n v="301552"/>
    <n v="1"/>
  </r>
  <r>
    <s v="Startup_3848"/>
    <x v="4"/>
    <n v="6"/>
    <n v="22623461"/>
    <n v="1"/>
    <n v="19"/>
    <n v="379"/>
    <n v="37577759"/>
    <n v="715002"/>
    <s v="Medium"/>
    <s v="B2B"/>
    <n v="8"/>
    <n v="32.75"/>
    <n v="673246"/>
    <n v="1"/>
  </r>
  <r>
    <s v="Startup_3849"/>
    <x v="4"/>
    <n v="8"/>
    <n v="34971227"/>
    <n v="2"/>
    <n v="24"/>
    <n v="645"/>
    <n v="15099551"/>
    <n v="613828"/>
    <s v="Large"/>
    <s v="Hybrid"/>
    <n v="8"/>
    <n v="24.39"/>
    <n v="946401"/>
    <n v="1"/>
  </r>
  <r>
    <s v="Startup_3850"/>
    <x v="6"/>
    <n v="2"/>
    <n v="1229726"/>
    <n v="3"/>
    <n v="26"/>
    <n v="116"/>
    <n v="55853009"/>
    <n v="472416"/>
    <s v="Large"/>
    <s v="Hybrid"/>
    <n v="7"/>
    <n v="0.88"/>
    <n v="584126"/>
    <n v="1"/>
  </r>
  <r>
    <s v="Startup_3851"/>
    <x v="5"/>
    <n v="5"/>
    <n v="26276586"/>
    <n v="4"/>
    <n v="10"/>
    <n v="754"/>
    <n v="3751780"/>
    <n v="560168"/>
    <s v="Medium"/>
    <s v="Hybrid"/>
    <n v="7"/>
    <n v="71.28"/>
    <n v="492072"/>
    <n v="1"/>
  </r>
  <r>
    <s v="Startup_3852"/>
    <x v="1"/>
    <n v="0"/>
    <n v="20655290"/>
    <n v="1"/>
    <n v="0"/>
    <n v="354"/>
    <n v="46330526"/>
    <n v="237213"/>
    <s v="Medium"/>
    <s v="B2C"/>
    <n v="5"/>
    <n v="36.53"/>
    <n v="619075"/>
    <n v="1"/>
  </r>
  <r>
    <s v="Startup_3853"/>
    <x v="6"/>
    <n v="0"/>
    <n v="36712993"/>
    <n v="3"/>
    <n v="18"/>
    <n v="98"/>
    <n v="76192224"/>
    <n v="233677"/>
    <s v="Small"/>
    <s v="Hybrid"/>
    <n v="4"/>
    <n v="16.59"/>
    <n v="71115"/>
    <n v="1"/>
  </r>
  <r>
    <s v="Startup_3854"/>
    <x v="6"/>
    <n v="10"/>
    <n v="39108222"/>
    <n v="2"/>
    <n v="27"/>
    <n v="113"/>
    <n v="71811951"/>
    <n v="184239"/>
    <s v="Large"/>
    <s v="B2C"/>
    <n v="2"/>
    <n v="95.25"/>
    <n v="861518"/>
    <n v="1"/>
  </r>
  <r>
    <s v="Startup_3855"/>
    <x v="4"/>
    <n v="7"/>
    <n v="6515702"/>
    <n v="4"/>
    <n v="2"/>
    <n v="912"/>
    <n v="53959246"/>
    <n v="111038"/>
    <s v="Medium"/>
    <s v="B2B"/>
    <n v="2"/>
    <n v="93.54"/>
    <n v="848265"/>
    <n v="1"/>
  </r>
  <r>
    <s v="Startup_3856"/>
    <x v="2"/>
    <n v="1"/>
    <n v="43359770"/>
    <n v="3"/>
    <n v="3"/>
    <n v="134"/>
    <n v="88097658"/>
    <n v="804200"/>
    <s v="Small"/>
    <s v="B2C"/>
    <n v="7"/>
    <n v="79.27"/>
    <n v="527499"/>
    <n v="1"/>
  </r>
  <r>
    <s v="Startup_3857"/>
    <x v="4"/>
    <n v="11"/>
    <n v="44322421"/>
    <n v="3"/>
    <n v="18"/>
    <n v="744"/>
    <n v="34855435"/>
    <n v="785416"/>
    <s v="Small"/>
    <s v="B2B"/>
    <n v="6"/>
    <n v="42.31"/>
    <n v="590284"/>
    <n v="1"/>
  </r>
  <r>
    <s v="Startup_3858"/>
    <x v="2"/>
    <n v="1"/>
    <n v="46429444"/>
    <n v="1"/>
    <n v="18"/>
    <n v="238"/>
    <n v="18379270"/>
    <n v="580961"/>
    <s v="Large"/>
    <s v="B2C"/>
    <n v="6"/>
    <n v="78.459999999999994"/>
    <n v="365187"/>
    <n v="1"/>
  </r>
  <r>
    <s v="Startup_3859"/>
    <x v="2"/>
    <n v="2"/>
    <n v="23673996"/>
    <n v="4"/>
    <n v="20"/>
    <n v="375"/>
    <n v="72631912"/>
    <n v="940828"/>
    <s v="Large"/>
    <s v="B2B"/>
    <n v="3"/>
    <n v="29.55"/>
    <n v="112778"/>
    <n v="1"/>
  </r>
  <r>
    <s v="Startup_3860"/>
    <x v="1"/>
    <n v="13"/>
    <n v="30041055"/>
    <n v="1"/>
    <n v="18"/>
    <n v="309"/>
    <n v="46324988"/>
    <n v="519354"/>
    <s v="Large"/>
    <s v="B2B"/>
    <n v="9"/>
    <n v="56.95"/>
    <n v="491765"/>
    <n v="1"/>
  </r>
  <r>
    <s v="Startup_3861"/>
    <x v="3"/>
    <n v="6"/>
    <n v="45662334"/>
    <n v="2"/>
    <n v="29"/>
    <n v="719"/>
    <n v="12505379"/>
    <n v="533220"/>
    <s v="Small"/>
    <s v="Hybrid"/>
    <n v="7"/>
    <n v="90.98"/>
    <n v="267002"/>
    <n v="1"/>
  </r>
  <r>
    <s v="Startup_3862"/>
    <x v="6"/>
    <n v="7"/>
    <n v="3322521"/>
    <n v="2"/>
    <n v="19"/>
    <n v="152"/>
    <n v="16387102"/>
    <n v="119058"/>
    <s v="Small"/>
    <s v="Hybrid"/>
    <n v="9"/>
    <n v="11.46"/>
    <n v="814796"/>
    <n v="1"/>
  </r>
  <r>
    <s v="Startup_3863"/>
    <x v="0"/>
    <n v="13"/>
    <n v="1108748"/>
    <n v="4"/>
    <n v="26"/>
    <n v="112"/>
    <n v="69861257"/>
    <n v="915317"/>
    <s v="Medium"/>
    <s v="Hybrid"/>
    <n v="7"/>
    <n v="62.8"/>
    <n v="158269"/>
    <n v="1"/>
  </r>
  <r>
    <s v="Startup_3864"/>
    <x v="3"/>
    <n v="8"/>
    <n v="43245540"/>
    <n v="2"/>
    <n v="7"/>
    <n v="738"/>
    <n v="32281395"/>
    <n v="507307"/>
    <s v="Small"/>
    <s v="B2C"/>
    <n v="8"/>
    <n v="77.260000000000005"/>
    <n v="901431"/>
    <n v="1"/>
  </r>
  <r>
    <s v="Startup_3865"/>
    <x v="6"/>
    <n v="2"/>
    <n v="39783544"/>
    <n v="3"/>
    <n v="16"/>
    <n v="379"/>
    <n v="50011339"/>
    <n v="304689"/>
    <s v="Large"/>
    <s v="Hybrid"/>
    <n v="2"/>
    <n v="0.7"/>
    <n v="587985"/>
    <n v="1"/>
  </r>
  <r>
    <s v="Startup_3866"/>
    <x v="1"/>
    <n v="14"/>
    <n v="37876890"/>
    <n v="2"/>
    <n v="22"/>
    <n v="992"/>
    <n v="98145813"/>
    <n v="850169"/>
    <s v="Small"/>
    <s v="B2B"/>
    <n v="8"/>
    <n v="48.56"/>
    <n v="212131"/>
    <n v="1"/>
  </r>
  <r>
    <s v="Startup_3867"/>
    <x v="1"/>
    <n v="14"/>
    <n v="34096098"/>
    <n v="4"/>
    <n v="16"/>
    <n v="753"/>
    <n v="63723470"/>
    <n v="242791"/>
    <s v="Medium"/>
    <s v="B2C"/>
    <n v="6"/>
    <n v="50.22"/>
    <n v="353921"/>
    <n v="1"/>
  </r>
  <r>
    <s v="Startup_3868"/>
    <x v="3"/>
    <n v="5"/>
    <n v="3307122"/>
    <n v="3"/>
    <n v="3"/>
    <n v="616"/>
    <n v="75782402"/>
    <n v="613073"/>
    <s v="Small"/>
    <s v="B2B"/>
    <n v="7"/>
    <n v="42.07"/>
    <n v="604599"/>
    <n v="1"/>
  </r>
  <r>
    <s v="Startup_3869"/>
    <x v="3"/>
    <n v="1"/>
    <n v="534682"/>
    <n v="3"/>
    <n v="23"/>
    <n v="802"/>
    <n v="90178431"/>
    <n v="261714"/>
    <s v="Medium"/>
    <s v="Hybrid"/>
    <n v="5"/>
    <n v="0.21"/>
    <n v="968364"/>
    <n v="1"/>
  </r>
  <r>
    <s v="Startup_3870"/>
    <x v="5"/>
    <n v="14"/>
    <n v="6465803"/>
    <n v="3"/>
    <n v="17"/>
    <n v="635"/>
    <n v="40818419"/>
    <n v="127966"/>
    <s v="Medium"/>
    <s v="Hybrid"/>
    <n v="6"/>
    <n v="92.48"/>
    <n v="490752"/>
    <n v="1"/>
  </r>
  <r>
    <s v="Startup_3871"/>
    <x v="0"/>
    <n v="4"/>
    <n v="10618840"/>
    <n v="4"/>
    <n v="7"/>
    <n v="168"/>
    <n v="42039129"/>
    <n v="751365"/>
    <s v="Large"/>
    <s v="B2B"/>
    <n v="9"/>
    <n v="75.47"/>
    <n v="900482"/>
    <n v="1"/>
  </r>
  <r>
    <s v="Startup_3872"/>
    <x v="6"/>
    <n v="8"/>
    <n v="9545476"/>
    <n v="3"/>
    <n v="25"/>
    <n v="582"/>
    <n v="82147097"/>
    <n v="672266"/>
    <s v="Small"/>
    <s v="B2B"/>
    <n v="9"/>
    <n v="71.78"/>
    <n v="327327"/>
    <n v="1"/>
  </r>
  <r>
    <s v="Startup_3873"/>
    <x v="4"/>
    <n v="13"/>
    <n v="30949968"/>
    <n v="2"/>
    <n v="16"/>
    <n v="126"/>
    <n v="1239126"/>
    <n v="376142"/>
    <s v="Small"/>
    <s v="B2C"/>
    <n v="9"/>
    <n v="27.17"/>
    <n v="539044"/>
    <n v="1"/>
  </r>
  <r>
    <s v="Startup_3874"/>
    <x v="5"/>
    <n v="14"/>
    <n v="35144310"/>
    <n v="4"/>
    <n v="7"/>
    <n v="300"/>
    <n v="73331861"/>
    <n v="871767"/>
    <s v="Large"/>
    <s v="B2B"/>
    <n v="2"/>
    <n v="26.63"/>
    <n v="773332"/>
    <n v="1"/>
  </r>
  <r>
    <s v="Startup_3875"/>
    <x v="6"/>
    <n v="10"/>
    <n v="41696107"/>
    <n v="1"/>
    <n v="21"/>
    <n v="27"/>
    <n v="20857782"/>
    <n v="761346"/>
    <s v="Medium"/>
    <s v="Hybrid"/>
    <n v="1"/>
    <n v="90.85"/>
    <n v="522785"/>
    <n v="1"/>
  </r>
  <r>
    <s v="Startup_3876"/>
    <x v="6"/>
    <n v="2"/>
    <n v="30931684"/>
    <n v="4"/>
    <n v="6"/>
    <n v="590"/>
    <n v="3721052"/>
    <n v="533840"/>
    <s v="Large"/>
    <s v="Hybrid"/>
    <n v="3"/>
    <n v="41.23"/>
    <n v="253714"/>
    <n v="1"/>
  </r>
  <r>
    <s v="Startup_3877"/>
    <x v="1"/>
    <n v="1"/>
    <n v="36590458"/>
    <n v="2"/>
    <n v="9"/>
    <n v="784"/>
    <n v="23575852"/>
    <n v="383054"/>
    <s v="Large"/>
    <s v="B2C"/>
    <n v="5"/>
    <n v="23.9"/>
    <n v="406512"/>
    <n v="1"/>
  </r>
  <r>
    <s v="Startup_3878"/>
    <x v="5"/>
    <n v="13"/>
    <n v="24279248"/>
    <n v="2"/>
    <n v="21"/>
    <n v="117"/>
    <n v="67945201"/>
    <n v="660668"/>
    <s v="Small"/>
    <s v="B2B"/>
    <n v="3"/>
    <n v="8.73"/>
    <n v="996224"/>
    <n v="1"/>
  </r>
  <r>
    <s v="Startup_3879"/>
    <x v="6"/>
    <n v="3"/>
    <n v="28601231"/>
    <n v="4"/>
    <n v="21"/>
    <n v="74"/>
    <n v="91239765"/>
    <n v="885337"/>
    <s v="Large"/>
    <s v="B2C"/>
    <n v="1"/>
    <n v="74.36"/>
    <n v="532376"/>
    <n v="1"/>
  </r>
  <r>
    <s v="Startup_3880"/>
    <x v="3"/>
    <n v="2"/>
    <n v="46978124"/>
    <n v="3"/>
    <n v="2"/>
    <n v="269"/>
    <n v="66154621"/>
    <n v="385308"/>
    <s v="Medium"/>
    <s v="Hybrid"/>
    <n v="3"/>
    <n v="35.49"/>
    <n v="537001"/>
    <n v="1"/>
  </r>
  <r>
    <s v="Startup_3881"/>
    <x v="2"/>
    <n v="10"/>
    <n v="16827783"/>
    <n v="1"/>
    <n v="7"/>
    <n v="354"/>
    <n v="2081821"/>
    <n v="808072"/>
    <s v="Small"/>
    <s v="B2C"/>
    <n v="9"/>
    <n v="63.32"/>
    <n v="366971"/>
    <n v="1"/>
  </r>
  <r>
    <s v="Startup_3882"/>
    <x v="4"/>
    <n v="3"/>
    <n v="23392684"/>
    <n v="2"/>
    <n v="15"/>
    <n v="204"/>
    <n v="53869847"/>
    <n v="259675"/>
    <s v="Medium"/>
    <s v="B2B"/>
    <n v="9"/>
    <n v="21.44"/>
    <n v="376400"/>
    <n v="1"/>
  </r>
  <r>
    <s v="Startup_3883"/>
    <x v="6"/>
    <n v="7"/>
    <n v="41185372"/>
    <n v="3"/>
    <n v="6"/>
    <n v="894"/>
    <n v="71131149"/>
    <n v="458047"/>
    <s v="Large"/>
    <s v="B2C"/>
    <n v="2"/>
    <n v="54.49"/>
    <n v="632971"/>
    <n v="1"/>
  </r>
  <r>
    <s v="Startup_3884"/>
    <x v="0"/>
    <n v="14"/>
    <n v="17211210"/>
    <n v="2"/>
    <n v="14"/>
    <n v="674"/>
    <n v="78078914"/>
    <n v="23898"/>
    <s v="Medium"/>
    <s v="B2C"/>
    <n v="9"/>
    <n v="93.27"/>
    <n v="182876"/>
    <n v="1"/>
  </r>
  <r>
    <s v="Startup_3885"/>
    <x v="6"/>
    <n v="13"/>
    <n v="5672440"/>
    <n v="2"/>
    <n v="26"/>
    <n v="926"/>
    <n v="58217228"/>
    <n v="818229"/>
    <s v="Large"/>
    <s v="B2B"/>
    <n v="1"/>
    <n v="65.099999999999994"/>
    <n v="394484"/>
    <n v="1"/>
  </r>
  <r>
    <s v="Startup_3886"/>
    <x v="0"/>
    <n v="12"/>
    <n v="31726141"/>
    <n v="3"/>
    <n v="22"/>
    <n v="75"/>
    <n v="37447682"/>
    <n v="250675"/>
    <s v="Small"/>
    <s v="B2B"/>
    <n v="5"/>
    <n v="92.75"/>
    <n v="828399"/>
    <n v="1"/>
  </r>
  <r>
    <s v="Startup_3887"/>
    <x v="3"/>
    <n v="11"/>
    <n v="13228855"/>
    <n v="1"/>
    <n v="13"/>
    <n v="480"/>
    <n v="33222113"/>
    <n v="144693"/>
    <s v="Medium"/>
    <s v="B2B"/>
    <n v="2"/>
    <n v="95.88"/>
    <n v="185481"/>
    <n v="1"/>
  </r>
  <r>
    <s v="Startup_3888"/>
    <x v="5"/>
    <n v="10"/>
    <n v="42947980"/>
    <n v="3"/>
    <n v="10"/>
    <n v="700"/>
    <n v="10696897"/>
    <n v="293683"/>
    <s v="Small"/>
    <s v="B2B"/>
    <n v="2"/>
    <n v="35.42"/>
    <n v="478991"/>
    <n v="1"/>
  </r>
  <r>
    <s v="Startup_3889"/>
    <x v="5"/>
    <n v="14"/>
    <n v="16070193"/>
    <n v="4"/>
    <n v="10"/>
    <n v="604"/>
    <n v="72897225"/>
    <n v="308857"/>
    <s v="Medium"/>
    <s v="B2B"/>
    <n v="5"/>
    <n v="83.76"/>
    <n v="255068"/>
    <n v="1"/>
  </r>
  <r>
    <s v="Startup_3890"/>
    <x v="4"/>
    <n v="0"/>
    <n v="45725570"/>
    <n v="2"/>
    <n v="15"/>
    <n v="516"/>
    <n v="51286650"/>
    <n v="739590"/>
    <s v="Small"/>
    <s v="B2B"/>
    <n v="1"/>
    <n v="52.86"/>
    <n v="104066"/>
    <n v="1"/>
  </r>
  <r>
    <s v="Startup_3891"/>
    <x v="0"/>
    <n v="7"/>
    <n v="49325473"/>
    <n v="4"/>
    <n v="24"/>
    <n v="669"/>
    <n v="27142043"/>
    <n v="854854"/>
    <s v="Medium"/>
    <s v="B2C"/>
    <n v="8"/>
    <n v="95.96"/>
    <n v="246238"/>
    <n v="1"/>
  </r>
  <r>
    <s v="Startup_3892"/>
    <x v="4"/>
    <n v="4"/>
    <n v="130620"/>
    <n v="4"/>
    <n v="2"/>
    <n v="730"/>
    <n v="85522770"/>
    <n v="642035"/>
    <s v="Medium"/>
    <s v="B2B"/>
    <n v="5"/>
    <n v="81.5"/>
    <n v="178058"/>
    <n v="1"/>
  </r>
  <r>
    <s v="Startup_3893"/>
    <x v="3"/>
    <n v="14"/>
    <n v="34349219"/>
    <n v="1"/>
    <n v="25"/>
    <n v="220"/>
    <n v="93080538"/>
    <n v="427323"/>
    <s v="Medium"/>
    <s v="Hybrid"/>
    <n v="1"/>
    <n v="50.38"/>
    <n v="482074"/>
    <n v="1"/>
  </r>
  <r>
    <s v="Startup_3894"/>
    <x v="1"/>
    <n v="10"/>
    <n v="1035975"/>
    <n v="3"/>
    <n v="7"/>
    <n v="202"/>
    <n v="6063863"/>
    <n v="138730"/>
    <s v="Medium"/>
    <s v="Hybrid"/>
    <n v="5"/>
    <n v="61.82"/>
    <n v="767079"/>
    <n v="1"/>
  </r>
  <r>
    <s v="Startup_3895"/>
    <x v="6"/>
    <n v="4"/>
    <n v="6494297"/>
    <n v="2"/>
    <n v="6"/>
    <n v="93"/>
    <n v="44951333"/>
    <n v="186841"/>
    <s v="Large"/>
    <s v="B2B"/>
    <n v="5"/>
    <n v="81.319999999999993"/>
    <n v="45756"/>
    <n v="1"/>
  </r>
  <r>
    <s v="Startup_3896"/>
    <x v="4"/>
    <n v="4"/>
    <n v="37265425"/>
    <n v="2"/>
    <n v="24"/>
    <n v="318"/>
    <n v="39486937"/>
    <n v="447841"/>
    <s v="Medium"/>
    <s v="Hybrid"/>
    <n v="6"/>
    <n v="26.57"/>
    <n v="916105"/>
    <n v="1"/>
  </r>
  <r>
    <s v="Startup_3897"/>
    <x v="0"/>
    <n v="14"/>
    <n v="4648975"/>
    <n v="1"/>
    <n v="19"/>
    <n v="929"/>
    <n v="47901166"/>
    <n v="802102"/>
    <s v="Medium"/>
    <s v="B2B"/>
    <n v="3"/>
    <n v="15.89"/>
    <n v="50485"/>
    <n v="1"/>
  </r>
  <r>
    <s v="Startup_3898"/>
    <x v="3"/>
    <n v="0"/>
    <n v="19987007"/>
    <n v="1"/>
    <n v="22"/>
    <n v="534"/>
    <n v="77871763"/>
    <n v="933727"/>
    <s v="Small"/>
    <s v="B2C"/>
    <n v="1"/>
    <n v="85.06"/>
    <n v="105169"/>
    <n v="1"/>
  </r>
  <r>
    <s v="Startup_3899"/>
    <x v="1"/>
    <n v="4"/>
    <n v="14026115"/>
    <n v="3"/>
    <n v="13"/>
    <n v="509"/>
    <n v="58362501"/>
    <n v="464520"/>
    <s v="Large"/>
    <s v="B2C"/>
    <n v="5"/>
    <n v="99.47"/>
    <n v="269372"/>
    <n v="1"/>
  </r>
  <r>
    <s v="Startup_3900"/>
    <x v="5"/>
    <n v="9"/>
    <n v="39797094"/>
    <n v="2"/>
    <n v="27"/>
    <n v="688"/>
    <n v="92942910"/>
    <n v="97036"/>
    <s v="Medium"/>
    <s v="B2C"/>
    <n v="7"/>
    <n v="7.65"/>
    <n v="212635"/>
    <n v="1"/>
  </r>
  <r>
    <s v="Startup_3901"/>
    <x v="0"/>
    <n v="9"/>
    <n v="4813425"/>
    <n v="3"/>
    <n v="28"/>
    <n v="991"/>
    <n v="7739659"/>
    <n v="12669"/>
    <s v="Large"/>
    <s v="B2B"/>
    <n v="9"/>
    <n v="61.46"/>
    <n v="789532"/>
    <n v="1"/>
  </r>
  <r>
    <s v="Startup_3902"/>
    <x v="0"/>
    <n v="12"/>
    <n v="38629060"/>
    <n v="2"/>
    <n v="13"/>
    <n v="629"/>
    <n v="17766003"/>
    <n v="158790"/>
    <s v="Small"/>
    <s v="Hybrid"/>
    <n v="3"/>
    <n v="42.73"/>
    <n v="801255"/>
    <n v="1"/>
  </r>
  <r>
    <s v="Startup_3903"/>
    <x v="0"/>
    <n v="7"/>
    <n v="16902343"/>
    <n v="4"/>
    <n v="23"/>
    <n v="401"/>
    <n v="50442245"/>
    <n v="845922"/>
    <s v="Large"/>
    <s v="Hybrid"/>
    <n v="7"/>
    <n v="62.58"/>
    <n v="750745"/>
    <n v="1"/>
  </r>
  <r>
    <s v="Startup_3904"/>
    <x v="3"/>
    <n v="0"/>
    <n v="129493"/>
    <n v="2"/>
    <n v="23"/>
    <n v="64"/>
    <n v="22670241"/>
    <n v="973027"/>
    <s v="Medium"/>
    <s v="Hybrid"/>
    <n v="7"/>
    <n v="41.88"/>
    <n v="523127"/>
    <n v="1"/>
  </r>
  <r>
    <s v="Startup_3905"/>
    <x v="5"/>
    <n v="3"/>
    <n v="49532396"/>
    <n v="1"/>
    <n v="4"/>
    <n v="269"/>
    <n v="38707093"/>
    <n v="264640"/>
    <s v="Small"/>
    <s v="Hybrid"/>
    <n v="6"/>
    <n v="66.989999999999995"/>
    <n v="870938"/>
    <n v="1"/>
  </r>
  <r>
    <s v="Startup_3906"/>
    <x v="3"/>
    <n v="2"/>
    <n v="1589943"/>
    <n v="2"/>
    <n v="4"/>
    <n v="93"/>
    <n v="74538609"/>
    <n v="925756"/>
    <s v="Medium"/>
    <s v="Hybrid"/>
    <n v="9"/>
    <n v="4.37"/>
    <n v="208247"/>
    <n v="1"/>
  </r>
  <r>
    <s v="Startup_3907"/>
    <x v="1"/>
    <n v="14"/>
    <n v="12482056"/>
    <n v="1"/>
    <n v="3"/>
    <n v="963"/>
    <n v="8145817"/>
    <n v="71592"/>
    <s v="Large"/>
    <s v="Hybrid"/>
    <n v="2"/>
    <n v="36"/>
    <n v="741695"/>
    <n v="1"/>
  </r>
  <r>
    <s v="Startup_3908"/>
    <x v="2"/>
    <n v="4"/>
    <n v="17513172"/>
    <n v="2"/>
    <n v="0"/>
    <n v="458"/>
    <n v="49119164"/>
    <n v="975046"/>
    <s v="Small"/>
    <s v="B2B"/>
    <n v="4"/>
    <n v="16.190000000000001"/>
    <n v="412553"/>
    <n v="1"/>
  </r>
  <r>
    <s v="Startup_3909"/>
    <x v="6"/>
    <n v="9"/>
    <n v="49614525"/>
    <n v="2"/>
    <n v="14"/>
    <n v="989"/>
    <n v="8450997"/>
    <n v="687553"/>
    <s v="Medium"/>
    <s v="B2C"/>
    <n v="6"/>
    <n v="53.12"/>
    <n v="998000"/>
    <n v="1"/>
  </r>
  <r>
    <s v="Startup_3910"/>
    <x v="0"/>
    <n v="13"/>
    <n v="38614568"/>
    <n v="4"/>
    <n v="19"/>
    <n v="221"/>
    <n v="88161777"/>
    <n v="902255"/>
    <s v="Medium"/>
    <s v="B2C"/>
    <n v="5"/>
    <n v="80.38"/>
    <n v="960552"/>
    <n v="1"/>
  </r>
  <r>
    <s v="Startup_3911"/>
    <x v="5"/>
    <n v="1"/>
    <n v="4684222"/>
    <n v="3"/>
    <n v="23"/>
    <n v="199"/>
    <n v="63768118"/>
    <n v="287645"/>
    <s v="Small"/>
    <s v="B2C"/>
    <n v="5"/>
    <n v="97.77"/>
    <n v="538249"/>
    <n v="1"/>
  </r>
  <r>
    <s v="Startup_3912"/>
    <x v="4"/>
    <n v="0"/>
    <n v="30947605"/>
    <n v="4"/>
    <n v="3"/>
    <n v="380"/>
    <n v="28670201"/>
    <n v="785219"/>
    <s v="Medium"/>
    <s v="B2B"/>
    <n v="4"/>
    <n v="47.08"/>
    <n v="443456"/>
    <n v="1"/>
  </r>
  <r>
    <s v="Startup_3913"/>
    <x v="6"/>
    <n v="10"/>
    <n v="42484029"/>
    <n v="2"/>
    <n v="3"/>
    <n v="577"/>
    <n v="15265829"/>
    <n v="339737"/>
    <s v="Large"/>
    <s v="B2C"/>
    <n v="3"/>
    <n v="53.19"/>
    <n v="359146"/>
    <n v="1"/>
  </r>
  <r>
    <s v="Startup_3914"/>
    <x v="3"/>
    <n v="9"/>
    <n v="25422107"/>
    <n v="4"/>
    <n v="16"/>
    <n v="390"/>
    <n v="44493061"/>
    <n v="782408"/>
    <s v="Medium"/>
    <s v="Hybrid"/>
    <n v="9"/>
    <n v="46.56"/>
    <n v="967479"/>
    <n v="1"/>
  </r>
  <r>
    <s v="Startup_3915"/>
    <x v="0"/>
    <n v="4"/>
    <n v="43101779"/>
    <n v="3"/>
    <n v="9"/>
    <n v="708"/>
    <n v="79874035"/>
    <n v="75138"/>
    <s v="Medium"/>
    <s v="B2B"/>
    <n v="9"/>
    <n v="27.51"/>
    <n v="830316"/>
    <n v="1"/>
  </r>
  <r>
    <s v="Startup_3916"/>
    <x v="2"/>
    <n v="14"/>
    <n v="13180536"/>
    <n v="3"/>
    <n v="0"/>
    <n v="826"/>
    <n v="11869257"/>
    <n v="161593"/>
    <s v="Medium"/>
    <s v="B2C"/>
    <n v="2"/>
    <n v="5.95"/>
    <n v="39323"/>
    <n v="1"/>
  </r>
  <r>
    <s v="Startup_3917"/>
    <x v="1"/>
    <n v="0"/>
    <n v="38410169"/>
    <n v="1"/>
    <n v="21"/>
    <n v="7"/>
    <n v="18585606"/>
    <n v="882822"/>
    <s v="Small"/>
    <s v="B2B"/>
    <n v="9"/>
    <n v="49.32"/>
    <n v="778641"/>
    <n v="1"/>
  </r>
  <r>
    <s v="Startup_3918"/>
    <x v="3"/>
    <n v="14"/>
    <n v="38784138"/>
    <n v="2"/>
    <n v="13"/>
    <n v="759"/>
    <n v="4595013"/>
    <n v="774092"/>
    <s v="Small"/>
    <s v="B2C"/>
    <n v="1"/>
    <n v="48.12"/>
    <n v="480895"/>
    <n v="1"/>
  </r>
  <r>
    <s v="Startup_3919"/>
    <x v="1"/>
    <n v="3"/>
    <n v="33550306"/>
    <n v="3"/>
    <n v="7"/>
    <n v="250"/>
    <n v="57867760"/>
    <n v="407929"/>
    <s v="Large"/>
    <s v="B2C"/>
    <n v="5"/>
    <n v="76.11"/>
    <n v="870362"/>
    <n v="1"/>
  </r>
  <r>
    <s v="Startup_3920"/>
    <x v="3"/>
    <n v="4"/>
    <n v="22736453"/>
    <n v="2"/>
    <n v="17"/>
    <n v="378"/>
    <n v="83827085"/>
    <n v="533700"/>
    <s v="Medium"/>
    <s v="Hybrid"/>
    <n v="1"/>
    <n v="73.44"/>
    <n v="964930"/>
    <n v="1"/>
  </r>
  <r>
    <s v="Startup_3921"/>
    <x v="5"/>
    <n v="7"/>
    <n v="30448086"/>
    <n v="4"/>
    <n v="18"/>
    <n v="131"/>
    <n v="39776395"/>
    <n v="65771"/>
    <s v="Large"/>
    <s v="Hybrid"/>
    <n v="4"/>
    <n v="75.38"/>
    <n v="922960"/>
    <n v="1"/>
  </r>
  <r>
    <s v="Startup_3922"/>
    <x v="3"/>
    <n v="14"/>
    <n v="44525770"/>
    <n v="1"/>
    <n v="27"/>
    <n v="613"/>
    <n v="81281401"/>
    <n v="618700"/>
    <s v="Medium"/>
    <s v="B2C"/>
    <n v="6"/>
    <n v="48.56"/>
    <n v="535484"/>
    <n v="1"/>
  </r>
  <r>
    <s v="Startup_3923"/>
    <x v="2"/>
    <n v="6"/>
    <n v="30785026"/>
    <n v="1"/>
    <n v="0"/>
    <n v="602"/>
    <n v="36980"/>
    <n v="9739"/>
    <s v="Small"/>
    <s v="Hybrid"/>
    <n v="1"/>
    <n v="19.03"/>
    <n v="802912"/>
    <n v="1"/>
  </r>
  <r>
    <s v="Startup_3924"/>
    <x v="6"/>
    <n v="10"/>
    <n v="8796884"/>
    <n v="4"/>
    <n v="22"/>
    <n v="859"/>
    <n v="55110374"/>
    <n v="340786"/>
    <s v="Large"/>
    <s v="B2B"/>
    <n v="9"/>
    <n v="31.46"/>
    <n v="324329"/>
    <n v="1"/>
  </r>
  <r>
    <s v="Startup_3925"/>
    <x v="1"/>
    <n v="4"/>
    <n v="3833930"/>
    <n v="2"/>
    <n v="2"/>
    <n v="619"/>
    <n v="29002594"/>
    <n v="99114"/>
    <s v="Medium"/>
    <s v="B2C"/>
    <n v="3"/>
    <n v="40.229999999999997"/>
    <n v="413674"/>
    <n v="1"/>
  </r>
  <r>
    <s v="Startup_3926"/>
    <x v="1"/>
    <n v="5"/>
    <n v="21770173"/>
    <n v="1"/>
    <n v="5"/>
    <n v="571"/>
    <n v="82808370"/>
    <n v="401459"/>
    <s v="Small"/>
    <s v="B2C"/>
    <n v="3"/>
    <n v="13.35"/>
    <n v="229995"/>
    <n v="1"/>
  </r>
  <r>
    <s v="Startup_3927"/>
    <x v="3"/>
    <n v="5"/>
    <n v="48726636"/>
    <n v="3"/>
    <n v="22"/>
    <n v="150"/>
    <n v="23074141"/>
    <n v="878508"/>
    <s v="Medium"/>
    <s v="B2B"/>
    <n v="8"/>
    <n v="37.630000000000003"/>
    <n v="967217"/>
    <n v="1"/>
  </r>
  <r>
    <s v="Startup_3928"/>
    <x v="2"/>
    <n v="0"/>
    <n v="5841622"/>
    <n v="1"/>
    <n v="6"/>
    <n v="473"/>
    <n v="59255214"/>
    <n v="151669"/>
    <s v="Small"/>
    <s v="B2B"/>
    <n v="6"/>
    <n v="58.78"/>
    <n v="416969"/>
    <n v="1"/>
  </r>
  <r>
    <s v="Startup_3929"/>
    <x v="6"/>
    <n v="11"/>
    <n v="41331246"/>
    <n v="1"/>
    <n v="4"/>
    <n v="820"/>
    <n v="60555984"/>
    <n v="742293"/>
    <s v="Large"/>
    <s v="B2C"/>
    <n v="6"/>
    <n v="61.75"/>
    <n v="955786"/>
    <n v="1"/>
  </r>
  <r>
    <s v="Startup_3930"/>
    <x v="1"/>
    <n v="10"/>
    <n v="41372838"/>
    <n v="3"/>
    <n v="20"/>
    <n v="661"/>
    <n v="13801512"/>
    <n v="507387"/>
    <s v="Medium"/>
    <s v="Hybrid"/>
    <n v="4"/>
    <n v="57.5"/>
    <n v="819347"/>
    <n v="1"/>
  </r>
  <r>
    <s v="Startup_3931"/>
    <x v="3"/>
    <n v="10"/>
    <n v="20617529"/>
    <n v="1"/>
    <n v="16"/>
    <n v="367"/>
    <n v="70432799"/>
    <n v="771688"/>
    <s v="Small"/>
    <s v="Hybrid"/>
    <n v="3"/>
    <n v="16.940000000000001"/>
    <n v="676101"/>
    <n v="1"/>
  </r>
  <r>
    <s v="Startup_3932"/>
    <x v="2"/>
    <n v="2"/>
    <n v="29448509"/>
    <n v="1"/>
    <n v="14"/>
    <n v="987"/>
    <n v="6345176"/>
    <n v="240641"/>
    <s v="Small"/>
    <s v="Hybrid"/>
    <n v="3"/>
    <n v="64.39"/>
    <n v="466797"/>
    <n v="1"/>
  </r>
  <r>
    <s v="Startup_3933"/>
    <x v="4"/>
    <n v="1"/>
    <n v="7592394"/>
    <n v="3"/>
    <n v="13"/>
    <n v="813"/>
    <n v="22476851"/>
    <n v="607345"/>
    <s v="Small"/>
    <s v="B2C"/>
    <n v="9"/>
    <n v="84.99"/>
    <n v="702198"/>
    <n v="1"/>
  </r>
  <r>
    <s v="Startup_3934"/>
    <x v="3"/>
    <n v="14"/>
    <n v="9219274"/>
    <n v="4"/>
    <n v="6"/>
    <n v="48"/>
    <n v="7342598"/>
    <n v="639298"/>
    <s v="Medium"/>
    <s v="B2B"/>
    <n v="9"/>
    <n v="67.3"/>
    <n v="157389"/>
    <n v="1"/>
  </r>
  <r>
    <s v="Startup_3935"/>
    <x v="4"/>
    <n v="7"/>
    <n v="6059630"/>
    <n v="2"/>
    <n v="11"/>
    <n v="644"/>
    <n v="61376357"/>
    <n v="656481"/>
    <s v="Large"/>
    <s v="B2C"/>
    <n v="5"/>
    <n v="24.69"/>
    <n v="312799"/>
    <n v="1"/>
  </r>
  <r>
    <s v="Startup_3936"/>
    <x v="6"/>
    <n v="3"/>
    <n v="35484757"/>
    <n v="3"/>
    <n v="23"/>
    <n v="739"/>
    <n v="87667798"/>
    <n v="358480"/>
    <s v="Medium"/>
    <s v="Hybrid"/>
    <n v="6"/>
    <n v="97.14"/>
    <n v="42208"/>
    <n v="1"/>
  </r>
  <r>
    <s v="Startup_3937"/>
    <x v="5"/>
    <n v="13"/>
    <n v="30862502"/>
    <n v="3"/>
    <n v="9"/>
    <n v="214"/>
    <n v="17403882"/>
    <n v="552598"/>
    <s v="Large"/>
    <s v="B2C"/>
    <n v="8"/>
    <n v="8.26"/>
    <n v="243359"/>
    <n v="1"/>
  </r>
  <r>
    <s v="Startup_3938"/>
    <x v="3"/>
    <n v="9"/>
    <n v="35965307"/>
    <n v="3"/>
    <n v="9"/>
    <n v="607"/>
    <n v="1642837"/>
    <n v="257513"/>
    <s v="Large"/>
    <s v="B2C"/>
    <n v="6"/>
    <n v="27.6"/>
    <n v="481948"/>
    <n v="1"/>
  </r>
  <r>
    <s v="Startup_3939"/>
    <x v="3"/>
    <n v="7"/>
    <n v="19645485"/>
    <n v="2"/>
    <n v="21"/>
    <n v="929"/>
    <n v="65370709"/>
    <n v="784815"/>
    <s v="Large"/>
    <s v="B2C"/>
    <n v="5"/>
    <n v="13.67"/>
    <n v="939204"/>
    <n v="1"/>
  </r>
  <r>
    <s v="Startup_3940"/>
    <x v="4"/>
    <n v="6"/>
    <n v="2058221"/>
    <n v="3"/>
    <n v="26"/>
    <n v="169"/>
    <n v="73391830"/>
    <n v="481445"/>
    <s v="Medium"/>
    <s v="B2B"/>
    <n v="6"/>
    <n v="74.510000000000005"/>
    <n v="478173"/>
    <n v="1"/>
  </r>
  <r>
    <s v="Startup_3941"/>
    <x v="4"/>
    <n v="4"/>
    <n v="20319448"/>
    <n v="4"/>
    <n v="2"/>
    <n v="610"/>
    <n v="5122385"/>
    <n v="611600"/>
    <s v="Small"/>
    <s v="Hybrid"/>
    <n v="6"/>
    <n v="92.29"/>
    <n v="669688"/>
    <n v="1"/>
  </r>
  <r>
    <s v="Startup_3942"/>
    <x v="1"/>
    <n v="3"/>
    <n v="43966883"/>
    <n v="1"/>
    <n v="10"/>
    <n v="977"/>
    <n v="75960310"/>
    <n v="767363"/>
    <s v="Medium"/>
    <s v="B2B"/>
    <n v="5"/>
    <n v="82.51"/>
    <n v="770196"/>
    <n v="1"/>
  </r>
  <r>
    <s v="Startup_3943"/>
    <x v="5"/>
    <n v="0"/>
    <n v="1160730"/>
    <n v="4"/>
    <n v="18"/>
    <n v="841"/>
    <n v="53527397"/>
    <n v="518079"/>
    <s v="Small"/>
    <s v="Hybrid"/>
    <n v="6"/>
    <n v="21.71"/>
    <n v="469724"/>
    <n v="1"/>
  </r>
  <r>
    <s v="Startup_3944"/>
    <x v="1"/>
    <n v="3"/>
    <n v="18149117"/>
    <n v="1"/>
    <n v="23"/>
    <n v="547"/>
    <n v="38580763"/>
    <n v="375068"/>
    <s v="Large"/>
    <s v="Hybrid"/>
    <n v="6"/>
    <n v="73.02"/>
    <n v="510520"/>
    <n v="1"/>
  </r>
  <r>
    <s v="Startup_3945"/>
    <x v="2"/>
    <n v="1"/>
    <n v="17566479"/>
    <n v="3"/>
    <n v="18"/>
    <n v="112"/>
    <n v="58827135"/>
    <n v="749636"/>
    <s v="Small"/>
    <s v="B2C"/>
    <n v="2"/>
    <n v="95.86"/>
    <n v="244889"/>
    <n v="1"/>
  </r>
  <r>
    <s v="Startup_3946"/>
    <x v="6"/>
    <n v="12"/>
    <n v="21637733"/>
    <n v="4"/>
    <n v="19"/>
    <n v="623"/>
    <n v="52280520"/>
    <n v="250108"/>
    <s v="Medium"/>
    <s v="B2C"/>
    <n v="9"/>
    <n v="81.489999999999995"/>
    <n v="739449"/>
    <n v="1"/>
  </r>
  <r>
    <s v="Startup_3947"/>
    <x v="4"/>
    <n v="7"/>
    <n v="34200314"/>
    <n v="4"/>
    <n v="1"/>
    <n v="183"/>
    <n v="46035694"/>
    <n v="965227"/>
    <s v="Small"/>
    <s v="B2C"/>
    <n v="2"/>
    <n v="2.5"/>
    <n v="663323"/>
    <n v="1"/>
  </r>
  <r>
    <s v="Startup_3948"/>
    <x v="3"/>
    <n v="6"/>
    <n v="16346442"/>
    <n v="1"/>
    <n v="7"/>
    <n v="723"/>
    <n v="32223005"/>
    <n v="150318"/>
    <s v="Small"/>
    <s v="B2B"/>
    <n v="4"/>
    <n v="66.92"/>
    <n v="841995"/>
    <n v="1"/>
  </r>
  <r>
    <s v="Startup_3949"/>
    <x v="5"/>
    <n v="2"/>
    <n v="3128022"/>
    <n v="2"/>
    <n v="7"/>
    <n v="582"/>
    <n v="41510593"/>
    <n v="361328"/>
    <s v="Medium"/>
    <s v="B2C"/>
    <n v="6"/>
    <n v="80.209999999999994"/>
    <n v="141802"/>
    <n v="1"/>
  </r>
  <r>
    <s v="Startup_3950"/>
    <x v="4"/>
    <n v="5"/>
    <n v="25005762"/>
    <n v="2"/>
    <n v="15"/>
    <n v="416"/>
    <n v="69293124"/>
    <n v="944635"/>
    <s v="Small"/>
    <s v="Hybrid"/>
    <n v="6"/>
    <n v="86.77"/>
    <n v="723597"/>
    <n v="1"/>
  </r>
  <r>
    <s v="Startup_3951"/>
    <x v="5"/>
    <n v="14"/>
    <n v="46590167"/>
    <n v="4"/>
    <n v="11"/>
    <n v="972"/>
    <n v="33043285"/>
    <n v="529740"/>
    <s v="Medium"/>
    <s v="B2B"/>
    <n v="4"/>
    <n v="3.15"/>
    <n v="12277"/>
    <n v="1"/>
  </r>
  <r>
    <s v="Startup_3952"/>
    <x v="0"/>
    <n v="0"/>
    <n v="8272449"/>
    <n v="4"/>
    <n v="4"/>
    <n v="517"/>
    <n v="75572061"/>
    <n v="33822"/>
    <s v="Medium"/>
    <s v="B2C"/>
    <n v="3"/>
    <n v="69.38"/>
    <n v="323710"/>
    <n v="1"/>
  </r>
  <r>
    <s v="Startup_3953"/>
    <x v="4"/>
    <n v="11"/>
    <n v="36589769"/>
    <n v="3"/>
    <n v="17"/>
    <n v="591"/>
    <n v="63706716"/>
    <n v="313192"/>
    <s v="Small"/>
    <s v="B2B"/>
    <n v="6"/>
    <n v="63.71"/>
    <n v="630398"/>
    <n v="1"/>
  </r>
  <r>
    <s v="Startup_3954"/>
    <x v="5"/>
    <n v="2"/>
    <n v="9929657"/>
    <n v="2"/>
    <n v="14"/>
    <n v="323"/>
    <n v="72092141"/>
    <n v="824155"/>
    <s v="Large"/>
    <s v="B2C"/>
    <n v="9"/>
    <n v="65.239999999999995"/>
    <n v="799466"/>
    <n v="1"/>
  </r>
  <r>
    <s v="Startup_3955"/>
    <x v="2"/>
    <n v="9"/>
    <n v="45884589"/>
    <n v="3"/>
    <n v="14"/>
    <n v="954"/>
    <n v="9364621"/>
    <n v="490166"/>
    <s v="Medium"/>
    <s v="Hybrid"/>
    <n v="3"/>
    <n v="10.119999999999999"/>
    <n v="520827"/>
    <n v="1"/>
  </r>
  <r>
    <s v="Startup_3956"/>
    <x v="6"/>
    <n v="13"/>
    <n v="7242014"/>
    <n v="2"/>
    <n v="23"/>
    <n v="800"/>
    <n v="93738103"/>
    <n v="705506"/>
    <s v="Large"/>
    <s v="B2B"/>
    <n v="7"/>
    <n v="17.59"/>
    <n v="622100"/>
    <n v="1"/>
  </r>
  <r>
    <s v="Startup_3957"/>
    <x v="0"/>
    <n v="8"/>
    <n v="35986783"/>
    <n v="4"/>
    <n v="10"/>
    <n v="885"/>
    <n v="74873673"/>
    <n v="928942"/>
    <s v="Medium"/>
    <s v="Hybrid"/>
    <n v="6"/>
    <n v="18.260000000000002"/>
    <n v="72967"/>
    <n v="1"/>
  </r>
  <r>
    <s v="Startup_3958"/>
    <x v="6"/>
    <n v="7"/>
    <n v="23711387"/>
    <n v="1"/>
    <n v="28"/>
    <n v="938"/>
    <n v="60166704"/>
    <n v="710741"/>
    <s v="Medium"/>
    <s v="B2B"/>
    <n v="9"/>
    <n v="75.52"/>
    <n v="581398"/>
    <n v="1"/>
  </r>
  <r>
    <s v="Startup_3959"/>
    <x v="2"/>
    <n v="4"/>
    <n v="40871641"/>
    <n v="4"/>
    <n v="7"/>
    <n v="733"/>
    <n v="63579787"/>
    <n v="387406"/>
    <s v="Large"/>
    <s v="B2B"/>
    <n v="1"/>
    <n v="19.899999999999999"/>
    <n v="32357"/>
    <n v="1"/>
  </r>
  <r>
    <s v="Startup_3960"/>
    <x v="3"/>
    <n v="4"/>
    <n v="25768711"/>
    <n v="3"/>
    <n v="19"/>
    <n v="726"/>
    <n v="80411494"/>
    <n v="510378"/>
    <s v="Large"/>
    <s v="Hybrid"/>
    <n v="1"/>
    <n v="19.32"/>
    <n v="610023"/>
    <n v="1"/>
  </r>
  <r>
    <s v="Startup_3961"/>
    <x v="5"/>
    <n v="9"/>
    <n v="27803184"/>
    <n v="4"/>
    <n v="8"/>
    <n v="208"/>
    <n v="96609667"/>
    <n v="651764"/>
    <s v="Small"/>
    <s v="Hybrid"/>
    <n v="1"/>
    <n v="33.979999999999997"/>
    <n v="205718"/>
    <n v="1"/>
  </r>
  <r>
    <s v="Startup_3962"/>
    <x v="6"/>
    <n v="14"/>
    <n v="6161597"/>
    <n v="2"/>
    <n v="9"/>
    <n v="241"/>
    <n v="57897277"/>
    <n v="745087"/>
    <s v="Medium"/>
    <s v="B2B"/>
    <n v="1"/>
    <n v="20.100000000000001"/>
    <n v="670590"/>
    <n v="1"/>
  </r>
  <r>
    <s v="Startup_3963"/>
    <x v="1"/>
    <n v="11"/>
    <n v="1362247"/>
    <n v="1"/>
    <n v="2"/>
    <n v="799"/>
    <n v="45198879"/>
    <n v="919466"/>
    <s v="Small"/>
    <s v="B2C"/>
    <n v="2"/>
    <n v="55.9"/>
    <n v="431458"/>
    <n v="1"/>
  </r>
  <r>
    <s v="Startup_3964"/>
    <x v="0"/>
    <n v="6"/>
    <n v="41854996"/>
    <n v="3"/>
    <n v="13"/>
    <n v="320"/>
    <n v="68862919"/>
    <n v="409372"/>
    <s v="Large"/>
    <s v="B2B"/>
    <n v="9"/>
    <n v="39.82"/>
    <n v="463949"/>
    <n v="1"/>
  </r>
  <r>
    <s v="Startup_3965"/>
    <x v="1"/>
    <n v="5"/>
    <n v="39151430"/>
    <n v="1"/>
    <n v="17"/>
    <n v="125"/>
    <n v="26611896"/>
    <n v="958592"/>
    <s v="Medium"/>
    <s v="B2B"/>
    <n v="3"/>
    <n v="8.35"/>
    <n v="484633"/>
    <n v="1"/>
  </r>
  <r>
    <s v="Startup_3966"/>
    <x v="4"/>
    <n v="5"/>
    <n v="41685625"/>
    <n v="2"/>
    <n v="7"/>
    <n v="676"/>
    <n v="90143082"/>
    <n v="440726"/>
    <s v="Small"/>
    <s v="Hybrid"/>
    <n v="4"/>
    <n v="22.87"/>
    <n v="825394"/>
    <n v="1"/>
  </r>
  <r>
    <s v="Startup_3967"/>
    <x v="4"/>
    <n v="4"/>
    <n v="34466706"/>
    <n v="3"/>
    <n v="0"/>
    <n v="791"/>
    <n v="40682528"/>
    <n v="346961"/>
    <s v="Large"/>
    <s v="Hybrid"/>
    <n v="2"/>
    <n v="47.43"/>
    <n v="849743"/>
    <n v="1"/>
  </r>
  <r>
    <s v="Startup_3968"/>
    <x v="4"/>
    <n v="14"/>
    <n v="39344179"/>
    <n v="3"/>
    <n v="8"/>
    <n v="263"/>
    <n v="26482191"/>
    <n v="459454"/>
    <s v="Small"/>
    <s v="Hybrid"/>
    <n v="4"/>
    <n v="73.650000000000006"/>
    <n v="679162"/>
    <n v="1"/>
  </r>
  <r>
    <s v="Startup_3969"/>
    <x v="4"/>
    <n v="9"/>
    <n v="39931174"/>
    <n v="1"/>
    <n v="20"/>
    <n v="146"/>
    <n v="78508115"/>
    <n v="690690"/>
    <s v="Medium"/>
    <s v="Hybrid"/>
    <n v="9"/>
    <n v="42.63"/>
    <n v="338308"/>
    <n v="1"/>
  </r>
  <r>
    <s v="Startup_3970"/>
    <x v="1"/>
    <n v="5"/>
    <n v="13496973"/>
    <n v="3"/>
    <n v="29"/>
    <n v="52"/>
    <n v="12734126"/>
    <n v="736029"/>
    <s v="Small"/>
    <s v="B2B"/>
    <n v="1"/>
    <n v="18.16"/>
    <n v="870874"/>
    <n v="1"/>
  </r>
  <r>
    <s v="Startup_3971"/>
    <x v="5"/>
    <n v="11"/>
    <n v="47399677"/>
    <n v="3"/>
    <n v="14"/>
    <n v="989"/>
    <n v="83687251"/>
    <n v="570288"/>
    <s v="Small"/>
    <s v="Hybrid"/>
    <n v="3"/>
    <n v="17.350000000000001"/>
    <n v="672441"/>
    <n v="1"/>
  </r>
  <r>
    <s v="Startup_3972"/>
    <x v="0"/>
    <n v="7"/>
    <n v="34200525"/>
    <n v="4"/>
    <n v="5"/>
    <n v="863"/>
    <n v="32864667"/>
    <n v="778555"/>
    <s v="Small"/>
    <s v="B2C"/>
    <n v="9"/>
    <n v="20.72"/>
    <n v="553201"/>
    <n v="1"/>
  </r>
  <r>
    <s v="Startup_3973"/>
    <x v="5"/>
    <n v="9"/>
    <n v="13860082"/>
    <n v="1"/>
    <n v="15"/>
    <n v="275"/>
    <n v="36618575"/>
    <n v="185487"/>
    <s v="Large"/>
    <s v="B2B"/>
    <n v="1"/>
    <n v="89"/>
    <n v="665819"/>
    <n v="1"/>
  </r>
  <r>
    <s v="Startup_3974"/>
    <x v="6"/>
    <n v="11"/>
    <n v="28036742"/>
    <n v="2"/>
    <n v="18"/>
    <n v="367"/>
    <n v="31228352"/>
    <n v="57860"/>
    <s v="Large"/>
    <s v="B2C"/>
    <n v="1"/>
    <n v="70.63"/>
    <n v="98586"/>
    <n v="1"/>
  </r>
  <r>
    <s v="Startup_3975"/>
    <x v="2"/>
    <n v="13"/>
    <n v="9440477"/>
    <n v="4"/>
    <n v="28"/>
    <n v="912"/>
    <n v="84498738"/>
    <n v="284280"/>
    <s v="Large"/>
    <s v="B2C"/>
    <n v="4"/>
    <n v="39.49"/>
    <n v="278842"/>
    <n v="1"/>
  </r>
  <r>
    <s v="Startup_3976"/>
    <x v="3"/>
    <n v="10"/>
    <n v="42104879"/>
    <n v="2"/>
    <n v="14"/>
    <n v="875"/>
    <n v="69379600"/>
    <n v="354074"/>
    <s v="Large"/>
    <s v="Hybrid"/>
    <n v="6"/>
    <n v="83.51"/>
    <n v="748214"/>
    <n v="1"/>
  </r>
  <r>
    <s v="Startup_3977"/>
    <x v="5"/>
    <n v="2"/>
    <n v="18456481"/>
    <n v="3"/>
    <n v="18"/>
    <n v="25"/>
    <n v="27128369"/>
    <n v="21853"/>
    <s v="Small"/>
    <s v="Hybrid"/>
    <n v="4"/>
    <n v="27.85"/>
    <n v="110725"/>
    <n v="1"/>
  </r>
  <r>
    <s v="Startup_3978"/>
    <x v="6"/>
    <n v="13"/>
    <n v="30268893"/>
    <n v="1"/>
    <n v="26"/>
    <n v="603"/>
    <n v="6550117"/>
    <n v="828463"/>
    <s v="Small"/>
    <s v="B2C"/>
    <n v="2"/>
    <n v="43.76"/>
    <n v="628984"/>
    <n v="1"/>
  </r>
  <r>
    <s v="Startup_3979"/>
    <x v="3"/>
    <n v="11"/>
    <n v="12435397"/>
    <n v="2"/>
    <n v="3"/>
    <n v="527"/>
    <n v="28121894"/>
    <n v="258517"/>
    <s v="Small"/>
    <s v="Hybrid"/>
    <n v="6"/>
    <n v="40.840000000000003"/>
    <n v="33164"/>
    <n v="1"/>
  </r>
  <r>
    <s v="Startup_3980"/>
    <x v="0"/>
    <n v="4"/>
    <n v="10496405"/>
    <n v="4"/>
    <n v="18"/>
    <n v="888"/>
    <n v="53794676"/>
    <n v="540563"/>
    <s v="Medium"/>
    <s v="B2B"/>
    <n v="8"/>
    <n v="72.23"/>
    <n v="761354"/>
    <n v="1"/>
  </r>
  <r>
    <s v="Startup_3981"/>
    <x v="3"/>
    <n v="12"/>
    <n v="19441197"/>
    <n v="1"/>
    <n v="11"/>
    <n v="2"/>
    <n v="71856897"/>
    <n v="307978"/>
    <s v="Large"/>
    <s v="B2B"/>
    <n v="8"/>
    <n v="78.97"/>
    <n v="749805"/>
    <n v="1"/>
  </r>
  <r>
    <s v="Startup_3982"/>
    <x v="1"/>
    <n v="10"/>
    <n v="16206193"/>
    <n v="1"/>
    <n v="27"/>
    <n v="21"/>
    <n v="55274675"/>
    <n v="207802"/>
    <s v="Medium"/>
    <s v="B2C"/>
    <n v="9"/>
    <n v="77.92"/>
    <n v="706157"/>
    <n v="1"/>
  </r>
  <r>
    <s v="Startup_3983"/>
    <x v="5"/>
    <n v="13"/>
    <n v="24155229"/>
    <n v="2"/>
    <n v="4"/>
    <n v="875"/>
    <n v="50600929"/>
    <n v="179465"/>
    <s v="Large"/>
    <s v="B2B"/>
    <n v="8"/>
    <n v="94.53"/>
    <n v="35330"/>
    <n v="1"/>
  </r>
  <r>
    <s v="Startup_3984"/>
    <x v="6"/>
    <n v="0"/>
    <n v="7711415"/>
    <n v="2"/>
    <n v="9"/>
    <n v="3"/>
    <n v="50229455"/>
    <n v="581050"/>
    <s v="Small"/>
    <s v="B2B"/>
    <n v="6"/>
    <n v="90.94"/>
    <n v="28256"/>
    <n v="1"/>
  </r>
  <r>
    <s v="Startup_3985"/>
    <x v="1"/>
    <n v="7"/>
    <n v="749835"/>
    <n v="1"/>
    <n v="13"/>
    <n v="314"/>
    <n v="23756352"/>
    <n v="910279"/>
    <s v="Small"/>
    <s v="Hybrid"/>
    <n v="2"/>
    <n v="40.61"/>
    <n v="496681"/>
    <n v="1"/>
  </r>
  <r>
    <s v="Startup_3986"/>
    <x v="2"/>
    <n v="12"/>
    <n v="17706398"/>
    <n v="4"/>
    <n v="5"/>
    <n v="173"/>
    <n v="84548947"/>
    <n v="439369"/>
    <s v="Large"/>
    <s v="B2C"/>
    <n v="9"/>
    <n v="4.53"/>
    <n v="795247"/>
    <n v="1"/>
  </r>
  <r>
    <s v="Startup_3987"/>
    <x v="0"/>
    <n v="5"/>
    <n v="43087380"/>
    <n v="4"/>
    <n v="11"/>
    <n v="784"/>
    <n v="47661345"/>
    <n v="618436"/>
    <s v="Medium"/>
    <s v="B2C"/>
    <n v="9"/>
    <n v="71.78"/>
    <n v="933596"/>
    <n v="1"/>
  </r>
  <r>
    <s v="Startup_3988"/>
    <x v="5"/>
    <n v="5"/>
    <n v="7236744"/>
    <n v="4"/>
    <n v="8"/>
    <n v="120"/>
    <n v="93055543"/>
    <n v="560646"/>
    <s v="Small"/>
    <s v="B2C"/>
    <n v="3"/>
    <n v="37.369999999999997"/>
    <n v="84106"/>
    <n v="1"/>
  </r>
  <r>
    <s v="Startup_3989"/>
    <x v="2"/>
    <n v="0"/>
    <n v="15185050"/>
    <n v="1"/>
    <n v="11"/>
    <n v="250"/>
    <n v="61798230"/>
    <n v="265923"/>
    <s v="Medium"/>
    <s v="B2C"/>
    <n v="1"/>
    <n v="27.3"/>
    <n v="454721"/>
    <n v="1"/>
  </r>
  <r>
    <s v="Startup_3990"/>
    <x v="2"/>
    <n v="13"/>
    <n v="19524520"/>
    <n v="3"/>
    <n v="4"/>
    <n v="417"/>
    <n v="65258196"/>
    <n v="580979"/>
    <s v="Large"/>
    <s v="B2B"/>
    <n v="2"/>
    <n v="51.32"/>
    <n v="122601"/>
    <n v="1"/>
  </r>
  <r>
    <s v="Startup_3991"/>
    <x v="2"/>
    <n v="14"/>
    <n v="47425683"/>
    <n v="1"/>
    <n v="2"/>
    <n v="515"/>
    <n v="34195667"/>
    <n v="369067"/>
    <s v="Small"/>
    <s v="B2C"/>
    <n v="4"/>
    <n v="86.74"/>
    <n v="773702"/>
    <n v="1"/>
  </r>
  <r>
    <s v="Startup_3992"/>
    <x v="3"/>
    <n v="2"/>
    <n v="24111306"/>
    <n v="4"/>
    <n v="12"/>
    <n v="137"/>
    <n v="84740801"/>
    <n v="708164"/>
    <s v="Large"/>
    <s v="Hybrid"/>
    <n v="6"/>
    <n v="67.33"/>
    <n v="25661"/>
    <n v="1"/>
  </r>
  <r>
    <s v="Startup_3993"/>
    <x v="0"/>
    <n v="2"/>
    <n v="26426957"/>
    <n v="2"/>
    <n v="9"/>
    <n v="616"/>
    <n v="82246160"/>
    <n v="222816"/>
    <s v="Large"/>
    <s v="B2C"/>
    <n v="8"/>
    <n v="92.32"/>
    <n v="532696"/>
    <n v="1"/>
  </r>
  <r>
    <s v="Startup_3994"/>
    <x v="4"/>
    <n v="2"/>
    <n v="1428070"/>
    <n v="2"/>
    <n v="20"/>
    <n v="234"/>
    <n v="60594625"/>
    <n v="193991"/>
    <s v="Large"/>
    <s v="Hybrid"/>
    <n v="3"/>
    <n v="60.11"/>
    <n v="9168"/>
    <n v="1"/>
  </r>
  <r>
    <s v="Startup_3995"/>
    <x v="3"/>
    <n v="14"/>
    <n v="47210925"/>
    <n v="4"/>
    <n v="27"/>
    <n v="236"/>
    <n v="57601711"/>
    <n v="258743"/>
    <s v="Small"/>
    <s v="Hybrid"/>
    <n v="5"/>
    <n v="5.07"/>
    <n v="850430"/>
    <n v="1"/>
  </r>
  <r>
    <s v="Startup_3996"/>
    <x v="1"/>
    <n v="8"/>
    <n v="46398149"/>
    <n v="2"/>
    <n v="13"/>
    <n v="711"/>
    <n v="3349791"/>
    <n v="600834"/>
    <s v="Large"/>
    <s v="B2C"/>
    <n v="9"/>
    <n v="1.4"/>
    <n v="519426"/>
    <n v="1"/>
  </r>
  <r>
    <s v="Startup_3997"/>
    <x v="1"/>
    <n v="6"/>
    <n v="14701910"/>
    <n v="1"/>
    <n v="14"/>
    <n v="389"/>
    <n v="37149941"/>
    <n v="783707"/>
    <s v="Small"/>
    <s v="B2B"/>
    <n v="2"/>
    <n v="59.89"/>
    <n v="80144"/>
    <n v="1"/>
  </r>
  <r>
    <s v="Startup_3998"/>
    <x v="0"/>
    <n v="2"/>
    <n v="29109328"/>
    <n v="1"/>
    <n v="22"/>
    <n v="673"/>
    <n v="98521361"/>
    <n v="484270"/>
    <s v="Medium"/>
    <s v="Hybrid"/>
    <n v="2"/>
    <n v="88.81"/>
    <n v="318634"/>
    <n v="1"/>
  </r>
  <r>
    <s v="Startup_3999"/>
    <x v="2"/>
    <n v="6"/>
    <n v="19870686"/>
    <n v="3"/>
    <n v="24"/>
    <n v="378"/>
    <n v="14748330"/>
    <n v="774094"/>
    <s v="Large"/>
    <s v="B2C"/>
    <n v="5"/>
    <n v="58.13"/>
    <n v="656612"/>
    <n v="1"/>
  </r>
  <r>
    <s v="Startup_4000"/>
    <x v="5"/>
    <n v="4"/>
    <n v="3193589"/>
    <n v="2"/>
    <n v="12"/>
    <n v="416"/>
    <n v="85519447"/>
    <n v="244871"/>
    <s v="Large"/>
    <s v="Hybrid"/>
    <n v="4"/>
    <n v="29.77"/>
    <n v="314650"/>
    <n v="1"/>
  </r>
  <r>
    <s v="Startup_4001"/>
    <x v="0"/>
    <n v="7"/>
    <n v="32631384"/>
    <n v="3"/>
    <n v="25"/>
    <n v="412"/>
    <n v="73374463"/>
    <n v="324065"/>
    <s v="Small"/>
    <s v="B2B"/>
    <n v="4"/>
    <n v="71.599999999999994"/>
    <n v="714737"/>
    <n v="1"/>
  </r>
  <r>
    <s v="Startup_4002"/>
    <x v="0"/>
    <n v="13"/>
    <n v="43610574"/>
    <n v="3"/>
    <n v="10"/>
    <n v="169"/>
    <n v="47604449"/>
    <n v="296570"/>
    <s v="Small"/>
    <s v="B2B"/>
    <n v="3"/>
    <n v="95.2"/>
    <n v="413079"/>
    <n v="1"/>
  </r>
  <r>
    <s v="Startup_4003"/>
    <x v="1"/>
    <n v="1"/>
    <n v="44511012"/>
    <n v="1"/>
    <n v="3"/>
    <n v="713"/>
    <n v="12141395"/>
    <n v="318251"/>
    <s v="Medium"/>
    <s v="Hybrid"/>
    <n v="8"/>
    <n v="98.34"/>
    <n v="841183"/>
    <n v="1"/>
  </r>
  <r>
    <s v="Startup_4004"/>
    <x v="3"/>
    <n v="0"/>
    <n v="35518880"/>
    <n v="1"/>
    <n v="10"/>
    <n v="665"/>
    <n v="26800692"/>
    <n v="877788"/>
    <s v="Small"/>
    <s v="B2C"/>
    <n v="6"/>
    <n v="8.1999999999999993"/>
    <n v="493247"/>
    <n v="1"/>
  </r>
  <r>
    <s v="Startup_4005"/>
    <x v="4"/>
    <n v="11"/>
    <n v="17654290"/>
    <n v="2"/>
    <n v="29"/>
    <n v="832"/>
    <n v="46368126"/>
    <n v="996533"/>
    <s v="Small"/>
    <s v="Hybrid"/>
    <n v="3"/>
    <n v="41.22"/>
    <n v="331528"/>
    <n v="1"/>
  </r>
  <r>
    <s v="Startup_4006"/>
    <x v="5"/>
    <n v="11"/>
    <n v="31592470"/>
    <n v="1"/>
    <n v="24"/>
    <n v="848"/>
    <n v="44270867"/>
    <n v="796874"/>
    <s v="Large"/>
    <s v="B2B"/>
    <n v="5"/>
    <n v="68.72"/>
    <n v="216270"/>
    <n v="1"/>
  </r>
  <r>
    <s v="Startup_4007"/>
    <x v="3"/>
    <n v="11"/>
    <n v="45714851"/>
    <n v="4"/>
    <n v="12"/>
    <n v="230"/>
    <n v="93375776"/>
    <n v="418563"/>
    <s v="Large"/>
    <s v="B2B"/>
    <n v="9"/>
    <n v="23.88"/>
    <n v="684732"/>
    <n v="1"/>
  </r>
  <r>
    <s v="Startup_4008"/>
    <x v="6"/>
    <n v="9"/>
    <n v="37583323"/>
    <n v="3"/>
    <n v="19"/>
    <n v="609"/>
    <n v="68812165"/>
    <n v="144013"/>
    <s v="Small"/>
    <s v="Hybrid"/>
    <n v="1"/>
    <n v="1.21"/>
    <n v="360380"/>
    <n v="1"/>
  </r>
  <r>
    <s v="Startup_4009"/>
    <x v="6"/>
    <n v="14"/>
    <n v="22440314"/>
    <n v="1"/>
    <n v="13"/>
    <n v="21"/>
    <n v="2183898"/>
    <n v="58447"/>
    <s v="Large"/>
    <s v="Hybrid"/>
    <n v="8"/>
    <n v="6"/>
    <n v="124352"/>
    <n v="1"/>
  </r>
  <r>
    <s v="Startup_4010"/>
    <x v="1"/>
    <n v="14"/>
    <n v="6256199"/>
    <n v="3"/>
    <n v="4"/>
    <n v="100"/>
    <n v="74567191"/>
    <n v="37678"/>
    <s v="Large"/>
    <s v="Hybrid"/>
    <n v="1"/>
    <n v="48.92"/>
    <n v="80443"/>
    <n v="1"/>
  </r>
  <r>
    <s v="Startup_4011"/>
    <x v="3"/>
    <n v="1"/>
    <n v="19513212"/>
    <n v="3"/>
    <n v="26"/>
    <n v="73"/>
    <n v="5793540"/>
    <n v="937629"/>
    <s v="Small"/>
    <s v="B2C"/>
    <n v="7"/>
    <n v="20.21"/>
    <n v="833706"/>
    <n v="1"/>
  </r>
  <r>
    <s v="Startup_4012"/>
    <x v="5"/>
    <n v="3"/>
    <n v="8535862"/>
    <n v="4"/>
    <n v="28"/>
    <n v="402"/>
    <n v="66554663"/>
    <n v="648717"/>
    <s v="Large"/>
    <s v="B2B"/>
    <n v="4"/>
    <n v="1.9"/>
    <n v="551644"/>
    <n v="1"/>
  </r>
  <r>
    <s v="Startup_4013"/>
    <x v="0"/>
    <n v="8"/>
    <n v="39280579"/>
    <n v="1"/>
    <n v="25"/>
    <n v="802"/>
    <n v="44908358"/>
    <n v="417347"/>
    <s v="Medium"/>
    <s v="B2B"/>
    <n v="6"/>
    <n v="86.14"/>
    <n v="717542"/>
    <n v="1"/>
  </r>
  <r>
    <s v="Startup_4014"/>
    <x v="5"/>
    <n v="3"/>
    <n v="25798548"/>
    <n v="1"/>
    <n v="1"/>
    <n v="393"/>
    <n v="16863355"/>
    <n v="976662"/>
    <s v="Small"/>
    <s v="B2C"/>
    <n v="8"/>
    <n v="74.19"/>
    <n v="351137"/>
    <n v="1"/>
  </r>
  <r>
    <s v="Startup_4015"/>
    <x v="3"/>
    <n v="3"/>
    <n v="47279106"/>
    <n v="2"/>
    <n v="13"/>
    <n v="404"/>
    <n v="84558078"/>
    <n v="652519"/>
    <s v="Large"/>
    <s v="Hybrid"/>
    <n v="2"/>
    <n v="86.57"/>
    <n v="795170"/>
    <n v="1"/>
  </r>
  <r>
    <s v="Startup_4016"/>
    <x v="2"/>
    <n v="6"/>
    <n v="41065729"/>
    <n v="2"/>
    <n v="29"/>
    <n v="237"/>
    <n v="80116316"/>
    <n v="404516"/>
    <s v="Small"/>
    <s v="B2B"/>
    <n v="1"/>
    <n v="88.09"/>
    <n v="69683"/>
    <n v="1"/>
  </r>
  <r>
    <s v="Startup_4017"/>
    <x v="5"/>
    <n v="0"/>
    <n v="10425071"/>
    <n v="1"/>
    <n v="29"/>
    <n v="366"/>
    <n v="732092"/>
    <n v="519164"/>
    <s v="Small"/>
    <s v="B2B"/>
    <n v="2"/>
    <n v="90.46"/>
    <n v="344178"/>
    <n v="1"/>
  </r>
  <r>
    <s v="Startup_4018"/>
    <x v="0"/>
    <n v="1"/>
    <n v="7187762"/>
    <n v="1"/>
    <n v="2"/>
    <n v="510"/>
    <n v="88826247"/>
    <n v="803000"/>
    <s v="Small"/>
    <s v="Hybrid"/>
    <n v="5"/>
    <n v="73"/>
    <n v="307271"/>
    <n v="1"/>
  </r>
  <r>
    <s v="Startup_4019"/>
    <x v="6"/>
    <n v="4"/>
    <n v="366232"/>
    <n v="4"/>
    <n v="21"/>
    <n v="197"/>
    <n v="47017105"/>
    <n v="36100"/>
    <s v="Medium"/>
    <s v="Hybrid"/>
    <n v="9"/>
    <n v="65.34"/>
    <n v="448877"/>
    <n v="1"/>
  </r>
  <r>
    <s v="Startup_4020"/>
    <x v="3"/>
    <n v="4"/>
    <n v="26072825"/>
    <n v="4"/>
    <n v="23"/>
    <n v="635"/>
    <n v="85136508"/>
    <n v="810040"/>
    <s v="Large"/>
    <s v="Hybrid"/>
    <n v="2"/>
    <n v="81.73"/>
    <n v="943416"/>
    <n v="1"/>
  </r>
  <r>
    <s v="Startup_4021"/>
    <x v="3"/>
    <n v="8"/>
    <n v="644046"/>
    <n v="1"/>
    <n v="23"/>
    <n v="971"/>
    <n v="19683670"/>
    <n v="490023"/>
    <s v="Medium"/>
    <s v="B2B"/>
    <n v="8"/>
    <n v="7.93"/>
    <n v="767610"/>
    <n v="1"/>
  </r>
  <r>
    <s v="Startup_4022"/>
    <x v="0"/>
    <n v="0"/>
    <n v="10967701"/>
    <n v="2"/>
    <n v="5"/>
    <n v="544"/>
    <n v="13797406"/>
    <n v="25057"/>
    <s v="Small"/>
    <s v="B2C"/>
    <n v="2"/>
    <n v="57.5"/>
    <n v="723205"/>
    <n v="1"/>
  </r>
  <r>
    <s v="Startup_4023"/>
    <x v="1"/>
    <n v="0"/>
    <n v="17226697"/>
    <n v="1"/>
    <n v="15"/>
    <n v="826"/>
    <n v="69301541"/>
    <n v="228056"/>
    <s v="Large"/>
    <s v="B2B"/>
    <n v="9"/>
    <n v="0.1"/>
    <n v="271633"/>
    <n v="1"/>
  </r>
  <r>
    <s v="Startup_4024"/>
    <x v="4"/>
    <n v="13"/>
    <n v="35908555"/>
    <n v="2"/>
    <n v="10"/>
    <n v="438"/>
    <n v="2551897"/>
    <n v="215577"/>
    <s v="Large"/>
    <s v="Hybrid"/>
    <n v="9"/>
    <n v="12.93"/>
    <n v="522280"/>
    <n v="1"/>
  </r>
  <r>
    <s v="Startup_4025"/>
    <x v="4"/>
    <n v="11"/>
    <n v="7140523"/>
    <n v="4"/>
    <n v="24"/>
    <n v="322"/>
    <n v="74549949"/>
    <n v="146010"/>
    <s v="Medium"/>
    <s v="B2C"/>
    <n v="4"/>
    <n v="27.98"/>
    <n v="666807"/>
    <n v="1"/>
  </r>
  <r>
    <s v="Startup_4026"/>
    <x v="3"/>
    <n v="7"/>
    <n v="26094106"/>
    <n v="2"/>
    <n v="0"/>
    <n v="833"/>
    <n v="8722426"/>
    <n v="177269"/>
    <s v="Large"/>
    <s v="Hybrid"/>
    <n v="9"/>
    <n v="31.98"/>
    <n v="322813"/>
    <n v="1"/>
  </r>
  <r>
    <s v="Startup_4027"/>
    <x v="1"/>
    <n v="8"/>
    <n v="26318826"/>
    <n v="4"/>
    <n v="25"/>
    <n v="169"/>
    <n v="53423820"/>
    <n v="596724"/>
    <s v="Small"/>
    <s v="Hybrid"/>
    <n v="1"/>
    <n v="81.95"/>
    <n v="566720"/>
    <n v="1"/>
  </r>
  <r>
    <s v="Startup_4028"/>
    <x v="6"/>
    <n v="10"/>
    <n v="31668451"/>
    <n v="1"/>
    <n v="12"/>
    <n v="958"/>
    <n v="60505795"/>
    <n v="656658"/>
    <s v="Medium"/>
    <s v="Hybrid"/>
    <n v="3"/>
    <n v="52.5"/>
    <n v="194952"/>
    <n v="1"/>
  </r>
  <r>
    <s v="Startup_4029"/>
    <x v="1"/>
    <n v="10"/>
    <n v="20583132"/>
    <n v="3"/>
    <n v="2"/>
    <n v="685"/>
    <n v="3364670"/>
    <n v="462905"/>
    <s v="Medium"/>
    <s v="B2C"/>
    <n v="1"/>
    <n v="9.41"/>
    <n v="660733"/>
    <n v="1"/>
  </r>
  <r>
    <s v="Startup_4030"/>
    <x v="1"/>
    <n v="10"/>
    <n v="15959540"/>
    <n v="2"/>
    <n v="28"/>
    <n v="675"/>
    <n v="49719743"/>
    <n v="251428"/>
    <s v="Medium"/>
    <s v="B2B"/>
    <n v="8"/>
    <n v="13.71"/>
    <n v="335394"/>
    <n v="1"/>
  </r>
  <r>
    <s v="Startup_4031"/>
    <x v="6"/>
    <n v="9"/>
    <n v="23805500"/>
    <n v="3"/>
    <n v="24"/>
    <n v="591"/>
    <n v="79795646"/>
    <n v="741281"/>
    <s v="Medium"/>
    <s v="B2C"/>
    <n v="1"/>
    <n v="67.45"/>
    <n v="654449"/>
    <n v="1"/>
  </r>
  <r>
    <s v="Startup_4032"/>
    <x v="2"/>
    <n v="0"/>
    <n v="24060956"/>
    <n v="1"/>
    <n v="24"/>
    <n v="264"/>
    <n v="1218103"/>
    <n v="25676"/>
    <s v="Large"/>
    <s v="Hybrid"/>
    <n v="6"/>
    <n v="4.68"/>
    <n v="119488"/>
    <n v="1"/>
  </r>
  <r>
    <s v="Startup_4033"/>
    <x v="6"/>
    <n v="10"/>
    <n v="35316756"/>
    <n v="1"/>
    <n v="8"/>
    <n v="279"/>
    <n v="43568840"/>
    <n v="427998"/>
    <s v="Small"/>
    <s v="B2C"/>
    <n v="7"/>
    <n v="47.71"/>
    <n v="580611"/>
    <n v="1"/>
  </r>
  <r>
    <s v="Startup_4034"/>
    <x v="0"/>
    <n v="13"/>
    <n v="23655434"/>
    <n v="4"/>
    <n v="24"/>
    <n v="648"/>
    <n v="95700917"/>
    <n v="888707"/>
    <s v="Large"/>
    <s v="Hybrid"/>
    <n v="9"/>
    <n v="8.8800000000000008"/>
    <n v="532910"/>
    <n v="1"/>
  </r>
  <r>
    <s v="Startup_4035"/>
    <x v="5"/>
    <n v="4"/>
    <n v="38996066"/>
    <n v="2"/>
    <n v="4"/>
    <n v="800"/>
    <n v="80384965"/>
    <n v="484514"/>
    <s v="Large"/>
    <s v="Hybrid"/>
    <n v="9"/>
    <n v="97.69"/>
    <n v="632365"/>
    <n v="1"/>
  </r>
  <r>
    <s v="Startup_4036"/>
    <x v="4"/>
    <n v="10"/>
    <n v="45846589"/>
    <n v="2"/>
    <n v="6"/>
    <n v="162"/>
    <n v="3814536"/>
    <n v="635694"/>
    <s v="Medium"/>
    <s v="Hybrid"/>
    <n v="5"/>
    <n v="42.41"/>
    <n v="630297"/>
    <n v="1"/>
  </r>
  <r>
    <s v="Startup_4037"/>
    <x v="6"/>
    <n v="6"/>
    <n v="29101577"/>
    <n v="3"/>
    <n v="24"/>
    <n v="143"/>
    <n v="41617335"/>
    <n v="335541"/>
    <s v="Medium"/>
    <s v="B2C"/>
    <n v="8"/>
    <n v="51.63"/>
    <n v="731060"/>
    <n v="1"/>
  </r>
  <r>
    <s v="Startup_4038"/>
    <x v="5"/>
    <n v="7"/>
    <n v="24750769"/>
    <n v="2"/>
    <n v="24"/>
    <n v="879"/>
    <n v="41249923"/>
    <n v="684944"/>
    <s v="Medium"/>
    <s v="B2C"/>
    <n v="2"/>
    <n v="99.67"/>
    <n v="899359"/>
    <n v="1"/>
  </r>
  <r>
    <s v="Startup_4039"/>
    <x v="1"/>
    <n v="2"/>
    <n v="6241251"/>
    <n v="4"/>
    <n v="8"/>
    <n v="841"/>
    <n v="62895167"/>
    <n v="550144"/>
    <s v="Medium"/>
    <s v="B2B"/>
    <n v="5"/>
    <n v="80.98"/>
    <n v="347858"/>
    <n v="1"/>
  </r>
  <r>
    <s v="Startup_4040"/>
    <x v="5"/>
    <n v="12"/>
    <n v="13426211"/>
    <n v="3"/>
    <n v="10"/>
    <n v="836"/>
    <n v="37665014"/>
    <n v="719050"/>
    <s v="Medium"/>
    <s v="B2C"/>
    <n v="1"/>
    <n v="9.83"/>
    <n v="417713"/>
    <n v="1"/>
  </r>
  <r>
    <s v="Startup_4041"/>
    <x v="5"/>
    <n v="4"/>
    <n v="29306197"/>
    <n v="2"/>
    <n v="10"/>
    <n v="93"/>
    <n v="2042313"/>
    <n v="35189"/>
    <s v="Large"/>
    <s v="B2C"/>
    <n v="3"/>
    <n v="66.8"/>
    <n v="762702"/>
    <n v="1"/>
  </r>
  <r>
    <s v="Startup_4042"/>
    <x v="0"/>
    <n v="14"/>
    <n v="8208448"/>
    <n v="2"/>
    <n v="22"/>
    <n v="36"/>
    <n v="99960439"/>
    <n v="777471"/>
    <s v="Small"/>
    <s v="Hybrid"/>
    <n v="3"/>
    <n v="87.19"/>
    <n v="651538"/>
    <n v="1"/>
  </r>
  <r>
    <s v="Startup_4043"/>
    <x v="1"/>
    <n v="10"/>
    <n v="27394384"/>
    <n v="2"/>
    <n v="17"/>
    <n v="709"/>
    <n v="77896500"/>
    <n v="419133"/>
    <s v="Small"/>
    <s v="B2B"/>
    <n v="4"/>
    <n v="70.540000000000006"/>
    <n v="371776"/>
    <n v="1"/>
  </r>
  <r>
    <s v="Startup_4044"/>
    <x v="5"/>
    <n v="5"/>
    <n v="47571919"/>
    <n v="3"/>
    <n v="27"/>
    <n v="366"/>
    <n v="75935954"/>
    <n v="95982"/>
    <s v="Small"/>
    <s v="B2B"/>
    <n v="2"/>
    <n v="94.12"/>
    <n v="55700"/>
    <n v="1"/>
  </r>
  <r>
    <s v="Startup_4045"/>
    <x v="5"/>
    <n v="12"/>
    <n v="67554"/>
    <n v="4"/>
    <n v="29"/>
    <n v="367"/>
    <n v="4815535"/>
    <n v="103393"/>
    <s v="Small"/>
    <s v="B2C"/>
    <n v="8"/>
    <n v="57.61"/>
    <n v="222635"/>
    <n v="1"/>
  </r>
  <r>
    <s v="Startup_4046"/>
    <x v="6"/>
    <n v="14"/>
    <n v="11096250"/>
    <n v="4"/>
    <n v="13"/>
    <n v="98"/>
    <n v="51018597"/>
    <n v="823822"/>
    <s v="Medium"/>
    <s v="B2B"/>
    <n v="1"/>
    <n v="83.61"/>
    <n v="654694"/>
    <n v="1"/>
  </r>
  <r>
    <s v="Startup_4047"/>
    <x v="2"/>
    <n v="0"/>
    <n v="26236037"/>
    <n v="3"/>
    <n v="0"/>
    <n v="373"/>
    <n v="66680212"/>
    <n v="601870"/>
    <s v="Small"/>
    <s v="Hybrid"/>
    <n v="5"/>
    <n v="48.06"/>
    <n v="19990"/>
    <n v="1"/>
  </r>
  <r>
    <s v="Startup_4048"/>
    <x v="5"/>
    <n v="14"/>
    <n v="45438403"/>
    <n v="4"/>
    <n v="1"/>
    <n v="613"/>
    <n v="14121604"/>
    <n v="522822"/>
    <s v="Large"/>
    <s v="B2B"/>
    <n v="8"/>
    <n v="37.47"/>
    <n v="399965"/>
    <n v="1"/>
  </r>
  <r>
    <s v="Startup_4049"/>
    <x v="2"/>
    <n v="11"/>
    <n v="33813441"/>
    <n v="2"/>
    <n v="7"/>
    <n v="591"/>
    <n v="85776987"/>
    <n v="541243"/>
    <s v="Small"/>
    <s v="B2C"/>
    <n v="8"/>
    <n v="23"/>
    <n v="247584"/>
    <n v="1"/>
  </r>
  <r>
    <s v="Startup_4050"/>
    <x v="3"/>
    <n v="9"/>
    <n v="43160148"/>
    <n v="1"/>
    <n v="2"/>
    <n v="778"/>
    <n v="9709712"/>
    <n v="832522"/>
    <s v="Small"/>
    <s v="B2C"/>
    <n v="1"/>
    <n v="52.87"/>
    <n v="839793"/>
    <n v="1"/>
  </r>
  <r>
    <s v="Startup_4051"/>
    <x v="4"/>
    <n v="10"/>
    <n v="31588158"/>
    <n v="1"/>
    <n v="27"/>
    <n v="80"/>
    <n v="74967510"/>
    <n v="629142"/>
    <s v="Small"/>
    <s v="B2B"/>
    <n v="9"/>
    <n v="15.08"/>
    <n v="922825"/>
    <n v="1"/>
  </r>
  <r>
    <s v="Startup_4052"/>
    <x v="0"/>
    <n v="14"/>
    <n v="48818978"/>
    <n v="4"/>
    <n v="20"/>
    <n v="714"/>
    <n v="99965878"/>
    <n v="177369"/>
    <s v="Medium"/>
    <s v="B2B"/>
    <n v="7"/>
    <n v="79.5"/>
    <n v="506686"/>
    <n v="1"/>
  </r>
  <r>
    <s v="Startup_4053"/>
    <x v="5"/>
    <n v="13"/>
    <n v="39125534"/>
    <n v="3"/>
    <n v="22"/>
    <n v="149"/>
    <n v="42871421"/>
    <n v="404900"/>
    <s v="Small"/>
    <s v="Hybrid"/>
    <n v="7"/>
    <n v="42.78"/>
    <n v="211709"/>
    <n v="1"/>
  </r>
  <r>
    <s v="Startup_4054"/>
    <x v="3"/>
    <n v="3"/>
    <n v="30264672"/>
    <n v="3"/>
    <n v="18"/>
    <n v="185"/>
    <n v="79531804"/>
    <n v="670374"/>
    <s v="Medium"/>
    <s v="B2C"/>
    <n v="3"/>
    <n v="21.59"/>
    <n v="867192"/>
    <n v="1"/>
  </r>
  <r>
    <s v="Startup_4055"/>
    <x v="0"/>
    <n v="1"/>
    <n v="21969879"/>
    <n v="3"/>
    <n v="18"/>
    <n v="119"/>
    <n v="91481431"/>
    <n v="688827"/>
    <s v="Large"/>
    <s v="B2C"/>
    <n v="6"/>
    <n v="64.319999999999993"/>
    <n v="737933"/>
    <n v="1"/>
  </r>
  <r>
    <s v="Startup_4056"/>
    <x v="3"/>
    <n v="14"/>
    <n v="13800594"/>
    <n v="2"/>
    <n v="10"/>
    <n v="723"/>
    <n v="24135673"/>
    <n v="13655"/>
    <s v="Medium"/>
    <s v="B2B"/>
    <n v="2"/>
    <n v="95.86"/>
    <n v="939208"/>
    <n v="1"/>
  </r>
  <r>
    <s v="Startup_4057"/>
    <x v="1"/>
    <n v="2"/>
    <n v="15772476"/>
    <n v="1"/>
    <n v="17"/>
    <n v="125"/>
    <n v="94840244"/>
    <n v="860262"/>
    <s v="Medium"/>
    <s v="Hybrid"/>
    <n v="9"/>
    <n v="21.72"/>
    <n v="251184"/>
    <n v="1"/>
  </r>
  <r>
    <s v="Startup_4058"/>
    <x v="3"/>
    <n v="5"/>
    <n v="927071"/>
    <n v="4"/>
    <n v="4"/>
    <n v="139"/>
    <n v="31289554"/>
    <n v="58249"/>
    <s v="Medium"/>
    <s v="B2B"/>
    <n v="5"/>
    <n v="39.15"/>
    <n v="791674"/>
    <n v="1"/>
  </r>
  <r>
    <s v="Startup_4059"/>
    <x v="2"/>
    <n v="3"/>
    <n v="26121800"/>
    <n v="2"/>
    <n v="25"/>
    <n v="892"/>
    <n v="80473331"/>
    <n v="675879"/>
    <s v="Medium"/>
    <s v="B2B"/>
    <n v="8"/>
    <n v="69.8"/>
    <n v="308155"/>
    <n v="1"/>
  </r>
  <r>
    <s v="Startup_4060"/>
    <x v="0"/>
    <n v="1"/>
    <n v="2403914"/>
    <n v="3"/>
    <n v="2"/>
    <n v="337"/>
    <n v="96762044"/>
    <n v="513860"/>
    <s v="Small"/>
    <s v="B2B"/>
    <n v="2"/>
    <n v="15.53"/>
    <n v="631056"/>
    <n v="1"/>
  </r>
  <r>
    <s v="Startup_4061"/>
    <x v="4"/>
    <n v="6"/>
    <n v="18292618"/>
    <n v="4"/>
    <n v="28"/>
    <n v="166"/>
    <n v="93139923"/>
    <n v="534519"/>
    <s v="Large"/>
    <s v="B2B"/>
    <n v="6"/>
    <n v="58.66"/>
    <n v="556117"/>
    <n v="1"/>
  </r>
  <r>
    <s v="Startup_4062"/>
    <x v="5"/>
    <n v="2"/>
    <n v="16153379"/>
    <n v="1"/>
    <n v="10"/>
    <n v="499"/>
    <n v="79675421"/>
    <n v="781775"/>
    <s v="Medium"/>
    <s v="B2C"/>
    <n v="5"/>
    <n v="55.73"/>
    <n v="10178"/>
    <n v="1"/>
  </r>
  <r>
    <s v="Startup_4063"/>
    <x v="1"/>
    <n v="3"/>
    <n v="27288096"/>
    <n v="4"/>
    <n v="22"/>
    <n v="81"/>
    <n v="81554767"/>
    <n v="447647"/>
    <s v="Small"/>
    <s v="Hybrid"/>
    <n v="2"/>
    <n v="37.24"/>
    <n v="339728"/>
    <n v="1"/>
  </r>
  <r>
    <s v="Startup_4064"/>
    <x v="5"/>
    <n v="11"/>
    <n v="749305"/>
    <n v="1"/>
    <n v="4"/>
    <n v="157"/>
    <n v="37016573"/>
    <n v="747909"/>
    <s v="Small"/>
    <s v="B2B"/>
    <n v="8"/>
    <n v="43.78"/>
    <n v="304532"/>
    <n v="1"/>
  </r>
  <r>
    <s v="Startup_4065"/>
    <x v="5"/>
    <n v="0"/>
    <n v="18430949"/>
    <n v="1"/>
    <n v="20"/>
    <n v="712"/>
    <n v="46188151"/>
    <n v="211357"/>
    <s v="Large"/>
    <s v="Hybrid"/>
    <n v="6"/>
    <n v="60.49"/>
    <n v="523241"/>
    <n v="1"/>
  </r>
  <r>
    <s v="Startup_4066"/>
    <x v="3"/>
    <n v="14"/>
    <n v="47236466"/>
    <n v="2"/>
    <n v="28"/>
    <n v="352"/>
    <n v="95010499"/>
    <n v="668589"/>
    <s v="Small"/>
    <s v="B2B"/>
    <n v="1"/>
    <n v="3.09"/>
    <n v="755863"/>
    <n v="1"/>
  </r>
  <r>
    <s v="Startup_4067"/>
    <x v="3"/>
    <n v="5"/>
    <n v="34136215"/>
    <n v="1"/>
    <n v="29"/>
    <n v="47"/>
    <n v="27778786"/>
    <n v="384835"/>
    <s v="Large"/>
    <s v="B2B"/>
    <n v="9"/>
    <n v="19.23"/>
    <n v="718079"/>
    <n v="1"/>
  </r>
  <r>
    <s v="Startup_4068"/>
    <x v="4"/>
    <n v="7"/>
    <n v="28709067"/>
    <n v="3"/>
    <n v="19"/>
    <n v="968"/>
    <n v="21826172"/>
    <n v="80142"/>
    <s v="Large"/>
    <s v="B2B"/>
    <n v="8"/>
    <n v="94.25"/>
    <n v="374855"/>
    <n v="1"/>
  </r>
  <r>
    <s v="Startup_4069"/>
    <x v="3"/>
    <n v="12"/>
    <n v="23977486"/>
    <n v="1"/>
    <n v="29"/>
    <n v="374"/>
    <n v="46573166"/>
    <n v="504461"/>
    <s v="Large"/>
    <s v="Hybrid"/>
    <n v="9"/>
    <n v="26.76"/>
    <n v="879330"/>
    <n v="1"/>
  </r>
  <r>
    <s v="Startup_4070"/>
    <x v="0"/>
    <n v="12"/>
    <n v="35564736"/>
    <n v="3"/>
    <n v="24"/>
    <n v="526"/>
    <n v="69497350"/>
    <n v="316048"/>
    <s v="Small"/>
    <s v="B2B"/>
    <n v="3"/>
    <n v="76.290000000000006"/>
    <n v="941633"/>
    <n v="1"/>
  </r>
  <r>
    <s v="Startup_4071"/>
    <x v="4"/>
    <n v="10"/>
    <n v="2316955"/>
    <n v="4"/>
    <n v="7"/>
    <n v="828"/>
    <n v="43711036"/>
    <n v="776907"/>
    <s v="Medium"/>
    <s v="B2C"/>
    <n v="7"/>
    <n v="24.66"/>
    <n v="339277"/>
    <n v="1"/>
  </r>
  <r>
    <s v="Startup_4072"/>
    <x v="6"/>
    <n v="3"/>
    <n v="36394058"/>
    <n v="1"/>
    <n v="14"/>
    <n v="7"/>
    <n v="42569580"/>
    <n v="978323"/>
    <s v="Large"/>
    <s v="B2B"/>
    <n v="3"/>
    <n v="78.92"/>
    <n v="958614"/>
    <n v="1"/>
  </r>
  <r>
    <s v="Startup_4073"/>
    <x v="3"/>
    <n v="11"/>
    <n v="17791970"/>
    <n v="2"/>
    <n v="13"/>
    <n v="296"/>
    <n v="84458124"/>
    <n v="674730"/>
    <s v="Large"/>
    <s v="B2B"/>
    <n v="5"/>
    <n v="6.7"/>
    <n v="375327"/>
    <n v="1"/>
  </r>
  <r>
    <s v="Startup_4074"/>
    <x v="1"/>
    <n v="5"/>
    <n v="11409991"/>
    <n v="1"/>
    <n v="4"/>
    <n v="713"/>
    <n v="39475560"/>
    <n v="318921"/>
    <s v="Medium"/>
    <s v="Hybrid"/>
    <n v="8"/>
    <n v="67.06"/>
    <n v="621177"/>
    <n v="1"/>
  </r>
  <r>
    <s v="Startup_4075"/>
    <x v="1"/>
    <n v="3"/>
    <n v="29572413"/>
    <n v="2"/>
    <n v="5"/>
    <n v="469"/>
    <n v="40158380"/>
    <n v="194334"/>
    <s v="Large"/>
    <s v="B2C"/>
    <n v="7"/>
    <n v="13.6"/>
    <n v="843034"/>
    <n v="1"/>
  </r>
  <r>
    <s v="Startup_4076"/>
    <x v="4"/>
    <n v="0"/>
    <n v="3993620"/>
    <n v="2"/>
    <n v="20"/>
    <n v="14"/>
    <n v="86725902"/>
    <n v="610115"/>
    <s v="Large"/>
    <s v="Hybrid"/>
    <n v="2"/>
    <n v="52.91"/>
    <n v="496763"/>
    <n v="1"/>
  </r>
  <r>
    <s v="Startup_4077"/>
    <x v="1"/>
    <n v="12"/>
    <n v="28242033"/>
    <n v="2"/>
    <n v="22"/>
    <n v="364"/>
    <n v="22416149"/>
    <n v="932640"/>
    <s v="Large"/>
    <s v="B2B"/>
    <n v="7"/>
    <n v="20.66"/>
    <n v="498344"/>
    <n v="1"/>
  </r>
  <r>
    <s v="Startup_4078"/>
    <x v="3"/>
    <n v="14"/>
    <n v="17391511"/>
    <n v="3"/>
    <n v="0"/>
    <n v="17"/>
    <n v="1042496"/>
    <n v="364539"/>
    <s v="Small"/>
    <s v="B2B"/>
    <n v="7"/>
    <n v="13.43"/>
    <n v="569602"/>
    <n v="1"/>
  </r>
  <r>
    <s v="Startup_4079"/>
    <x v="2"/>
    <n v="4"/>
    <n v="8959045"/>
    <n v="1"/>
    <n v="12"/>
    <n v="765"/>
    <n v="49302043"/>
    <n v="402836"/>
    <s v="Large"/>
    <s v="B2B"/>
    <n v="9"/>
    <n v="17.03"/>
    <n v="542896"/>
    <n v="1"/>
  </r>
  <r>
    <s v="Startup_4080"/>
    <x v="0"/>
    <n v="5"/>
    <n v="41863173"/>
    <n v="4"/>
    <n v="26"/>
    <n v="738"/>
    <n v="58829704"/>
    <n v="586645"/>
    <s v="Large"/>
    <s v="B2B"/>
    <n v="9"/>
    <n v="52.15"/>
    <n v="891945"/>
    <n v="1"/>
  </r>
  <r>
    <s v="Startup_4081"/>
    <x v="3"/>
    <n v="9"/>
    <n v="6772644"/>
    <n v="3"/>
    <n v="29"/>
    <n v="802"/>
    <n v="38877063"/>
    <n v="733010"/>
    <s v="Large"/>
    <s v="Hybrid"/>
    <n v="3"/>
    <n v="89.37"/>
    <n v="91557"/>
    <n v="1"/>
  </r>
  <r>
    <s v="Startup_4082"/>
    <x v="4"/>
    <n v="8"/>
    <n v="35825180"/>
    <n v="4"/>
    <n v="20"/>
    <n v="805"/>
    <n v="52783707"/>
    <n v="559678"/>
    <s v="Medium"/>
    <s v="B2C"/>
    <n v="9"/>
    <n v="52.86"/>
    <n v="679528"/>
    <n v="1"/>
  </r>
  <r>
    <s v="Startup_4083"/>
    <x v="0"/>
    <n v="0"/>
    <n v="24317492"/>
    <n v="3"/>
    <n v="18"/>
    <n v="779"/>
    <n v="79206645"/>
    <n v="5846"/>
    <s v="Large"/>
    <s v="B2B"/>
    <n v="6"/>
    <n v="36.33"/>
    <n v="463219"/>
    <n v="1"/>
  </r>
  <r>
    <s v="Startup_4084"/>
    <x v="4"/>
    <n v="11"/>
    <n v="35004710"/>
    <n v="4"/>
    <n v="29"/>
    <n v="831"/>
    <n v="42494407"/>
    <n v="12356"/>
    <s v="Large"/>
    <s v="B2B"/>
    <n v="3"/>
    <n v="46.44"/>
    <n v="517592"/>
    <n v="1"/>
  </r>
  <r>
    <s v="Startup_4085"/>
    <x v="3"/>
    <n v="2"/>
    <n v="42325046"/>
    <n v="1"/>
    <n v="9"/>
    <n v="16"/>
    <n v="34353804"/>
    <n v="538893"/>
    <s v="Large"/>
    <s v="Hybrid"/>
    <n v="3"/>
    <n v="69.03"/>
    <n v="236879"/>
    <n v="1"/>
  </r>
  <r>
    <s v="Startup_4086"/>
    <x v="6"/>
    <n v="0"/>
    <n v="3965052"/>
    <n v="2"/>
    <n v="21"/>
    <n v="561"/>
    <n v="11949082"/>
    <n v="120754"/>
    <s v="Small"/>
    <s v="Hybrid"/>
    <n v="4"/>
    <n v="60.98"/>
    <n v="382221"/>
    <n v="1"/>
  </r>
  <r>
    <s v="Startup_4087"/>
    <x v="4"/>
    <n v="10"/>
    <n v="34452532"/>
    <n v="1"/>
    <n v="22"/>
    <n v="645"/>
    <n v="53346633"/>
    <n v="955998"/>
    <s v="Small"/>
    <s v="B2C"/>
    <n v="4"/>
    <n v="7.54"/>
    <n v="761660"/>
    <n v="1"/>
  </r>
  <r>
    <s v="Startup_4088"/>
    <x v="1"/>
    <n v="12"/>
    <n v="9925175"/>
    <n v="3"/>
    <n v="19"/>
    <n v="668"/>
    <n v="59935868"/>
    <n v="571950"/>
    <s v="Medium"/>
    <s v="B2B"/>
    <n v="9"/>
    <n v="74.97"/>
    <n v="575265"/>
    <n v="1"/>
  </r>
  <r>
    <s v="Startup_4089"/>
    <x v="2"/>
    <n v="12"/>
    <n v="49573798"/>
    <n v="4"/>
    <n v="0"/>
    <n v="295"/>
    <n v="18104817"/>
    <n v="838623"/>
    <s v="Medium"/>
    <s v="B2B"/>
    <n v="2"/>
    <n v="82.4"/>
    <n v="140658"/>
    <n v="1"/>
  </r>
  <r>
    <s v="Startup_4090"/>
    <x v="5"/>
    <n v="3"/>
    <n v="13579659"/>
    <n v="4"/>
    <n v="24"/>
    <n v="142"/>
    <n v="40755971"/>
    <n v="729898"/>
    <s v="Medium"/>
    <s v="B2C"/>
    <n v="5"/>
    <n v="66.849999999999994"/>
    <n v="760429"/>
    <n v="1"/>
  </r>
  <r>
    <s v="Startup_4091"/>
    <x v="3"/>
    <n v="12"/>
    <n v="48381911"/>
    <n v="3"/>
    <n v="7"/>
    <n v="265"/>
    <n v="98955411"/>
    <n v="71422"/>
    <s v="Large"/>
    <s v="B2B"/>
    <n v="6"/>
    <n v="44.22"/>
    <n v="577905"/>
    <n v="1"/>
  </r>
  <r>
    <s v="Startup_4092"/>
    <x v="2"/>
    <n v="3"/>
    <n v="3696800"/>
    <n v="2"/>
    <n v="13"/>
    <n v="219"/>
    <n v="37115212"/>
    <n v="818382"/>
    <s v="Medium"/>
    <s v="B2C"/>
    <n v="4"/>
    <n v="51.33"/>
    <n v="398305"/>
    <n v="1"/>
  </r>
  <r>
    <s v="Startup_4093"/>
    <x v="4"/>
    <n v="14"/>
    <n v="49533771"/>
    <n v="1"/>
    <n v="29"/>
    <n v="836"/>
    <n v="19228357"/>
    <n v="956662"/>
    <s v="Small"/>
    <s v="B2C"/>
    <n v="6"/>
    <n v="22.14"/>
    <n v="129008"/>
    <n v="1"/>
  </r>
  <r>
    <s v="Startup_4094"/>
    <x v="5"/>
    <n v="12"/>
    <n v="42867405"/>
    <n v="2"/>
    <n v="29"/>
    <n v="479"/>
    <n v="72824802"/>
    <n v="84442"/>
    <s v="Small"/>
    <s v="B2B"/>
    <n v="8"/>
    <n v="60.48"/>
    <n v="50365"/>
    <n v="1"/>
  </r>
  <r>
    <s v="Startup_4095"/>
    <x v="5"/>
    <n v="10"/>
    <n v="8421951"/>
    <n v="2"/>
    <n v="26"/>
    <n v="187"/>
    <n v="85009533"/>
    <n v="828533"/>
    <s v="Large"/>
    <s v="B2C"/>
    <n v="4"/>
    <n v="89.38"/>
    <n v="29139"/>
    <n v="1"/>
  </r>
  <r>
    <s v="Startup_4096"/>
    <x v="2"/>
    <n v="11"/>
    <n v="28214456"/>
    <n v="1"/>
    <n v="20"/>
    <n v="494"/>
    <n v="91988562"/>
    <n v="557532"/>
    <s v="Medium"/>
    <s v="B2C"/>
    <n v="4"/>
    <n v="0.3"/>
    <n v="784956"/>
    <n v="1"/>
  </r>
  <r>
    <s v="Startup_4097"/>
    <x v="2"/>
    <n v="4"/>
    <n v="46844060"/>
    <n v="2"/>
    <n v="22"/>
    <n v="800"/>
    <n v="37977634"/>
    <n v="314844"/>
    <s v="Medium"/>
    <s v="B2C"/>
    <n v="6"/>
    <n v="41.43"/>
    <n v="851854"/>
    <n v="1"/>
  </r>
  <r>
    <s v="Startup_4098"/>
    <x v="3"/>
    <n v="14"/>
    <n v="33314743"/>
    <n v="4"/>
    <n v="13"/>
    <n v="902"/>
    <n v="71778717"/>
    <n v="76533"/>
    <s v="Small"/>
    <s v="Hybrid"/>
    <n v="3"/>
    <n v="10.97"/>
    <n v="10766"/>
    <n v="1"/>
  </r>
  <r>
    <s v="Startup_4099"/>
    <x v="2"/>
    <n v="5"/>
    <n v="10338659"/>
    <n v="3"/>
    <n v="15"/>
    <n v="287"/>
    <n v="4215988"/>
    <n v="477975"/>
    <s v="Medium"/>
    <s v="B2C"/>
    <n v="7"/>
    <n v="38.6"/>
    <n v="300676"/>
    <n v="1"/>
  </r>
  <r>
    <s v="Startup_4100"/>
    <x v="3"/>
    <n v="2"/>
    <n v="34591353"/>
    <n v="2"/>
    <n v="9"/>
    <n v="248"/>
    <n v="3635039"/>
    <n v="251144"/>
    <s v="Small"/>
    <s v="B2B"/>
    <n v="1"/>
    <n v="10.92"/>
    <n v="651676"/>
    <n v="1"/>
  </r>
  <r>
    <s v="Startup_4101"/>
    <x v="2"/>
    <n v="2"/>
    <n v="15647155"/>
    <n v="4"/>
    <n v="28"/>
    <n v="196"/>
    <n v="32231700"/>
    <n v="878449"/>
    <s v="Large"/>
    <s v="B2B"/>
    <n v="7"/>
    <n v="14.84"/>
    <n v="309558"/>
    <n v="1"/>
  </r>
  <r>
    <s v="Startup_4102"/>
    <x v="1"/>
    <n v="5"/>
    <n v="37831416"/>
    <n v="3"/>
    <n v="9"/>
    <n v="384"/>
    <n v="29398376"/>
    <n v="208908"/>
    <s v="Small"/>
    <s v="B2B"/>
    <n v="3"/>
    <n v="81.650000000000006"/>
    <n v="459636"/>
    <n v="1"/>
  </r>
  <r>
    <s v="Startup_4103"/>
    <x v="1"/>
    <n v="11"/>
    <n v="36168805"/>
    <n v="4"/>
    <n v="14"/>
    <n v="878"/>
    <n v="83636646"/>
    <n v="706717"/>
    <s v="Large"/>
    <s v="B2C"/>
    <n v="5"/>
    <n v="61.61"/>
    <n v="466225"/>
    <n v="1"/>
  </r>
  <r>
    <s v="Startup_4104"/>
    <x v="6"/>
    <n v="14"/>
    <n v="31267736"/>
    <n v="4"/>
    <n v="3"/>
    <n v="208"/>
    <n v="72224900"/>
    <n v="492451"/>
    <s v="Large"/>
    <s v="Hybrid"/>
    <n v="2"/>
    <n v="95.61"/>
    <n v="608671"/>
    <n v="1"/>
  </r>
  <r>
    <s v="Startup_4105"/>
    <x v="2"/>
    <n v="7"/>
    <n v="47880548"/>
    <n v="2"/>
    <n v="6"/>
    <n v="36"/>
    <n v="13039211"/>
    <n v="303769"/>
    <s v="Small"/>
    <s v="Hybrid"/>
    <n v="5"/>
    <n v="33.14"/>
    <n v="962019"/>
    <n v="1"/>
  </r>
  <r>
    <s v="Startup_4106"/>
    <x v="0"/>
    <n v="11"/>
    <n v="1260260"/>
    <n v="1"/>
    <n v="26"/>
    <n v="163"/>
    <n v="81737237"/>
    <n v="391347"/>
    <s v="Large"/>
    <s v="Hybrid"/>
    <n v="9"/>
    <n v="67.12"/>
    <n v="471356"/>
    <n v="1"/>
  </r>
  <r>
    <s v="Startup_4107"/>
    <x v="4"/>
    <n v="5"/>
    <n v="36053453"/>
    <n v="2"/>
    <n v="0"/>
    <n v="776"/>
    <n v="73904895"/>
    <n v="840216"/>
    <s v="Small"/>
    <s v="B2C"/>
    <n v="8"/>
    <n v="64.58"/>
    <n v="429548"/>
    <n v="1"/>
  </r>
  <r>
    <s v="Startup_4108"/>
    <x v="1"/>
    <n v="11"/>
    <n v="14903830"/>
    <n v="3"/>
    <n v="2"/>
    <n v="7"/>
    <n v="15990427"/>
    <n v="870027"/>
    <s v="Medium"/>
    <s v="Hybrid"/>
    <n v="7"/>
    <n v="35.79"/>
    <n v="467399"/>
    <n v="1"/>
  </r>
  <r>
    <s v="Startup_4109"/>
    <x v="0"/>
    <n v="1"/>
    <n v="22992587"/>
    <n v="3"/>
    <n v="1"/>
    <n v="278"/>
    <n v="73049480"/>
    <n v="641989"/>
    <s v="Large"/>
    <s v="B2B"/>
    <n v="8"/>
    <n v="65.849999999999994"/>
    <n v="639524"/>
    <n v="1"/>
  </r>
  <r>
    <s v="Startup_4110"/>
    <x v="6"/>
    <n v="5"/>
    <n v="31834458"/>
    <n v="3"/>
    <n v="9"/>
    <n v="973"/>
    <n v="27654343"/>
    <n v="200416"/>
    <s v="Medium"/>
    <s v="Hybrid"/>
    <n v="6"/>
    <n v="49.59"/>
    <n v="516697"/>
    <n v="1"/>
  </r>
  <r>
    <s v="Startup_4111"/>
    <x v="6"/>
    <n v="12"/>
    <n v="38583613"/>
    <n v="3"/>
    <n v="25"/>
    <n v="789"/>
    <n v="77369089"/>
    <n v="437231"/>
    <s v="Small"/>
    <s v="B2B"/>
    <n v="7"/>
    <n v="85.75"/>
    <n v="441478"/>
    <n v="1"/>
  </r>
  <r>
    <s v="Startup_4112"/>
    <x v="5"/>
    <n v="5"/>
    <n v="13111980"/>
    <n v="4"/>
    <n v="25"/>
    <n v="921"/>
    <n v="66329692"/>
    <n v="87535"/>
    <s v="Large"/>
    <s v="B2C"/>
    <n v="5"/>
    <n v="62.5"/>
    <n v="256065"/>
    <n v="1"/>
  </r>
  <r>
    <s v="Startup_4113"/>
    <x v="1"/>
    <n v="0"/>
    <n v="21468566"/>
    <n v="3"/>
    <n v="6"/>
    <n v="648"/>
    <n v="14208530"/>
    <n v="51134"/>
    <s v="Small"/>
    <s v="Hybrid"/>
    <n v="2"/>
    <n v="55.14"/>
    <n v="342608"/>
    <n v="1"/>
  </r>
  <r>
    <s v="Startup_4114"/>
    <x v="3"/>
    <n v="7"/>
    <n v="17890857"/>
    <n v="3"/>
    <n v="6"/>
    <n v="161"/>
    <n v="96405992"/>
    <n v="166319"/>
    <s v="Medium"/>
    <s v="Hybrid"/>
    <n v="6"/>
    <n v="72.59"/>
    <n v="424348"/>
    <n v="1"/>
  </r>
  <r>
    <s v="Startup_4115"/>
    <x v="3"/>
    <n v="8"/>
    <n v="12995204"/>
    <n v="1"/>
    <n v="22"/>
    <n v="756"/>
    <n v="96407867"/>
    <n v="217474"/>
    <s v="Large"/>
    <s v="Hybrid"/>
    <n v="9"/>
    <n v="8.33"/>
    <n v="962882"/>
    <n v="1"/>
  </r>
  <r>
    <s v="Startup_4116"/>
    <x v="0"/>
    <n v="7"/>
    <n v="2426662"/>
    <n v="2"/>
    <n v="3"/>
    <n v="837"/>
    <n v="55745860"/>
    <n v="549973"/>
    <s v="Medium"/>
    <s v="B2B"/>
    <n v="5"/>
    <n v="62.64"/>
    <n v="201024"/>
    <n v="1"/>
  </r>
  <r>
    <s v="Startup_4117"/>
    <x v="6"/>
    <n v="1"/>
    <n v="30792231"/>
    <n v="2"/>
    <n v="8"/>
    <n v="65"/>
    <n v="85871910"/>
    <n v="832117"/>
    <s v="Large"/>
    <s v="B2B"/>
    <n v="9"/>
    <n v="12.18"/>
    <n v="195748"/>
    <n v="1"/>
  </r>
  <r>
    <s v="Startup_4118"/>
    <x v="2"/>
    <n v="5"/>
    <n v="38102928"/>
    <n v="2"/>
    <n v="22"/>
    <n v="573"/>
    <n v="92818733"/>
    <n v="379687"/>
    <s v="Small"/>
    <s v="Hybrid"/>
    <n v="8"/>
    <n v="25.62"/>
    <n v="349165"/>
    <n v="1"/>
  </r>
  <r>
    <s v="Startup_4119"/>
    <x v="4"/>
    <n v="14"/>
    <n v="7055989"/>
    <n v="4"/>
    <n v="3"/>
    <n v="93"/>
    <n v="20141829"/>
    <n v="159246"/>
    <s v="Small"/>
    <s v="Hybrid"/>
    <n v="5"/>
    <n v="60.51"/>
    <n v="830649"/>
    <n v="1"/>
  </r>
  <r>
    <s v="Startup_4120"/>
    <x v="2"/>
    <n v="13"/>
    <n v="11909934"/>
    <n v="4"/>
    <n v="24"/>
    <n v="545"/>
    <n v="66874954"/>
    <n v="400428"/>
    <s v="Large"/>
    <s v="Hybrid"/>
    <n v="7"/>
    <n v="52.54"/>
    <n v="856151"/>
    <n v="1"/>
  </r>
  <r>
    <s v="Startup_4121"/>
    <x v="5"/>
    <n v="7"/>
    <n v="45203493"/>
    <n v="1"/>
    <n v="23"/>
    <n v="926"/>
    <n v="85703267"/>
    <n v="678831"/>
    <s v="Small"/>
    <s v="B2B"/>
    <n v="4"/>
    <n v="9.73"/>
    <n v="504417"/>
    <n v="1"/>
  </r>
  <r>
    <s v="Startup_4122"/>
    <x v="2"/>
    <n v="14"/>
    <n v="7350070"/>
    <n v="2"/>
    <n v="28"/>
    <n v="473"/>
    <n v="79009922"/>
    <n v="506288"/>
    <s v="Small"/>
    <s v="B2C"/>
    <n v="5"/>
    <n v="84.52"/>
    <n v="357411"/>
    <n v="1"/>
  </r>
  <r>
    <s v="Startup_4123"/>
    <x v="4"/>
    <n v="11"/>
    <n v="42753675"/>
    <n v="1"/>
    <n v="24"/>
    <n v="659"/>
    <n v="14679148"/>
    <n v="626603"/>
    <s v="Medium"/>
    <s v="B2B"/>
    <n v="8"/>
    <n v="6.79"/>
    <n v="42124"/>
    <n v="1"/>
  </r>
  <r>
    <s v="Startup_4124"/>
    <x v="4"/>
    <n v="5"/>
    <n v="31177146"/>
    <n v="3"/>
    <n v="9"/>
    <n v="856"/>
    <n v="8851458"/>
    <n v="941016"/>
    <s v="Large"/>
    <s v="B2B"/>
    <n v="1"/>
    <n v="21.25"/>
    <n v="605075"/>
    <n v="1"/>
  </r>
  <r>
    <s v="Startup_4125"/>
    <x v="3"/>
    <n v="7"/>
    <n v="42656985"/>
    <n v="3"/>
    <n v="23"/>
    <n v="428"/>
    <n v="70152424"/>
    <n v="461747"/>
    <s v="Medium"/>
    <s v="B2B"/>
    <n v="4"/>
    <n v="54"/>
    <n v="391354"/>
    <n v="1"/>
  </r>
  <r>
    <s v="Startup_4126"/>
    <x v="5"/>
    <n v="5"/>
    <n v="29381735"/>
    <n v="4"/>
    <n v="22"/>
    <n v="525"/>
    <n v="48295583"/>
    <n v="263247"/>
    <s v="Small"/>
    <s v="B2B"/>
    <n v="7"/>
    <n v="94.52"/>
    <n v="535563"/>
    <n v="1"/>
  </r>
  <r>
    <s v="Startup_4127"/>
    <x v="1"/>
    <n v="6"/>
    <n v="40104810"/>
    <n v="1"/>
    <n v="12"/>
    <n v="999"/>
    <n v="61019055"/>
    <n v="50985"/>
    <s v="Large"/>
    <s v="Hybrid"/>
    <n v="9"/>
    <n v="55.97"/>
    <n v="93990"/>
    <n v="1"/>
  </r>
  <r>
    <s v="Startup_4128"/>
    <x v="6"/>
    <n v="7"/>
    <n v="45261758"/>
    <n v="1"/>
    <n v="12"/>
    <n v="4"/>
    <n v="3152513"/>
    <n v="352266"/>
    <s v="Large"/>
    <s v="B2C"/>
    <n v="1"/>
    <n v="95.88"/>
    <n v="356837"/>
    <n v="1"/>
  </r>
  <r>
    <s v="Startup_4129"/>
    <x v="1"/>
    <n v="9"/>
    <n v="19069095"/>
    <n v="1"/>
    <n v="21"/>
    <n v="256"/>
    <n v="189699"/>
    <n v="713590"/>
    <s v="Medium"/>
    <s v="Hybrid"/>
    <n v="6"/>
    <n v="20.63"/>
    <n v="126417"/>
    <n v="1"/>
  </r>
  <r>
    <s v="Startup_4130"/>
    <x v="6"/>
    <n v="11"/>
    <n v="15954159"/>
    <n v="2"/>
    <n v="6"/>
    <n v="274"/>
    <n v="30512946"/>
    <n v="609750"/>
    <s v="Medium"/>
    <s v="B2C"/>
    <n v="6"/>
    <n v="46.88"/>
    <n v="495948"/>
    <n v="1"/>
  </r>
  <r>
    <s v="Startup_4131"/>
    <x v="1"/>
    <n v="13"/>
    <n v="47100009"/>
    <n v="1"/>
    <n v="28"/>
    <n v="113"/>
    <n v="64542430"/>
    <n v="64214"/>
    <s v="Large"/>
    <s v="B2C"/>
    <n v="7"/>
    <n v="98.85"/>
    <n v="495967"/>
    <n v="1"/>
  </r>
  <r>
    <s v="Startup_4132"/>
    <x v="6"/>
    <n v="0"/>
    <n v="25879294"/>
    <n v="4"/>
    <n v="16"/>
    <n v="618"/>
    <n v="67944404"/>
    <n v="670098"/>
    <s v="Small"/>
    <s v="B2C"/>
    <n v="1"/>
    <n v="90.56"/>
    <n v="909758"/>
    <n v="1"/>
  </r>
  <r>
    <s v="Startup_4133"/>
    <x v="2"/>
    <n v="1"/>
    <n v="5342309"/>
    <n v="4"/>
    <n v="19"/>
    <n v="774"/>
    <n v="39302440"/>
    <n v="229889"/>
    <s v="Small"/>
    <s v="Hybrid"/>
    <n v="2"/>
    <n v="94.4"/>
    <n v="33459"/>
    <n v="1"/>
  </r>
  <r>
    <s v="Startup_4134"/>
    <x v="4"/>
    <n v="10"/>
    <n v="7322760"/>
    <n v="2"/>
    <n v="4"/>
    <n v="860"/>
    <n v="14158607"/>
    <n v="557420"/>
    <s v="Large"/>
    <s v="Hybrid"/>
    <n v="8"/>
    <n v="90.05"/>
    <n v="611209"/>
    <n v="1"/>
  </r>
  <r>
    <s v="Startup_4135"/>
    <x v="6"/>
    <n v="14"/>
    <n v="36216427"/>
    <n v="1"/>
    <n v="10"/>
    <n v="164"/>
    <n v="11282078"/>
    <n v="213687"/>
    <s v="Large"/>
    <s v="B2B"/>
    <n v="2"/>
    <n v="30.5"/>
    <n v="619982"/>
    <n v="1"/>
  </r>
  <r>
    <s v="Startup_4136"/>
    <x v="6"/>
    <n v="13"/>
    <n v="47476708"/>
    <n v="4"/>
    <n v="20"/>
    <n v="50"/>
    <n v="60981292"/>
    <n v="395853"/>
    <s v="Large"/>
    <s v="B2B"/>
    <n v="9"/>
    <n v="59.73"/>
    <n v="867901"/>
    <n v="1"/>
  </r>
  <r>
    <s v="Startup_4137"/>
    <x v="4"/>
    <n v="1"/>
    <n v="44101052"/>
    <n v="2"/>
    <n v="24"/>
    <n v="358"/>
    <n v="78453339"/>
    <n v="72798"/>
    <s v="Small"/>
    <s v="Hybrid"/>
    <n v="8"/>
    <n v="72.36"/>
    <n v="459488"/>
    <n v="1"/>
  </r>
  <r>
    <s v="Startup_4138"/>
    <x v="2"/>
    <n v="9"/>
    <n v="44793663"/>
    <n v="3"/>
    <n v="28"/>
    <n v="171"/>
    <n v="2605423"/>
    <n v="472991"/>
    <s v="Medium"/>
    <s v="B2C"/>
    <n v="5"/>
    <n v="52.79"/>
    <n v="142100"/>
    <n v="1"/>
  </r>
  <r>
    <s v="Startup_4139"/>
    <x v="0"/>
    <n v="13"/>
    <n v="16530472"/>
    <n v="2"/>
    <n v="1"/>
    <n v="435"/>
    <n v="64934260"/>
    <n v="903036"/>
    <s v="Medium"/>
    <s v="B2C"/>
    <n v="1"/>
    <n v="1.25"/>
    <n v="521723"/>
    <n v="1"/>
  </r>
  <r>
    <s v="Startup_4140"/>
    <x v="1"/>
    <n v="3"/>
    <n v="8290955"/>
    <n v="3"/>
    <n v="1"/>
    <n v="981"/>
    <n v="49071771"/>
    <n v="44385"/>
    <s v="Medium"/>
    <s v="Hybrid"/>
    <n v="7"/>
    <n v="61.49"/>
    <n v="292314"/>
    <n v="1"/>
  </r>
  <r>
    <s v="Startup_4141"/>
    <x v="0"/>
    <n v="7"/>
    <n v="46442739"/>
    <n v="4"/>
    <n v="19"/>
    <n v="78"/>
    <n v="50483288"/>
    <n v="146411"/>
    <s v="Medium"/>
    <s v="Hybrid"/>
    <n v="4"/>
    <n v="36.58"/>
    <n v="714021"/>
    <n v="1"/>
  </r>
  <r>
    <s v="Startup_4142"/>
    <x v="5"/>
    <n v="12"/>
    <n v="26977166"/>
    <n v="2"/>
    <n v="12"/>
    <n v="742"/>
    <n v="23208957"/>
    <n v="733487"/>
    <s v="Large"/>
    <s v="B2B"/>
    <n v="5"/>
    <n v="3.97"/>
    <n v="765006"/>
    <n v="1"/>
  </r>
  <r>
    <s v="Startup_4143"/>
    <x v="6"/>
    <n v="10"/>
    <n v="37179671"/>
    <n v="2"/>
    <n v="25"/>
    <n v="799"/>
    <n v="21096524"/>
    <n v="283208"/>
    <s v="Large"/>
    <s v="B2C"/>
    <n v="5"/>
    <n v="95.04"/>
    <n v="845305"/>
    <n v="1"/>
  </r>
  <r>
    <s v="Startup_4144"/>
    <x v="2"/>
    <n v="4"/>
    <n v="14639327"/>
    <n v="3"/>
    <n v="20"/>
    <n v="767"/>
    <n v="26943209"/>
    <n v="378854"/>
    <s v="Medium"/>
    <s v="Hybrid"/>
    <n v="9"/>
    <n v="22.67"/>
    <n v="550860"/>
    <n v="1"/>
  </r>
  <r>
    <s v="Startup_4145"/>
    <x v="5"/>
    <n v="3"/>
    <n v="27294453"/>
    <n v="1"/>
    <n v="23"/>
    <n v="871"/>
    <n v="25876731"/>
    <n v="391744"/>
    <s v="Medium"/>
    <s v="B2C"/>
    <n v="6"/>
    <n v="13.07"/>
    <n v="546295"/>
    <n v="1"/>
  </r>
  <r>
    <s v="Startup_4146"/>
    <x v="6"/>
    <n v="6"/>
    <n v="3662686"/>
    <n v="4"/>
    <n v="23"/>
    <n v="175"/>
    <n v="33516609"/>
    <n v="784291"/>
    <s v="Small"/>
    <s v="B2C"/>
    <n v="1"/>
    <n v="85.84"/>
    <n v="316393"/>
    <n v="1"/>
  </r>
  <r>
    <s v="Startup_4147"/>
    <x v="3"/>
    <n v="13"/>
    <n v="17648740"/>
    <n v="4"/>
    <n v="6"/>
    <n v="205"/>
    <n v="48465030"/>
    <n v="208692"/>
    <s v="Large"/>
    <s v="B2C"/>
    <n v="5"/>
    <n v="5.64"/>
    <n v="585891"/>
    <n v="1"/>
  </r>
  <r>
    <s v="Startup_4148"/>
    <x v="2"/>
    <n v="3"/>
    <n v="33704485"/>
    <n v="1"/>
    <n v="13"/>
    <n v="755"/>
    <n v="69945764"/>
    <n v="527396"/>
    <s v="Large"/>
    <s v="B2C"/>
    <n v="2"/>
    <n v="32.97"/>
    <n v="679646"/>
    <n v="1"/>
  </r>
  <r>
    <s v="Startup_4149"/>
    <x v="3"/>
    <n v="7"/>
    <n v="15412615"/>
    <n v="4"/>
    <n v="25"/>
    <n v="473"/>
    <n v="66920988"/>
    <n v="550337"/>
    <s v="Small"/>
    <s v="B2C"/>
    <n v="8"/>
    <n v="71.55"/>
    <n v="761099"/>
    <n v="1"/>
  </r>
  <r>
    <s v="Startup_4150"/>
    <x v="4"/>
    <n v="11"/>
    <n v="26873317"/>
    <n v="3"/>
    <n v="15"/>
    <n v="840"/>
    <n v="60991933"/>
    <n v="468454"/>
    <s v="Medium"/>
    <s v="B2B"/>
    <n v="7"/>
    <n v="32.299999999999997"/>
    <n v="343891"/>
    <n v="1"/>
  </r>
  <r>
    <s v="Startup_4151"/>
    <x v="1"/>
    <n v="14"/>
    <n v="30027059"/>
    <n v="1"/>
    <n v="10"/>
    <n v="55"/>
    <n v="38977924"/>
    <n v="762401"/>
    <s v="Small"/>
    <s v="Hybrid"/>
    <n v="7"/>
    <n v="45.12"/>
    <n v="446573"/>
    <n v="1"/>
  </r>
  <r>
    <s v="Startup_4152"/>
    <x v="0"/>
    <n v="7"/>
    <n v="44062323"/>
    <n v="4"/>
    <n v="20"/>
    <n v="512"/>
    <n v="76052823"/>
    <n v="486043"/>
    <s v="Large"/>
    <s v="B2C"/>
    <n v="5"/>
    <n v="7.68"/>
    <n v="276437"/>
    <n v="1"/>
  </r>
  <r>
    <s v="Startup_4153"/>
    <x v="5"/>
    <n v="2"/>
    <n v="33849350"/>
    <n v="2"/>
    <n v="21"/>
    <n v="76"/>
    <n v="70485976"/>
    <n v="244789"/>
    <s v="Large"/>
    <s v="B2B"/>
    <n v="4"/>
    <n v="87.51"/>
    <n v="927863"/>
    <n v="1"/>
  </r>
  <r>
    <s v="Startup_4154"/>
    <x v="2"/>
    <n v="1"/>
    <n v="11997422"/>
    <n v="4"/>
    <n v="7"/>
    <n v="545"/>
    <n v="78899617"/>
    <n v="839787"/>
    <s v="Medium"/>
    <s v="B2C"/>
    <n v="8"/>
    <n v="0.24"/>
    <n v="243181"/>
    <n v="1"/>
  </r>
  <r>
    <s v="Startup_4155"/>
    <x v="2"/>
    <n v="14"/>
    <n v="30700256"/>
    <n v="2"/>
    <n v="13"/>
    <n v="274"/>
    <n v="54062480"/>
    <n v="810959"/>
    <s v="Large"/>
    <s v="B2B"/>
    <n v="4"/>
    <n v="62.78"/>
    <n v="274570"/>
    <n v="1"/>
  </r>
  <r>
    <s v="Startup_4156"/>
    <x v="2"/>
    <n v="12"/>
    <n v="7202467"/>
    <n v="3"/>
    <n v="2"/>
    <n v="169"/>
    <n v="97471510"/>
    <n v="962436"/>
    <s v="Large"/>
    <s v="B2B"/>
    <n v="9"/>
    <n v="34.49"/>
    <n v="602201"/>
    <n v="1"/>
  </r>
  <r>
    <s v="Startup_4157"/>
    <x v="6"/>
    <n v="0"/>
    <n v="34019146"/>
    <n v="4"/>
    <n v="23"/>
    <n v="255"/>
    <n v="32716538"/>
    <n v="211719"/>
    <s v="Large"/>
    <s v="B2B"/>
    <n v="7"/>
    <n v="5.81"/>
    <n v="617561"/>
    <n v="1"/>
  </r>
  <r>
    <s v="Startup_4158"/>
    <x v="3"/>
    <n v="10"/>
    <n v="15135857"/>
    <n v="4"/>
    <n v="11"/>
    <n v="720"/>
    <n v="86831273"/>
    <n v="518120"/>
    <s v="Large"/>
    <s v="Hybrid"/>
    <n v="5"/>
    <n v="67.11"/>
    <n v="30225"/>
    <n v="1"/>
  </r>
  <r>
    <s v="Startup_4159"/>
    <x v="6"/>
    <n v="1"/>
    <n v="20837947"/>
    <n v="4"/>
    <n v="18"/>
    <n v="83"/>
    <n v="98611660"/>
    <n v="583241"/>
    <s v="Medium"/>
    <s v="B2B"/>
    <n v="2"/>
    <n v="51.38"/>
    <n v="101952"/>
    <n v="1"/>
  </r>
  <r>
    <s v="Startup_4160"/>
    <x v="6"/>
    <n v="13"/>
    <n v="45791956"/>
    <n v="3"/>
    <n v="15"/>
    <n v="769"/>
    <n v="94779183"/>
    <n v="911996"/>
    <s v="Large"/>
    <s v="B2B"/>
    <n v="1"/>
    <n v="92.29"/>
    <n v="392343"/>
    <n v="1"/>
  </r>
  <r>
    <s v="Startup_4161"/>
    <x v="0"/>
    <n v="4"/>
    <n v="42459210"/>
    <n v="4"/>
    <n v="15"/>
    <n v="768"/>
    <n v="76478065"/>
    <n v="148315"/>
    <s v="Medium"/>
    <s v="B2C"/>
    <n v="6"/>
    <n v="30.11"/>
    <n v="35376"/>
    <n v="1"/>
  </r>
  <r>
    <s v="Startup_4162"/>
    <x v="3"/>
    <n v="3"/>
    <n v="8921895"/>
    <n v="1"/>
    <n v="8"/>
    <n v="270"/>
    <n v="76459588"/>
    <n v="415494"/>
    <s v="Large"/>
    <s v="B2B"/>
    <n v="7"/>
    <n v="77.23"/>
    <n v="623219"/>
    <n v="1"/>
  </r>
  <r>
    <s v="Startup_4163"/>
    <x v="1"/>
    <n v="6"/>
    <n v="20364901"/>
    <n v="2"/>
    <n v="2"/>
    <n v="694"/>
    <n v="33618074"/>
    <n v="44096"/>
    <s v="Medium"/>
    <s v="B2B"/>
    <n v="3"/>
    <n v="1.44"/>
    <n v="303341"/>
    <n v="1"/>
  </r>
  <r>
    <s v="Startup_4164"/>
    <x v="0"/>
    <n v="5"/>
    <n v="20099991"/>
    <n v="4"/>
    <n v="27"/>
    <n v="937"/>
    <n v="59694725"/>
    <n v="814027"/>
    <s v="Large"/>
    <s v="B2B"/>
    <n v="4"/>
    <n v="76.03"/>
    <n v="305655"/>
    <n v="1"/>
  </r>
  <r>
    <s v="Startup_4165"/>
    <x v="4"/>
    <n v="4"/>
    <n v="19253893"/>
    <n v="3"/>
    <n v="3"/>
    <n v="92"/>
    <n v="54514563"/>
    <n v="869908"/>
    <s v="Small"/>
    <s v="B2C"/>
    <n v="4"/>
    <n v="29.6"/>
    <n v="874301"/>
    <n v="1"/>
  </r>
  <r>
    <s v="Startup_4166"/>
    <x v="6"/>
    <n v="14"/>
    <n v="12415503"/>
    <n v="1"/>
    <n v="9"/>
    <n v="254"/>
    <n v="41895983"/>
    <n v="343884"/>
    <s v="Small"/>
    <s v="B2C"/>
    <n v="3"/>
    <n v="65.03"/>
    <n v="97231"/>
    <n v="1"/>
  </r>
  <r>
    <s v="Startup_4167"/>
    <x v="2"/>
    <n v="10"/>
    <n v="14594563"/>
    <n v="4"/>
    <n v="16"/>
    <n v="55"/>
    <n v="54620965"/>
    <n v="386627"/>
    <s v="Small"/>
    <s v="B2C"/>
    <n v="2"/>
    <n v="45.12"/>
    <n v="927878"/>
    <n v="1"/>
  </r>
  <r>
    <s v="Startup_4168"/>
    <x v="1"/>
    <n v="7"/>
    <n v="17244608"/>
    <n v="3"/>
    <n v="22"/>
    <n v="897"/>
    <n v="61631203"/>
    <n v="312670"/>
    <s v="Large"/>
    <s v="Hybrid"/>
    <n v="4"/>
    <n v="43.71"/>
    <n v="974074"/>
    <n v="1"/>
  </r>
  <r>
    <s v="Startup_4169"/>
    <x v="3"/>
    <n v="9"/>
    <n v="14444873"/>
    <n v="3"/>
    <n v="17"/>
    <n v="394"/>
    <n v="94311939"/>
    <n v="711389"/>
    <s v="Large"/>
    <s v="B2C"/>
    <n v="9"/>
    <n v="83.84"/>
    <n v="756304"/>
    <n v="1"/>
  </r>
  <r>
    <s v="Startup_4170"/>
    <x v="6"/>
    <n v="8"/>
    <n v="49537383"/>
    <n v="1"/>
    <n v="11"/>
    <n v="198"/>
    <n v="80669025"/>
    <n v="657481"/>
    <s v="Large"/>
    <s v="B2C"/>
    <n v="1"/>
    <n v="13.32"/>
    <n v="103811"/>
    <n v="1"/>
  </r>
  <r>
    <s v="Startup_4171"/>
    <x v="0"/>
    <n v="4"/>
    <n v="45314136"/>
    <n v="3"/>
    <n v="5"/>
    <n v="863"/>
    <n v="72581760"/>
    <n v="150053"/>
    <s v="Small"/>
    <s v="Hybrid"/>
    <n v="9"/>
    <n v="69.319999999999993"/>
    <n v="196971"/>
    <n v="1"/>
  </r>
  <r>
    <s v="Startup_4172"/>
    <x v="6"/>
    <n v="5"/>
    <n v="4927091"/>
    <n v="1"/>
    <n v="25"/>
    <n v="224"/>
    <n v="3182556"/>
    <n v="886723"/>
    <s v="Medium"/>
    <s v="Hybrid"/>
    <n v="6"/>
    <n v="24.11"/>
    <n v="137988"/>
    <n v="1"/>
  </r>
  <r>
    <s v="Startup_4173"/>
    <x v="6"/>
    <n v="7"/>
    <n v="39131607"/>
    <n v="1"/>
    <n v="28"/>
    <n v="657"/>
    <n v="50388771"/>
    <n v="452824"/>
    <s v="Large"/>
    <s v="B2C"/>
    <n v="2"/>
    <n v="6.67"/>
    <n v="874052"/>
    <n v="1"/>
  </r>
  <r>
    <s v="Startup_4174"/>
    <x v="3"/>
    <n v="6"/>
    <n v="8756130"/>
    <n v="1"/>
    <n v="25"/>
    <n v="282"/>
    <n v="15652117"/>
    <n v="520077"/>
    <s v="Medium"/>
    <s v="Hybrid"/>
    <n v="1"/>
    <n v="42.05"/>
    <n v="74083"/>
    <n v="1"/>
  </r>
  <r>
    <s v="Startup_4175"/>
    <x v="4"/>
    <n v="9"/>
    <n v="8969043"/>
    <n v="1"/>
    <n v="19"/>
    <n v="141"/>
    <n v="59639365"/>
    <n v="508594"/>
    <s v="Medium"/>
    <s v="B2C"/>
    <n v="5"/>
    <n v="35.43"/>
    <n v="174396"/>
    <n v="1"/>
  </r>
  <r>
    <s v="Startup_4176"/>
    <x v="3"/>
    <n v="1"/>
    <n v="1025629"/>
    <n v="2"/>
    <n v="1"/>
    <n v="903"/>
    <n v="38294656"/>
    <n v="29342"/>
    <s v="Small"/>
    <s v="B2C"/>
    <n v="7"/>
    <n v="18.78"/>
    <n v="820001"/>
    <n v="1"/>
  </r>
  <r>
    <s v="Startup_4177"/>
    <x v="3"/>
    <n v="12"/>
    <n v="4808040"/>
    <n v="3"/>
    <n v="14"/>
    <n v="107"/>
    <n v="11777481"/>
    <n v="586656"/>
    <s v="Medium"/>
    <s v="Hybrid"/>
    <n v="9"/>
    <n v="67.989999999999995"/>
    <n v="6555"/>
    <n v="1"/>
  </r>
  <r>
    <s v="Startup_4178"/>
    <x v="6"/>
    <n v="11"/>
    <n v="35757478"/>
    <n v="3"/>
    <n v="24"/>
    <n v="614"/>
    <n v="33012546"/>
    <n v="810354"/>
    <s v="Small"/>
    <s v="B2C"/>
    <n v="6"/>
    <n v="48.16"/>
    <n v="898915"/>
    <n v="1"/>
  </r>
  <r>
    <s v="Startup_4179"/>
    <x v="6"/>
    <n v="0"/>
    <n v="39508277"/>
    <n v="3"/>
    <n v="9"/>
    <n v="53"/>
    <n v="15215503"/>
    <n v="603895"/>
    <s v="Medium"/>
    <s v="B2B"/>
    <n v="1"/>
    <n v="82.24"/>
    <n v="688191"/>
    <n v="1"/>
  </r>
  <r>
    <s v="Startup_4180"/>
    <x v="6"/>
    <n v="10"/>
    <n v="19035199"/>
    <n v="3"/>
    <n v="4"/>
    <n v="420"/>
    <n v="85526337"/>
    <n v="36065"/>
    <s v="Medium"/>
    <s v="B2C"/>
    <n v="4"/>
    <n v="72.599999999999994"/>
    <n v="444075"/>
    <n v="1"/>
  </r>
  <r>
    <s v="Startup_4181"/>
    <x v="2"/>
    <n v="6"/>
    <n v="15924713"/>
    <n v="1"/>
    <n v="28"/>
    <n v="942"/>
    <n v="89744094"/>
    <n v="812084"/>
    <s v="Medium"/>
    <s v="B2B"/>
    <n v="6"/>
    <n v="6.38"/>
    <n v="960788"/>
    <n v="1"/>
  </r>
  <r>
    <s v="Startup_4182"/>
    <x v="1"/>
    <n v="13"/>
    <n v="7853360"/>
    <n v="2"/>
    <n v="1"/>
    <n v="638"/>
    <n v="18201201"/>
    <n v="608440"/>
    <s v="Medium"/>
    <s v="B2C"/>
    <n v="8"/>
    <n v="39.26"/>
    <n v="821470"/>
    <n v="1"/>
  </r>
  <r>
    <s v="Startup_4183"/>
    <x v="6"/>
    <n v="9"/>
    <n v="31210275"/>
    <n v="4"/>
    <n v="10"/>
    <n v="139"/>
    <n v="35587121"/>
    <n v="488953"/>
    <s v="Small"/>
    <s v="B2B"/>
    <n v="7"/>
    <n v="7.78"/>
    <n v="209871"/>
    <n v="1"/>
  </r>
  <r>
    <s v="Startup_4184"/>
    <x v="5"/>
    <n v="5"/>
    <n v="4029600"/>
    <n v="2"/>
    <n v="15"/>
    <n v="945"/>
    <n v="72251238"/>
    <n v="880694"/>
    <s v="Large"/>
    <s v="Hybrid"/>
    <n v="3"/>
    <n v="33.22"/>
    <n v="25764"/>
    <n v="1"/>
  </r>
  <r>
    <s v="Startup_4185"/>
    <x v="3"/>
    <n v="10"/>
    <n v="20166998"/>
    <n v="1"/>
    <n v="7"/>
    <n v="209"/>
    <n v="38920544"/>
    <n v="692651"/>
    <s v="Small"/>
    <s v="B2C"/>
    <n v="8"/>
    <n v="90.31"/>
    <n v="183700"/>
    <n v="1"/>
  </r>
  <r>
    <s v="Startup_4186"/>
    <x v="6"/>
    <n v="9"/>
    <n v="29286398"/>
    <n v="1"/>
    <n v="2"/>
    <n v="770"/>
    <n v="73215641"/>
    <n v="125552"/>
    <s v="Large"/>
    <s v="B2B"/>
    <n v="7"/>
    <n v="40.29"/>
    <n v="87379"/>
    <n v="1"/>
  </r>
  <r>
    <s v="Startup_4187"/>
    <x v="1"/>
    <n v="8"/>
    <n v="418657"/>
    <n v="4"/>
    <n v="28"/>
    <n v="705"/>
    <n v="46205206"/>
    <n v="548744"/>
    <s v="Small"/>
    <s v="Hybrid"/>
    <n v="1"/>
    <n v="66.650000000000006"/>
    <n v="808952"/>
    <n v="1"/>
  </r>
  <r>
    <s v="Startup_4188"/>
    <x v="4"/>
    <n v="3"/>
    <n v="43021058"/>
    <n v="4"/>
    <n v="5"/>
    <n v="301"/>
    <n v="21329675"/>
    <n v="900980"/>
    <s v="Medium"/>
    <s v="B2C"/>
    <n v="6"/>
    <n v="56.01"/>
    <n v="249083"/>
    <n v="1"/>
  </r>
  <r>
    <s v="Startup_4189"/>
    <x v="2"/>
    <n v="11"/>
    <n v="17742262"/>
    <n v="1"/>
    <n v="7"/>
    <n v="629"/>
    <n v="37020490"/>
    <n v="414393"/>
    <s v="Medium"/>
    <s v="Hybrid"/>
    <n v="2"/>
    <n v="13.39"/>
    <n v="681654"/>
    <n v="1"/>
  </r>
  <r>
    <s v="Startup_4190"/>
    <x v="0"/>
    <n v="5"/>
    <n v="46685554"/>
    <n v="1"/>
    <n v="12"/>
    <n v="477"/>
    <n v="762672"/>
    <n v="607283"/>
    <s v="Medium"/>
    <s v="B2C"/>
    <n v="4"/>
    <n v="75.84"/>
    <n v="709141"/>
    <n v="1"/>
  </r>
  <r>
    <s v="Startup_4191"/>
    <x v="3"/>
    <n v="2"/>
    <n v="29182538"/>
    <n v="2"/>
    <n v="8"/>
    <n v="284"/>
    <n v="96517016"/>
    <n v="606169"/>
    <s v="Large"/>
    <s v="B2B"/>
    <n v="1"/>
    <n v="19.37"/>
    <n v="13905"/>
    <n v="1"/>
  </r>
  <r>
    <s v="Startup_4192"/>
    <x v="1"/>
    <n v="2"/>
    <n v="13244303"/>
    <n v="2"/>
    <n v="19"/>
    <n v="900"/>
    <n v="51033541"/>
    <n v="129304"/>
    <s v="Large"/>
    <s v="Hybrid"/>
    <n v="3"/>
    <n v="13.65"/>
    <n v="586649"/>
    <n v="1"/>
  </r>
  <r>
    <s v="Startup_4193"/>
    <x v="5"/>
    <n v="12"/>
    <n v="39916044"/>
    <n v="4"/>
    <n v="29"/>
    <n v="764"/>
    <n v="28635459"/>
    <n v="196057"/>
    <s v="Small"/>
    <s v="B2B"/>
    <n v="9"/>
    <n v="80.3"/>
    <n v="240092"/>
    <n v="1"/>
  </r>
  <r>
    <s v="Startup_4194"/>
    <x v="0"/>
    <n v="3"/>
    <n v="34331996"/>
    <n v="4"/>
    <n v="29"/>
    <n v="772"/>
    <n v="55299119"/>
    <n v="517572"/>
    <s v="Medium"/>
    <s v="B2B"/>
    <n v="2"/>
    <n v="40.17"/>
    <n v="318878"/>
    <n v="1"/>
  </r>
  <r>
    <s v="Startup_4195"/>
    <x v="3"/>
    <n v="10"/>
    <n v="12220736"/>
    <n v="4"/>
    <n v="4"/>
    <n v="201"/>
    <n v="50882718"/>
    <n v="669269"/>
    <s v="Medium"/>
    <s v="B2B"/>
    <n v="2"/>
    <n v="48.69"/>
    <n v="313033"/>
    <n v="1"/>
  </r>
  <r>
    <s v="Startup_4196"/>
    <x v="1"/>
    <n v="0"/>
    <n v="46791843"/>
    <n v="2"/>
    <n v="29"/>
    <n v="856"/>
    <n v="31628536"/>
    <n v="531424"/>
    <s v="Small"/>
    <s v="B2C"/>
    <n v="3"/>
    <n v="83.74"/>
    <n v="388253"/>
    <n v="1"/>
  </r>
  <r>
    <s v="Startup_4197"/>
    <x v="5"/>
    <n v="9"/>
    <n v="47234896"/>
    <n v="3"/>
    <n v="29"/>
    <n v="258"/>
    <n v="28715754"/>
    <n v="837033"/>
    <s v="Large"/>
    <s v="Hybrid"/>
    <n v="3"/>
    <n v="18.77"/>
    <n v="701688"/>
    <n v="1"/>
  </r>
  <r>
    <s v="Startup_4198"/>
    <x v="2"/>
    <n v="3"/>
    <n v="11432848"/>
    <n v="2"/>
    <n v="2"/>
    <n v="9"/>
    <n v="10118460"/>
    <n v="175160"/>
    <s v="Medium"/>
    <s v="B2B"/>
    <n v="6"/>
    <n v="31.05"/>
    <n v="519970"/>
    <n v="1"/>
  </r>
  <r>
    <s v="Startup_4199"/>
    <x v="2"/>
    <n v="1"/>
    <n v="4067173"/>
    <n v="4"/>
    <n v="2"/>
    <n v="306"/>
    <n v="60986855"/>
    <n v="123526"/>
    <s v="Small"/>
    <s v="Hybrid"/>
    <n v="7"/>
    <n v="70.290000000000006"/>
    <n v="604285"/>
    <n v="1"/>
  </r>
  <r>
    <s v="Startup_4200"/>
    <x v="5"/>
    <n v="12"/>
    <n v="2869050"/>
    <n v="1"/>
    <n v="15"/>
    <n v="853"/>
    <n v="60936028"/>
    <n v="868665"/>
    <s v="Small"/>
    <s v="B2B"/>
    <n v="5"/>
    <n v="53.8"/>
    <n v="674439"/>
    <n v="1"/>
  </r>
  <r>
    <s v="Startup_4201"/>
    <x v="4"/>
    <n v="7"/>
    <n v="21826432"/>
    <n v="4"/>
    <n v="11"/>
    <n v="512"/>
    <n v="96500400"/>
    <n v="232824"/>
    <s v="Medium"/>
    <s v="B2B"/>
    <n v="1"/>
    <n v="66.040000000000006"/>
    <n v="198966"/>
    <n v="1"/>
  </r>
  <r>
    <s v="Startup_4202"/>
    <x v="5"/>
    <n v="8"/>
    <n v="40302076"/>
    <n v="4"/>
    <n v="24"/>
    <n v="10"/>
    <n v="64251983"/>
    <n v="325644"/>
    <s v="Small"/>
    <s v="B2B"/>
    <n v="8"/>
    <n v="48.31"/>
    <n v="150944"/>
    <n v="1"/>
  </r>
  <r>
    <s v="Startup_4203"/>
    <x v="3"/>
    <n v="14"/>
    <n v="36434754"/>
    <n v="4"/>
    <n v="16"/>
    <n v="556"/>
    <n v="24512304"/>
    <n v="584074"/>
    <s v="Large"/>
    <s v="B2C"/>
    <n v="8"/>
    <n v="52.69"/>
    <n v="213906"/>
    <n v="1"/>
  </r>
  <r>
    <s v="Startup_4204"/>
    <x v="3"/>
    <n v="11"/>
    <n v="18485607"/>
    <n v="1"/>
    <n v="17"/>
    <n v="323"/>
    <n v="55703142"/>
    <n v="129733"/>
    <s v="Small"/>
    <s v="B2C"/>
    <n v="4"/>
    <n v="94.27"/>
    <n v="939301"/>
    <n v="1"/>
  </r>
  <r>
    <s v="Startup_4205"/>
    <x v="4"/>
    <n v="1"/>
    <n v="14815194"/>
    <n v="4"/>
    <n v="19"/>
    <n v="956"/>
    <n v="7053234"/>
    <n v="349002"/>
    <s v="Medium"/>
    <s v="B2B"/>
    <n v="5"/>
    <n v="63.48"/>
    <n v="161377"/>
    <n v="1"/>
  </r>
  <r>
    <s v="Startup_4206"/>
    <x v="4"/>
    <n v="14"/>
    <n v="12499994"/>
    <n v="1"/>
    <n v="12"/>
    <n v="566"/>
    <n v="30919147"/>
    <n v="127047"/>
    <s v="Medium"/>
    <s v="B2B"/>
    <n v="6"/>
    <n v="15.53"/>
    <n v="846171"/>
    <n v="1"/>
  </r>
  <r>
    <s v="Startup_4207"/>
    <x v="5"/>
    <n v="1"/>
    <n v="40472623"/>
    <n v="4"/>
    <n v="4"/>
    <n v="96"/>
    <n v="91962964"/>
    <n v="226136"/>
    <s v="Small"/>
    <s v="Hybrid"/>
    <n v="4"/>
    <n v="67.180000000000007"/>
    <n v="222619"/>
    <n v="1"/>
  </r>
  <r>
    <s v="Startup_4208"/>
    <x v="3"/>
    <n v="14"/>
    <n v="2470977"/>
    <n v="3"/>
    <n v="6"/>
    <n v="595"/>
    <n v="97208367"/>
    <n v="591517"/>
    <s v="Large"/>
    <s v="B2B"/>
    <n v="4"/>
    <n v="22.01"/>
    <n v="560251"/>
    <n v="1"/>
  </r>
  <r>
    <s v="Startup_4209"/>
    <x v="5"/>
    <n v="7"/>
    <n v="24628450"/>
    <n v="1"/>
    <n v="29"/>
    <n v="930"/>
    <n v="39575419"/>
    <n v="676767"/>
    <s v="Large"/>
    <s v="B2C"/>
    <n v="3"/>
    <n v="46.38"/>
    <n v="454030"/>
    <n v="1"/>
  </r>
  <r>
    <s v="Startup_4210"/>
    <x v="4"/>
    <n v="9"/>
    <n v="28249878"/>
    <n v="3"/>
    <n v="18"/>
    <n v="361"/>
    <n v="65406042"/>
    <n v="92568"/>
    <s v="Small"/>
    <s v="B2B"/>
    <n v="1"/>
    <n v="36.5"/>
    <n v="105287"/>
    <n v="1"/>
  </r>
  <r>
    <s v="Startup_4211"/>
    <x v="1"/>
    <n v="6"/>
    <n v="37936739"/>
    <n v="2"/>
    <n v="29"/>
    <n v="668"/>
    <n v="84041827"/>
    <n v="472255"/>
    <s v="Medium"/>
    <s v="B2B"/>
    <n v="3"/>
    <n v="18.690000000000001"/>
    <n v="276831"/>
    <n v="1"/>
  </r>
  <r>
    <s v="Startup_4212"/>
    <x v="6"/>
    <n v="1"/>
    <n v="19518929"/>
    <n v="1"/>
    <n v="15"/>
    <n v="517"/>
    <n v="21493652"/>
    <n v="832990"/>
    <s v="Medium"/>
    <s v="B2B"/>
    <n v="7"/>
    <n v="89.33"/>
    <n v="659127"/>
    <n v="1"/>
  </r>
  <r>
    <s v="Startup_4213"/>
    <x v="5"/>
    <n v="12"/>
    <n v="5641153"/>
    <n v="3"/>
    <n v="27"/>
    <n v="282"/>
    <n v="76264330"/>
    <n v="920061"/>
    <s v="Large"/>
    <s v="B2B"/>
    <n v="3"/>
    <n v="77.84"/>
    <n v="854989"/>
    <n v="1"/>
  </r>
  <r>
    <s v="Startup_4214"/>
    <x v="0"/>
    <n v="8"/>
    <n v="44552617"/>
    <n v="3"/>
    <n v="4"/>
    <n v="258"/>
    <n v="79218373"/>
    <n v="147814"/>
    <s v="Large"/>
    <s v="B2C"/>
    <n v="1"/>
    <n v="32.19"/>
    <n v="715371"/>
    <n v="1"/>
  </r>
  <r>
    <s v="Startup_4215"/>
    <x v="6"/>
    <n v="0"/>
    <n v="22325697"/>
    <n v="2"/>
    <n v="6"/>
    <n v="685"/>
    <n v="79389894"/>
    <n v="620220"/>
    <s v="Medium"/>
    <s v="B2C"/>
    <n v="3"/>
    <n v="61.51"/>
    <n v="474087"/>
    <n v="1"/>
  </r>
  <r>
    <s v="Startup_4216"/>
    <x v="3"/>
    <n v="14"/>
    <n v="42578265"/>
    <n v="4"/>
    <n v="13"/>
    <n v="263"/>
    <n v="71286385"/>
    <n v="5593"/>
    <s v="Large"/>
    <s v="B2C"/>
    <n v="7"/>
    <n v="58.35"/>
    <n v="33437"/>
    <n v="1"/>
  </r>
  <r>
    <s v="Startup_4217"/>
    <x v="6"/>
    <n v="1"/>
    <n v="34167085"/>
    <n v="2"/>
    <n v="13"/>
    <n v="822"/>
    <n v="81012545"/>
    <n v="327900"/>
    <s v="Small"/>
    <s v="B2C"/>
    <n v="6"/>
    <n v="71.23"/>
    <n v="168770"/>
    <n v="1"/>
  </r>
  <r>
    <s v="Startup_4218"/>
    <x v="1"/>
    <n v="5"/>
    <n v="34758687"/>
    <n v="2"/>
    <n v="13"/>
    <n v="509"/>
    <n v="85744749"/>
    <n v="980485"/>
    <s v="Large"/>
    <s v="Hybrid"/>
    <n v="6"/>
    <n v="99.63"/>
    <n v="696257"/>
    <n v="1"/>
  </r>
  <r>
    <s v="Startup_4219"/>
    <x v="0"/>
    <n v="1"/>
    <n v="15085602"/>
    <n v="4"/>
    <n v="9"/>
    <n v="73"/>
    <n v="5803907"/>
    <n v="662309"/>
    <s v="Medium"/>
    <s v="B2C"/>
    <n v="4"/>
    <n v="53.39"/>
    <n v="400356"/>
    <n v="1"/>
  </r>
  <r>
    <s v="Startup_4220"/>
    <x v="1"/>
    <n v="14"/>
    <n v="2615330"/>
    <n v="3"/>
    <n v="2"/>
    <n v="130"/>
    <n v="33566436"/>
    <n v="837869"/>
    <s v="Large"/>
    <s v="Hybrid"/>
    <n v="5"/>
    <n v="76.819999999999993"/>
    <n v="280114"/>
    <n v="1"/>
  </r>
  <r>
    <s v="Startup_4221"/>
    <x v="1"/>
    <n v="9"/>
    <n v="31612816"/>
    <n v="4"/>
    <n v="8"/>
    <n v="319"/>
    <n v="78878855"/>
    <n v="281623"/>
    <s v="Medium"/>
    <s v="B2B"/>
    <n v="3"/>
    <n v="22.73"/>
    <n v="791758"/>
    <n v="1"/>
  </r>
  <r>
    <s v="Startup_4222"/>
    <x v="2"/>
    <n v="12"/>
    <n v="34431419"/>
    <n v="3"/>
    <n v="29"/>
    <n v="720"/>
    <n v="71043391"/>
    <n v="187158"/>
    <s v="Large"/>
    <s v="B2B"/>
    <n v="6"/>
    <n v="61.32"/>
    <n v="27476"/>
    <n v="1"/>
  </r>
  <r>
    <s v="Startup_4223"/>
    <x v="3"/>
    <n v="3"/>
    <n v="3164403"/>
    <n v="1"/>
    <n v="13"/>
    <n v="979"/>
    <n v="49391856"/>
    <n v="78686"/>
    <s v="Small"/>
    <s v="Hybrid"/>
    <n v="1"/>
    <n v="21.71"/>
    <n v="291470"/>
    <n v="1"/>
  </r>
  <r>
    <s v="Startup_4224"/>
    <x v="6"/>
    <n v="1"/>
    <n v="22942990"/>
    <n v="4"/>
    <n v="28"/>
    <n v="718"/>
    <n v="27545007"/>
    <n v="226744"/>
    <s v="Small"/>
    <s v="B2C"/>
    <n v="4"/>
    <n v="54.36"/>
    <n v="435196"/>
    <n v="1"/>
  </r>
  <r>
    <s v="Startup_4225"/>
    <x v="5"/>
    <n v="5"/>
    <n v="2195896"/>
    <n v="2"/>
    <n v="16"/>
    <n v="424"/>
    <n v="29356824"/>
    <n v="178132"/>
    <s v="Large"/>
    <s v="B2B"/>
    <n v="1"/>
    <n v="86.93"/>
    <n v="613820"/>
    <n v="1"/>
  </r>
  <r>
    <s v="Startup_4226"/>
    <x v="1"/>
    <n v="8"/>
    <n v="18289817"/>
    <n v="3"/>
    <n v="1"/>
    <n v="234"/>
    <n v="87304483"/>
    <n v="362817"/>
    <s v="Small"/>
    <s v="B2C"/>
    <n v="6"/>
    <n v="36.94"/>
    <n v="961147"/>
    <n v="1"/>
  </r>
  <r>
    <s v="Startup_4227"/>
    <x v="4"/>
    <n v="13"/>
    <n v="20363089"/>
    <n v="1"/>
    <n v="22"/>
    <n v="422"/>
    <n v="46239902"/>
    <n v="261238"/>
    <s v="Medium"/>
    <s v="B2B"/>
    <n v="7"/>
    <n v="50.21"/>
    <n v="381158"/>
    <n v="1"/>
  </r>
  <r>
    <s v="Startup_4228"/>
    <x v="6"/>
    <n v="10"/>
    <n v="19203945"/>
    <n v="2"/>
    <n v="1"/>
    <n v="149"/>
    <n v="10188097"/>
    <n v="756589"/>
    <s v="Large"/>
    <s v="B2C"/>
    <n v="2"/>
    <n v="17.14"/>
    <n v="689696"/>
    <n v="1"/>
  </r>
  <r>
    <s v="Startup_4229"/>
    <x v="5"/>
    <n v="8"/>
    <n v="42304523"/>
    <n v="4"/>
    <n v="8"/>
    <n v="161"/>
    <n v="30102040"/>
    <n v="217343"/>
    <s v="Small"/>
    <s v="Hybrid"/>
    <n v="4"/>
    <n v="91.37"/>
    <n v="159531"/>
    <n v="1"/>
  </r>
  <r>
    <s v="Startup_4230"/>
    <x v="6"/>
    <n v="4"/>
    <n v="11525037"/>
    <n v="1"/>
    <n v="28"/>
    <n v="246"/>
    <n v="92540584"/>
    <n v="904495"/>
    <s v="Small"/>
    <s v="B2C"/>
    <n v="5"/>
    <n v="31.58"/>
    <n v="315016"/>
    <n v="1"/>
  </r>
  <r>
    <s v="Startup_4231"/>
    <x v="6"/>
    <n v="0"/>
    <n v="21639231"/>
    <n v="4"/>
    <n v="28"/>
    <n v="399"/>
    <n v="40889739"/>
    <n v="872130"/>
    <s v="Large"/>
    <s v="B2C"/>
    <n v="6"/>
    <n v="55.07"/>
    <n v="970091"/>
    <n v="1"/>
  </r>
  <r>
    <s v="Startup_4232"/>
    <x v="4"/>
    <n v="14"/>
    <n v="38497924"/>
    <n v="1"/>
    <n v="23"/>
    <n v="405"/>
    <n v="42058027"/>
    <n v="205057"/>
    <s v="Small"/>
    <s v="Hybrid"/>
    <n v="6"/>
    <n v="63.64"/>
    <n v="668617"/>
    <n v="1"/>
  </r>
  <r>
    <s v="Startup_4233"/>
    <x v="1"/>
    <n v="8"/>
    <n v="21827736"/>
    <n v="4"/>
    <n v="13"/>
    <n v="373"/>
    <n v="86577158"/>
    <n v="409440"/>
    <s v="Small"/>
    <s v="Hybrid"/>
    <n v="7"/>
    <n v="88.99"/>
    <n v="790158"/>
    <n v="1"/>
  </r>
  <r>
    <s v="Startup_4234"/>
    <x v="4"/>
    <n v="13"/>
    <n v="39763932"/>
    <n v="1"/>
    <n v="25"/>
    <n v="639"/>
    <n v="37705563"/>
    <n v="601378"/>
    <s v="Medium"/>
    <s v="B2B"/>
    <n v="7"/>
    <n v="79.900000000000006"/>
    <n v="876504"/>
    <n v="1"/>
  </r>
  <r>
    <s v="Startup_4235"/>
    <x v="2"/>
    <n v="2"/>
    <n v="27451719"/>
    <n v="4"/>
    <n v="21"/>
    <n v="445"/>
    <n v="37895142"/>
    <n v="443365"/>
    <s v="Large"/>
    <s v="Hybrid"/>
    <n v="7"/>
    <n v="82.32"/>
    <n v="140139"/>
    <n v="1"/>
  </r>
  <r>
    <s v="Startup_4236"/>
    <x v="4"/>
    <n v="4"/>
    <n v="36280070"/>
    <n v="1"/>
    <n v="14"/>
    <n v="719"/>
    <n v="18853239"/>
    <n v="144013"/>
    <s v="Small"/>
    <s v="B2C"/>
    <n v="7"/>
    <n v="72.819999999999993"/>
    <n v="463675"/>
    <n v="1"/>
  </r>
  <r>
    <s v="Startup_4237"/>
    <x v="4"/>
    <n v="0"/>
    <n v="16379548"/>
    <n v="4"/>
    <n v="4"/>
    <n v="23"/>
    <n v="39151059"/>
    <n v="621504"/>
    <s v="Small"/>
    <s v="B2B"/>
    <n v="2"/>
    <n v="87.17"/>
    <n v="982446"/>
    <n v="1"/>
  </r>
  <r>
    <s v="Startup_4238"/>
    <x v="4"/>
    <n v="11"/>
    <n v="48583218"/>
    <n v="3"/>
    <n v="12"/>
    <n v="807"/>
    <n v="82736492"/>
    <n v="609071"/>
    <s v="Small"/>
    <s v="Hybrid"/>
    <n v="4"/>
    <n v="65.23"/>
    <n v="169595"/>
    <n v="1"/>
  </r>
  <r>
    <s v="Startup_4239"/>
    <x v="3"/>
    <n v="13"/>
    <n v="20062532"/>
    <n v="4"/>
    <n v="27"/>
    <n v="969"/>
    <n v="47662839"/>
    <n v="506600"/>
    <s v="Small"/>
    <s v="B2C"/>
    <n v="5"/>
    <n v="15.88"/>
    <n v="76248"/>
    <n v="1"/>
  </r>
  <r>
    <s v="Startup_4240"/>
    <x v="0"/>
    <n v="4"/>
    <n v="2992318"/>
    <n v="4"/>
    <n v="20"/>
    <n v="716"/>
    <n v="26221361"/>
    <n v="182680"/>
    <s v="Large"/>
    <s v="B2C"/>
    <n v="3"/>
    <n v="9.2200000000000006"/>
    <n v="663506"/>
    <n v="1"/>
  </r>
  <r>
    <s v="Startup_4241"/>
    <x v="1"/>
    <n v="9"/>
    <n v="46709577"/>
    <n v="4"/>
    <n v="14"/>
    <n v="477"/>
    <n v="56702619"/>
    <n v="384414"/>
    <s v="Small"/>
    <s v="B2C"/>
    <n v="9"/>
    <n v="90.16"/>
    <n v="420306"/>
    <n v="1"/>
  </r>
  <r>
    <s v="Startup_4242"/>
    <x v="3"/>
    <n v="1"/>
    <n v="23243758"/>
    <n v="1"/>
    <n v="23"/>
    <n v="812"/>
    <n v="79025949"/>
    <n v="318896"/>
    <s v="Large"/>
    <s v="B2B"/>
    <n v="1"/>
    <n v="81.290000000000006"/>
    <n v="688996"/>
    <n v="1"/>
  </r>
  <r>
    <s v="Startup_4243"/>
    <x v="6"/>
    <n v="8"/>
    <n v="25682879"/>
    <n v="4"/>
    <n v="8"/>
    <n v="233"/>
    <n v="29679294"/>
    <n v="167245"/>
    <s v="Large"/>
    <s v="Hybrid"/>
    <n v="5"/>
    <n v="70.430000000000007"/>
    <n v="464240"/>
    <n v="1"/>
  </r>
  <r>
    <s v="Startup_4244"/>
    <x v="0"/>
    <n v="1"/>
    <n v="27361805"/>
    <n v="1"/>
    <n v="19"/>
    <n v="384"/>
    <n v="37846507"/>
    <n v="448090"/>
    <s v="Large"/>
    <s v="B2C"/>
    <n v="6"/>
    <n v="85.01"/>
    <n v="584669"/>
    <n v="1"/>
  </r>
  <r>
    <s v="Startup_4245"/>
    <x v="1"/>
    <n v="7"/>
    <n v="34696811"/>
    <n v="3"/>
    <n v="3"/>
    <n v="754"/>
    <n v="12697262"/>
    <n v="805217"/>
    <s v="Large"/>
    <s v="Hybrid"/>
    <n v="4"/>
    <n v="3.7"/>
    <n v="616043"/>
    <n v="1"/>
  </r>
  <r>
    <s v="Startup_4246"/>
    <x v="6"/>
    <n v="4"/>
    <n v="45633133"/>
    <n v="3"/>
    <n v="24"/>
    <n v="223"/>
    <n v="14469571"/>
    <n v="748068"/>
    <s v="Small"/>
    <s v="B2B"/>
    <n v="9"/>
    <n v="71.94"/>
    <n v="537189"/>
    <n v="1"/>
  </r>
  <r>
    <s v="Startup_4247"/>
    <x v="0"/>
    <n v="12"/>
    <n v="12221169"/>
    <n v="2"/>
    <n v="20"/>
    <n v="381"/>
    <n v="97843745"/>
    <n v="409596"/>
    <s v="Large"/>
    <s v="B2B"/>
    <n v="1"/>
    <n v="8.2899999999999991"/>
    <n v="123904"/>
    <n v="1"/>
  </r>
  <r>
    <s v="Startup_4248"/>
    <x v="2"/>
    <n v="11"/>
    <n v="34270570"/>
    <n v="3"/>
    <n v="8"/>
    <n v="664"/>
    <n v="32348722"/>
    <n v="661562"/>
    <s v="Small"/>
    <s v="B2C"/>
    <n v="6"/>
    <n v="97.17"/>
    <n v="426330"/>
    <n v="1"/>
  </r>
  <r>
    <s v="Startup_4249"/>
    <x v="1"/>
    <n v="0"/>
    <n v="32228153"/>
    <n v="1"/>
    <n v="14"/>
    <n v="269"/>
    <n v="5795391"/>
    <n v="277011"/>
    <s v="Large"/>
    <s v="Hybrid"/>
    <n v="1"/>
    <n v="29.18"/>
    <n v="686894"/>
    <n v="1"/>
  </r>
  <r>
    <s v="Startup_4250"/>
    <x v="4"/>
    <n v="13"/>
    <n v="12200522"/>
    <n v="2"/>
    <n v="9"/>
    <n v="350"/>
    <n v="46101447"/>
    <n v="543507"/>
    <s v="Large"/>
    <s v="Hybrid"/>
    <n v="8"/>
    <n v="88.05"/>
    <n v="655400"/>
    <n v="1"/>
  </r>
  <r>
    <s v="Startup_4251"/>
    <x v="5"/>
    <n v="0"/>
    <n v="28818279"/>
    <n v="4"/>
    <n v="10"/>
    <n v="914"/>
    <n v="11259104"/>
    <n v="356878"/>
    <s v="Small"/>
    <s v="B2B"/>
    <n v="3"/>
    <n v="37.479999999999997"/>
    <n v="292447"/>
    <n v="1"/>
  </r>
  <r>
    <s v="Startup_4252"/>
    <x v="4"/>
    <n v="6"/>
    <n v="4130599"/>
    <n v="2"/>
    <n v="0"/>
    <n v="843"/>
    <n v="76251894"/>
    <n v="693208"/>
    <s v="Medium"/>
    <s v="B2C"/>
    <n v="3"/>
    <n v="39.049999999999997"/>
    <n v="531391"/>
    <n v="1"/>
  </r>
  <r>
    <s v="Startup_4253"/>
    <x v="1"/>
    <n v="11"/>
    <n v="45744294"/>
    <n v="3"/>
    <n v="8"/>
    <n v="463"/>
    <n v="63575530"/>
    <n v="901444"/>
    <s v="Small"/>
    <s v="Hybrid"/>
    <n v="4"/>
    <n v="12.26"/>
    <n v="909888"/>
    <n v="1"/>
  </r>
  <r>
    <s v="Startup_4254"/>
    <x v="1"/>
    <n v="14"/>
    <n v="20440068"/>
    <n v="2"/>
    <n v="4"/>
    <n v="910"/>
    <n v="47510257"/>
    <n v="371196"/>
    <s v="Large"/>
    <s v="Hybrid"/>
    <n v="7"/>
    <n v="89.77"/>
    <n v="990921"/>
    <n v="1"/>
  </r>
  <r>
    <s v="Startup_4255"/>
    <x v="4"/>
    <n v="13"/>
    <n v="13240818"/>
    <n v="2"/>
    <n v="2"/>
    <n v="998"/>
    <n v="17919639"/>
    <n v="509352"/>
    <s v="Medium"/>
    <s v="B2B"/>
    <n v="8"/>
    <n v="57.73"/>
    <n v="351617"/>
    <n v="1"/>
  </r>
  <r>
    <s v="Startup_4256"/>
    <x v="5"/>
    <n v="3"/>
    <n v="34891359"/>
    <n v="4"/>
    <n v="22"/>
    <n v="941"/>
    <n v="43523571"/>
    <n v="436920"/>
    <s v="Medium"/>
    <s v="B2B"/>
    <n v="4"/>
    <n v="55.06"/>
    <n v="124445"/>
    <n v="1"/>
  </r>
  <r>
    <s v="Startup_4257"/>
    <x v="6"/>
    <n v="9"/>
    <n v="22400281"/>
    <n v="2"/>
    <n v="8"/>
    <n v="353"/>
    <n v="20932209"/>
    <n v="76925"/>
    <s v="Small"/>
    <s v="Hybrid"/>
    <n v="3"/>
    <n v="57.84"/>
    <n v="429657"/>
    <n v="1"/>
  </r>
  <r>
    <s v="Startup_4258"/>
    <x v="1"/>
    <n v="6"/>
    <n v="22107317"/>
    <n v="4"/>
    <n v="23"/>
    <n v="630"/>
    <n v="18277714"/>
    <n v="443522"/>
    <s v="Small"/>
    <s v="B2C"/>
    <n v="3"/>
    <n v="45.69"/>
    <n v="937301"/>
    <n v="1"/>
  </r>
  <r>
    <s v="Startup_4259"/>
    <x v="5"/>
    <n v="4"/>
    <n v="47101043"/>
    <n v="4"/>
    <n v="5"/>
    <n v="837"/>
    <n v="41896287"/>
    <n v="227290"/>
    <s v="Large"/>
    <s v="B2B"/>
    <n v="7"/>
    <n v="8.5500000000000007"/>
    <n v="113418"/>
    <n v="1"/>
  </r>
  <r>
    <s v="Startup_4260"/>
    <x v="5"/>
    <n v="2"/>
    <n v="20995181"/>
    <n v="2"/>
    <n v="1"/>
    <n v="993"/>
    <n v="36236228"/>
    <n v="533905"/>
    <s v="Large"/>
    <s v="B2C"/>
    <n v="4"/>
    <n v="53.24"/>
    <n v="344693"/>
    <n v="1"/>
  </r>
  <r>
    <s v="Startup_4261"/>
    <x v="4"/>
    <n v="7"/>
    <n v="3170714"/>
    <n v="2"/>
    <n v="4"/>
    <n v="882"/>
    <n v="68434122"/>
    <n v="309903"/>
    <s v="Large"/>
    <s v="B2B"/>
    <n v="2"/>
    <n v="94.64"/>
    <n v="133481"/>
    <n v="1"/>
  </r>
  <r>
    <s v="Startup_4262"/>
    <x v="3"/>
    <n v="0"/>
    <n v="1083313"/>
    <n v="2"/>
    <n v="22"/>
    <n v="744"/>
    <n v="78976851"/>
    <n v="552818"/>
    <s v="Large"/>
    <s v="B2B"/>
    <n v="4"/>
    <n v="52.1"/>
    <n v="487027"/>
    <n v="1"/>
  </r>
  <r>
    <s v="Startup_4263"/>
    <x v="5"/>
    <n v="14"/>
    <n v="38273239"/>
    <n v="4"/>
    <n v="16"/>
    <n v="571"/>
    <n v="1581420"/>
    <n v="796274"/>
    <s v="Small"/>
    <s v="Hybrid"/>
    <n v="1"/>
    <n v="91.53"/>
    <n v="785782"/>
    <n v="1"/>
  </r>
  <r>
    <s v="Startup_4264"/>
    <x v="3"/>
    <n v="2"/>
    <n v="46673766"/>
    <n v="1"/>
    <n v="15"/>
    <n v="749"/>
    <n v="5563847"/>
    <n v="946549"/>
    <s v="Small"/>
    <s v="Hybrid"/>
    <n v="1"/>
    <n v="76.2"/>
    <n v="242212"/>
    <n v="1"/>
  </r>
  <r>
    <s v="Startup_4265"/>
    <x v="0"/>
    <n v="10"/>
    <n v="12958319"/>
    <n v="2"/>
    <n v="21"/>
    <n v="644"/>
    <n v="92092754"/>
    <n v="992474"/>
    <s v="Small"/>
    <s v="Hybrid"/>
    <n v="2"/>
    <n v="59.67"/>
    <n v="159001"/>
    <n v="1"/>
  </r>
  <r>
    <s v="Startup_4266"/>
    <x v="0"/>
    <n v="9"/>
    <n v="24048405"/>
    <n v="2"/>
    <n v="9"/>
    <n v="316"/>
    <n v="32770605"/>
    <n v="67640"/>
    <s v="Large"/>
    <s v="B2B"/>
    <n v="5"/>
    <n v="63.36"/>
    <n v="947867"/>
    <n v="1"/>
  </r>
  <r>
    <s v="Startup_4267"/>
    <x v="2"/>
    <n v="10"/>
    <n v="12658506"/>
    <n v="1"/>
    <n v="27"/>
    <n v="144"/>
    <n v="50273340"/>
    <n v="110796"/>
    <s v="Medium"/>
    <s v="Hybrid"/>
    <n v="8"/>
    <n v="82.28"/>
    <n v="391839"/>
    <n v="1"/>
  </r>
  <r>
    <s v="Startup_4268"/>
    <x v="4"/>
    <n v="6"/>
    <n v="4202976"/>
    <n v="2"/>
    <n v="20"/>
    <n v="585"/>
    <n v="64511875"/>
    <n v="969015"/>
    <s v="Small"/>
    <s v="B2C"/>
    <n v="5"/>
    <n v="15.43"/>
    <n v="885108"/>
    <n v="1"/>
  </r>
  <r>
    <s v="Startup_4269"/>
    <x v="0"/>
    <n v="0"/>
    <n v="48477500"/>
    <n v="3"/>
    <n v="10"/>
    <n v="512"/>
    <n v="11273315"/>
    <n v="206364"/>
    <s v="Medium"/>
    <s v="Hybrid"/>
    <n v="3"/>
    <n v="39.36"/>
    <n v="605829"/>
    <n v="1"/>
  </r>
  <r>
    <s v="Startup_4270"/>
    <x v="2"/>
    <n v="14"/>
    <n v="18675944"/>
    <n v="2"/>
    <n v="14"/>
    <n v="906"/>
    <n v="14655066"/>
    <n v="579863"/>
    <s v="Small"/>
    <s v="B2C"/>
    <n v="4"/>
    <n v="80.760000000000005"/>
    <n v="936003"/>
    <n v="1"/>
  </r>
  <r>
    <s v="Startup_4271"/>
    <x v="3"/>
    <n v="3"/>
    <n v="41244279"/>
    <n v="4"/>
    <n v="12"/>
    <n v="790"/>
    <n v="87346149"/>
    <n v="330511"/>
    <s v="Medium"/>
    <s v="Hybrid"/>
    <n v="5"/>
    <n v="77.06"/>
    <n v="16679"/>
    <n v="1"/>
  </r>
  <r>
    <s v="Startup_4272"/>
    <x v="1"/>
    <n v="1"/>
    <n v="30431958"/>
    <n v="3"/>
    <n v="17"/>
    <n v="58"/>
    <n v="55756309"/>
    <n v="106592"/>
    <s v="Large"/>
    <s v="Hybrid"/>
    <n v="7"/>
    <n v="89.55"/>
    <n v="159709"/>
    <n v="1"/>
  </r>
  <r>
    <s v="Startup_4273"/>
    <x v="5"/>
    <n v="13"/>
    <n v="1769328"/>
    <n v="4"/>
    <n v="15"/>
    <n v="538"/>
    <n v="97054704"/>
    <n v="826570"/>
    <s v="Small"/>
    <s v="B2B"/>
    <n v="6"/>
    <n v="33.380000000000003"/>
    <n v="299642"/>
    <n v="1"/>
  </r>
  <r>
    <s v="Startup_4274"/>
    <x v="2"/>
    <n v="10"/>
    <n v="27960012"/>
    <n v="4"/>
    <n v="27"/>
    <n v="837"/>
    <n v="34800065"/>
    <n v="615112"/>
    <s v="Large"/>
    <s v="B2C"/>
    <n v="4"/>
    <n v="34.19"/>
    <n v="112853"/>
    <n v="1"/>
  </r>
  <r>
    <s v="Startup_4275"/>
    <x v="4"/>
    <n v="3"/>
    <n v="5572450"/>
    <n v="4"/>
    <n v="5"/>
    <n v="471"/>
    <n v="86953162"/>
    <n v="403339"/>
    <s v="Small"/>
    <s v="Hybrid"/>
    <n v="5"/>
    <n v="67.87"/>
    <n v="81128"/>
    <n v="1"/>
  </r>
  <r>
    <s v="Startup_4276"/>
    <x v="4"/>
    <n v="12"/>
    <n v="1336298"/>
    <n v="2"/>
    <n v="14"/>
    <n v="887"/>
    <n v="91411897"/>
    <n v="186059"/>
    <s v="Small"/>
    <s v="Hybrid"/>
    <n v="1"/>
    <n v="32.950000000000003"/>
    <n v="851488"/>
    <n v="1"/>
  </r>
  <r>
    <s v="Startup_4277"/>
    <x v="2"/>
    <n v="11"/>
    <n v="48965971"/>
    <n v="2"/>
    <n v="27"/>
    <n v="919"/>
    <n v="89711800"/>
    <n v="514241"/>
    <s v="Medium"/>
    <s v="Hybrid"/>
    <n v="1"/>
    <n v="39.54"/>
    <n v="327102"/>
    <n v="1"/>
  </r>
  <r>
    <s v="Startup_4278"/>
    <x v="0"/>
    <n v="9"/>
    <n v="27218378"/>
    <n v="1"/>
    <n v="6"/>
    <n v="208"/>
    <n v="17081215"/>
    <n v="533663"/>
    <s v="Small"/>
    <s v="B2C"/>
    <n v="3"/>
    <n v="24.32"/>
    <n v="713273"/>
    <n v="1"/>
  </r>
  <r>
    <s v="Startup_4279"/>
    <x v="3"/>
    <n v="8"/>
    <n v="38968000"/>
    <n v="3"/>
    <n v="16"/>
    <n v="823"/>
    <n v="57963013"/>
    <n v="389251"/>
    <s v="Small"/>
    <s v="B2B"/>
    <n v="8"/>
    <n v="73.66"/>
    <n v="872808"/>
    <n v="1"/>
  </r>
  <r>
    <s v="Startup_4280"/>
    <x v="0"/>
    <n v="2"/>
    <n v="31987007"/>
    <n v="2"/>
    <n v="21"/>
    <n v="547"/>
    <n v="68801415"/>
    <n v="727700"/>
    <s v="Small"/>
    <s v="B2B"/>
    <n v="3"/>
    <n v="38.1"/>
    <n v="730178"/>
    <n v="1"/>
  </r>
  <r>
    <s v="Startup_4281"/>
    <x v="4"/>
    <n v="10"/>
    <n v="18428550"/>
    <n v="1"/>
    <n v="25"/>
    <n v="707"/>
    <n v="25129173"/>
    <n v="942573"/>
    <s v="Medium"/>
    <s v="B2C"/>
    <n v="6"/>
    <n v="10.26"/>
    <n v="853908"/>
    <n v="1"/>
  </r>
  <r>
    <s v="Startup_4282"/>
    <x v="3"/>
    <n v="14"/>
    <n v="2601693"/>
    <n v="1"/>
    <n v="0"/>
    <n v="143"/>
    <n v="52425079"/>
    <n v="679328"/>
    <s v="Small"/>
    <s v="B2B"/>
    <n v="2"/>
    <n v="32.32"/>
    <n v="651595"/>
    <n v="1"/>
  </r>
  <r>
    <s v="Startup_4283"/>
    <x v="6"/>
    <n v="3"/>
    <n v="11784624"/>
    <n v="2"/>
    <n v="3"/>
    <n v="954"/>
    <n v="93416124"/>
    <n v="771023"/>
    <s v="Large"/>
    <s v="Hybrid"/>
    <n v="7"/>
    <n v="64.14"/>
    <n v="345259"/>
    <n v="1"/>
  </r>
  <r>
    <s v="Startup_4284"/>
    <x v="5"/>
    <n v="2"/>
    <n v="2841303"/>
    <n v="4"/>
    <n v="6"/>
    <n v="402"/>
    <n v="54250940"/>
    <n v="706098"/>
    <s v="Medium"/>
    <s v="B2C"/>
    <n v="8"/>
    <n v="6.72"/>
    <n v="144084"/>
    <n v="1"/>
  </r>
  <r>
    <s v="Startup_4285"/>
    <x v="1"/>
    <n v="1"/>
    <n v="15702172"/>
    <n v="4"/>
    <n v="24"/>
    <n v="454"/>
    <n v="11189869"/>
    <n v="624364"/>
    <s v="Small"/>
    <s v="B2B"/>
    <n v="6"/>
    <n v="45.47"/>
    <n v="194756"/>
    <n v="1"/>
  </r>
  <r>
    <s v="Startup_4286"/>
    <x v="1"/>
    <n v="5"/>
    <n v="38282924"/>
    <n v="4"/>
    <n v="3"/>
    <n v="890"/>
    <n v="41816618"/>
    <n v="546876"/>
    <s v="Large"/>
    <s v="B2B"/>
    <n v="9"/>
    <n v="36.799999999999997"/>
    <n v="339569"/>
    <n v="1"/>
  </r>
  <r>
    <s v="Startup_4287"/>
    <x v="4"/>
    <n v="13"/>
    <n v="32686708"/>
    <n v="4"/>
    <n v="20"/>
    <n v="171"/>
    <n v="89437901"/>
    <n v="122264"/>
    <s v="Small"/>
    <s v="B2C"/>
    <n v="9"/>
    <n v="10.84"/>
    <n v="795739"/>
    <n v="1"/>
  </r>
  <r>
    <s v="Startup_4288"/>
    <x v="2"/>
    <n v="13"/>
    <n v="34780801"/>
    <n v="2"/>
    <n v="22"/>
    <n v="643"/>
    <n v="89415176"/>
    <n v="175500"/>
    <s v="Medium"/>
    <s v="Hybrid"/>
    <n v="1"/>
    <n v="68.53"/>
    <n v="296710"/>
    <n v="1"/>
  </r>
  <r>
    <s v="Startup_4289"/>
    <x v="3"/>
    <n v="6"/>
    <n v="19261924"/>
    <n v="2"/>
    <n v="17"/>
    <n v="51"/>
    <n v="58885409"/>
    <n v="542584"/>
    <s v="Large"/>
    <s v="Hybrid"/>
    <n v="2"/>
    <n v="69.48"/>
    <n v="483254"/>
    <n v="1"/>
  </r>
  <r>
    <s v="Startup_4290"/>
    <x v="6"/>
    <n v="11"/>
    <n v="11016774"/>
    <n v="4"/>
    <n v="17"/>
    <n v="332"/>
    <n v="10197429"/>
    <n v="220158"/>
    <s v="Medium"/>
    <s v="Hybrid"/>
    <n v="6"/>
    <n v="88.81"/>
    <n v="660108"/>
    <n v="1"/>
  </r>
  <r>
    <s v="Startup_4291"/>
    <x v="3"/>
    <n v="2"/>
    <n v="37003052"/>
    <n v="2"/>
    <n v="5"/>
    <n v="43"/>
    <n v="39009039"/>
    <n v="69164"/>
    <s v="Small"/>
    <s v="Hybrid"/>
    <n v="1"/>
    <n v="47.72"/>
    <n v="654332"/>
    <n v="1"/>
  </r>
  <r>
    <s v="Startup_4292"/>
    <x v="0"/>
    <n v="6"/>
    <n v="23190519"/>
    <n v="4"/>
    <n v="2"/>
    <n v="805"/>
    <n v="83986025"/>
    <n v="911798"/>
    <s v="Medium"/>
    <s v="B2B"/>
    <n v="2"/>
    <n v="48.54"/>
    <n v="794641"/>
    <n v="1"/>
  </r>
  <r>
    <s v="Startup_4293"/>
    <x v="0"/>
    <n v="10"/>
    <n v="27219825"/>
    <n v="3"/>
    <n v="10"/>
    <n v="954"/>
    <n v="13860443"/>
    <n v="337349"/>
    <s v="Large"/>
    <s v="B2C"/>
    <n v="3"/>
    <n v="93.57"/>
    <n v="131422"/>
    <n v="1"/>
  </r>
  <r>
    <s v="Startup_4294"/>
    <x v="3"/>
    <n v="13"/>
    <n v="15960892"/>
    <n v="1"/>
    <n v="12"/>
    <n v="133"/>
    <n v="89606950"/>
    <n v="892340"/>
    <s v="Medium"/>
    <s v="B2C"/>
    <n v="1"/>
    <n v="96.46"/>
    <n v="368104"/>
    <n v="1"/>
  </r>
  <r>
    <s v="Startup_4295"/>
    <x v="3"/>
    <n v="9"/>
    <n v="15454834"/>
    <n v="2"/>
    <n v="8"/>
    <n v="474"/>
    <n v="13853667"/>
    <n v="923533"/>
    <s v="Small"/>
    <s v="B2C"/>
    <n v="2"/>
    <n v="34.840000000000003"/>
    <n v="263070"/>
    <n v="1"/>
  </r>
  <r>
    <s v="Startup_4296"/>
    <x v="0"/>
    <n v="8"/>
    <n v="44689799"/>
    <n v="3"/>
    <n v="18"/>
    <n v="792"/>
    <n v="38433456"/>
    <n v="236307"/>
    <s v="Large"/>
    <s v="B2C"/>
    <n v="4"/>
    <n v="70.260000000000005"/>
    <n v="343728"/>
    <n v="1"/>
  </r>
  <r>
    <s v="Startup_4297"/>
    <x v="5"/>
    <n v="9"/>
    <n v="4162160"/>
    <n v="1"/>
    <n v="14"/>
    <n v="833"/>
    <n v="91967436"/>
    <n v="305139"/>
    <s v="Large"/>
    <s v="Hybrid"/>
    <n v="9"/>
    <n v="99.28"/>
    <n v="176588"/>
    <n v="1"/>
  </r>
  <r>
    <s v="Startup_4298"/>
    <x v="2"/>
    <n v="9"/>
    <n v="32841663"/>
    <n v="2"/>
    <n v="21"/>
    <n v="208"/>
    <n v="73663377"/>
    <n v="825097"/>
    <s v="Large"/>
    <s v="B2B"/>
    <n v="7"/>
    <n v="64.010000000000005"/>
    <n v="862662"/>
    <n v="1"/>
  </r>
  <r>
    <s v="Startup_4299"/>
    <x v="0"/>
    <n v="1"/>
    <n v="36349382"/>
    <n v="2"/>
    <n v="23"/>
    <n v="323"/>
    <n v="66371679"/>
    <n v="38902"/>
    <s v="Small"/>
    <s v="B2B"/>
    <n v="3"/>
    <n v="89.52"/>
    <n v="925249"/>
    <n v="1"/>
  </r>
  <r>
    <s v="Startup_4300"/>
    <x v="4"/>
    <n v="11"/>
    <n v="49144406"/>
    <n v="2"/>
    <n v="1"/>
    <n v="880"/>
    <n v="75016049"/>
    <n v="918842"/>
    <s v="Small"/>
    <s v="B2C"/>
    <n v="7"/>
    <n v="68.959999999999994"/>
    <n v="369063"/>
    <n v="1"/>
  </r>
  <r>
    <s v="Startup_4301"/>
    <x v="5"/>
    <n v="0"/>
    <n v="6701800"/>
    <n v="2"/>
    <n v="21"/>
    <n v="972"/>
    <n v="72915697"/>
    <n v="466628"/>
    <s v="Medium"/>
    <s v="B2C"/>
    <n v="6"/>
    <n v="49.86"/>
    <n v="337086"/>
    <n v="1"/>
  </r>
  <r>
    <s v="Startup_4302"/>
    <x v="1"/>
    <n v="6"/>
    <n v="4685151"/>
    <n v="3"/>
    <n v="11"/>
    <n v="607"/>
    <n v="50613359"/>
    <n v="265151"/>
    <s v="Medium"/>
    <s v="Hybrid"/>
    <n v="1"/>
    <n v="35.6"/>
    <n v="708163"/>
    <n v="1"/>
  </r>
  <r>
    <s v="Startup_4303"/>
    <x v="6"/>
    <n v="6"/>
    <n v="24399834"/>
    <n v="2"/>
    <n v="16"/>
    <n v="220"/>
    <n v="39626855"/>
    <n v="192449"/>
    <s v="Large"/>
    <s v="B2C"/>
    <n v="8"/>
    <n v="16.93"/>
    <n v="58542"/>
    <n v="1"/>
  </r>
  <r>
    <s v="Startup_4304"/>
    <x v="3"/>
    <n v="11"/>
    <n v="37928207"/>
    <n v="1"/>
    <n v="22"/>
    <n v="682"/>
    <n v="87044250"/>
    <n v="395729"/>
    <s v="Small"/>
    <s v="B2C"/>
    <n v="2"/>
    <n v="98.57"/>
    <n v="959402"/>
    <n v="1"/>
  </r>
  <r>
    <s v="Startup_4305"/>
    <x v="6"/>
    <n v="11"/>
    <n v="23777566"/>
    <n v="3"/>
    <n v="2"/>
    <n v="31"/>
    <n v="62534656"/>
    <n v="632802"/>
    <s v="Small"/>
    <s v="B2B"/>
    <n v="2"/>
    <n v="71.41"/>
    <n v="761320"/>
    <n v="1"/>
  </r>
  <r>
    <s v="Startup_4306"/>
    <x v="6"/>
    <n v="6"/>
    <n v="30340314"/>
    <n v="4"/>
    <n v="28"/>
    <n v="70"/>
    <n v="84107737"/>
    <n v="779760"/>
    <s v="Large"/>
    <s v="Hybrid"/>
    <n v="8"/>
    <n v="31.38"/>
    <n v="407791"/>
    <n v="1"/>
  </r>
  <r>
    <s v="Startup_4307"/>
    <x v="5"/>
    <n v="3"/>
    <n v="42928721"/>
    <n v="1"/>
    <n v="1"/>
    <n v="681"/>
    <n v="51066925"/>
    <n v="591346"/>
    <s v="Medium"/>
    <s v="B2C"/>
    <n v="1"/>
    <n v="7.22"/>
    <n v="558648"/>
    <n v="1"/>
  </r>
  <r>
    <s v="Startup_4308"/>
    <x v="5"/>
    <n v="12"/>
    <n v="5023322"/>
    <n v="4"/>
    <n v="9"/>
    <n v="678"/>
    <n v="75781828"/>
    <n v="61702"/>
    <s v="Large"/>
    <s v="Hybrid"/>
    <n v="3"/>
    <n v="10.72"/>
    <n v="998758"/>
    <n v="1"/>
  </r>
  <r>
    <s v="Startup_4309"/>
    <x v="3"/>
    <n v="1"/>
    <n v="45415809"/>
    <n v="1"/>
    <n v="10"/>
    <n v="235"/>
    <n v="90899961"/>
    <n v="989932"/>
    <s v="Large"/>
    <s v="Hybrid"/>
    <n v="6"/>
    <n v="97.21"/>
    <n v="136349"/>
    <n v="1"/>
  </r>
  <r>
    <s v="Startup_4310"/>
    <x v="1"/>
    <n v="10"/>
    <n v="11743033"/>
    <n v="2"/>
    <n v="23"/>
    <n v="784"/>
    <n v="14645154"/>
    <n v="787661"/>
    <s v="Medium"/>
    <s v="B2B"/>
    <n v="3"/>
    <n v="96.62"/>
    <n v="635410"/>
    <n v="1"/>
  </r>
  <r>
    <s v="Startup_4311"/>
    <x v="5"/>
    <n v="11"/>
    <n v="41358609"/>
    <n v="3"/>
    <n v="20"/>
    <n v="460"/>
    <n v="26415578"/>
    <n v="719527"/>
    <s v="Medium"/>
    <s v="B2B"/>
    <n v="3"/>
    <n v="73.849999999999994"/>
    <n v="381009"/>
    <n v="1"/>
  </r>
  <r>
    <s v="Startup_4312"/>
    <x v="4"/>
    <n v="5"/>
    <n v="40330009"/>
    <n v="3"/>
    <n v="10"/>
    <n v="214"/>
    <n v="29183077"/>
    <n v="348378"/>
    <s v="Large"/>
    <s v="Hybrid"/>
    <n v="9"/>
    <n v="95.31"/>
    <n v="669426"/>
    <n v="1"/>
  </r>
  <r>
    <s v="Startup_4313"/>
    <x v="2"/>
    <n v="12"/>
    <n v="33428239"/>
    <n v="4"/>
    <n v="25"/>
    <n v="504"/>
    <n v="95516433"/>
    <n v="619386"/>
    <s v="Medium"/>
    <s v="B2B"/>
    <n v="9"/>
    <n v="9.5"/>
    <n v="417945"/>
    <n v="1"/>
  </r>
  <r>
    <s v="Startup_4314"/>
    <x v="0"/>
    <n v="1"/>
    <n v="47564073"/>
    <n v="3"/>
    <n v="25"/>
    <n v="214"/>
    <n v="97102682"/>
    <n v="774337"/>
    <s v="Large"/>
    <s v="B2C"/>
    <n v="8"/>
    <n v="67.91"/>
    <n v="915039"/>
    <n v="1"/>
  </r>
  <r>
    <s v="Startup_4315"/>
    <x v="3"/>
    <n v="11"/>
    <n v="33803985"/>
    <n v="3"/>
    <n v="5"/>
    <n v="705"/>
    <n v="14646777"/>
    <n v="637569"/>
    <s v="Small"/>
    <s v="B2B"/>
    <n v="7"/>
    <n v="55.85"/>
    <n v="405630"/>
    <n v="1"/>
  </r>
  <r>
    <s v="Startup_4316"/>
    <x v="0"/>
    <n v="13"/>
    <n v="11949777"/>
    <n v="4"/>
    <n v="18"/>
    <n v="148"/>
    <n v="27591394"/>
    <n v="138968"/>
    <s v="Large"/>
    <s v="B2B"/>
    <n v="8"/>
    <n v="67.3"/>
    <n v="221071"/>
    <n v="1"/>
  </r>
  <r>
    <s v="Startup_4317"/>
    <x v="4"/>
    <n v="14"/>
    <n v="12022855"/>
    <n v="4"/>
    <n v="22"/>
    <n v="142"/>
    <n v="18293457"/>
    <n v="294778"/>
    <s v="Large"/>
    <s v="B2B"/>
    <n v="5"/>
    <n v="30.71"/>
    <n v="235979"/>
    <n v="1"/>
  </r>
  <r>
    <s v="Startup_4318"/>
    <x v="4"/>
    <n v="14"/>
    <n v="19303438"/>
    <n v="3"/>
    <n v="13"/>
    <n v="631"/>
    <n v="54592109"/>
    <n v="827505"/>
    <s v="Medium"/>
    <s v="B2C"/>
    <n v="5"/>
    <n v="39.270000000000003"/>
    <n v="632462"/>
    <n v="1"/>
  </r>
  <r>
    <s v="Startup_4319"/>
    <x v="2"/>
    <n v="3"/>
    <n v="27407561"/>
    <n v="4"/>
    <n v="28"/>
    <n v="204"/>
    <n v="29749869"/>
    <n v="827508"/>
    <s v="Medium"/>
    <s v="Hybrid"/>
    <n v="6"/>
    <n v="94.68"/>
    <n v="382298"/>
    <n v="1"/>
  </r>
  <r>
    <s v="Startup_4320"/>
    <x v="6"/>
    <n v="9"/>
    <n v="5714755"/>
    <n v="4"/>
    <n v="25"/>
    <n v="694"/>
    <n v="50779929"/>
    <n v="202413"/>
    <s v="Medium"/>
    <s v="B2B"/>
    <n v="2"/>
    <n v="40.159999999999997"/>
    <n v="207207"/>
    <n v="1"/>
  </r>
  <r>
    <s v="Startup_4321"/>
    <x v="6"/>
    <n v="12"/>
    <n v="30018262"/>
    <n v="2"/>
    <n v="16"/>
    <n v="462"/>
    <n v="86592856"/>
    <n v="373870"/>
    <s v="Medium"/>
    <s v="Hybrid"/>
    <n v="8"/>
    <n v="53.38"/>
    <n v="289505"/>
    <n v="1"/>
  </r>
  <r>
    <s v="Startup_4322"/>
    <x v="0"/>
    <n v="13"/>
    <n v="5017393"/>
    <n v="1"/>
    <n v="28"/>
    <n v="749"/>
    <n v="19951301"/>
    <n v="105039"/>
    <s v="Medium"/>
    <s v="B2B"/>
    <n v="5"/>
    <n v="40.94"/>
    <n v="448450"/>
    <n v="1"/>
  </r>
  <r>
    <s v="Startup_4323"/>
    <x v="3"/>
    <n v="7"/>
    <n v="22035372"/>
    <n v="1"/>
    <n v="21"/>
    <n v="948"/>
    <n v="95559304"/>
    <n v="845957"/>
    <s v="Medium"/>
    <s v="B2C"/>
    <n v="4"/>
    <n v="43.33"/>
    <n v="372571"/>
    <n v="1"/>
  </r>
  <r>
    <s v="Startup_4324"/>
    <x v="2"/>
    <n v="4"/>
    <n v="11646026"/>
    <n v="3"/>
    <n v="9"/>
    <n v="152"/>
    <n v="9064651"/>
    <n v="47116"/>
    <s v="Medium"/>
    <s v="B2B"/>
    <n v="2"/>
    <n v="62.49"/>
    <n v="308768"/>
    <n v="1"/>
  </r>
  <r>
    <s v="Startup_4325"/>
    <x v="6"/>
    <n v="12"/>
    <n v="46523786"/>
    <n v="4"/>
    <n v="6"/>
    <n v="314"/>
    <n v="92859240"/>
    <n v="759288"/>
    <s v="Small"/>
    <s v="B2C"/>
    <n v="7"/>
    <n v="39.130000000000003"/>
    <n v="555022"/>
    <n v="1"/>
  </r>
  <r>
    <s v="Startup_4326"/>
    <x v="5"/>
    <n v="8"/>
    <n v="8864558"/>
    <n v="1"/>
    <n v="18"/>
    <n v="933"/>
    <n v="51720645"/>
    <n v="299620"/>
    <s v="Large"/>
    <s v="B2B"/>
    <n v="8"/>
    <n v="38.659999999999997"/>
    <n v="182007"/>
    <n v="1"/>
  </r>
  <r>
    <s v="Startup_4327"/>
    <x v="2"/>
    <n v="11"/>
    <n v="7560068"/>
    <n v="2"/>
    <n v="28"/>
    <n v="487"/>
    <n v="47966788"/>
    <n v="353633"/>
    <s v="Medium"/>
    <s v="Hybrid"/>
    <n v="7"/>
    <n v="49.24"/>
    <n v="32469"/>
    <n v="1"/>
  </r>
  <r>
    <s v="Startup_4328"/>
    <x v="3"/>
    <n v="4"/>
    <n v="27281316"/>
    <n v="1"/>
    <n v="26"/>
    <n v="254"/>
    <n v="36812784"/>
    <n v="680315"/>
    <s v="Small"/>
    <s v="B2C"/>
    <n v="9"/>
    <n v="41.74"/>
    <n v="966390"/>
    <n v="1"/>
  </r>
  <r>
    <s v="Startup_4329"/>
    <x v="6"/>
    <n v="1"/>
    <n v="15468256"/>
    <n v="3"/>
    <n v="12"/>
    <n v="222"/>
    <n v="89309346"/>
    <n v="386234"/>
    <s v="Medium"/>
    <s v="B2B"/>
    <n v="3"/>
    <n v="89.99"/>
    <n v="730765"/>
    <n v="1"/>
  </r>
  <r>
    <s v="Startup_4330"/>
    <x v="4"/>
    <n v="0"/>
    <n v="37531794"/>
    <n v="2"/>
    <n v="3"/>
    <n v="700"/>
    <n v="49538024"/>
    <n v="143480"/>
    <s v="Small"/>
    <s v="B2B"/>
    <n v="9"/>
    <n v="77.430000000000007"/>
    <n v="967592"/>
    <n v="1"/>
  </r>
  <r>
    <s v="Startup_4331"/>
    <x v="1"/>
    <n v="9"/>
    <n v="5593112"/>
    <n v="4"/>
    <n v="28"/>
    <n v="225"/>
    <n v="48335955"/>
    <n v="792867"/>
    <s v="Medium"/>
    <s v="B2C"/>
    <n v="6"/>
    <n v="75.86"/>
    <n v="794236"/>
    <n v="1"/>
  </r>
  <r>
    <s v="Startup_4332"/>
    <x v="0"/>
    <n v="13"/>
    <n v="28680673"/>
    <n v="4"/>
    <n v="24"/>
    <n v="876"/>
    <n v="79321324"/>
    <n v="552318"/>
    <s v="Medium"/>
    <s v="B2B"/>
    <n v="1"/>
    <n v="91.42"/>
    <n v="257216"/>
    <n v="1"/>
  </r>
  <r>
    <s v="Startup_4333"/>
    <x v="6"/>
    <n v="1"/>
    <n v="26148660"/>
    <n v="1"/>
    <n v="23"/>
    <n v="891"/>
    <n v="88804514"/>
    <n v="507332"/>
    <s v="Small"/>
    <s v="B2B"/>
    <n v="6"/>
    <n v="25.6"/>
    <n v="526216"/>
    <n v="1"/>
  </r>
  <r>
    <s v="Startup_4334"/>
    <x v="3"/>
    <n v="0"/>
    <n v="30698103"/>
    <n v="1"/>
    <n v="20"/>
    <n v="571"/>
    <n v="2087335"/>
    <n v="619088"/>
    <s v="Large"/>
    <s v="B2B"/>
    <n v="9"/>
    <n v="18.91"/>
    <n v="834315"/>
    <n v="1"/>
  </r>
  <r>
    <s v="Startup_4335"/>
    <x v="0"/>
    <n v="13"/>
    <n v="19860849"/>
    <n v="1"/>
    <n v="21"/>
    <n v="67"/>
    <n v="12895961"/>
    <n v="15772"/>
    <s v="Small"/>
    <s v="B2C"/>
    <n v="3"/>
    <n v="44.16"/>
    <n v="762633"/>
    <n v="1"/>
  </r>
  <r>
    <s v="Startup_4336"/>
    <x v="0"/>
    <n v="7"/>
    <n v="16272372"/>
    <n v="4"/>
    <n v="14"/>
    <n v="290"/>
    <n v="99478295"/>
    <n v="532440"/>
    <s v="Large"/>
    <s v="B2C"/>
    <n v="2"/>
    <n v="20.78"/>
    <n v="915266"/>
    <n v="1"/>
  </r>
  <r>
    <s v="Startup_4337"/>
    <x v="5"/>
    <n v="11"/>
    <n v="17056585"/>
    <n v="3"/>
    <n v="13"/>
    <n v="476"/>
    <n v="82689749"/>
    <n v="495005"/>
    <s v="Large"/>
    <s v="B2B"/>
    <n v="6"/>
    <n v="90.55"/>
    <n v="239597"/>
    <n v="1"/>
  </r>
  <r>
    <s v="Startup_4338"/>
    <x v="1"/>
    <n v="9"/>
    <n v="8585044"/>
    <n v="1"/>
    <n v="12"/>
    <n v="340"/>
    <n v="54395365"/>
    <n v="492122"/>
    <s v="Medium"/>
    <s v="B2C"/>
    <n v="9"/>
    <n v="62.91"/>
    <n v="902961"/>
    <n v="1"/>
  </r>
  <r>
    <s v="Startup_4339"/>
    <x v="0"/>
    <n v="5"/>
    <n v="27406827"/>
    <n v="2"/>
    <n v="2"/>
    <n v="920"/>
    <n v="54577738"/>
    <n v="172572"/>
    <s v="Medium"/>
    <s v="B2C"/>
    <n v="3"/>
    <n v="31.69"/>
    <n v="59444"/>
    <n v="1"/>
  </r>
  <r>
    <s v="Startup_4340"/>
    <x v="5"/>
    <n v="0"/>
    <n v="21914736"/>
    <n v="3"/>
    <n v="17"/>
    <n v="347"/>
    <n v="56836623"/>
    <n v="638627"/>
    <s v="Medium"/>
    <s v="Hybrid"/>
    <n v="9"/>
    <n v="7.47"/>
    <n v="196693"/>
    <n v="1"/>
  </r>
  <r>
    <s v="Startup_4341"/>
    <x v="4"/>
    <n v="13"/>
    <n v="35975354"/>
    <n v="3"/>
    <n v="3"/>
    <n v="977"/>
    <n v="90527446"/>
    <n v="266514"/>
    <s v="Medium"/>
    <s v="Hybrid"/>
    <n v="7"/>
    <n v="52.14"/>
    <n v="568806"/>
    <n v="1"/>
  </r>
  <r>
    <s v="Startup_4342"/>
    <x v="5"/>
    <n v="11"/>
    <n v="9626395"/>
    <n v="1"/>
    <n v="13"/>
    <n v="986"/>
    <n v="21277431"/>
    <n v="499871"/>
    <s v="Medium"/>
    <s v="B2B"/>
    <n v="4"/>
    <n v="7.47"/>
    <n v="626746"/>
    <n v="1"/>
  </r>
  <r>
    <s v="Startup_4343"/>
    <x v="0"/>
    <n v="3"/>
    <n v="20046862"/>
    <n v="4"/>
    <n v="7"/>
    <n v="30"/>
    <n v="20401492"/>
    <n v="750292"/>
    <s v="Medium"/>
    <s v="B2C"/>
    <n v="7"/>
    <n v="15.54"/>
    <n v="808437"/>
    <n v="1"/>
  </r>
  <r>
    <s v="Startup_4344"/>
    <x v="5"/>
    <n v="13"/>
    <n v="5656859"/>
    <n v="4"/>
    <n v="6"/>
    <n v="592"/>
    <n v="45852465"/>
    <n v="106151"/>
    <s v="Medium"/>
    <s v="B2C"/>
    <n v="2"/>
    <n v="71.010000000000005"/>
    <n v="996578"/>
    <n v="1"/>
  </r>
  <r>
    <s v="Startup_4345"/>
    <x v="3"/>
    <n v="5"/>
    <n v="24374722"/>
    <n v="3"/>
    <n v="18"/>
    <n v="661"/>
    <n v="73865105"/>
    <n v="314467"/>
    <s v="Small"/>
    <s v="B2C"/>
    <n v="8"/>
    <n v="77.900000000000006"/>
    <n v="603251"/>
    <n v="1"/>
  </r>
  <r>
    <s v="Startup_4346"/>
    <x v="2"/>
    <n v="7"/>
    <n v="29006429"/>
    <n v="3"/>
    <n v="11"/>
    <n v="846"/>
    <n v="10884097"/>
    <n v="267309"/>
    <s v="Large"/>
    <s v="B2C"/>
    <n v="4"/>
    <n v="74.97"/>
    <n v="58443"/>
    <n v="1"/>
  </r>
  <r>
    <s v="Startup_4347"/>
    <x v="6"/>
    <n v="2"/>
    <n v="4502958"/>
    <n v="2"/>
    <n v="11"/>
    <n v="379"/>
    <n v="95570674"/>
    <n v="810392"/>
    <s v="Medium"/>
    <s v="B2C"/>
    <n v="2"/>
    <n v="8.5500000000000007"/>
    <n v="646761"/>
    <n v="1"/>
  </r>
  <r>
    <s v="Startup_4348"/>
    <x v="5"/>
    <n v="10"/>
    <n v="12876438"/>
    <n v="2"/>
    <n v="15"/>
    <n v="919"/>
    <n v="3495778"/>
    <n v="132928"/>
    <s v="Small"/>
    <s v="Hybrid"/>
    <n v="2"/>
    <n v="53.27"/>
    <n v="69662"/>
    <n v="1"/>
  </r>
  <r>
    <s v="Startup_4349"/>
    <x v="3"/>
    <n v="0"/>
    <n v="33305890"/>
    <n v="1"/>
    <n v="5"/>
    <n v="482"/>
    <n v="73053178"/>
    <n v="727585"/>
    <s v="Large"/>
    <s v="B2C"/>
    <n v="7"/>
    <n v="25.57"/>
    <n v="281929"/>
    <n v="1"/>
  </r>
  <r>
    <s v="Startup_4350"/>
    <x v="4"/>
    <n v="9"/>
    <n v="37249731"/>
    <n v="1"/>
    <n v="23"/>
    <n v="822"/>
    <n v="25816518"/>
    <n v="350194"/>
    <s v="Large"/>
    <s v="B2C"/>
    <n v="5"/>
    <n v="56.16"/>
    <n v="612515"/>
    <n v="1"/>
  </r>
  <r>
    <s v="Startup_4351"/>
    <x v="1"/>
    <n v="12"/>
    <n v="18347571"/>
    <n v="2"/>
    <n v="2"/>
    <n v="136"/>
    <n v="44027985"/>
    <n v="368500"/>
    <s v="Large"/>
    <s v="B2B"/>
    <n v="4"/>
    <n v="14.36"/>
    <n v="482085"/>
    <n v="1"/>
  </r>
  <r>
    <s v="Startup_4352"/>
    <x v="2"/>
    <n v="9"/>
    <n v="36155869"/>
    <n v="1"/>
    <n v="5"/>
    <n v="259"/>
    <n v="10500873"/>
    <n v="406633"/>
    <s v="Small"/>
    <s v="B2B"/>
    <n v="4"/>
    <n v="15.81"/>
    <n v="147013"/>
    <n v="1"/>
  </r>
  <r>
    <s v="Startup_4353"/>
    <x v="4"/>
    <n v="8"/>
    <n v="426974"/>
    <n v="2"/>
    <n v="1"/>
    <n v="60"/>
    <n v="2933602"/>
    <n v="431812"/>
    <s v="Medium"/>
    <s v="Hybrid"/>
    <n v="1"/>
    <n v="97.97"/>
    <n v="319648"/>
    <n v="1"/>
  </r>
  <r>
    <s v="Startup_4354"/>
    <x v="3"/>
    <n v="7"/>
    <n v="48444018"/>
    <n v="3"/>
    <n v="26"/>
    <n v="976"/>
    <n v="14655062"/>
    <n v="369974"/>
    <s v="Small"/>
    <s v="B2C"/>
    <n v="5"/>
    <n v="78.459999999999994"/>
    <n v="235731"/>
    <n v="1"/>
  </r>
  <r>
    <s v="Startup_4355"/>
    <x v="1"/>
    <n v="7"/>
    <n v="44342046"/>
    <n v="2"/>
    <n v="28"/>
    <n v="612"/>
    <n v="35226080"/>
    <n v="97151"/>
    <s v="Small"/>
    <s v="B2C"/>
    <n v="3"/>
    <n v="4.41"/>
    <n v="604752"/>
    <n v="1"/>
  </r>
  <r>
    <s v="Startup_4356"/>
    <x v="4"/>
    <n v="0"/>
    <n v="9045932"/>
    <n v="3"/>
    <n v="20"/>
    <n v="468"/>
    <n v="7910936"/>
    <n v="551276"/>
    <s v="Medium"/>
    <s v="B2C"/>
    <n v="5"/>
    <n v="93.03"/>
    <n v="838657"/>
    <n v="1"/>
  </r>
  <r>
    <s v="Startup_4357"/>
    <x v="3"/>
    <n v="2"/>
    <n v="14882156"/>
    <n v="3"/>
    <n v="19"/>
    <n v="124"/>
    <n v="41801556"/>
    <n v="109026"/>
    <s v="Large"/>
    <s v="B2C"/>
    <n v="2"/>
    <n v="51.37"/>
    <n v="492330"/>
    <n v="1"/>
  </r>
  <r>
    <s v="Startup_4358"/>
    <x v="0"/>
    <n v="7"/>
    <n v="21944688"/>
    <n v="1"/>
    <n v="0"/>
    <n v="700"/>
    <n v="65503697"/>
    <n v="457958"/>
    <s v="Medium"/>
    <s v="Hybrid"/>
    <n v="4"/>
    <n v="1.35"/>
    <n v="46777"/>
    <n v="1"/>
  </r>
  <r>
    <s v="Startup_4359"/>
    <x v="4"/>
    <n v="13"/>
    <n v="19833211"/>
    <n v="2"/>
    <n v="22"/>
    <n v="576"/>
    <n v="86601100"/>
    <n v="807307"/>
    <s v="Medium"/>
    <s v="B2C"/>
    <n v="7"/>
    <n v="68.31"/>
    <n v="304667"/>
    <n v="1"/>
  </r>
  <r>
    <s v="Startup_4360"/>
    <x v="3"/>
    <n v="3"/>
    <n v="43860732"/>
    <n v="3"/>
    <n v="15"/>
    <n v="62"/>
    <n v="46699670"/>
    <n v="934562"/>
    <s v="Medium"/>
    <s v="B2C"/>
    <n v="4"/>
    <n v="2.77"/>
    <n v="420651"/>
    <n v="1"/>
  </r>
  <r>
    <s v="Startup_4361"/>
    <x v="6"/>
    <n v="3"/>
    <n v="26719953"/>
    <n v="2"/>
    <n v="23"/>
    <n v="359"/>
    <n v="99076114"/>
    <n v="932379"/>
    <s v="Large"/>
    <s v="Hybrid"/>
    <n v="4"/>
    <n v="89.48"/>
    <n v="556985"/>
    <n v="1"/>
  </r>
  <r>
    <s v="Startup_4362"/>
    <x v="0"/>
    <n v="4"/>
    <n v="24794389"/>
    <n v="4"/>
    <n v="24"/>
    <n v="948"/>
    <n v="59370727"/>
    <n v="69114"/>
    <s v="Small"/>
    <s v="B2B"/>
    <n v="5"/>
    <n v="79.430000000000007"/>
    <n v="156070"/>
    <n v="1"/>
  </r>
  <r>
    <s v="Startup_4363"/>
    <x v="5"/>
    <n v="5"/>
    <n v="19649863"/>
    <n v="2"/>
    <n v="6"/>
    <n v="385"/>
    <n v="4911291"/>
    <n v="24591"/>
    <s v="Small"/>
    <s v="Hybrid"/>
    <n v="7"/>
    <n v="90.98"/>
    <n v="7200"/>
    <n v="1"/>
  </r>
  <r>
    <s v="Startup_4364"/>
    <x v="0"/>
    <n v="7"/>
    <n v="40905888"/>
    <n v="1"/>
    <n v="22"/>
    <n v="407"/>
    <n v="42493590"/>
    <n v="501586"/>
    <s v="Small"/>
    <s v="B2B"/>
    <n v="7"/>
    <n v="23.64"/>
    <n v="956814"/>
    <n v="1"/>
  </r>
  <r>
    <s v="Startup_4365"/>
    <x v="1"/>
    <n v="10"/>
    <n v="5029039"/>
    <n v="4"/>
    <n v="6"/>
    <n v="51"/>
    <n v="44122441"/>
    <n v="519895"/>
    <s v="Large"/>
    <s v="B2B"/>
    <n v="5"/>
    <n v="0.92"/>
    <n v="604737"/>
    <n v="1"/>
  </r>
  <r>
    <s v="Startup_4366"/>
    <x v="6"/>
    <n v="3"/>
    <n v="41609420"/>
    <n v="2"/>
    <n v="17"/>
    <n v="974"/>
    <n v="3189064"/>
    <n v="499949"/>
    <s v="Small"/>
    <s v="Hybrid"/>
    <n v="4"/>
    <n v="40.15"/>
    <n v="572879"/>
    <n v="1"/>
  </r>
  <r>
    <s v="Startup_4367"/>
    <x v="0"/>
    <n v="13"/>
    <n v="16156066"/>
    <n v="2"/>
    <n v="8"/>
    <n v="785"/>
    <n v="76596747"/>
    <n v="348408"/>
    <s v="Large"/>
    <s v="Hybrid"/>
    <n v="1"/>
    <n v="14.48"/>
    <n v="501116"/>
    <n v="1"/>
  </r>
  <r>
    <s v="Startup_4368"/>
    <x v="3"/>
    <n v="3"/>
    <n v="46067983"/>
    <n v="1"/>
    <n v="21"/>
    <n v="310"/>
    <n v="14752416"/>
    <n v="361024"/>
    <s v="Small"/>
    <s v="Hybrid"/>
    <n v="8"/>
    <n v="7.1"/>
    <n v="521291"/>
    <n v="1"/>
  </r>
  <r>
    <s v="Startup_4369"/>
    <x v="0"/>
    <n v="8"/>
    <n v="256216"/>
    <n v="1"/>
    <n v="25"/>
    <n v="414"/>
    <n v="3663528"/>
    <n v="837655"/>
    <s v="Large"/>
    <s v="Hybrid"/>
    <n v="2"/>
    <n v="79.91"/>
    <n v="515651"/>
    <n v="1"/>
  </r>
  <r>
    <s v="Startup_4370"/>
    <x v="1"/>
    <n v="1"/>
    <n v="8803835"/>
    <n v="4"/>
    <n v="27"/>
    <n v="659"/>
    <n v="23716731"/>
    <n v="889625"/>
    <s v="Small"/>
    <s v="Hybrid"/>
    <n v="1"/>
    <n v="51.95"/>
    <n v="575565"/>
    <n v="1"/>
  </r>
  <r>
    <s v="Startup_4371"/>
    <x v="2"/>
    <n v="2"/>
    <n v="1579414"/>
    <n v="1"/>
    <n v="25"/>
    <n v="20"/>
    <n v="68893683"/>
    <n v="854217"/>
    <s v="Small"/>
    <s v="B2C"/>
    <n v="6"/>
    <n v="20.88"/>
    <n v="473231"/>
    <n v="1"/>
  </r>
  <r>
    <s v="Startup_4372"/>
    <x v="6"/>
    <n v="6"/>
    <n v="49946259"/>
    <n v="1"/>
    <n v="25"/>
    <n v="68"/>
    <n v="62804002"/>
    <n v="970396"/>
    <s v="Small"/>
    <s v="B2B"/>
    <n v="5"/>
    <n v="24.37"/>
    <n v="886242"/>
    <n v="1"/>
  </r>
  <r>
    <s v="Startup_4373"/>
    <x v="5"/>
    <n v="3"/>
    <n v="20915930"/>
    <n v="3"/>
    <n v="12"/>
    <n v="390"/>
    <n v="96271393"/>
    <n v="637860"/>
    <s v="Large"/>
    <s v="B2C"/>
    <n v="2"/>
    <n v="17.440000000000001"/>
    <n v="114440"/>
    <n v="1"/>
  </r>
  <r>
    <s v="Startup_4374"/>
    <x v="3"/>
    <n v="12"/>
    <n v="661865"/>
    <n v="2"/>
    <n v="11"/>
    <n v="568"/>
    <n v="41278193"/>
    <n v="63417"/>
    <s v="Medium"/>
    <s v="B2C"/>
    <n v="3"/>
    <n v="19.11"/>
    <n v="495269"/>
    <n v="1"/>
  </r>
  <r>
    <s v="Startup_4375"/>
    <x v="2"/>
    <n v="7"/>
    <n v="42653229"/>
    <n v="2"/>
    <n v="10"/>
    <n v="188"/>
    <n v="51084309"/>
    <n v="356837"/>
    <s v="Large"/>
    <s v="B2C"/>
    <n v="3"/>
    <n v="52.2"/>
    <n v="240995"/>
    <n v="1"/>
  </r>
  <r>
    <s v="Startup_4376"/>
    <x v="3"/>
    <n v="6"/>
    <n v="5572466"/>
    <n v="4"/>
    <n v="3"/>
    <n v="26"/>
    <n v="27999539"/>
    <n v="393941"/>
    <s v="Small"/>
    <s v="B2C"/>
    <n v="3"/>
    <n v="94.15"/>
    <n v="893225"/>
    <n v="1"/>
  </r>
  <r>
    <s v="Startup_4377"/>
    <x v="3"/>
    <n v="11"/>
    <n v="40503411"/>
    <n v="3"/>
    <n v="23"/>
    <n v="767"/>
    <n v="65781507"/>
    <n v="525175"/>
    <s v="Large"/>
    <s v="Hybrid"/>
    <n v="3"/>
    <n v="3.15"/>
    <n v="898884"/>
    <n v="1"/>
  </r>
  <r>
    <s v="Startup_4378"/>
    <x v="0"/>
    <n v="2"/>
    <n v="29365989"/>
    <n v="2"/>
    <n v="22"/>
    <n v="972"/>
    <n v="23161452"/>
    <n v="986302"/>
    <s v="Small"/>
    <s v="B2C"/>
    <n v="1"/>
    <n v="18.91"/>
    <n v="22292"/>
    <n v="1"/>
  </r>
  <r>
    <s v="Startup_4379"/>
    <x v="2"/>
    <n v="0"/>
    <n v="26179015"/>
    <n v="3"/>
    <n v="13"/>
    <n v="412"/>
    <n v="22986793"/>
    <n v="270790"/>
    <s v="Large"/>
    <s v="B2C"/>
    <n v="5"/>
    <n v="52.47"/>
    <n v="931785"/>
    <n v="1"/>
  </r>
  <r>
    <s v="Startup_4380"/>
    <x v="5"/>
    <n v="2"/>
    <n v="44963808"/>
    <n v="4"/>
    <n v="0"/>
    <n v="133"/>
    <n v="17031147"/>
    <n v="364891"/>
    <s v="Large"/>
    <s v="B2B"/>
    <n v="9"/>
    <n v="22.73"/>
    <n v="127476"/>
    <n v="1"/>
  </r>
  <r>
    <s v="Startup_4381"/>
    <x v="6"/>
    <n v="8"/>
    <n v="24641169"/>
    <n v="2"/>
    <n v="4"/>
    <n v="114"/>
    <n v="91186346"/>
    <n v="428835"/>
    <s v="Large"/>
    <s v="B2B"/>
    <n v="2"/>
    <n v="43.62"/>
    <n v="337953"/>
    <n v="1"/>
  </r>
  <r>
    <s v="Startup_4382"/>
    <x v="0"/>
    <n v="4"/>
    <n v="1564322"/>
    <n v="2"/>
    <n v="20"/>
    <n v="903"/>
    <n v="33782340"/>
    <n v="332420"/>
    <s v="Large"/>
    <s v="B2B"/>
    <n v="1"/>
    <n v="78.06"/>
    <n v="191289"/>
    <n v="1"/>
  </r>
  <r>
    <s v="Startup_4383"/>
    <x v="0"/>
    <n v="13"/>
    <n v="10756767"/>
    <n v="1"/>
    <n v="20"/>
    <n v="978"/>
    <n v="40157094"/>
    <n v="352355"/>
    <s v="Small"/>
    <s v="B2B"/>
    <n v="6"/>
    <n v="78.95"/>
    <n v="119813"/>
    <n v="1"/>
  </r>
  <r>
    <s v="Startup_4384"/>
    <x v="4"/>
    <n v="11"/>
    <n v="10675350"/>
    <n v="3"/>
    <n v="28"/>
    <n v="662"/>
    <n v="36215730"/>
    <n v="602921"/>
    <s v="Medium"/>
    <s v="Hybrid"/>
    <n v="8"/>
    <n v="84.54"/>
    <n v="617741"/>
    <n v="1"/>
  </r>
  <r>
    <s v="Startup_4385"/>
    <x v="0"/>
    <n v="9"/>
    <n v="13811188"/>
    <n v="4"/>
    <n v="11"/>
    <n v="236"/>
    <n v="74673960"/>
    <n v="709576"/>
    <s v="Large"/>
    <s v="B2C"/>
    <n v="3"/>
    <n v="17.68"/>
    <n v="994314"/>
    <n v="1"/>
  </r>
  <r>
    <s v="Startup_4386"/>
    <x v="1"/>
    <n v="5"/>
    <n v="5417394"/>
    <n v="3"/>
    <n v="2"/>
    <n v="162"/>
    <n v="74298977"/>
    <n v="503293"/>
    <s v="Large"/>
    <s v="Hybrid"/>
    <n v="9"/>
    <n v="72.77"/>
    <n v="231480"/>
    <n v="1"/>
  </r>
  <r>
    <s v="Startup_4387"/>
    <x v="0"/>
    <n v="4"/>
    <n v="29054474"/>
    <n v="2"/>
    <n v="10"/>
    <n v="353"/>
    <n v="40556472"/>
    <n v="818967"/>
    <s v="Small"/>
    <s v="B2B"/>
    <n v="4"/>
    <n v="75.98"/>
    <n v="181398"/>
    <n v="1"/>
  </r>
  <r>
    <s v="Startup_4388"/>
    <x v="2"/>
    <n v="3"/>
    <n v="33486868"/>
    <n v="4"/>
    <n v="19"/>
    <n v="416"/>
    <n v="74514536"/>
    <n v="697302"/>
    <s v="Medium"/>
    <s v="B2C"/>
    <n v="9"/>
    <n v="65.86"/>
    <n v="107572"/>
    <n v="1"/>
  </r>
  <r>
    <s v="Startup_4389"/>
    <x v="0"/>
    <n v="12"/>
    <n v="6051869"/>
    <n v="3"/>
    <n v="29"/>
    <n v="422"/>
    <n v="43360628"/>
    <n v="64964"/>
    <s v="Large"/>
    <s v="B2B"/>
    <n v="2"/>
    <n v="24.17"/>
    <n v="767644"/>
    <n v="1"/>
  </r>
  <r>
    <s v="Startup_4390"/>
    <x v="3"/>
    <n v="13"/>
    <n v="46573013"/>
    <n v="3"/>
    <n v="6"/>
    <n v="687"/>
    <n v="62772308"/>
    <n v="975121"/>
    <s v="Small"/>
    <s v="Hybrid"/>
    <n v="5"/>
    <n v="10.26"/>
    <n v="830009"/>
    <n v="1"/>
  </r>
  <r>
    <s v="Startup_4391"/>
    <x v="1"/>
    <n v="12"/>
    <n v="36147749"/>
    <n v="1"/>
    <n v="2"/>
    <n v="132"/>
    <n v="17999897"/>
    <n v="914634"/>
    <s v="Large"/>
    <s v="B2B"/>
    <n v="5"/>
    <n v="7.36"/>
    <n v="679710"/>
    <n v="1"/>
  </r>
  <r>
    <s v="Startup_4392"/>
    <x v="3"/>
    <n v="5"/>
    <n v="5264515"/>
    <n v="2"/>
    <n v="15"/>
    <n v="553"/>
    <n v="27277978"/>
    <n v="642711"/>
    <s v="Medium"/>
    <s v="B2C"/>
    <n v="1"/>
    <n v="57.73"/>
    <n v="84919"/>
    <n v="1"/>
  </r>
  <r>
    <s v="Startup_4393"/>
    <x v="5"/>
    <n v="5"/>
    <n v="42819209"/>
    <n v="1"/>
    <n v="5"/>
    <n v="37"/>
    <n v="38682164"/>
    <n v="602100"/>
    <s v="Medium"/>
    <s v="B2C"/>
    <n v="4"/>
    <n v="16.05"/>
    <n v="951332"/>
    <n v="1"/>
  </r>
  <r>
    <s v="Startup_4394"/>
    <x v="0"/>
    <n v="2"/>
    <n v="28013061"/>
    <n v="3"/>
    <n v="25"/>
    <n v="740"/>
    <n v="84295313"/>
    <n v="718848"/>
    <s v="Small"/>
    <s v="B2B"/>
    <n v="6"/>
    <n v="49.94"/>
    <n v="278462"/>
    <n v="1"/>
  </r>
  <r>
    <s v="Startup_4395"/>
    <x v="0"/>
    <n v="12"/>
    <n v="14170251"/>
    <n v="3"/>
    <n v="27"/>
    <n v="796"/>
    <n v="37223888"/>
    <n v="596062"/>
    <s v="Small"/>
    <s v="Hybrid"/>
    <n v="5"/>
    <n v="80.08"/>
    <n v="228325"/>
    <n v="1"/>
  </r>
  <r>
    <s v="Startup_4396"/>
    <x v="5"/>
    <n v="13"/>
    <n v="2006058"/>
    <n v="3"/>
    <n v="3"/>
    <n v="169"/>
    <n v="1764719"/>
    <n v="464949"/>
    <s v="Small"/>
    <s v="Hybrid"/>
    <n v="9"/>
    <n v="85.71"/>
    <n v="681212"/>
    <n v="1"/>
  </r>
  <r>
    <s v="Startup_4397"/>
    <x v="6"/>
    <n v="13"/>
    <n v="16352724"/>
    <n v="2"/>
    <n v="20"/>
    <n v="742"/>
    <n v="66179858"/>
    <n v="544673"/>
    <s v="Large"/>
    <s v="B2C"/>
    <n v="7"/>
    <n v="77.040000000000006"/>
    <n v="947511"/>
    <n v="1"/>
  </r>
  <r>
    <s v="Startup_4398"/>
    <x v="2"/>
    <n v="6"/>
    <n v="36860591"/>
    <n v="4"/>
    <n v="25"/>
    <n v="568"/>
    <n v="50158689"/>
    <n v="728709"/>
    <s v="Small"/>
    <s v="Hybrid"/>
    <n v="9"/>
    <n v="41.5"/>
    <n v="401632"/>
    <n v="1"/>
  </r>
  <r>
    <s v="Startup_4399"/>
    <x v="2"/>
    <n v="9"/>
    <n v="31249460"/>
    <n v="3"/>
    <n v="29"/>
    <n v="589"/>
    <n v="90837138"/>
    <n v="370407"/>
    <s v="Medium"/>
    <s v="B2C"/>
    <n v="8"/>
    <n v="90.27"/>
    <n v="736308"/>
    <n v="1"/>
  </r>
  <r>
    <s v="Startup_4400"/>
    <x v="2"/>
    <n v="12"/>
    <n v="34333664"/>
    <n v="4"/>
    <n v="23"/>
    <n v="150"/>
    <n v="85593126"/>
    <n v="467106"/>
    <s v="Medium"/>
    <s v="B2B"/>
    <n v="8"/>
    <n v="85.58"/>
    <n v="971732"/>
    <n v="1"/>
  </r>
  <r>
    <s v="Startup_4401"/>
    <x v="0"/>
    <n v="10"/>
    <n v="7987541"/>
    <n v="2"/>
    <n v="23"/>
    <n v="175"/>
    <n v="88576106"/>
    <n v="774006"/>
    <s v="Medium"/>
    <s v="Hybrid"/>
    <n v="2"/>
    <n v="51.92"/>
    <n v="667162"/>
    <n v="1"/>
  </r>
  <r>
    <s v="Startup_4402"/>
    <x v="4"/>
    <n v="9"/>
    <n v="22130715"/>
    <n v="1"/>
    <n v="27"/>
    <n v="958"/>
    <n v="43119673"/>
    <n v="769408"/>
    <s v="Small"/>
    <s v="B2C"/>
    <n v="4"/>
    <n v="53.17"/>
    <n v="260617"/>
    <n v="1"/>
  </r>
  <r>
    <s v="Startup_4403"/>
    <x v="1"/>
    <n v="4"/>
    <n v="47009877"/>
    <n v="2"/>
    <n v="12"/>
    <n v="851"/>
    <n v="35691814"/>
    <n v="668836"/>
    <s v="Medium"/>
    <s v="B2C"/>
    <n v="6"/>
    <n v="90.25"/>
    <n v="138985"/>
    <n v="1"/>
  </r>
  <r>
    <s v="Startup_4404"/>
    <x v="3"/>
    <n v="1"/>
    <n v="7413907"/>
    <n v="4"/>
    <n v="20"/>
    <n v="621"/>
    <n v="46088622"/>
    <n v="287170"/>
    <s v="Medium"/>
    <s v="B2C"/>
    <n v="5"/>
    <n v="90.65"/>
    <n v="702373"/>
    <n v="1"/>
  </r>
  <r>
    <s v="Startup_4405"/>
    <x v="2"/>
    <n v="14"/>
    <n v="3937626"/>
    <n v="3"/>
    <n v="5"/>
    <n v="881"/>
    <n v="34087452"/>
    <n v="617959"/>
    <s v="Large"/>
    <s v="Hybrid"/>
    <n v="3"/>
    <n v="80.22"/>
    <n v="853994"/>
    <n v="1"/>
  </r>
  <r>
    <s v="Startup_4406"/>
    <x v="1"/>
    <n v="12"/>
    <n v="27912528"/>
    <n v="4"/>
    <n v="5"/>
    <n v="763"/>
    <n v="97182935"/>
    <n v="728165"/>
    <s v="Large"/>
    <s v="B2B"/>
    <n v="7"/>
    <n v="69.900000000000006"/>
    <n v="927570"/>
    <n v="1"/>
  </r>
  <r>
    <s v="Startup_4407"/>
    <x v="3"/>
    <n v="3"/>
    <n v="22050297"/>
    <n v="2"/>
    <n v="19"/>
    <n v="669"/>
    <n v="12589314"/>
    <n v="58361"/>
    <s v="Small"/>
    <s v="Hybrid"/>
    <n v="9"/>
    <n v="23.52"/>
    <n v="745995"/>
    <n v="1"/>
  </r>
  <r>
    <s v="Startup_4408"/>
    <x v="5"/>
    <n v="12"/>
    <n v="22098058"/>
    <n v="1"/>
    <n v="0"/>
    <n v="669"/>
    <n v="99283766"/>
    <n v="200152"/>
    <s v="Small"/>
    <s v="B2C"/>
    <n v="7"/>
    <n v="67.83"/>
    <n v="391158"/>
    <n v="1"/>
  </r>
  <r>
    <s v="Startup_4409"/>
    <x v="5"/>
    <n v="3"/>
    <n v="34598346"/>
    <n v="2"/>
    <n v="5"/>
    <n v="558"/>
    <n v="23824115"/>
    <n v="534846"/>
    <s v="Small"/>
    <s v="B2C"/>
    <n v="5"/>
    <n v="20.149999999999999"/>
    <n v="753117"/>
    <n v="1"/>
  </r>
  <r>
    <s v="Startup_4410"/>
    <x v="1"/>
    <n v="2"/>
    <n v="29140053"/>
    <n v="3"/>
    <n v="10"/>
    <n v="873"/>
    <n v="38203194"/>
    <n v="118690"/>
    <s v="Large"/>
    <s v="B2B"/>
    <n v="6"/>
    <n v="86.08"/>
    <n v="374209"/>
    <n v="1"/>
  </r>
  <r>
    <s v="Startup_4411"/>
    <x v="1"/>
    <n v="14"/>
    <n v="12998250"/>
    <n v="3"/>
    <n v="29"/>
    <n v="313"/>
    <n v="5151797"/>
    <n v="366113"/>
    <s v="Large"/>
    <s v="B2C"/>
    <n v="1"/>
    <n v="5.99"/>
    <n v="424733"/>
    <n v="1"/>
  </r>
  <r>
    <s v="Startup_4412"/>
    <x v="5"/>
    <n v="3"/>
    <n v="26553520"/>
    <n v="2"/>
    <n v="10"/>
    <n v="794"/>
    <n v="84692065"/>
    <n v="908833"/>
    <s v="Medium"/>
    <s v="B2B"/>
    <n v="4"/>
    <n v="62.84"/>
    <n v="67559"/>
    <n v="1"/>
  </r>
  <r>
    <s v="Startup_4413"/>
    <x v="3"/>
    <n v="2"/>
    <n v="15248648"/>
    <n v="3"/>
    <n v="1"/>
    <n v="48"/>
    <n v="78607228"/>
    <n v="731712"/>
    <s v="Large"/>
    <s v="Hybrid"/>
    <n v="8"/>
    <n v="79.98"/>
    <n v="70183"/>
    <n v="1"/>
  </r>
  <r>
    <s v="Startup_4414"/>
    <x v="4"/>
    <n v="6"/>
    <n v="8790743"/>
    <n v="3"/>
    <n v="15"/>
    <n v="478"/>
    <n v="86295195"/>
    <n v="536049"/>
    <s v="Small"/>
    <s v="B2B"/>
    <n v="7"/>
    <n v="3.17"/>
    <n v="149310"/>
    <n v="1"/>
  </r>
  <r>
    <s v="Startup_4415"/>
    <x v="5"/>
    <n v="6"/>
    <n v="13005942"/>
    <n v="3"/>
    <n v="24"/>
    <n v="449"/>
    <n v="81086439"/>
    <n v="307353"/>
    <s v="Large"/>
    <s v="Hybrid"/>
    <n v="4"/>
    <n v="60.99"/>
    <n v="138996"/>
    <n v="1"/>
  </r>
  <r>
    <s v="Startup_4416"/>
    <x v="4"/>
    <n v="0"/>
    <n v="26966904"/>
    <n v="4"/>
    <n v="0"/>
    <n v="57"/>
    <n v="22898184"/>
    <n v="272351"/>
    <s v="Medium"/>
    <s v="Hybrid"/>
    <n v="4"/>
    <n v="66.72"/>
    <n v="675476"/>
    <n v="1"/>
  </r>
  <r>
    <s v="Startup_4417"/>
    <x v="1"/>
    <n v="14"/>
    <n v="22124638"/>
    <n v="3"/>
    <n v="28"/>
    <n v="197"/>
    <n v="74173506"/>
    <n v="541835"/>
    <s v="Small"/>
    <s v="B2C"/>
    <n v="8"/>
    <n v="80.260000000000005"/>
    <n v="219904"/>
    <n v="1"/>
  </r>
  <r>
    <s v="Startup_4418"/>
    <x v="2"/>
    <n v="11"/>
    <n v="41365115"/>
    <n v="1"/>
    <n v="22"/>
    <n v="780"/>
    <n v="71632420"/>
    <n v="56817"/>
    <s v="Large"/>
    <s v="B2C"/>
    <n v="2"/>
    <n v="49.34"/>
    <n v="472986"/>
    <n v="1"/>
  </r>
  <r>
    <s v="Startup_4419"/>
    <x v="0"/>
    <n v="10"/>
    <n v="6715412"/>
    <n v="4"/>
    <n v="29"/>
    <n v="353"/>
    <n v="29485707"/>
    <n v="250826"/>
    <s v="Small"/>
    <s v="Hybrid"/>
    <n v="5"/>
    <n v="56.9"/>
    <n v="666758"/>
    <n v="1"/>
  </r>
  <r>
    <s v="Startup_4420"/>
    <x v="4"/>
    <n v="11"/>
    <n v="2683728"/>
    <n v="3"/>
    <n v="7"/>
    <n v="374"/>
    <n v="10558845"/>
    <n v="555243"/>
    <s v="Small"/>
    <s v="B2B"/>
    <n v="2"/>
    <n v="13.36"/>
    <n v="488858"/>
    <n v="1"/>
  </r>
  <r>
    <s v="Startup_4421"/>
    <x v="5"/>
    <n v="14"/>
    <n v="16047905"/>
    <n v="3"/>
    <n v="28"/>
    <n v="276"/>
    <n v="22133698"/>
    <n v="737359"/>
    <s v="Medium"/>
    <s v="B2B"/>
    <n v="4"/>
    <n v="31.14"/>
    <n v="638940"/>
    <n v="1"/>
  </r>
  <r>
    <s v="Startup_4422"/>
    <x v="6"/>
    <n v="4"/>
    <n v="39693047"/>
    <n v="1"/>
    <n v="23"/>
    <n v="663"/>
    <n v="13441626"/>
    <n v="472078"/>
    <s v="Large"/>
    <s v="B2B"/>
    <n v="6"/>
    <n v="90.86"/>
    <n v="945141"/>
    <n v="1"/>
  </r>
  <r>
    <s v="Startup_4423"/>
    <x v="4"/>
    <n v="3"/>
    <n v="6870717"/>
    <n v="2"/>
    <n v="27"/>
    <n v="866"/>
    <n v="65352663"/>
    <n v="90877"/>
    <s v="Large"/>
    <s v="B2B"/>
    <n v="4"/>
    <n v="55.51"/>
    <n v="444322"/>
    <n v="1"/>
  </r>
  <r>
    <s v="Startup_4424"/>
    <x v="5"/>
    <n v="2"/>
    <n v="18701096"/>
    <n v="1"/>
    <n v="8"/>
    <n v="195"/>
    <n v="43917383"/>
    <n v="477389"/>
    <s v="Medium"/>
    <s v="Hybrid"/>
    <n v="2"/>
    <n v="31.51"/>
    <n v="406769"/>
    <n v="1"/>
  </r>
  <r>
    <s v="Startup_4425"/>
    <x v="4"/>
    <n v="13"/>
    <n v="31021019"/>
    <n v="1"/>
    <n v="3"/>
    <n v="275"/>
    <n v="26938238"/>
    <n v="510096"/>
    <s v="Small"/>
    <s v="B2C"/>
    <n v="7"/>
    <n v="45.08"/>
    <n v="906881"/>
    <n v="1"/>
  </r>
  <r>
    <s v="Startup_4426"/>
    <x v="2"/>
    <n v="1"/>
    <n v="28429521"/>
    <n v="1"/>
    <n v="23"/>
    <n v="503"/>
    <n v="72388759"/>
    <n v="458530"/>
    <s v="Medium"/>
    <s v="B2C"/>
    <n v="6"/>
    <n v="6.28"/>
    <n v="902560"/>
    <n v="1"/>
  </r>
  <r>
    <s v="Startup_4427"/>
    <x v="2"/>
    <n v="8"/>
    <n v="34166319"/>
    <n v="2"/>
    <n v="8"/>
    <n v="899"/>
    <n v="83552894"/>
    <n v="869241"/>
    <s v="Large"/>
    <s v="Hybrid"/>
    <n v="4"/>
    <n v="7.05"/>
    <n v="349843"/>
    <n v="1"/>
  </r>
  <r>
    <s v="Startup_4428"/>
    <x v="4"/>
    <n v="9"/>
    <n v="6221534"/>
    <n v="4"/>
    <n v="23"/>
    <n v="414"/>
    <n v="5584955"/>
    <n v="678626"/>
    <s v="Large"/>
    <s v="B2B"/>
    <n v="2"/>
    <n v="35.69"/>
    <n v="645133"/>
    <n v="1"/>
  </r>
  <r>
    <s v="Startup_4429"/>
    <x v="1"/>
    <n v="2"/>
    <n v="22629482"/>
    <n v="3"/>
    <n v="29"/>
    <n v="538"/>
    <n v="56337035"/>
    <n v="624816"/>
    <s v="Large"/>
    <s v="B2B"/>
    <n v="2"/>
    <n v="10.31"/>
    <n v="480006"/>
    <n v="1"/>
  </r>
  <r>
    <s v="Startup_4430"/>
    <x v="1"/>
    <n v="9"/>
    <n v="12860366"/>
    <n v="2"/>
    <n v="6"/>
    <n v="121"/>
    <n v="6034166"/>
    <n v="602381"/>
    <s v="Small"/>
    <s v="Hybrid"/>
    <n v="1"/>
    <n v="53.95"/>
    <n v="996021"/>
    <n v="1"/>
  </r>
  <r>
    <s v="Startup_4431"/>
    <x v="6"/>
    <n v="8"/>
    <n v="44024438"/>
    <n v="2"/>
    <n v="27"/>
    <n v="769"/>
    <n v="68945185"/>
    <n v="374808"/>
    <s v="Medium"/>
    <s v="Hybrid"/>
    <n v="5"/>
    <n v="76.33"/>
    <n v="43977"/>
    <n v="1"/>
  </r>
  <r>
    <s v="Startup_4432"/>
    <x v="6"/>
    <n v="14"/>
    <n v="1185416"/>
    <n v="2"/>
    <n v="18"/>
    <n v="983"/>
    <n v="21161067"/>
    <n v="746051"/>
    <s v="Small"/>
    <s v="Hybrid"/>
    <n v="6"/>
    <n v="26.86"/>
    <n v="957295"/>
    <n v="1"/>
  </r>
  <r>
    <s v="Startup_4433"/>
    <x v="4"/>
    <n v="7"/>
    <n v="31724153"/>
    <n v="1"/>
    <n v="8"/>
    <n v="368"/>
    <n v="62923559"/>
    <n v="74562"/>
    <s v="Small"/>
    <s v="Hybrid"/>
    <n v="8"/>
    <n v="24.41"/>
    <n v="465616"/>
    <n v="1"/>
  </r>
  <r>
    <s v="Startup_4434"/>
    <x v="0"/>
    <n v="13"/>
    <n v="6167915"/>
    <n v="3"/>
    <n v="25"/>
    <n v="517"/>
    <n v="48703756"/>
    <n v="240251"/>
    <s v="Medium"/>
    <s v="B2C"/>
    <n v="8"/>
    <n v="93.48"/>
    <n v="115739"/>
    <n v="1"/>
  </r>
  <r>
    <s v="Startup_4435"/>
    <x v="6"/>
    <n v="7"/>
    <n v="46806090"/>
    <n v="4"/>
    <n v="3"/>
    <n v="753"/>
    <n v="65056169"/>
    <n v="374351"/>
    <s v="Large"/>
    <s v="Hybrid"/>
    <n v="3"/>
    <n v="59.37"/>
    <n v="94249"/>
    <n v="1"/>
  </r>
  <r>
    <s v="Startup_4436"/>
    <x v="6"/>
    <n v="11"/>
    <n v="42373614"/>
    <n v="1"/>
    <n v="4"/>
    <n v="44"/>
    <n v="4138948"/>
    <n v="550903"/>
    <s v="Medium"/>
    <s v="Hybrid"/>
    <n v="2"/>
    <n v="31.8"/>
    <n v="990265"/>
    <n v="1"/>
  </r>
  <r>
    <s v="Startup_4437"/>
    <x v="2"/>
    <n v="11"/>
    <n v="12016606"/>
    <n v="1"/>
    <n v="4"/>
    <n v="258"/>
    <n v="93213037"/>
    <n v="733696"/>
    <s v="Small"/>
    <s v="B2B"/>
    <n v="8"/>
    <n v="14.6"/>
    <n v="890266"/>
    <n v="1"/>
  </r>
  <r>
    <s v="Startup_4438"/>
    <x v="4"/>
    <n v="0"/>
    <n v="32970405"/>
    <n v="1"/>
    <n v="2"/>
    <n v="456"/>
    <n v="32180029"/>
    <n v="484003"/>
    <s v="Medium"/>
    <s v="Hybrid"/>
    <n v="2"/>
    <n v="6.73"/>
    <n v="821666"/>
    <n v="1"/>
  </r>
  <r>
    <s v="Startup_4439"/>
    <x v="0"/>
    <n v="12"/>
    <n v="17210467"/>
    <n v="1"/>
    <n v="28"/>
    <n v="148"/>
    <n v="5452700"/>
    <n v="120810"/>
    <s v="Small"/>
    <s v="B2C"/>
    <n v="3"/>
    <n v="8.9499999999999993"/>
    <n v="266934"/>
    <n v="1"/>
  </r>
  <r>
    <s v="Startup_4440"/>
    <x v="5"/>
    <n v="7"/>
    <n v="12817681"/>
    <n v="3"/>
    <n v="9"/>
    <n v="409"/>
    <n v="11782268"/>
    <n v="662929"/>
    <s v="Large"/>
    <s v="Hybrid"/>
    <n v="2"/>
    <n v="88.68"/>
    <n v="531494"/>
    <n v="1"/>
  </r>
  <r>
    <s v="Startup_4441"/>
    <x v="1"/>
    <n v="9"/>
    <n v="47900768"/>
    <n v="1"/>
    <n v="11"/>
    <n v="347"/>
    <n v="75783308"/>
    <n v="176843"/>
    <s v="Medium"/>
    <s v="B2C"/>
    <n v="1"/>
    <n v="85.6"/>
    <n v="26043"/>
    <n v="1"/>
  </r>
  <r>
    <s v="Startup_4442"/>
    <x v="1"/>
    <n v="9"/>
    <n v="39636495"/>
    <n v="3"/>
    <n v="22"/>
    <n v="578"/>
    <n v="91962217"/>
    <n v="596722"/>
    <s v="Large"/>
    <s v="B2B"/>
    <n v="1"/>
    <n v="54.65"/>
    <n v="731288"/>
    <n v="1"/>
  </r>
  <r>
    <s v="Startup_4443"/>
    <x v="5"/>
    <n v="0"/>
    <n v="43017599"/>
    <n v="2"/>
    <n v="19"/>
    <n v="57"/>
    <n v="33748713"/>
    <n v="763874"/>
    <s v="Medium"/>
    <s v="B2B"/>
    <n v="5"/>
    <n v="12.2"/>
    <n v="456905"/>
    <n v="1"/>
  </r>
  <r>
    <s v="Startup_4444"/>
    <x v="0"/>
    <n v="1"/>
    <n v="16423931"/>
    <n v="2"/>
    <n v="11"/>
    <n v="620"/>
    <n v="80278576"/>
    <n v="773454"/>
    <s v="Small"/>
    <s v="B2C"/>
    <n v="4"/>
    <n v="59.68"/>
    <n v="117422"/>
    <n v="1"/>
  </r>
  <r>
    <s v="Startup_4445"/>
    <x v="4"/>
    <n v="9"/>
    <n v="1759971"/>
    <n v="2"/>
    <n v="8"/>
    <n v="163"/>
    <n v="99574349"/>
    <n v="396280"/>
    <s v="Large"/>
    <s v="B2B"/>
    <n v="4"/>
    <n v="43.84"/>
    <n v="280502"/>
    <n v="1"/>
  </r>
  <r>
    <s v="Startup_4446"/>
    <x v="4"/>
    <n v="13"/>
    <n v="23851593"/>
    <n v="3"/>
    <n v="6"/>
    <n v="641"/>
    <n v="79041612"/>
    <n v="397714"/>
    <s v="Medium"/>
    <s v="Hybrid"/>
    <n v="6"/>
    <n v="41.75"/>
    <n v="195986"/>
    <n v="1"/>
  </r>
  <r>
    <s v="Startup_4447"/>
    <x v="1"/>
    <n v="14"/>
    <n v="45866474"/>
    <n v="4"/>
    <n v="5"/>
    <n v="973"/>
    <n v="39206673"/>
    <n v="985992"/>
    <s v="Medium"/>
    <s v="Hybrid"/>
    <n v="5"/>
    <n v="16.309999999999999"/>
    <n v="296384"/>
    <n v="1"/>
  </r>
  <r>
    <s v="Startup_4448"/>
    <x v="4"/>
    <n v="4"/>
    <n v="11240829"/>
    <n v="3"/>
    <n v="25"/>
    <n v="489"/>
    <n v="52428580"/>
    <n v="202106"/>
    <s v="Large"/>
    <s v="Hybrid"/>
    <n v="2"/>
    <n v="55.98"/>
    <n v="714576"/>
    <n v="1"/>
  </r>
  <r>
    <s v="Startup_4449"/>
    <x v="4"/>
    <n v="9"/>
    <n v="13219617"/>
    <n v="2"/>
    <n v="2"/>
    <n v="111"/>
    <n v="6035180"/>
    <n v="373840"/>
    <s v="Small"/>
    <s v="Hybrid"/>
    <n v="1"/>
    <n v="54.98"/>
    <n v="613158"/>
    <n v="1"/>
  </r>
  <r>
    <s v="Startup_4450"/>
    <x v="4"/>
    <n v="5"/>
    <n v="19830312"/>
    <n v="3"/>
    <n v="14"/>
    <n v="233"/>
    <n v="80613516"/>
    <n v="79774"/>
    <s v="Large"/>
    <s v="B2B"/>
    <n v="6"/>
    <n v="46.26"/>
    <n v="856763"/>
    <n v="1"/>
  </r>
  <r>
    <s v="Startup_4451"/>
    <x v="0"/>
    <n v="1"/>
    <n v="46609541"/>
    <n v="2"/>
    <n v="24"/>
    <n v="489"/>
    <n v="98435261"/>
    <n v="579968"/>
    <s v="Large"/>
    <s v="B2C"/>
    <n v="9"/>
    <n v="66.3"/>
    <n v="726428"/>
    <n v="1"/>
  </r>
  <r>
    <s v="Startup_4452"/>
    <x v="1"/>
    <n v="0"/>
    <n v="33408569"/>
    <n v="1"/>
    <n v="8"/>
    <n v="575"/>
    <n v="64407382"/>
    <n v="789351"/>
    <s v="Small"/>
    <s v="Hybrid"/>
    <n v="4"/>
    <n v="26.93"/>
    <n v="57916"/>
    <n v="1"/>
  </r>
  <r>
    <s v="Startup_4453"/>
    <x v="6"/>
    <n v="5"/>
    <n v="1585935"/>
    <n v="1"/>
    <n v="16"/>
    <n v="556"/>
    <n v="39278592"/>
    <n v="718396"/>
    <s v="Small"/>
    <s v="B2B"/>
    <n v="3"/>
    <n v="0.63"/>
    <n v="609053"/>
    <n v="1"/>
  </r>
  <r>
    <s v="Startup_4454"/>
    <x v="0"/>
    <n v="7"/>
    <n v="43120284"/>
    <n v="3"/>
    <n v="2"/>
    <n v="167"/>
    <n v="59284879"/>
    <n v="308117"/>
    <s v="Large"/>
    <s v="B2C"/>
    <n v="2"/>
    <n v="40.090000000000003"/>
    <n v="423029"/>
    <n v="1"/>
  </r>
  <r>
    <s v="Startup_4455"/>
    <x v="1"/>
    <n v="1"/>
    <n v="35834906"/>
    <n v="2"/>
    <n v="24"/>
    <n v="925"/>
    <n v="21542249"/>
    <n v="383600"/>
    <s v="Large"/>
    <s v="B2B"/>
    <n v="1"/>
    <n v="76.430000000000007"/>
    <n v="651469"/>
    <n v="1"/>
  </r>
  <r>
    <s v="Startup_4456"/>
    <x v="4"/>
    <n v="14"/>
    <n v="44368865"/>
    <n v="1"/>
    <n v="23"/>
    <n v="837"/>
    <n v="29723311"/>
    <n v="492046"/>
    <s v="Small"/>
    <s v="Hybrid"/>
    <n v="8"/>
    <n v="47.68"/>
    <n v="905186"/>
    <n v="1"/>
  </r>
  <r>
    <s v="Startup_4457"/>
    <x v="3"/>
    <n v="1"/>
    <n v="42755166"/>
    <n v="3"/>
    <n v="26"/>
    <n v="378"/>
    <n v="59974388"/>
    <n v="563436"/>
    <s v="Large"/>
    <s v="B2B"/>
    <n v="4"/>
    <n v="0.95"/>
    <n v="639650"/>
    <n v="1"/>
  </r>
  <r>
    <s v="Startup_4458"/>
    <x v="0"/>
    <n v="7"/>
    <n v="1969285"/>
    <n v="2"/>
    <n v="8"/>
    <n v="386"/>
    <n v="85420560"/>
    <n v="822174"/>
    <s v="Small"/>
    <s v="B2B"/>
    <n v="2"/>
    <n v="41.03"/>
    <n v="311310"/>
    <n v="1"/>
  </r>
  <r>
    <s v="Startup_4459"/>
    <x v="6"/>
    <n v="7"/>
    <n v="3488571"/>
    <n v="3"/>
    <n v="0"/>
    <n v="627"/>
    <n v="35694051"/>
    <n v="998472"/>
    <s v="Large"/>
    <s v="B2B"/>
    <n v="3"/>
    <n v="70.22"/>
    <n v="526947"/>
    <n v="1"/>
  </r>
  <r>
    <s v="Startup_4460"/>
    <x v="3"/>
    <n v="1"/>
    <n v="47388294"/>
    <n v="1"/>
    <n v="20"/>
    <n v="615"/>
    <n v="96316059"/>
    <n v="555204"/>
    <s v="Medium"/>
    <s v="B2C"/>
    <n v="3"/>
    <n v="36.380000000000003"/>
    <n v="169185"/>
    <n v="1"/>
  </r>
  <r>
    <s v="Startup_4461"/>
    <x v="5"/>
    <n v="7"/>
    <n v="26975026"/>
    <n v="4"/>
    <n v="15"/>
    <n v="542"/>
    <n v="96793412"/>
    <n v="571071"/>
    <s v="Medium"/>
    <s v="B2B"/>
    <n v="3"/>
    <n v="18.34"/>
    <n v="490129"/>
    <n v="1"/>
  </r>
  <r>
    <s v="Startup_4462"/>
    <x v="1"/>
    <n v="14"/>
    <n v="40119242"/>
    <n v="1"/>
    <n v="26"/>
    <n v="313"/>
    <n v="67955707"/>
    <n v="387988"/>
    <s v="Medium"/>
    <s v="B2B"/>
    <n v="3"/>
    <n v="69.64"/>
    <n v="90042"/>
    <n v="1"/>
  </r>
  <r>
    <s v="Startup_4463"/>
    <x v="4"/>
    <n v="3"/>
    <n v="41083113"/>
    <n v="1"/>
    <n v="24"/>
    <n v="906"/>
    <n v="46295275"/>
    <n v="509032"/>
    <s v="Large"/>
    <s v="B2B"/>
    <n v="2"/>
    <n v="44.45"/>
    <n v="123118"/>
    <n v="1"/>
  </r>
  <r>
    <s v="Startup_4464"/>
    <x v="0"/>
    <n v="2"/>
    <n v="21998793"/>
    <n v="3"/>
    <n v="14"/>
    <n v="134"/>
    <n v="72970382"/>
    <n v="154388"/>
    <s v="Medium"/>
    <s v="Hybrid"/>
    <n v="6"/>
    <n v="26.32"/>
    <n v="192823"/>
    <n v="1"/>
  </r>
  <r>
    <s v="Startup_4465"/>
    <x v="6"/>
    <n v="8"/>
    <n v="2736578"/>
    <n v="4"/>
    <n v="3"/>
    <n v="516"/>
    <n v="41241101"/>
    <n v="35568"/>
    <s v="Small"/>
    <s v="Hybrid"/>
    <n v="4"/>
    <n v="87.56"/>
    <n v="676392"/>
    <n v="1"/>
  </r>
  <r>
    <s v="Startup_4466"/>
    <x v="0"/>
    <n v="8"/>
    <n v="33785903"/>
    <n v="3"/>
    <n v="10"/>
    <n v="984"/>
    <n v="44110658"/>
    <n v="448021"/>
    <s v="Medium"/>
    <s v="B2C"/>
    <n v="1"/>
    <n v="48.34"/>
    <n v="400595"/>
    <n v="1"/>
  </r>
  <r>
    <s v="Startup_4467"/>
    <x v="0"/>
    <n v="7"/>
    <n v="24694466"/>
    <n v="4"/>
    <n v="14"/>
    <n v="185"/>
    <n v="15144119"/>
    <n v="17764"/>
    <s v="Large"/>
    <s v="B2C"/>
    <n v="4"/>
    <n v="65.430000000000007"/>
    <n v="480653"/>
    <n v="1"/>
  </r>
  <r>
    <s v="Startup_4468"/>
    <x v="6"/>
    <n v="7"/>
    <n v="38005243"/>
    <n v="1"/>
    <n v="22"/>
    <n v="30"/>
    <n v="27296884"/>
    <n v="200463"/>
    <s v="Small"/>
    <s v="Hybrid"/>
    <n v="1"/>
    <n v="53.14"/>
    <n v="46686"/>
    <n v="1"/>
  </r>
  <r>
    <s v="Startup_4469"/>
    <x v="6"/>
    <n v="12"/>
    <n v="10211798"/>
    <n v="1"/>
    <n v="9"/>
    <n v="868"/>
    <n v="74023348"/>
    <n v="276917"/>
    <s v="Medium"/>
    <s v="B2C"/>
    <n v="7"/>
    <n v="55.67"/>
    <n v="54616"/>
    <n v="1"/>
  </r>
  <r>
    <s v="Startup_4470"/>
    <x v="1"/>
    <n v="3"/>
    <n v="32184765"/>
    <n v="2"/>
    <n v="13"/>
    <n v="821"/>
    <n v="21634637"/>
    <n v="989399"/>
    <s v="Small"/>
    <s v="B2C"/>
    <n v="9"/>
    <n v="50.85"/>
    <n v="979843"/>
    <n v="1"/>
  </r>
  <r>
    <s v="Startup_4471"/>
    <x v="3"/>
    <n v="14"/>
    <n v="12810444"/>
    <n v="3"/>
    <n v="18"/>
    <n v="683"/>
    <n v="85327427"/>
    <n v="72582"/>
    <s v="Large"/>
    <s v="Hybrid"/>
    <n v="2"/>
    <n v="82.55"/>
    <n v="106068"/>
    <n v="1"/>
  </r>
  <r>
    <s v="Startup_4472"/>
    <x v="1"/>
    <n v="12"/>
    <n v="17797017"/>
    <n v="2"/>
    <n v="7"/>
    <n v="599"/>
    <n v="28224081"/>
    <n v="547470"/>
    <s v="Large"/>
    <s v="B2B"/>
    <n v="1"/>
    <n v="14.09"/>
    <n v="719473"/>
    <n v="1"/>
  </r>
  <r>
    <s v="Startup_4473"/>
    <x v="3"/>
    <n v="9"/>
    <n v="48248322"/>
    <n v="1"/>
    <n v="11"/>
    <n v="159"/>
    <n v="71748877"/>
    <n v="433586"/>
    <s v="Large"/>
    <s v="Hybrid"/>
    <n v="8"/>
    <n v="93.07"/>
    <n v="528016"/>
    <n v="1"/>
  </r>
  <r>
    <s v="Startup_4474"/>
    <x v="5"/>
    <n v="2"/>
    <n v="10558574"/>
    <n v="1"/>
    <n v="26"/>
    <n v="26"/>
    <n v="43027358"/>
    <n v="579546"/>
    <s v="Medium"/>
    <s v="Hybrid"/>
    <n v="4"/>
    <n v="26.73"/>
    <n v="768648"/>
    <n v="1"/>
  </r>
  <r>
    <s v="Startup_4475"/>
    <x v="3"/>
    <n v="3"/>
    <n v="38251544"/>
    <n v="1"/>
    <n v="26"/>
    <n v="679"/>
    <n v="57939766"/>
    <n v="757798"/>
    <s v="Small"/>
    <s v="Hybrid"/>
    <n v="9"/>
    <n v="72.540000000000006"/>
    <n v="544443"/>
    <n v="1"/>
  </r>
  <r>
    <s v="Startup_4476"/>
    <x v="2"/>
    <n v="9"/>
    <n v="19279473"/>
    <n v="3"/>
    <n v="16"/>
    <n v="662"/>
    <n v="65746978"/>
    <n v="831032"/>
    <s v="Large"/>
    <s v="Hybrid"/>
    <n v="1"/>
    <n v="28.88"/>
    <n v="398619"/>
    <n v="1"/>
  </r>
  <r>
    <s v="Startup_4477"/>
    <x v="3"/>
    <n v="12"/>
    <n v="23158003"/>
    <n v="4"/>
    <n v="13"/>
    <n v="222"/>
    <n v="25153028"/>
    <n v="89877"/>
    <s v="Large"/>
    <s v="B2B"/>
    <n v="3"/>
    <n v="71.62"/>
    <n v="606228"/>
    <n v="1"/>
  </r>
  <r>
    <s v="Startup_4478"/>
    <x v="1"/>
    <n v="8"/>
    <n v="18363344"/>
    <n v="3"/>
    <n v="19"/>
    <n v="192"/>
    <n v="28205911"/>
    <n v="166995"/>
    <s v="Medium"/>
    <s v="B2C"/>
    <n v="8"/>
    <n v="36.44"/>
    <n v="39142"/>
    <n v="1"/>
  </r>
  <r>
    <s v="Startup_4479"/>
    <x v="0"/>
    <n v="8"/>
    <n v="26397777"/>
    <n v="1"/>
    <n v="25"/>
    <n v="999"/>
    <n v="36665280"/>
    <n v="655780"/>
    <s v="Large"/>
    <s v="B2B"/>
    <n v="8"/>
    <n v="39.83"/>
    <n v="834524"/>
    <n v="1"/>
  </r>
  <r>
    <s v="Startup_4480"/>
    <x v="2"/>
    <n v="13"/>
    <n v="14693649"/>
    <n v="4"/>
    <n v="21"/>
    <n v="941"/>
    <n v="31112145"/>
    <n v="177098"/>
    <s v="Large"/>
    <s v="Hybrid"/>
    <n v="4"/>
    <n v="85.15"/>
    <n v="736273"/>
    <n v="1"/>
  </r>
  <r>
    <s v="Startup_4481"/>
    <x v="2"/>
    <n v="10"/>
    <n v="26259905"/>
    <n v="1"/>
    <n v="19"/>
    <n v="379"/>
    <n v="15672872"/>
    <n v="110882"/>
    <s v="Large"/>
    <s v="B2C"/>
    <n v="6"/>
    <n v="87.81"/>
    <n v="571406"/>
    <n v="1"/>
  </r>
  <r>
    <s v="Startup_4482"/>
    <x v="3"/>
    <n v="14"/>
    <n v="30513877"/>
    <n v="2"/>
    <n v="13"/>
    <n v="863"/>
    <n v="82856120"/>
    <n v="255215"/>
    <s v="Large"/>
    <s v="B2C"/>
    <n v="4"/>
    <n v="4.34"/>
    <n v="793002"/>
    <n v="1"/>
  </r>
  <r>
    <s v="Startup_4483"/>
    <x v="2"/>
    <n v="8"/>
    <n v="3747379"/>
    <n v="1"/>
    <n v="29"/>
    <n v="366"/>
    <n v="27335077"/>
    <n v="741481"/>
    <s v="Medium"/>
    <s v="B2B"/>
    <n v="1"/>
    <n v="65.3"/>
    <n v="827936"/>
    <n v="1"/>
  </r>
  <r>
    <s v="Startup_4484"/>
    <x v="5"/>
    <n v="10"/>
    <n v="36868491"/>
    <n v="1"/>
    <n v="8"/>
    <n v="209"/>
    <n v="20102497"/>
    <n v="341857"/>
    <s v="Medium"/>
    <s v="B2B"/>
    <n v="8"/>
    <n v="26.35"/>
    <n v="986882"/>
    <n v="1"/>
  </r>
  <r>
    <s v="Startup_4485"/>
    <x v="6"/>
    <n v="8"/>
    <n v="28277761"/>
    <n v="3"/>
    <n v="18"/>
    <n v="331"/>
    <n v="328947"/>
    <n v="976208"/>
    <s v="Medium"/>
    <s v="B2B"/>
    <n v="4"/>
    <n v="68.510000000000005"/>
    <n v="950604"/>
    <n v="1"/>
  </r>
  <r>
    <s v="Startup_4486"/>
    <x v="2"/>
    <n v="7"/>
    <n v="38684396"/>
    <n v="3"/>
    <n v="0"/>
    <n v="961"/>
    <n v="34947197"/>
    <n v="917112"/>
    <s v="Medium"/>
    <s v="B2B"/>
    <n v="2"/>
    <n v="66.37"/>
    <n v="870303"/>
    <n v="1"/>
  </r>
  <r>
    <s v="Startup_4487"/>
    <x v="3"/>
    <n v="8"/>
    <n v="33279109"/>
    <n v="1"/>
    <n v="19"/>
    <n v="625"/>
    <n v="26366482"/>
    <n v="949557"/>
    <s v="Medium"/>
    <s v="B2B"/>
    <n v="9"/>
    <n v="6.93"/>
    <n v="74803"/>
    <n v="1"/>
  </r>
  <r>
    <s v="Startup_4488"/>
    <x v="4"/>
    <n v="13"/>
    <n v="5229729"/>
    <n v="4"/>
    <n v="22"/>
    <n v="87"/>
    <n v="40369003"/>
    <n v="942988"/>
    <s v="Medium"/>
    <s v="B2C"/>
    <n v="5"/>
    <n v="25"/>
    <n v="235392"/>
    <n v="1"/>
  </r>
  <r>
    <s v="Startup_4489"/>
    <x v="1"/>
    <n v="0"/>
    <n v="13963538"/>
    <n v="3"/>
    <n v="20"/>
    <n v="775"/>
    <n v="46275735"/>
    <n v="20038"/>
    <s v="Large"/>
    <s v="B2C"/>
    <n v="9"/>
    <n v="42.28"/>
    <n v="169588"/>
    <n v="1"/>
  </r>
  <r>
    <s v="Startup_4490"/>
    <x v="3"/>
    <n v="13"/>
    <n v="2527801"/>
    <n v="4"/>
    <n v="4"/>
    <n v="471"/>
    <n v="17380061"/>
    <n v="378004"/>
    <s v="Medium"/>
    <s v="Hybrid"/>
    <n v="5"/>
    <n v="58.31"/>
    <n v="878642"/>
    <n v="1"/>
  </r>
  <r>
    <s v="Startup_4491"/>
    <x v="0"/>
    <n v="1"/>
    <n v="10549082"/>
    <n v="4"/>
    <n v="9"/>
    <n v="133"/>
    <n v="25684145"/>
    <n v="885148"/>
    <s v="Small"/>
    <s v="Hybrid"/>
    <n v="6"/>
    <n v="57.25"/>
    <n v="88305"/>
    <n v="1"/>
  </r>
  <r>
    <s v="Startup_4492"/>
    <x v="6"/>
    <n v="0"/>
    <n v="41732935"/>
    <n v="1"/>
    <n v="25"/>
    <n v="181"/>
    <n v="54610399"/>
    <n v="741544"/>
    <s v="Medium"/>
    <s v="Hybrid"/>
    <n v="4"/>
    <n v="40.94"/>
    <n v="198028"/>
    <n v="1"/>
  </r>
  <r>
    <s v="Startup_4493"/>
    <x v="1"/>
    <n v="11"/>
    <n v="43915064"/>
    <n v="1"/>
    <n v="5"/>
    <n v="295"/>
    <n v="60580445"/>
    <n v="90609"/>
    <s v="Medium"/>
    <s v="Hybrid"/>
    <n v="2"/>
    <n v="57.44"/>
    <n v="381542"/>
    <n v="1"/>
  </r>
  <r>
    <s v="Startup_4494"/>
    <x v="0"/>
    <n v="12"/>
    <n v="49258620"/>
    <n v="3"/>
    <n v="26"/>
    <n v="240"/>
    <n v="43173059"/>
    <n v="442383"/>
    <s v="Small"/>
    <s v="Hybrid"/>
    <n v="2"/>
    <n v="59.81"/>
    <n v="805999"/>
    <n v="1"/>
  </r>
  <r>
    <s v="Startup_4495"/>
    <x v="4"/>
    <n v="2"/>
    <n v="36065051"/>
    <n v="2"/>
    <n v="24"/>
    <n v="809"/>
    <n v="44877931"/>
    <n v="942067"/>
    <s v="Large"/>
    <s v="Hybrid"/>
    <n v="4"/>
    <n v="1.46"/>
    <n v="70550"/>
    <n v="1"/>
  </r>
  <r>
    <s v="Startup_4496"/>
    <x v="5"/>
    <n v="8"/>
    <n v="10962951"/>
    <n v="1"/>
    <n v="25"/>
    <n v="635"/>
    <n v="58181245"/>
    <n v="730876"/>
    <s v="Large"/>
    <s v="B2B"/>
    <n v="7"/>
    <n v="6.81"/>
    <n v="8964"/>
    <n v="1"/>
  </r>
  <r>
    <s v="Startup_4497"/>
    <x v="4"/>
    <n v="7"/>
    <n v="3955726"/>
    <n v="1"/>
    <n v="14"/>
    <n v="130"/>
    <n v="41813280"/>
    <n v="302385"/>
    <s v="Medium"/>
    <s v="B2C"/>
    <n v="7"/>
    <n v="58.69"/>
    <n v="921183"/>
    <n v="1"/>
  </r>
  <r>
    <s v="Startup_4498"/>
    <x v="0"/>
    <n v="2"/>
    <n v="18692520"/>
    <n v="2"/>
    <n v="16"/>
    <n v="795"/>
    <n v="61401243"/>
    <n v="352652"/>
    <s v="Medium"/>
    <s v="B2C"/>
    <n v="8"/>
    <n v="62.41"/>
    <n v="57657"/>
    <n v="1"/>
  </r>
  <r>
    <s v="Startup_4499"/>
    <x v="5"/>
    <n v="10"/>
    <n v="43094446"/>
    <n v="1"/>
    <n v="17"/>
    <n v="461"/>
    <n v="85750629"/>
    <n v="895955"/>
    <s v="Medium"/>
    <s v="B2B"/>
    <n v="7"/>
    <n v="89.56"/>
    <n v="812031"/>
    <n v="1"/>
  </r>
  <r>
    <s v="Startup_4500"/>
    <x v="6"/>
    <n v="3"/>
    <n v="7435607"/>
    <n v="4"/>
    <n v="25"/>
    <n v="993"/>
    <n v="62289825"/>
    <n v="923193"/>
    <s v="Medium"/>
    <s v="B2B"/>
    <n v="1"/>
    <n v="35.590000000000003"/>
    <n v="241194"/>
    <n v="1"/>
  </r>
  <r>
    <s v="Startup_4501"/>
    <x v="2"/>
    <n v="3"/>
    <n v="21078449"/>
    <n v="3"/>
    <n v="5"/>
    <n v="58"/>
    <n v="64038300"/>
    <n v="578970"/>
    <s v="Medium"/>
    <s v="B2C"/>
    <n v="1"/>
    <n v="32.39"/>
    <n v="253365"/>
    <n v="1"/>
  </r>
  <r>
    <s v="Startup_4502"/>
    <x v="4"/>
    <n v="2"/>
    <n v="44124405"/>
    <n v="3"/>
    <n v="16"/>
    <n v="66"/>
    <n v="29445867"/>
    <n v="513078"/>
    <s v="Large"/>
    <s v="Hybrid"/>
    <n v="8"/>
    <n v="45.45"/>
    <n v="916551"/>
    <n v="1"/>
  </r>
  <r>
    <s v="Startup_4503"/>
    <x v="4"/>
    <n v="2"/>
    <n v="13381228"/>
    <n v="2"/>
    <n v="24"/>
    <n v="798"/>
    <n v="1074432"/>
    <n v="141053"/>
    <s v="Small"/>
    <s v="B2C"/>
    <n v="4"/>
    <n v="93.83"/>
    <n v="247960"/>
    <n v="1"/>
  </r>
  <r>
    <s v="Startup_4504"/>
    <x v="1"/>
    <n v="12"/>
    <n v="33588065"/>
    <n v="3"/>
    <n v="13"/>
    <n v="850"/>
    <n v="87751434"/>
    <n v="102305"/>
    <s v="Large"/>
    <s v="B2C"/>
    <n v="8"/>
    <n v="69.099999999999994"/>
    <n v="630641"/>
    <n v="1"/>
  </r>
  <r>
    <s v="Startup_4505"/>
    <x v="6"/>
    <n v="11"/>
    <n v="9108576"/>
    <n v="3"/>
    <n v="12"/>
    <n v="758"/>
    <n v="77530758"/>
    <n v="788454"/>
    <s v="Small"/>
    <s v="Hybrid"/>
    <n v="2"/>
    <n v="66.8"/>
    <n v="314521"/>
    <n v="1"/>
  </r>
  <r>
    <s v="Startup_4506"/>
    <x v="5"/>
    <n v="12"/>
    <n v="17833520"/>
    <n v="3"/>
    <n v="4"/>
    <n v="255"/>
    <n v="18131326"/>
    <n v="724168"/>
    <s v="Large"/>
    <s v="B2C"/>
    <n v="7"/>
    <n v="77.510000000000005"/>
    <n v="507470"/>
    <n v="1"/>
  </r>
  <r>
    <s v="Startup_4507"/>
    <x v="1"/>
    <n v="4"/>
    <n v="35514792"/>
    <n v="1"/>
    <n v="1"/>
    <n v="928"/>
    <n v="61741516"/>
    <n v="491846"/>
    <s v="Large"/>
    <s v="Hybrid"/>
    <n v="6"/>
    <n v="71.569999999999993"/>
    <n v="581361"/>
    <n v="1"/>
  </r>
  <r>
    <s v="Startup_4508"/>
    <x v="6"/>
    <n v="5"/>
    <n v="30813657"/>
    <n v="3"/>
    <n v="13"/>
    <n v="980"/>
    <n v="39818435"/>
    <n v="605946"/>
    <s v="Medium"/>
    <s v="Hybrid"/>
    <n v="1"/>
    <n v="2.9"/>
    <n v="308543"/>
    <n v="1"/>
  </r>
  <r>
    <s v="Startup_4509"/>
    <x v="2"/>
    <n v="12"/>
    <n v="30687443"/>
    <n v="1"/>
    <n v="2"/>
    <n v="592"/>
    <n v="67802746"/>
    <n v="397565"/>
    <s v="Large"/>
    <s v="B2C"/>
    <n v="6"/>
    <n v="48.53"/>
    <n v="638590"/>
    <n v="1"/>
  </r>
  <r>
    <s v="Startup_4510"/>
    <x v="4"/>
    <n v="12"/>
    <n v="30094310"/>
    <n v="1"/>
    <n v="16"/>
    <n v="464"/>
    <n v="40317623"/>
    <n v="280141"/>
    <s v="Small"/>
    <s v="B2B"/>
    <n v="2"/>
    <n v="30.85"/>
    <n v="994049"/>
    <n v="1"/>
  </r>
  <r>
    <s v="Startup_4511"/>
    <x v="5"/>
    <n v="14"/>
    <n v="19260531"/>
    <n v="4"/>
    <n v="8"/>
    <n v="145"/>
    <n v="53143814"/>
    <n v="739601"/>
    <s v="Large"/>
    <s v="B2C"/>
    <n v="9"/>
    <n v="1.02"/>
    <n v="102684"/>
    <n v="1"/>
  </r>
  <r>
    <s v="Startup_4512"/>
    <x v="2"/>
    <n v="11"/>
    <n v="25714706"/>
    <n v="2"/>
    <n v="16"/>
    <n v="330"/>
    <n v="22421739"/>
    <n v="784797"/>
    <s v="Large"/>
    <s v="B2B"/>
    <n v="7"/>
    <n v="2.21"/>
    <n v="430816"/>
    <n v="1"/>
  </r>
  <r>
    <s v="Startup_4513"/>
    <x v="6"/>
    <n v="5"/>
    <n v="41663081"/>
    <n v="3"/>
    <n v="1"/>
    <n v="983"/>
    <n v="76230745"/>
    <n v="767818"/>
    <s v="Medium"/>
    <s v="Hybrid"/>
    <n v="5"/>
    <n v="78.22"/>
    <n v="963983"/>
    <n v="1"/>
  </r>
  <r>
    <s v="Startup_4514"/>
    <x v="1"/>
    <n v="4"/>
    <n v="46110113"/>
    <n v="2"/>
    <n v="2"/>
    <n v="57"/>
    <n v="71505194"/>
    <n v="319456"/>
    <s v="Small"/>
    <s v="Hybrid"/>
    <n v="9"/>
    <n v="39.85"/>
    <n v="240878"/>
    <n v="1"/>
  </r>
  <r>
    <s v="Startup_4515"/>
    <x v="3"/>
    <n v="3"/>
    <n v="944775"/>
    <n v="2"/>
    <n v="13"/>
    <n v="501"/>
    <n v="21388799"/>
    <n v="453446"/>
    <s v="Large"/>
    <s v="B2C"/>
    <n v="7"/>
    <n v="51.14"/>
    <n v="220264"/>
    <n v="1"/>
  </r>
  <r>
    <s v="Startup_4516"/>
    <x v="0"/>
    <n v="7"/>
    <n v="17202717"/>
    <n v="1"/>
    <n v="24"/>
    <n v="204"/>
    <n v="70330429"/>
    <n v="406770"/>
    <s v="Large"/>
    <s v="B2C"/>
    <n v="5"/>
    <n v="33.81"/>
    <n v="641090"/>
    <n v="1"/>
  </r>
  <r>
    <s v="Startup_4517"/>
    <x v="1"/>
    <n v="6"/>
    <n v="31488308"/>
    <n v="4"/>
    <n v="21"/>
    <n v="21"/>
    <n v="19986998"/>
    <n v="411497"/>
    <s v="Small"/>
    <s v="B2B"/>
    <n v="2"/>
    <n v="88.02"/>
    <n v="201642"/>
    <n v="1"/>
  </r>
  <r>
    <s v="Startup_4518"/>
    <x v="0"/>
    <n v="1"/>
    <n v="39560834"/>
    <n v="3"/>
    <n v="25"/>
    <n v="388"/>
    <n v="28219641"/>
    <n v="484732"/>
    <s v="Small"/>
    <s v="B2B"/>
    <n v="9"/>
    <n v="46.9"/>
    <n v="490488"/>
    <n v="1"/>
  </r>
  <r>
    <s v="Startup_4519"/>
    <x v="5"/>
    <n v="0"/>
    <n v="38962091"/>
    <n v="3"/>
    <n v="0"/>
    <n v="268"/>
    <n v="24217414"/>
    <n v="178819"/>
    <s v="Medium"/>
    <s v="B2B"/>
    <n v="7"/>
    <n v="78.58"/>
    <n v="833454"/>
    <n v="1"/>
  </r>
  <r>
    <s v="Startup_4520"/>
    <x v="5"/>
    <n v="6"/>
    <n v="9365814"/>
    <n v="3"/>
    <n v="23"/>
    <n v="4"/>
    <n v="57266719"/>
    <n v="423111"/>
    <s v="Medium"/>
    <s v="B2C"/>
    <n v="9"/>
    <n v="37.299999999999997"/>
    <n v="582064"/>
    <n v="1"/>
  </r>
  <r>
    <s v="Startup_4521"/>
    <x v="1"/>
    <n v="14"/>
    <n v="41457350"/>
    <n v="3"/>
    <n v="13"/>
    <n v="588"/>
    <n v="20850638"/>
    <n v="930402"/>
    <s v="Medium"/>
    <s v="B2B"/>
    <n v="5"/>
    <n v="65.38"/>
    <n v="562011"/>
    <n v="1"/>
  </r>
  <r>
    <s v="Startup_4522"/>
    <x v="4"/>
    <n v="10"/>
    <n v="21701553"/>
    <n v="3"/>
    <n v="6"/>
    <n v="359"/>
    <n v="48736805"/>
    <n v="739717"/>
    <s v="Large"/>
    <s v="Hybrid"/>
    <n v="9"/>
    <n v="59.84"/>
    <n v="865388"/>
    <n v="1"/>
  </r>
  <r>
    <s v="Startup_4523"/>
    <x v="1"/>
    <n v="14"/>
    <n v="19217792"/>
    <n v="2"/>
    <n v="1"/>
    <n v="200"/>
    <n v="93803059"/>
    <n v="311006"/>
    <s v="Large"/>
    <s v="Hybrid"/>
    <n v="8"/>
    <n v="21.24"/>
    <n v="664299"/>
    <n v="1"/>
  </r>
  <r>
    <s v="Startup_4524"/>
    <x v="4"/>
    <n v="13"/>
    <n v="19851924"/>
    <n v="1"/>
    <n v="18"/>
    <n v="613"/>
    <n v="12329426"/>
    <n v="205885"/>
    <s v="Small"/>
    <s v="B2B"/>
    <n v="6"/>
    <n v="73.64"/>
    <n v="174194"/>
    <n v="1"/>
  </r>
  <r>
    <s v="Startup_4525"/>
    <x v="4"/>
    <n v="10"/>
    <n v="43458892"/>
    <n v="1"/>
    <n v="15"/>
    <n v="997"/>
    <n v="22434510"/>
    <n v="49430"/>
    <s v="Large"/>
    <s v="Hybrid"/>
    <n v="4"/>
    <n v="71.239999999999995"/>
    <n v="316466"/>
    <n v="1"/>
  </r>
  <r>
    <s v="Startup_4526"/>
    <x v="6"/>
    <n v="14"/>
    <n v="31472259"/>
    <n v="2"/>
    <n v="2"/>
    <n v="825"/>
    <n v="49097106"/>
    <n v="699218"/>
    <s v="Large"/>
    <s v="Hybrid"/>
    <n v="9"/>
    <n v="73.8"/>
    <n v="188069"/>
    <n v="1"/>
  </r>
  <r>
    <s v="Startup_4527"/>
    <x v="1"/>
    <n v="10"/>
    <n v="10671607"/>
    <n v="4"/>
    <n v="25"/>
    <n v="777"/>
    <n v="69858274"/>
    <n v="891337"/>
    <s v="Medium"/>
    <s v="B2C"/>
    <n v="3"/>
    <n v="12.12"/>
    <n v="110273"/>
    <n v="1"/>
  </r>
  <r>
    <s v="Startup_4528"/>
    <x v="3"/>
    <n v="14"/>
    <n v="47759862"/>
    <n v="3"/>
    <n v="3"/>
    <n v="817"/>
    <n v="45638798"/>
    <n v="765899"/>
    <s v="Medium"/>
    <s v="B2C"/>
    <n v="6"/>
    <n v="66.5"/>
    <n v="719632"/>
    <n v="1"/>
  </r>
  <r>
    <s v="Startup_4529"/>
    <x v="1"/>
    <n v="13"/>
    <n v="29267721"/>
    <n v="3"/>
    <n v="24"/>
    <n v="379"/>
    <n v="44040233"/>
    <n v="284594"/>
    <s v="Large"/>
    <s v="B2B"/>
    <n v="9"/>
    <n v="24.18"/>
    <n v="6620"/>
    <n v="1"/>
  </r>
  <r>
    <s v="Startup_4530"/>
    <x v="4"/>
    <n v="12"/>
    <n v="22055827"/>
    <n v="3"/>
    <n v="28"/>
    <n v="761"/>
    <n v="57663069"/>
    <n v="517829"/>
    <s v="Small"/>
    <s v="B2B"/>
    <n v="9"/>
    <n v="85.82"/>
    <n v="873282"/>
    <n v="1"/>
  </r>
  <r>
    <s v="Startup_4531"/>
    <x v="6"/>
    <n v="11"/>
    <n v="42888895"/>
    <n v="4"/>
    <n v="5"/>
    <n v="804"/>
    <n v="24311794"/>
    <n v="540305"/>
    <s v="Large"/>
    <s v="B2B"/>
    <n v="4"/>
    <n v="30.98"/>
    <n v="235983"/>
    <n v="1"/>
  </r>
  <r>
    <s v="Startup_4532"/>
    <x v="4"/>
    <n v="12"/>
    <n v="24621705"/>
    <n v="2"/>
    <n v="8"/>
    <n v="949"/>
    <n v="45032136"/>
    <n v="418830"/>
    <s v="Small"/>
    <s v="B2B"/>
    <n v="2"/>
    <n v="33.950000000000003"/>
    <n v="228215"/>
    <n v="1"/>
  </r>
  <r>
    <s v="Startup_4533"/>
    <x v="3"/>
    <n v="6"/>
    <n v="9147281"/>
    <n v="1"/>
    <n v="21"/>
    <n v="431"/>
    <n v="40179004"/>
    <n v="190021"/>
    <s v="Large"/>
    <s v="B2B"/>
    <n v="9"/>
    <n v="73.64"/>
    <n v="858084"/>
    <n v="1"/>
  </r>
  <r>
    <s v="Startup_4534"/>
    <x v="6"/>
    <n v="11"/>
    <n v="29915484"/>
    <n v="1"/>
    <n v="24"/>
    <n v="624"/>
    <n v="71901494"/>
    <n v="768134"/>
    <s v="Small"/>
    <s v="Hybrid"/>
    <n v="9"/>
    <n v="56.61"/>
    <n v="140279"/>
    <n v="1"/>
  </r>
  <r>
    <s v="Startup_4535"/>
    <x v="6"/>
    <n v="12"/>
    <n v="8846295"/>
    <n v="2"/>
    <n v="28"/>
    <n v="877"/>
    <n v="79514338"/>
    <n v="113663"/>
    <s v="Large"/>
    <s v="B2B"/>
    <n v="1"/>
    <n v="68.09"/>
    <n v="249129"/>
    <n v="1"/>
  </r>
  <r>
    <s v="Startup_4536"/>
    <x v="1"/>
    <n v="3"/>
    <n v="23275589"/>
    <n v="4"/>
    <n v="6"/>
    <n v="770"/>
    <n v="43308835"/>
    <n v="786702"/>
    <s v="Small"/>
    <s v="Hybrid"/>
    <n v="7"/>
    <n v="12.9"/>
    <n v="542603"/>
    <n v="1"/>
  </r>
  <r>
    <s v="Startup_4537"/>
    <x v="0"/>
    <n v="9"/>
    <n v="26088747"/>
    <n v="1"/>
    <n v="16"/>
    <n v="207"/>
    <n v="16217221"/>
    <n v="625260"/>
    <s v="Medium"/>
    <s v="B2C"/>
    <n v="9"/>
    <n v="83.37"/>
    <n v="14100"/>
    <n v="1"/>
  </r>
  <r>
    <s v="Startup_4538"/>
    <x v="0"/>
    <n v="13"/>
    <n v="42743162"/>
    <n v="1"/>
    <n v="22"/>
    <n v="301"/>
    <n v="53044745"/>
    <n v="268478"/>
    <s v="Large"/>
    <s v="Hybrid"/>
    <n v="7"/>
    <n v="41.04"/>
    <n v="82623"/>
    <n v="1"/>
  </r>
  <r>
    <s v="Startup_4539"/>
    <x v="4"/>
    <n v="11"/>
    <n v="17379575"/>
    <n v="4"/>
    <n v="9"/>
    <n v="918"/>
    <n v="8812801"/>
    <n v="292792"/>
    <s v="Large"/>
    <s v="B2C"/>
    <n v="7"/>
    <n v="94.83"/>
    <n v="72267"/>
    <n v="1"/>
  </r>
  <r>
    <s v="Startup_4540"/>
    <x v="6"/>
    <n v="4"/>
    <n v="10985728"/>
    <n v="2"/>
    <n v="3"/>
    <n v="190"/>
    <n v="97272852"/>
    <n v="370379"/>
    <s v="Small"/>
    <s v="B2B"/>
    <n v="9"/>
    <n v="14.54"/>
    <n v="55134"/>
    <n v="1"/>
  </r>
  <r>
    <s v="Startup_4541"/>
    <x v="2"/>
    <n v="3"/>
    <n v="9047664"/>
    <n v="4"/>
    <n v="28"/>
    <n v="663"/>
    <n v="32946888"/>
    <n v="126280"/>
    <s v="Large"/>
    <s v="Hybrid"/>
    <n v="6"/>
    <n v="45.8"/>
    <n v="824602"/>
    <n v="1"/>
  </r>
  <r>
    <s v="Startup_4542"/>
    <x v="1"/>
    <n v="6"/>
    <n v="36438646"/>
    <n v="4"/>
    <n v="7"/>
    <n v="66"/>
    <n v="38033635"/>
    <n v="970646"/>
    <s v="Medium"/>
    <s v="B2C"/>
    <n v="5"/>
    <n v="35.1"/>
    <n v="515717"/>
    <n v="1"/>
  </r>
  <r>
    <s v="Startup_4543"/>
    <x v="2"/>
    <n v="7"/>
    <n v="6619711"/>
    <n v="4"/>
    <n v="4"/>
    <n v="347"/>
    <n v="30023272"/>
    <n v="262217"/>
    <s v="Small"/>
    <s v="B2B"/>
    <n v="7"/>
    <n v="9.67"/>
    <n v="469471"/>
    <n v="1"/>
  </r>
  <r>
    <s v="Startup_4544"/>
    <x v="6"/>
    <n v="10"/>
    <n v="23337445"/>
    <n v="2"/>
    <n v="25"/>
    <n v="67"/>
    <n v="61854806"/>
    <n v="434599"/>
    <s v="Large"/>
    <s v="B2B"/>
    <n v="2"/>
    <n v="48.47"/>
    <n v="830956"/>
    <n v="1"/>
  </r>
  <r>
    <s v="Startup_4545"/>
    <x v="2"/>
    <n v="8"/>
    <n v="2013022"/>
    <n v="4"/>
    <n v="18"/>
    <n v="534"/>
    <n v="50980666"/>
    <n v="192169"/>
    <s v="Small"/>
    <s v="Hybrid"/>
    <n v="9"/>
    <n v="47.13"/>
    <n v="350484"/>
    <n v="1"/>
  </r>
  <r>
    <s v="Startup_4546"/>
    <x v="1"/>
    <n v="9"/>
    <n v="1966518"/>
    <n v="2"/>
    <n v="14"/>
    <n v="773"/>
    <n v="9149075"/>
    <n v="888513"/>
    <s v="Small"/>
    <s v="B2C"/>
    <n v="3"/>
    <n v="29.56"/>
    <n v="750978"/>
    <n v="1"/>
  </r>
  <r>
    <s v="Startup_4547"/>
    <x v="0"/>
    <n v="10"/>
    <n v="8726073"/>
    <n v="2"/>
    <n v="28"/>
    <n v="287"/>
    <n v="6212129"/>
    <n v="847216"/>
    <s v="Small"/>
    <s v="B2B"/>
    <n v="4"/>
    <n v="16.03"/>
    <n v="850086"/>
    <n v="1"/>
  </r>
  <r>
    <s v="Startup_4548"/>
    <x v="6"/>
    <n v="2"/>
    <n v="28680653"/>
    <n v="3"/>
    <n v="26"/>
    <n v="608"/>
    <n v="43318606"/>
    <n v="517096"/>
    <s v="Large"/>
    <s v="B2C"/>
    <n v="4"/>
    <n v="88.3"/>
    <n v="808243"/>
    <n v="1"/>
  </r>
  <r>
    <s v="Startup_4549"/>
    <x v="5"/>
    <n v="4"/>
    <n v="38180811"/>
    <n v="1"/>
    <n v="17"/>
    <n v="962"/>
    <n v="16759075"/>
    <n v="483348"/>
    <s v="Small"/>
    <s v="B2B"/>
    <n v="4"/>
    <n v="4.67"/>
    <n v="97689"/>
    <n v="1"/>
  </r>
  <r>
    <s v="Startup_4550"/>
    <x v="1"/>
    <n v="11"/>
    <n v="28858841"/>
    <n v="3"/>
    <n v="28"/>
    <n v="810"/>
    <n v="79541924"/>
    <n v="931659"/>
    <s v="Large"/>
    <s v="B2B"/>
    <n v="6"/>
    <n v="33.200000000000003"/>
    <n v="349268"/>
    <n v="1"/>
  </r>
  <r>
    <s v="Startup_4551"/>
    <x v="6"/>
    <n v="14"/>
    <n v="15196358"/>
    <n v="1"/>
    <n v="23"/>
    <n v="910"/>
    <n v="98380697"/>
    <n v="7484"/>
    <s v="Medium"/>
    <s v="B2C"/>
    <n v="5"/>
    <n v="27.85"/>
    <n v="720577"/>
    <n v="1"/>
  </r>
  <r>
    <s v="Startup_4552"/>
    <x v="6"/>
    <n v="9"/>
    <n v="23303272"/>
    <n v="2"/>
    <n v="27"/>
    <n v="915"/>
    <n v="27600651"/>
    <n v="550714"/>
    <s v="Large"/>
    <s v="B2B"/>
    <n v="3"/>
    <n v="25.84"/>
    <n v="363219"/>
    <n v="1"/>
  </r>
  <r>
    <s v="Startup_4553"/>
    <x v="4"/>
    <n v="6"/>
    <n v="39698197"/>
    <n v="1"/>
    <n v="28"/>
    <n v="439"/>
    <n v="11552843"/>
    <n v="563907"/>
    <s v="Large"/>
    <s v="B2B"/>
    <n v="4"/>
    <n v="61.93"/>
    <n v="341350"/>
    <n v="1"/>
  </r>
  <r>
    <s v="Startup_4554"/>
    <x v="3"/>
    <n v="4"/>
    <n v="13767573"/>
    <n v="3"/>
    <n v="3"/>
    <n v="108"/>
    <n v="85205960"/>
    <n v="359621"/>
    <s v="Small"/>
    <s v="B2C"/>
    <n v="7"/>
    <n v="35.229999999999997"/>
    <n v="657359"/>
    <n v="1"/>
  </r>
  <r>
    <s v="Startup_4555"/>
    <x v="1"/>
    <n v="2"/>
    <n v="49976050"/>
    <n v="3"/>
    <n v="17"/>
    <n v="379"/>
    <n v="60952961"/>
    <n v="591410"/>
    <s v="Medium"/>
    <s v="B2B"/>
    <n v="2"/>
    <n v="35.18"/>
    <n v="78682"/>
    <n v="1"/>
  </r>
  <r>
    <s v="Startup_4556"/>
    <x v="2"/>
    <n v="11"/>
    <n v="47935283"/>
    <n v="2"/>
    <n v="16"/>
    <n v="582"/>
    <n v="77308836"/>
    <n v="248639"/>
    <s v="Medium"/>
    <s v="B2B"/>
    <n v="9"/>
    <n v="39.880000000000003"/>
    <n v="79406"/>
    <n v="1"/>
  </r>
  <r>
    <s v="Startup_4557"/>
    <x v="1"/>
    <n v="14"/>
    <n v="18169478"/>
    <n v="4"/>
    <n v="20"/>
    <n v="521"/>
    <n v="33117645"/>
    <n v="618326"/>
    <s v="Medium"/>
    <s v="Hybrid"/>
    <n v="6"/>
    <n v="84.56"/>
    <n v="867998"/>
    <n v="1"/>
  </r>
  <r>
    <s v="Startup_4558"/>
    <x v="2"/>
    <n v="14"/>
    <n v="27261803"/>
    <n v="2"/>
    <n v="17"/>
    <n v="536"/>
    <n v="47784409"/>
    <n v="794760"/>
    <s v="Small"/>
    <s v="Hybrid"/>
    <n v="1"/>
    <n v="39.17"/>
    <n v="544002"/>
    <n v="1"/>
  </r>
  <r>
    <s v="Startup_4559"/>
    <x v="6"/>
    <n v="1"/>
    <n v="21291527"/>
    <n v="4"/>
    <n v="20"/>
    <n v="471"/>
    <n v="31897572"/>
    <n v="981613"/>
    <s v="Medium"/>
    <s v="Hybrid"/>
    <n v="7"/>
    <n v="42.17"/>
    <n v="224502"/>
    <n v="1"/>
  </r>
  <r>
    <s v="Startup_4560"/>
    <x v="3"/>
    <n v="0"/>
    <n v="42335043"/>
    <n v="3"/>
    <n v="29"/>
    <n v="986"/>
    <n v="50309457"/>
    <n v="617532"/>
    <s v="Large"/>
    <s v="B2C"/>
    <n v="7"/>
    <n v="18.149999999999999"/>
    <n v="54468"/>
    <n v="1"/>
  </r>
  <r>
    <s v="Startup_4561"/>
    <x v="1"/>
    <n v="6"/>
    <n v="33283761"/>
    <n v="3"/>
    <n v="2"/>
    <n v="525"/>
    <n v="60390650"/>
    <n v="567970"/>
    <s v="Large"/>
    <s v="B2B"/>
    <n v="9"/>
    <n v="44.34"/>
    <n v="463317"/>
    <n v="1"/>
  </r>
  <r>
    <s v="Startup_4562"/>
    <x v="6"/>
    <n v="1"/>
    <n v="39627588"/>
    <n v="4"/>
    <n v="5"/>
    <n v="45"/>
    <n v="2228287"/>
    <n v="430588"/>
    <s v="Medium"/>
    <s v="Hybrid"/>
    <n v="5"/>
    <n v="18.62"/>
    <n v="616983"/>
    <n v="1"/>
  </r>
  <r>
    <s v="Startup_4563"/>
    <x v="5"/>
    <n v="8"/>
    <n v="17156261"/>
    <n v="1"/>
    <n v="14"/>
    <n v="422"/>
    <n v="90351475"/>
    <n v="731358"/>
    <s v="Small"/>
    <s v="B2B"/>
    <n v="2"/>
    <n v="49.05"/>
    <n v="92813"/>
    <n v="1"/>
  </r>
  <r>
    <s v="Startup_4564"/>
    <x v="1"/>
    <n v="12"/>
    <n v="36192583"/>
    <n v="3"/>
    <n v="8"/>
    <n v="786"/>
    <n v="41902147"/>
    <n v="955257"/>
    <s v="Large"/>
    <s v="Hybrid"/>
    <n v="4"/>
    <n v="12.94"/>
    <n v="616262"/>
    <n v="1"/>
  </r>
  <r>
    <s v="Startup_4565"/>
    <x v="6"/>
    <n v="8"/>
    <n v="26970522"/>
    <n v="3"/>
    <n v="6"/>
    <n v="806"/>
    <n v="64086667"/>
    <n v="261162"/>
    <s v="Small"/>
    <s v="B2C"/>
    <n v="2"/>
    <n v="4.47"/>
    <n v="834561"/>
    <n v="1"/>
  </r>
  <r>
    <s v="Startup_4566"/>
    <x v="0"/>
    <n v="8"/>
    <n v="47932541"/>
    <n v="4"/>
    <n v="10"/>
    <n v="235"/>
    <n v="95186906"/>
    <n v="247293"/>
    <s v="Medium"/>
    <s v="B2C"/>
    <n v="6"/>
    <n v="99.37"/>
    <n v="486721"/>
    <n v="1"/>
  </r>
  <r>
    <s v="Startup_4567"/>
    <x v="0"/>
    <n v="3"/>
    <n v="15729102"/>
    <n v="4"/>
    <n v="18"/>
    <n v="995"/>
    <n v="86065378"/>
    <n v="379756"/>
    <s v="Large"/>
    <s v="Hybrid"/>
    <n v="3"/>
    <n v="24.65"/>
    <n v="575382"/>
    <n v="1"/>
  </r>
  <r>
    <s v="Startup_4568"/>
    <x v="4"/>
    <n v="8"/>
    <n v="27275797"/>
    <n v="2"/>
    <n v="16"/>
    <n v="958"/>
    <n v="18756146"/>
    <n v="374342"/>
    <s v="Small"/>
    <s v="B2C"/>
    <n v="5"/>
    <n v="34.659999999999997"/>
    <n v="393690"/>
    <n v="1"/>
  </r>
  <r>
    <s v="Startup_4569"/>
    <x v="2"/>
    <n v="14"/>
    <n v="33512589"/>
    <n v="1"/>
    <n v="9"/>
    <n v="698"/>
    <n v="12927765"/>
    <n v="698122"/>
    <s v="Small"/>
    <s v="B2C"/>
    <n v="9"/>
    <n v="31.95"/>
    <n v="294297"/>
    <n v="1"/>
  </r>
  <r>
    <s v="Startup_4570"/>
    <x v="2"/>
    <n v="9"/>
    <n v="40062501"/>
    <n v="1"/>
    <n v="26"/>
    <n v="582"/>
    <n v="79873999"/>
    <n v="101510"/>
    <s v="Small"/>
    <s v="B2B"/>
    <n v="4"/>
    <n v="80.75"/>
    <n v="503915"/>
    <n v="1"/>
  </r>
  <r>
    <s v="Startup_4571"/>
    <x v="4"/>
    <n v="4"/>
    <n v="36359066"/>
    <n v="2"/>
    <n v="19"/>
    <n v="553"/>
    <n v="78748893"/>
    <n v="568765"/>
    <s v="Small"/>
    <s v="Hybrid"/>
    <n v="5"/>
    <n v="40.32"/>
    <n v="956703"/>
    <n v="1"/>
  </r>
  <r>
    <s v="Startup_4572"/>
    <x v="1"/>
    <n v="8"/>
    <n v="10516241"/>
    <n v="2"/>
    <n v="7"/>
    <n v="166"/>
    <n v="21865037"/>
    <n v="752556"/>
    <s v="Small"/>
    <s v="B2C"/>
    <n v="6"/>
    <n v="48.17"/>
    <n v="531905"/>
    <n v="1"/>
  </r>
  <r>
    <s v="Startup_4573"/>
    <x v="0"/>
    <n v="3"/>
    <n v="43316255"/>
    <n v="4"/>
    <n v="13"/>
    <n v="77"/>
    <n v="19772565"/>
    <n v="661548"/>
    <s v="Large"/>
    <s v="Hybrid"/>
    <n v="5"/>
    <n v="81.33"/>
    <n v="676219"/>
    <n v="1"/>
  </r>
  <r>
    <s v="Startup_4574"/>
    <x v="3"/>
    <n v="11"/>
    <n v="36452858"/>
    <n v="4"/>
    <n v="14"/>
    <n v="738"/>
    <n v="3597180"/>
    <n v="496182"/>
    <s v="Small"/>
    <s v="B2C"/>
    <n v="6"/>
    <n v="50.01"/>
    <n v="890992"/>
    <n v="1"/>
  </r>
  <r>
    <s v="Startup_4575"/>
    <x v="0"/>
    <n v="7"/>
    <n v="28441216"/>
    <n v="3"/>
    <n v="17"/>
    <n v="551"/>
    <n v="9341792"/>
    <n v="577262"/>
    <s v="Large"/>
    <s v="Hybrid"/>
    <n v="4"/>
    <n v="44.01"/>
    <n v="736887"/>
    <n v="1"/>
  </r>
  <r>
    <s v="Startup_4576"/>
    <x v="1"/>
    <n v="12"/>
    <n v="1508935"/>
    <n v="2"/>
    <n v="6"/>
    <n v="957"/>
    <n v="42265912"/>
    <n v="887998"/>
    <s v="Large"/>
    <s v="B2B"/>
    <n v="7"/>
    <n v="55.16"/>
    <n v="685088"/>
    <n v="1"/>
  </r>
  <r>
    <s v="Startup_4577"/>
    <x v="0"/>
    <n v="1"/>
    <n v="28778724"/>
    <n v="1"/>
    <n v="0"/>
    <n v="640"/>
    <n v="34708272"/>
    <n v="754293"/>
    <s v="Small"/>
    <s v="B2B"/>
    <n v="7"/>
    <n v="50.34"/>
    <n v="35944"/>
    <n v="1"/>
  </r>
  <r>
    <s v="Startup_4578"/>
    <x v="6"/>
    <n v="12"/>
    <n v="36466944"/>
    <n v="1"/>
    <n v="9"/>
    <n v="336"/>
    <n v="85422608"/>
    <n v="60211"/>
    <s v="Medium"/>
    <s v="Hybrid"/>
    <n v="3"/>
    <n v="30.66"/>
    <n v="648390"/>
    <n v="1"/>
  </r>
  <r>
    <s v="Startup_4579"/>
    <x v="4"/>
    <n v="7"/>
    <n v="41277485"/>
    <n v="1"/>
    <n v="5"/>
    <n v="484"/>
    <n v="40194252"/>
    <n v="481984"/>
    <s v="Medium"/>
    <s v="B2C"/>
    <n v="8"/>
    <n v="72.75"/>
    <n v="21109"/>
    <n v="1"/>
  </r>
  <r>
    <s v="Startup_4580"/>
    <x v="1"/>
    <n v="12"/>
    <n v="1178064"/>
    <n v="1"/>
    <n v="7"/>
    <n v="215"/>
    <n v="53793029"/>
    <n v="212008"/>
    <s v="Medium"/>
    <s v="Hybrid"/>
    <n v="8"/>
    <n v="86.9"/>
    <n v="394562"/>
    <n v="1"/>
  </r>
  <r>
    <s v="Startup_4581"/>
    <x v="5"/>
    <n v="6"/>
    <n v="29988939"/>
    <n v="2"/>
    <n v="17"/>
    <n v="598"/>
    <n v="93960896"/>
    <n v="365877"/>
    <s v="Large"/>
    <s v="B2B"/>
    <n v="6"/>
    <n v="84.75"/>
    <n v="233721"/>
    <n v="1"/>
  </r>
  <r>
    <s v="Startup_4582"/>
    <x v="4"/>
    <n v="0"/>
    <n v="30969152"/>
    <n v="2"/>
    <n v="28"/>
    <n v="179"/>
    <n v="78199340"/>
    <n v="581417"/>
    <s v="Small"/>
    <s v="B2C"/>
    <n v="3"/>
    <n v="54.78"/>
    <n v="967952"/>
    <n v="1"/>
  </r>
  <r>
    <s v="Startup_4583"/>
    <x v="5"/>
    <n v="5"/>
    <n v="44329853"/>
    <n v="1"/>
    <n v="24"/>
    <n v="855"/>
    <n v="91440884"/>
    <n v="904577"/>
    <s v="Small"/>
    <s v="Hybrid"/>
    <n v="4"/>
    <n v="39.72"/>
    <n v="401280"/>
    <n v="1"/>
  </r>
  <r>
    <s v="Startup_4584"/>
    <x v="5"/>
    <n v="2"/>
    <n v="17227411"/>
    <n v="3"/>
    <n v="22"/>
    <n v="582"/>
    <n v="44950346"/>
    <n v="440491"/>
    <s v="Medium"/>
    <s v="B2C"/>
    <n v="4"/>
    <n v="22"/>
    <n v="374447"/>
    <n v="1"/>
  </r>
  <r>
    <s v="Startup_4585"/>
    <x v="3"/>
    <n v="2"/>
    <n v="3702413"/>
    <n v="2"/>
    <n v="6"/>
    <n v="90"/>
    <n v="92897493"/>
    <n v="616203"/>
    <s v="Large"/>
    <s v="Hybrid"/>
    <n v="5"/>
    <n v="35.97"/>
    <n v="573501"/>
    <n v="1"/>
  </r>
  <r>
    <s v="Startup_4586"/>
    <x v="4"/>
    <n v="10"/>
    <n v="22055285"/>
    <n v="2"/>
    <n v="18"/>
    <n v="697"/>
    <n v="96754606"/>
    <n v="809958"/>
    <s v="Large"/>
    <s v="Hybrid"/>
    <n v="5"/>
    <n v="94.62"/>
    <n v="745239"/>
    <n v="1"/>
  </r>
  <r>
    <s v="Startup_4587"/>
    <x v="3"/>
    <n v="6"/>
    <n v="22228194"/>
    <n v="4"/>
    <n v="14"/>
    <n v="363"/>
    <n v="60501811"/>
    <n v="980396"/>
    <s v="Large"/>
    <s v="B2B"/>
    <n v="1"/>
    <n v="28.85"/>
    <n v="669632"/>
    <n v="1"/>
  </r>
  <r>
    <s v="Startup_4588"/>
    <x v="4"/>
    <n v="6"/>
    <n v="48048881"/>
    <n v="3"/>
    <n v="27"/>
    <n v="642"/>
    <n v="92759352"/>
    <n v="293640"/>
    <s v="Large"/>
    <s v="B2B"/>
    <n v="6"/>
    <n v="59.08"/>
    <n v="642792"/>
    <n v="1"/>
  </r>
  <r>
    <s v="Startup_4589"/>
    <x v="5"/>
    <n v="1"/>
    <n v="25120896"/>
    <n v="1"/>
    <n v="8"/>
    <n v="562"/>
    <n v="86102399"/>
    <n v="152319"/>
    <s v="Large"/>
    <s v="B2B"/>
    <n v="8"/>
    <n v="59.72"/>
    <n v="239032"/>
    <n v="1"/>
  </r>
  <r>
    <s v="Startup_4590"/>
    <x v="2"/>
    <n v="7"/>
    <n v="44804369"/>
    <n v="1"/>
    <n v="29"/>
    <n v="520"/>
    <n v="95786994"/>
    <n v="24885"/>
    <s v="Medium"/>
    <s v="B2B"/>
    <n v="5"/>
    <n v="20.02"/>
    <n v="874165"/>
    <n v="1"/>
  </r>
  <r>
    <s v="Startup_4591"/>
    <x v="0"/>
    <n v="13"/>
    <n v="23607637"/>
    <n v="1"/>
    <n v="19"/>
    <n v="161"/>
    <n v="92048392"/>
    <n v="673517"/>
    <s v="Large"/>
    <s v="Hybrid"/>
    <n v="7"/>
    <n v="31.1"/>
    <n v="585038"/>
    <n v="1"/>
  </r>
  <r>
    <s v="Startup_4592"/>
    <x v="1"/>
    <n v="14"/>
    <n v="7748306"/>
    <n v="3"/>
    <n v="4"/>
    <n v="46"/>
    <n v="9687618"/>
    <n v="133371"/>
    <s v="Medium"/>
    <s v="Hybrid"/>
    <n v="1"/>
    <n v="33.5"/>
    <n v="157581"/>
    <n v="1"/>
  </r>
  <r>
    <s v="Startup_4593"/>
    <x v="2"/>
    <n v="14"/>
    <n v="26593050"/>
    <n v="2"/>
    <n v="28"/>
    <n v="406"/>
    <n v="83102145"/>
    <n v="462493"/>
    <s v="Large"/>
    <s v="B2B"/>
    <n v="6"/>
    <n v="90.37"/>
    <n v="886140"/>
    <n v="1"/>
  </r>
  <r>
    <s v="Startup_4594"/>
    <x v="4"/>
    <n v="10"/>
    <n v="34103256"/>
    <n v="2"/>
    <n v="29"/>
    <n v="244"/>
    <n v="72561444"/>
    <n v="415240"/>
    <s v="Small"/>
    <s v="Hybrid"/>
    <n v="1"/>
    <n v="61.85"/>
    <n v="405318"/>
    <n v="1"/>
  </r>
  <r>
    <s v="Startup_4595"/>
    <x v="0"/>
    <n v="12"/>
    <n v="16490738"/>
    <n v="2"/>
    <n v="17"/>
    <n v="513"/>
    <n v="67385500"/>
    <n v="351656"/>
    <s v="Small"/>
    <s v="B2C"/>
    <n v="1"/>
    <n v="29.4"/>
    <n v="77609"/>
    <n v="1"/>
  </r>
  <r>
    <s v="Startup_4596"/>
    <x v="2"/>
    <n v="9"/>
    <n v="45997718"/>
    <n v="3"/>
    <n v="19"/>
    <n v="702"/>
    <n v="74870757"/>
    <n v="223604"/>
    <s v="Medium"/>
    <s v="B2C"/>
    <n v="2"/>
    <n v="4.67"/>
    <n v="658987"/>
    <n v="1"/>
  </r>
  <r>
    <s v="Startup_4597"/>
    <x v="3"/>
    <n v="5"/>
    <n v="4482876"/>
    <n v="4"/>
    <n v="22"/>
    <n v="107"/>
    <n v="99116640"/>
    <n v="587071"/>
    <s v="Large"/>
    <s v="B2B"/>
    <n v="4"/>
    <n v="96.26"/>
    <n v="908587"/>
    <n v="1"/>
  </r>
  <r>
    <s v="Startup_4598"/>
    <x v="0"/>
    <n v="2"/>
    <n v="23982495"/>
    <n v="1"/>
    <n v="22"/>
    <n v="135"/>
    <n v="91826088"/>
    <n v="639622"/>
    <s v="Large"/>
    <s v="Hybrid"/>
    <n v="9"/>
    <n v="41.89"/>
    <n v="116733"/>
    <n v="1"/>
  </r>
  <r>
    <s v="Startup_4599"/>
    <x v="4"/>
    <n v="4"/>
    <n v="48573795"/>
    <n v="3"/>
    <n v="16"/>
    <n v="979"/>
    <n v="70864239"/>
    <n v="908662"/>
    <s v="Large"/>
    <s v="B2B"/>
    <n v="2"/>
    <n v="96.38"/>
    <n v="74743"/>
    <n v="1"/>
  </r>
  <r>
    <s v="Startup_4600"/>
    <x v="3"/>
    <n v="8"/>
    <n v="27479712"/>
    <n v="3"/>
    <n v="0"/>
    <n v="462"/>
    <n v="93658573"/>
    <n v="16030"/>
    <s v="Large"/>
    <s v="B2B"/>
    <n v="5"/>
    <n v="90.08"/>
    <n v="668544"/>
    <n v="1"/>
  </r>
  <r>
    <s v="Startup_4601"/>
    <x v="4"/>
    <n v="7"/>
    <n v="42151254"/>
    <n v="1"/>
    <n v="14"/>
    <n v="503"/>
    <n v="682700"/>
    <n v="891290"/>
    <s v="Large"/>
    <s v="B2B"/>
    <n v="4"/>
    <n v="49.27"/>
    <n v="242885"/>
    <n v="1"/>
  </r>
  <r>
    <s v="Startup_4602"/>
    <x v="6"/>
    <n v="13"/>
    <n v="12683532"/>
    <n v="4"/>
    <n v="12"/>
    <n v="572"/>
    <n v="79011101"/>
    <n v="902092"/>
    <s v="Medium"/>
    <s v="B2C"/>
    <n v="9"/>
    <n v="23.99"/>
    <n v="348298"/>
    <n v="1"/>
  </r>
  <r>
    <s v="Startup_4603"/>
    <x v="6"/>
    <n v="2"/>
    <n v="47085256"/>
    <n v="4"/>
    <n v="8"/>
    <n v="570"/>
    <n v="83166784"/>
    <n v="123310"/>
    <s v="Medium"/>
    <s v="B2C"/>
    <n v="1"/>
    <n v="41.56"/>
    <n v="34043"/>
    <n v="1"/>
  </r>
  <r>
    <s v="Startup_4604"/>
    <x v="4"/>
    <n v="1"/>
    <n v="24452312"/>
    <n v="4"/>
    <n v="26"/>
    <n v="177"/>
    <n v="66493124"/>
    <n v="581449"/>
    <s v="Large"/>
    <s v="B2C"/>
    <n v="3"/>
    <n v="66.8"/>
    <n v="746853"/>
    <n v="1"/>
  </r>
  <r>
    <s v="Startup_4605"/>
    <x v="4"/>
    <n v="5"/>
    <n v="33928059"/>
    <n v="1"/>
    <n v="24"/>
    <n v="972"/>
    <n v="66339551"/>
    <n v="160913"/>
    <s v="Medium"/>
    <s v="B2C"/>
    <n v="5"/>
    <n v="29.43"/>
    <n v="394114"/>
    <n v="1"/>
  </r>
  <r>
    <s v="Startup_4606"/>
    <x v="6"/>
    <n v="13"/>
    <n v="21272169"/>
    <n v="2"/>
    <n v="5"/>
    <n v="104"/>
    <n v="17468043"/>
    <n v="867937"/>
    <s v="Medium"/>
    <s v="B2B"/>
    <n v="9"/>
    <n v="92.41"/>
    <n v="541240"/>
    <n v="1"/>
  </r>
  <r>
    <s v="Startup_4607"/>
    <x v="0"/>
    <n v="9"/>
    <n v="6179941"/>
    <n v="1"/>
    <n v="8"/>
    <n v="92"/>
    <n v="7761351"/>
    <n v="214323"/>
    <s v="Medium"/>
    <s v="B2C"/>
    <n v="3"/>
    <n v="84.1"/>
    <n v="878624"/>
    <n v="1"/>
  </r>
  <r>
    <s v="Startup_4608"/>
    <x v="4"/>
    <n v="0"/>
    <n v="32501678"/>
    <n v="1"/>
    <n v="2"/>
    <n v="681"/>
    <n v="63058932"/>
    <n v="881284"/>
    <s v="Large"/>
    <s v="B2C"/>
    <n v="3"/>
    <n v="78.17"/>
    <n v="378409"/>
    <n v="1"/>
  </r>
  <r>
    <s v="Startup_4609"/>
    <x v="3"/>
    <n v="6"/>
    <n v="5729781"/>
    <n v="1"/>
    <n v="0"/>
    <n v="169"/>
    <n v="56590600"/>
    <n v="562158"/>
    <s v="Small"/>
    <s v="B2B"/>
    <n v="6"/>
    <n v="97.56"/>
    <n v="94383"/>
    <n v="1"/>
  </r>
  <r>
    <s v="Startup_4610"/>
    <x v="2"/>
    <n v="12"/>
    <n v="13440078"/>
    <n v="1"/>
    <n v="25"/>
    <n v="269"/>
    <n v="6982465"/>
    <n v="315752"/>
    <s v="Large"/>
    <s v="B2C"/>
    <n v="3"/>
    <n v="13.17"/>
    <n v="12791"/>
    <n v="1"/>
  </r>
  <r>
    <s v="Startup_4611"/>
    <x v="4"/>
    <n v="12"/>
    <n v="33994448"/>
    <n v="3"/>
    <n v="24"/>
    <n v="66"/>
    <n v="66746523"/>
    <n v="936108"/>
    <s v="Small"/>
    <s v="B2B"/>
    <n v="2"/>
    <n v="88.42"/>
    <n v="199779"/>
    <n v="1"/>
  </r>
  <r>
    <s v="Startup_4612"/>
    <x v="6"/>
    <n v="14"/>
    <n v="11995880"/>
    <n v="4"/>
    <n v="4"/>
    <n v="519"/>
    <n v="75001880"/>
    <n v="193956"/>
    <s v="Medium"/>
    <s v="B2C"/>
    <n v="4"/>
    <n v="98.8"/>
    <n v="749767"/>
    <n v="1"/>
  </r>
  <r>
    <s v="Startup_4613"/>
    <x v="4"/>
    <n v="3"/>
    <n v="18212905"/>
    <n v="2"/>
    <n v="28"/>
    <n v="750"/>
    <n v="56588890"/>
    <n v="170132"/>
    <s v="Small"/>
    <s v="Hybrid"/>
    <n v="5"/>
    <n v="50.14"/>
    <n v="795045"/>
    <n v="1"/>
  </r>
  <r>
    <s v="Startup_4614"/>
    <x v="4"/>
    <n v="7"/>
    <n v="42488203"/>
    <n v="2"/>
    <n v="4"/>
    <n v="446"/>
    <n v="69779127"/>
    <n v="750955"/>
    <s v="Small"/>
    <s v="B2B"/>
    <n v="4"/>
    <n v="19.25"/>
    <n v="367388"/>
    <n v="1"/>
  </r>
  <r>
    <s v="Startup_4615"/>
    <x v="6"/>
    <n v="7"/>
    <n v="31638615"/>
    <n v="1"/>
    <n v="22"/>
    <n v="908"/>
    <n v="72169834"/>
    <n v="244893"/>
    <s v="Large"/>
    <s v="B2C"/>
    <n v="9"/>
    <n v="42.63"/>
    <n v="673775"/>
    <n v="1"/>
  </r>
  <r>
    <s v="Startup_4616"/>
    <x v="2"/>
    <n v="9"/>
    <n v="32649912"/>
    <n v="3"/>
    <n v="28"/>
    <n v="119"/>
    <n v="255011"/>
    <n v="424242"/>
    <s v="Small"/>
    <s v="B2C"/>
    <n v="6"/>
    <n v="76.77"/>
    <n v="940880"/>
    <n v="1"/>
  </r>
  <r>
    <s v="Startup_4617"/>
    <x v="3"/>
    <n v="6"/>
    <n v="12039825"/>
    <n v="4"/>
    <n v="13"/>
    <n v="517"/>
    <n v="1555961"/>
    <n v="356482"/>
    <s v="Large"/>
    <s v="B2B"/>
    <n v="5"/>
    <n v="39.39"/>
    <n v="921965"/>
    <n v="1"/>
  </r>
  <r>
    <s v="Startup_4618"/>
    <x v="0"/>
    <n v="6"/>
    <n v="791110"/>
    <n v="1"/>
    <n v="9"/>
    <n v="329"/>
    <n v="2623566"/>
    <n v="659851"/>
    <s v="Medium"/>
    <s v="B2B"/>
    <n v="7"/>
    <n v="1.85"/>
    <n v="126212"/>
    <n v="1"/>
  </r>
  <r>
    <s v="Startup_4619"/>
    <x v="2"/>
    <n v="7"/>
    <n v="34386668"/>
    <n v="2"/>
    <n v="18"/>
    <n v="484"/>
    <n v="94356300"/>
    <n v="56129"/>
    <s v="Large"/>
    <s v="B2C"/>
    <n v="3"/>
    <n v="46.9"/>
    <n v="187456"/>
    <n v="1"/>
  </r>
  <r>
    <s v="Startup_4620"/>
    <x v="0"/>
    <n v="3"/>
    <n v="1787375"/>
    <n v="4"/>
    <n v="2"/>
    <n v="705"/>
    <n v="19968160"/>
    <n v="930574"/>
    <s v="Medium"/>
    <s v="Hybrid"/>
    <n v="9"/>
    <n v="44.01"/>
    <n v="139952"/>
    <n v="1"/>
  </r>
  <r>
    <s v="Startup_4621"/>
    <x v="5"/>
    <n v="7"/>
    <n v="6984551"/>
    <n v="2"/>
    <n v="5"/>
    <n v="515"/>
    <n v="81049702"/>
    <n v="719188"/>
    <s v="Small"/>
    <s v="B2C"/>
    <n v="1"/>
    <n v="64.53"/>
    <n v="926335"/>
    <n v="1"/>
  </r>
  <r>
    <s v="Startup_4622"/>
    <x v="3"/>
    <n v="7"/>
    <n v="31691198"/>
    <n v="4"/>
    <n v="26"/>
    <n v="912"/>
    <n v="70003541"/>
    <n v="764994"/>
    <s v="Medium"/>
    <s v="Hybrid"/>
    <n v="3"/>
    <n v="16.100000000000001"/>
    <n v="227348"/>
    <n v="1"/>
  </r>
  <r>
    <s v="Startup_4623"/>
    <x v="3"/>
    <n v="9"/>
    <n v="21278323"/>
    <n v="3"/>
    <n v="13"/>
    <n v="45"/>
    <n v="69366067"/>
    <n v="171233"/>
    <s v="Large"/>
    <s v="B2C"/>
    <n v="3"/>
    <n v="3.74"/>
    <n v="437036"/>
    <n v="1"/>
  </r>
  <r>
    <s v="Startup_4624"/>
    <x v="1"/>
    <n v="3"/>
    <n v="44133659"/>
    <n v="1"/>
    <n v="22"/>
    <n v="564"/>
    <n v="15844199"/>
    <n v="406573"/>
    <s v="Small"/>
    <s v="B2B"/>
    <n v="7"/>
    <n v="22.88"/>
    <n v="265048"/>
    <n v="1"/>
  </r>
  <r>
    <s v="Startup_4625"/>
    <x v="0"/>
    <n v="10"/>
    <n v="33890967"/>
    <n v="2"/>
    <n v="14"/>
    <n v="150"/>
    <n v="23149230"/>
    <n v="16122"/>
    <s v="Small"/>
    <s v="B2C"/>
    <n v="8"/>
    <n v="40.65"/>
    <n v="335245"/>
    <n v="1"/>
  </r>
  <r>
    <s v="Startup_4626"/>
    <x v="0"/>
    <n v="0"/>
    <n v="32258480"/>
    <n v="2"/>
    <n v="16"/>
    <n v="440"/>
    <n v="12011188"/>
    <n v="306006"/>
    <s v="Medium"/>
    <s v="B2B"/>
    <n v="6"/>
    <n v="21.1"/>
    <n v="226154"/>
    <n v="1"/>
  </r>
  <r>
    <s v="Startup_4627"/>
    <x v="2"/>
    <n v="13"/>
    <n v="20620889"/>
    <n v="2"/>
    <n v="26"/>
    <n v="396"/>
    <n v="39292716"/>
    <n v="572422"/>
    <s v="Small"/>
    <s v="Hybrid"/>
    <n v="6"/>
    <n v="57.68"/>
    <n v="130435"/>
    <n v="1"/>
  </r>
  <r>
    <s v="Startup_4628"/>
    <x v="6"/>
    <n v="10"/>
    <n v="1059766"/>
    <n v="4"/>
    <n v="21"/>
    <n v="281"/>
    <n v="24766295"/>
    <n v="154614"/>
    <s v="Large"/>
    <s v="B2B"/>
    <n v="7"/>
    <n v="26.17"/>
    <n v="649672"/>
    <n v="1"/>
  </r>
  <r>
    <s v="Startup_4629"/>
    <x v="3"/>
    <n v="14"/>
    <n v="13525557"/>
    <n v="2"/>
    <n v="16"/>
    <n v="165"/>
    <n v="56021231"/>
    <n v="411945"/>
    <s v="Medium"/>
    <s v="B2B"/>
    <n v="2"/>
    <n v="2.79"/>
    <n v="611746"/>
    <n v="1"/>
  </r>
  <r>
    <s v="Startup_4630"/>
    <x v="4"/>
    <n v="12"/>
    <n v="4782489"/>
    <n v="1"/>
    <n v="8"/>
    <n v="340"/>
    <n v="54533734"/>
    <n v="229938"/>
    <s v="Small"/>
    <s v="B2B"/>
    <n v="5"/>
    <n v="41.09"/>
    <n v="840755"/>
    <n v="1"/>
  </r>
  <r>
    <s v="Startup_4631"/>
    <x v="3"/>
    <n v="0"/>
    <n v="12366265"/>
    <n v="2"/>
    <n v="24"/>
    <n v="69"/>
    <n v="85211167"/>
    <n v="907386"/>
    <s v="Small"/>
    <s v="Hybrid"/>
    <n v="4"/>
    <n v="63.57"/>
    <n v="429005"/>
    <n v="1"/>
  </r>
  <r>
    <s v="Startup_4632"/>
    <x v="5"/>
    <n v="4"/>
    <n v="32644882"/>
    <n v="2"/>
    <n v="28"/>
    <n v="809"/>
    <n v="72409268"/>
    <n v="302898"/>
    <s v="Large"/>
    <s v="Hybrid"/>
    <n v="9"/>
    <n v="17.38"/>
    <n v="900619"/>
    <n v="1"/>
  </r>
  <r>
    <s v="Startup_4633"/>
    <x v="0"/>
    <n v="10"/>
    <n v="15223884"/>
    <n v="4"/>
    <n v="10"/>
    <n v="621"/>
    <n v="40942196"/>
    <n v="643854"/>
    <s v="Small"/>
    <s v="Hybrid"/>
    <n v="8"/>
    <n v="12.34"/>
    <n v="908482"/>
    <n v="1"/>
  </r>
  <r>
    <s v="Startup_4634"/>
    <x v="2"/>
    <n v="8"/>
    <n v="39953671"/>
    <n v="4"/>
    <n v="20"/>
    <n v="409"/>
    <n v="96454172"/>
    <n v="803183"/>
    <s v="Small"/>
    <s v="B2B"/>
    <n v="1"/>
    <n v="8.73"/>
    <n v="861919"/>
    <n v="1"/>
  </r>
  <r>
    <s v="Startup_4635"/>
    <x v="1"/>
    <n v="7"/>
    <n v="28538583"/>
    <n v="1"/>
    <n v="25"/>
    <n v="990"/>
    <n v="40688347"/>
    <n v="456242"/>
    <s v="Medium"/>
    <s v="B2B"/>
    <n v="2"/>
    <n v="92.93"/>
    <n v="178093"/>
    <n v="1"/>
  </r>
  <r>
    <s v="Startup_4636"/>
    <x v="2"/>
    <n v="2"/>
    <n v="49619769"/>
    <n v="1"/>
    <n v="17"/>
    <n v="990"/>
    <n v="67790808"/>
    <n v="166307"/>
    <s v="Medium"/>
    <s v="B2C"/>
    <n v="1"/>
    <n v="65.63"/>
    <n v="622990"/>
    <n v="1"/>
  </r>
  <r>
    <s v="Startup_4637"/>
    <x v="1"/>
    <n v="8"/>
    <n v="10170756"/>
    <n v="3"/>
    <n v="7"/>
    <n v="544"/>
    <n v="90808600"/>
    <n v="505796"/>
    <s v="Medium"/>
    <s v="Hybrid"/>
    <n v="7"/>
    <n v="51.27"/>
    <n v="232306"/>
    <n v="1"/>
  </r>
  <r>
    <s v="Startup_4638"/>
    <x v="2"/>
    <n v="4"/>
    <n v="44236119"/>
    <n v="2"/>
    <n v="28"/>
    <n v="516"/>
    <n v="3031490"/>
    <n v="5181"/>
    <s v="Medium"/>
    <s v="B2B"/>
    <n v="8"/>
    <n v="18.309999999999999"/>
    <n v="162283"/>
    <n v="1"/>
  </r>
  <r>
    <s v="Startup_4639"/>
    <x v="0"/>
    <n v="1"/>
    <n v="658135"/>
    <n v="4"/>
    <n v="17"/>
    <n v="421"/>
    <n v="63771630"/>
    <n v="743511"/>
    <s v="Large"/>
    <s v="Hybrid"/>
    <n v="8"/>
    <n v="37.700000000000003"/>
    <n v="282848"/>
    <n v="1"/>
  </r>
  <r>
    <s v="Startup_4640"/>
    <x v="6"/>
    <n v="9"/>
    <n v="42113064"/>
    <n v="2"/>
    <n v="10"/>
    <n v="206"/>
    <n v="441052"/>
    <n v="278479"/>
    <s v="Small"/>
    <s v="Hybrid"/>
    <n v="3"/>
    <n v="69.77"/>
    <n v="583775"/>
    <n v="1"/>
  </r>
  <r>
    <s v="Startup_4641"/>
    <x v="2"/>
    <n v="7"/>
    <n v="41590693"/>
    <n v="1"/>
    <n v="15"/>
    <n v="104"/>
    <n v="24699928"/>
    <n v="871698"/>
    <s v="Large"/>
    <s v="B2B"/>
    <n v="3"/>
    <n v="11.59"/>
    <n v="366546"/>
    <n v="1"/>
  </r>
  <r>
    <s v="Startup_4642"/>
    <x v="2"/>
    <n v="3"/>
    <n v="36494310"/>
    <n v="2"/>
    <n v="8"/>
    <n v="987"/>
    <n v="19123927"/>
    <n v="572761"/>
    <s v="Small"/>
    <s v="Hybrid"/>
    <n v="7"/>
    <n v="92.85"/>
    <n v="877633"/>
    <n v="1"/>
  </r>
  <r>
    <s v="Startup_4643"/>
    <x v="4"/>
    <n v="5"/>
    <n v="8826860"/>
    <n v="4"/>
    <n v="1"/>
    <n v="568"/>
    <n v="12005073"/>
    <n v="640471"/>
    <s v="Small"/>
    <s v="Hybrid"/>
    <n v="2"/>
    <n v="39.49"/>
    <n v="707534"/>
    <n v="1"/>
  </r>
  <r>
    <s v="Startup_4644"/>
    <x v="6"/>
    <n v="3"/>
    <n v="41777354"/>
    <n v="4"/>
    <n v="26"/>
    <n v="792"/>
    <n v="4401203"/>
    <n v="189315"/>
    <s v="Large"/>
    <s v="Hybrid"/>
    <n v="6"/>
    <n v="49.61"/>
    <n v="774645"/>
    <n v="1"/>
  </r>
  <r>
    <s v="Startup_4645"/>
    <x v="0"/>
    <n v="11"/>
    <n v="31451088"/>
    <n v="2"/>
    <n v="0"/>
    <n v="192"/>
    <n v="124216"/>
    <n v="291854"/>
    <s v="Medium"/>
    <s v="B2B"/>
    <n v="7"/>
    <n v="63.93"/>
    <n v="874105"/>
    <n v="1"/>
  </r>
  <r>
    <s v="Startup_4646"/>
    <x v="5"/>
    <n v="7"/>
    <n v="6017574"/>
    <n v="4"/>
    <n v="26"/>
    <n v="991"/>
    <n v="20934377"/>
    <n v="152350"/>
    <s v="Large"/>
    <s v="B2C"/>
    <n v="6"/>
    <n v="91.89"/>
    <n v="416724"/>
    <n v="1"/>
  </r>
  <r>
    <s v="Startup_4647"/>
    <x v="3"/>
    <n v="2"/>
    <n v="42453590"/>
    <n v="3"/>
    <n v="14"/>
    <n v="874"/>
    <n v="26283648"/>
    <n v="581504"/>
    <s v="Small"/>
    <s v="B2C"/>
    <n v="7"/>
    <n v="94.45"/>
    <n v="237486"/>
    <n v="1"/>
  </r>
  <r>
    <s v="Startup_4648"/>
    <x v="5"/>
    <n v="6"/>
    <n v="39951459"/>
    <n v="4"/>
    <n v="14"/>
    <n v="298"/>
    <n v="85067188"/>
    <n v="626838"/>
    <s v="Small"/>
    <s v="B2B"/>
    <n v="4"/>
    <n v="61.86"/>
    <n v="102580"/>
    <n v="1"/>
  </r>
  <r>
    <s v="Startup_4649"/>
    <x v="4"/>
    <n v="3"/>
    <n v="21372093"/>
    <n v="4"/>
    <n v="25"/>
    <n v="488"/>
    <n v="81598858"/>
    <n v="109386"/>
    <s v="Small"/>
    <s v="Hybrid"/>
    <n v="2"/>
    <n v="79.44"/>
    <n v="21676"/>
    <n v="1"/>
  </r>
  <r>
    <s v="Startup_4650"/>
    <x v="5"/>
    <n v="11"/>
    <n v="6831581"/>
    <n v="1"/>
    <n v="10"/>
    <n v="394"/>
    <n v="14515317"/>
    <n v="362295"/>
    <s v="Medium"/>
    <s v="B2C"/>
    <n v="9"/>
    <n v="90.82"/>
    <n v="439237"/>
    <n v="1"/>
  </r>
  <r>
    <s v="Startup_4651"/>
    <x v="4"/>
    <n v="9"/>
    <n v="7389615"/>
    <n v="2"/>
    <n v="3"/>
    <n v="412"/>
    <n v="8259764"/>
    <n v="109712"/>
    <s v="Medium"/>
    <s v="Hybrid"/>
    <n v="6"/>
    <n v="53.93"/>
    <n v="919151"/>
    <n v="1"/>
  </r>
  <r>
    <s v="Startup_4652"/>
    <x v="6"/>
    <n v="3"/>
    <n v="11050623"/>
    <n v="3"/>
    <n v="1"/>
    <n v="390"/>
    <n v="73863382"/>
    <n v="557720"/>
    <s v="Large"/>
    <s v="Hybrid"/>
    <n v="7"/>
    <n v="65.38"/>
    <n v="932516"/>
    <n v="1"/>
  </r>
  <r>
    <s v="Startup_4653"/>
    <x v="1"/>
    <n v="0"/>
    <n v="19849041"/>
    <n v="4"/>
    <n v="12"/>
    <n v="639"/>
    <n v="8452167"/>
    <n v="48251"/>
    <s v="Small"/>
    <s v="B2C"/>
    <n v="6"/>
    <n v="13.54"/>
    <n v="62358"/>
    <n v="1"/>
  </r>
  <r>
    <s v="Startup_4654"/>
    <x v="5"/>
    <n v="0"/>
    <n v="10109243"/>
    <n v="3"/>
    <n v="27"/>
    <n v="431"/>
    <n v="72706263"/>
    <n v="329596"/>
    <s v="Small"/>
    <s v="B2C"/>
    <n v="9"/>
    <n v="48.65"/>
    <n v="411651"/>
    <n v="1"/>
  </r>
  <r>
    <s v="Startup_4655"/>
    <x v="5"/>
    <n v="5"/>
    <n v="42271202"/>
    <n v="4"/>
    <n v="0"/>
    <n v="75"/>
    <n v="12677051"/>
    <n v="339392"/>
    <s v="Large"/>
    <s v="Hybrid"/>
    <n v="9"/>
    <n v="51.52"/>
    <n v="700585"/>
    <n v="1"/>
  </r>
  <r>
    <s v="Startup_4656"/>
    <x v="6"/>
    <n v="10"/>
    <n v="47766181"/>
    <n v="3"/>
    <n v="19"/>
    <n v="37"/>
    <n v="16385319"/>
    <n v="346258"/>
    <s v="Large"/>
    <s v="B2B"/>
    <n v="3"/>
    <n v="11.71"/>
    <n v="368921"/>
    <n v="1"/>
  </r>
  <r>
    <s v="Startup_4657"/>
    <x v="4"/>
    <n v="6"/>
    <n v="21674843"/>
    <n v="1"/>
    <n v="0"/>
    <n v="912"/>
    <n v="81084481"/>
    <n v="422244"/>
    <s v="Large"/>
    <s v="B2C"/>
    <n v="4"/>
    <n v="92.81"/>
    <n v="710866"/>
    <n v="1"/>
  </r>
  <r>
    <s v="Startup_4658"/>
    <x v="1"/>
    <n v="14"/>
    <n v="9546254"/>
    <n v="4"/>
    <n v="27"/>
    <n v="143"/>
    <n v="92600739"/>
    <n v="966461"/>
    <s v="Medium"/>
    <s v="B2C"/>
    <n v="2"/>
    <n v="37.07"/>
    <n v="235218"/>
    <n v="1"/>
  </r>
  <r>
    <s v="Startup_4659"/>
    <x v="6"/>
    <n v="0"/>
    <n v="4031458"/>
    <n v="1"/>
    <n v="25"/>
    <n v="779"/>
    <n v="9094228"/>
    <n v="217650"/>
    <s v="Medium"/>
    <s v="Hybrid"/>
    <n v="3"/>
    <n v="65.41"/>
    <n v="782581"/>
    <n v="1"/>
  </r>
  <r>
    <s v="Startup_4660"/>
    <x v="3"/>
    <n v="4"/>
    <n v="19038096"/>
    <n v="3"/>
    <n v="8"/>
    <n v="256"/>
    <n v="59353509"/>
    <n v="31811"/>
    <s v="Small"/>
    <s v="Hybrid"/>
    <n v="5"/>
    <n v="29.81"/>
    <n v="7687"/>
    <n v="1"/>
  </r>
  <r>
    <s v="Startup_4661"/>
    <x v="1"/>
    <n v="6"/>
    <n v="31441958"/>
    <n v="3"/>
    <n v="24"/>
    <n v="388"/>
    <n v="28330845"/>
    <n v="451566"/>
    <s v="Medium"/>
    <s v="B2C"/>
    <n v="9"/>
    <n v="4.6500000000000004"/>
    <n v="691069"/>
    <n v="1"/>
  </r>
  <r>
    <s v="Startup_4662"/>
    <x v="3"/>
    <n v="3"/>
    <n v="36525169"/>
    <n v="1"/>
    <n v="9"/>
    <n v="189"/>
    <n v="89390378"/>
    <n v="466585"/>
    <s v="Medium"/>
    <s v="B2C"/>
    <n v="6"/>
    <n v="41.17"/>
    <n v="914571"/>
    <n v="1"/>
  </r>
  <r>
    <s v="Startup_4663"/>
    <x v="4"/>
    <n v="0"/>
    <n v="46165994"/>
    <n v="3"/>
    <n v="1"/>
    <n v="510"/>
    <n v="49444722"/>
    <n v="59426"/>
    <s v="Large"/>
    <s v="Hybrid"/>
    <n v="8"/>
    <n v="29.38"/>
    <n v="352817"/>
    <n v="1"/>
  </r>
  <r>
    <s v="Startup_4664"/>
    <x v="0"/>
    <n v="1"/>
    <n v="13837745"/>
    <n v="2"/>
    <n v="10"/>
    <n v="994"/>
    <n v="93419498"/>
    <n v="936439"/>
    <s v="Small"/>
    <s v="Hybrid"/>
    <n v="6"/>
    <n v="31.58"/>
    <n v="361758"/>
    <n v="1"/>
  </r>
  <r>
    <s v="Startup_4665"/>
    <x v="5"/>
    <n v="14"/>
    <n v="16425760"/>
    <n v="2"/>
    <n v="27"/>
    <n v="437"/>
    <n v="95802094"/>
    <n v="724838"/>
    <s v="Medium"/>
    <s v="B2C"/>
    <n v="5"/>
    <n v="21.07"/>
    <n v="939453"/>
    <n v="1"/>
  </r>
  <r>
    <s v="Startup_4666"/>
    <x v="1"/>
    <n v="14"/>
    <n v="44517335"/>
    <n v="2"/>
    <n v="3"/>
    <n v="823"/>
    <n v="19663318"/>
    <n v="311848"/>
    <s v="Small"/>
    <s v="Hybrid"/>
    <n v="2"/>
    <n v="73.89"/>
    <n v="638888"/>
    <n v="1"/>
  </r>
  <r>
    <s v="Startup_4667"/>
    <x v="5"/>
    <n v="12"/>
    <n v="16918072"/>
    <n v="2"/>
    <n v="11"/>
    <n v="663"/>
    <n v="37644111"/>
    <n v="169886"/>
    <s v="Large"/>
    <s v="B2C"/>
    <n v="5"/>
    <n v="88.75"/>
    <n v="265759"/>
    <n v="1"/>
  </r>
  <r>
    <s v="Startup_4668"/>
    <x v="4"/>
    <n v="7"/>
    <n v="6471232"/>
    <n v="4"/>
    <n v="10"/>
    <n v="778"/>
    <n v="29312498"/>
    <n v="753244"/>
    <s v="Large"/>
    <s v="B2B"/>
    <n v="2"/>
    <n v="57.9"/>
    <n v="310260"/>
    <n v="1"/>
  </r>
  <r>
    <s v="Startup_4669"/>
    <x v="3"/>
    <n v="7"/>
    <n v="19037623"/>
    <n v="1"/>
    <n v="21"/>
    <n v="404"/>
    <n v="83035579"/>
    <n v="794116"/>
    <s v="Small"/>
    <s v="Hybrid"/>
    <n v="7"/>
    <n v="97.63"/>
    <n v="175174"/>
    <n v="1"/>
  </r>
  <r>
    <s v="Startup_4670"/>
    <x v="3"/>
    <n v="0"/>
    <n v="33460677"/>
    <n v="2"/>
    <n v="14"/>
    <n v="747"/>
    <n v="6693610"/>
    <n v="900888"/>
    <s v="Small"/>
    <s v="B2C"/>
    <n v="3"/>
    <n v="46.62"/>
    <n v="481201"/>
    <n v="1"/>
  </r>
  <r>
    <s v="Startup_4671"/>
    <x v="1"/>
    <n v="6"/>
    <n v="37307355"/>
    <n v="1"/>
    <n v="6"/>
    <n v="582"/>
    <n v="8264196"/>
    <n v="329389"/>
    <s v="Small"/>
    <s v="Hybrid"/>
    <n v="8"/>
    <n v="73.02"/>
    <n v="61630"/>
    <n v="1"/>
  </r>
  <r>
    <s v="Startup_4672"/>
    <x v="5"/>
    <n v="7"/>
    <n v="24868047"/>
    <n v="2"/>
    <n v="26"/>
    <n v="741"/>
    <n v="48510959"/>
    <n v="271897"/>
    <s v="Small"/>
    <s v="B2B"/>
    <n v="4"/>
    <n v="7.19"/>
    <n v="165960"/>
    <n v="1"/>
  </r>
  <r>
    <s v="Startup_4673"/>
    <x v="4"/>
    <n v="13"/>
    <n v="18216090"/>
    <n v="3"/>
    <n v="3"/>
    <n v="186"/>
    <n v="49279885"/>
    <n v="39047"/>
    <s v="Large"/>
    <s v="B2B"/>
    <n v="9"/>
    <n v="40.4"/>
    <n v="10179"/>
    <n v="1"/>
  </r>
  <r>
    <s v="Startup_4674"/>
    <x v="5"/>
    <n v="2"/>
    <n v="38394595"/>
    <n v="3"/>
    <n v="13"/>
    <n v="250"/>
    <n v="14653731"/>
    <n v="909972"/>
    <s v="Small"/>
    <s v="B2C"/>
    <n v="6"/>
    <n v="18.149999999999999"/>
    <n v="63503"/>
    <n v="1"/>
  </r>
  <r>
    <s v="Startup_4675"/>
    <x v="1"/>
    <n v="6"/>
    <n v="42251630"/>
    <n v="3"/>
    <n v="1"/>
    <n v="110"/>
    <n v="12534364"/>
    <n v="96361"/>
    <s v="Small"/>
    <s v="Hybrid"/>
    <n v="1"/>
    <n v="45.08"/>
    <n v="821194"/>
    <n v="1"/>
  </r>
  <r>
    <s v="Startup_4676"/>
    <x v="3"/>
    <n v="9"/>
    <n v="17892781"/>
    <n v="2"/>
    <n v="13"/>
    <n v="527"/>
    <n v="13507765"/>
    <n v="144324"/>
    <s v="Large"/>
    <s v="Hybrid"/>
    <n v="3"/>
    <n v="92.8"/>
    <n v="958537"/>
    <n v="1"/>
  </r>
  <r>
    <s v="Startup_4677"/>
    <x v="1"/>
    <n v="5"/>
    <n v="41935533"/>
    <n v="3"/>
    <n v="15"/>
    <n v="471"/>
    <n v="26462882"/>
    <n v="188546"/>
    <s v="Large"/>
    <s v="B2C"/>
    <n v="6"/>
    <n v="22.41"/>
    <n v="966905"/>
    <n v="1"/>
  </r>
  <r>
    <s v="Startup_4678"/>
    <x v="0"/>
    <n v="6"/>
    <n v="34837354"/>
    <n v="1"/>
    <n v="9"/>
    <n v="523"/>
    <n v="82441998"/>
    <n v="902732"/>
    <s v="Medium"/>
    <s v="Hybrid"/>
    <n v="8"/>
    <n v="75.180000000000007"/>
    <n v="232607"/>
    <n v="1"/>
  </r>
  <r>
    <s v="Startup_4679"/>
    <x v="3"/>
    <n v="1"/>
    <n v="31122141"/>
    <n v="2"/>
    <n v="29"/>
    <n v="236"/>
    <n v="36084529"/>
    <n v="19766"/>
    <s v="Large"/>
    <s v="B2C"/>
    <n v="6"/>
    <n v="99.91"/>
    <n v="920823"/>
    <n v="1"/>
  </r>
  <r>
    <s v="Startup_4680"/>
    <x v="3"/>
    <n v="6"/>
    <n v="49729662"/>
    <n v="2"/>
    <n v="16"/>
    <n v="290"/>
    <n v="4149797"/>
    <n v="987939"/>
    <s v="Medium"/>
    <s v="B2C"/>
    <n v="8"/>
    <n v="52.22"/>
    <n v="654044"/>
    <n v="1"/>
  </r>
  <r>
    <s v="Startup_4681"/>
    <x v="2"/>
    <n v="6"/>
    <n v="29047411"/>
    <n v="4"/>
    <n v="6"/>
    <n v="146"/>
    <n v="92124236"/>
    <n v="100666"/>
    <s v="Medium"/>
    <s v="Hybrid"/>
    <n v="1"/>
    <n v="44.04"/>
    <n v="485041"/>
    <n v="1"/>
  </r>
  <r>
    <s v="Startup_4682"/>
    <x v="0"/>
    <n v="1"/>
    <n v="27930584"/>
    <n v="3"/>
    <n v="2"/>
    <n v="28"/>
    <n v="55511685"/>
    <n v="640094"/>
    <s v="Medium"/>
    <s v="Hybrid"/>
    <n v="1"/>
    <n v="87.78"/>
    <n v="39771"/>
    <n v="1"/>
  </r>
  <r>
    <s v="Startup_4683"/>
    <x v="4"/>
    <n v="6"/>
    <n v="39232482"/>
    <n v="4"/>
    <n v="27"/>
    <n v="973"/>
    <n v="45125976"/>
    <n v="136114"/>
    <s v="Small"/>
    <s v="B2B"/>
    <n v="2"/>
    <n v="30.73"/>
    <n v="799360"/>
    <n v="1"/>
  </r>
  <r>
    <s v="Startup_4684"/>
    <x v="6"/>
    <n v="7"/>
    <n v="41963033"/>
    <n v="3"/>
    <n v="19"/>
    <n v="349"/>
    <n v="84955041"/>
    <n v="208820"/>
    <s v="Small"/>
    <s v="B2B"/>
    <n v="8"/>
    <n v="90.61"/>
    <n v="273964"/>
    <n v="1"/>
  </r>
  <r>
    <s v="Startup_4685"/>
    <x v="4"/>
    <n v="6"/>
    <n v="44544178"/>
    <n v="1"/>
    <n v="15"/>
    <n v="145"/>
    <n v="43130204"/>
    <n v="463504"/>
    <s v="Medium"/>
    <s v="B2C"/>
    <n v="7"/>
    <n v="43.12"/>
    <n v="151122"/>
    <n v="1"/>
  </r>
  <r>
    <s v="Startup_4686"/>
    <x v="5"/>
    <n v="9"/>
    <n v="20071673"/>
    <n v="4"/>
    <n v="12"/>
    <n v="459"/>
    <n v="17911186"/>
    <n v="61881"/>
    <s v="Medium"/>
    <s v="B2C"/>
    <n v="6"/>
    <n v="17.13"/>
    <n v="612400"/>
    <n v="1"/>
  </r>
  <r>
    <s v="Startup_4687"/>
    <x v="5"/>
    <n v="11"/>
    <n v="1670805"/>
    <n v="2"/>
    <n v="29"/>
    <n v="26"/>
    <n v="66975313"/>
    <n v="519693"/>
    <s v="Small"/>
    <s v="B2B"/>
    <n v="3"/>
    <n v="84.35"/>
    <n v="784547"/>
    <n v="1"/>
  </r>
  <r>
    <s v="Startup_4688"/>
    <x v="1"/>
    <n v="7"/>
    <n v="4459292"/>
    <n v="1"/>
    <n v="28"/>
    <n v="92"/>
    <n v="18259926"/>
    <n v="148798"/>
    <s v="Medium"/>
    <s v="B2C"/>
    <n v="8"/>
    <n v="52.12"/>
    <n v="20543"/>
    <n v="1"/>
  </r>
  <r>
    <s v="Startup_4689"/>
    <x v="5"/>
    <n v="2"/>
    <n v="37821488"/>
    <n v="2"/>
    <n v="8"/>
    <n v="100"/>
    <n v="80237377"/>
    <n v="670229"/>
    <s v="Medium"/>
    <s v="Hybrid"/>
    <n v="6"/>
    <n v="75.930000000000007"/>
    <n v="365680"/>
    <n v="1"/>
  </r>
  <r>
    <s v="Startup_4690"/>
    <x v="6"/>
    <n v="1"/>
    <n v="40641452"/>
    <n v="2"/>
    <n v="15"/>
    <n v="734"/>
    <n v="34485092"/>
    <n v="89309"/>
    <s v="Medium"/>
    <s v="B2B"/>
    <n v="9"/>
    <n v="1.95"/>
    <n v="815437"/>
    <n v="1"/>
  </r>
  <r>
    <s v="Startup_4691"/>
    <x v="5"/>
    <n v="12"/>
    <n v="33361468"/>
    <n v="3"/>
    <n v="2"/>
    <n v="377"/>
    <n v="96303777"/>
    <n v="891620"/>
    <s v="Medium"/>
    <s v="B2C"/>
    <n v="3"/>
    <n v="97.86"/>
    <n v="689221"/>
    <n v="1"/>
  </r>
  <r>
    <s v="Startup_4692"/>
    <x v="5"/>
    <n v="2"/>
    <n v="23279661"/>
    <n v="2"/>
    <n v="21"/>
    <n v="228"/>
    <n v="43441021"/>
    <n v="97149"/>
    <s v="Large"/>
    <s v="B2B"/>
    <n v="2"/>
    <n v="52.99"/>
    <n v="979363"/>
    <n v="1"/>
  </r>
  <r>
    <s v="Startup_4693"/>
    <x v="0"/>
    <n v="9"/>
    <n v="26511021"/>
    <n v="4"/>
    <n v="28"/>
    <n v="81"/>
    <n v="81013243"/>
    <n v="269045"/>
    <s v="Medium"/>
    <s v="Hybrid"/>
    <n v="7"/>
    <n v="79.84"/>
    <n v="144524"/>
    <n v="1"/>
  </r>
  <r>
    <s v="Startup_4694"/>
    <x v="3"/>
    <n v="6"/>
    <n v="28603484"/>
    <n v="1"/>
    <n v="16"/>
    <n v="643"/>
    <n v="17865098"/>
    <n v="463267"/>
    <s v="Small"/>
    <s v="B2C"/>
    <n v="7"/>
    <n v="61.44"/>
    <n v="550812"/>
    <n v="1"/>
  </r>
  <r>
    <s v="Startup_4695"/>
    <x v="2"/>
    <n v="14"/>
    <n v="49516653"/>
    <n v="3"/>
    <n v="0"/>
    <n v="438"/>
    <n v="9988799"/>
    <n v="835247"/>
    <s v="Large"/>
    <s v="B2B"/>
    <n v="6"/>
    <n v="31.29"/>
    <n v="343898"/>
    <n v="1"/>
  </r>
  <r>
    <s v="Startup_4696"/>
    <x v="4"/>
    <n v="4"/>
    <n v="5868359"/>
    <n v="1"/>
    <n v="6"/>
    <n v="736"/>
    <n v="16746631"/>
    <n v="35806"/>
    <s v="Small"/>
    <s v="B2B"/>
    <n v="8"/>
    <n v="25.87"/>
    <n v="47632"/>
    <n v="1"/>
  </r>
  <r>
    <s v="Startup_4697"/>
    <x v="5"/>
    <n v="4"/>
    <n v="17864893"/>
    <n v="3"/>
    <n v="28"/>
    <n v="381"/>
    <n v="28319837"/>
    <n v="530004"/>
    <s v="Large"/>
    <s v="B2C"/>
    <n v="3"/>
    <n v="97.46"/>
    <n v="423186"/>
    <n v="1"/>
  </r>
  <r>
    <s v="Startup_4698"/>
    <x v="3"/>
    <n v="3"/>
    <n v="22664415"/>
    <n v="4"/>
    <n v="24"/>
    <n v="660"/>
    <n v="58536379"/>
    <n v="154860"/>
    <s v="Small"/>
    <s v="Hybrid"/>
    <n v="7"/>
    <n v="39.56"/>
    <n v="539707"/>
    <n v="1"/>
  </r>
  <r>
    <s v="Startup_4699"/>
    <x v="2"/>
    <n v="7"/>
    <n v="48341366"/>
    <n v="4"/>
    <n v="0"/>
    <n v="671"/>
    <n v="6416873"/>
    <n v="68835"/>
    <s v="Small"/>
    <s v="Hybrid"/>
    <n v="9"/>
    <n v="23.02"/>
    <n v="18595"/>
    <n v="1"/>
  </r>
  <r>
    <s v="Startup_4700"/>
    <x v="0"/>
    <n v="14"/>
    <n v="27902819"/>
    <n v="2"/>
    <n v="14"/>
    <n v="261"/>
    <n v="16211661"/>
    <n v="81025"/>
    <s v="Large"/>
    <s v="B2B"/>
    <n v="8"/>
    <n v="54.87"/>
    <n v="452004"/>
    <n v="1"/>
  </r>
  <r>
    <s v="Startup_4701"/>
    <x v="2"/>
    <n v="0"/>
    <n v="40816455"/>
    <n v="2"/>
    <n v="7"/>
    <n v="82"/>
    <n v="51723022"/>
    <n v="711249"/>
    <s v="Large"/>
    <s v="B2C"/>
    <n v="1"/>
    <n v="56.4"/>
    <n v="165194"/>
    <n v="1"/>
  </r>
  <r>
    <s v="Startup_4702"/>
    <x v="4"/>
    <n v="5"/>
    <n v="19481182"/>
    <n v="2"/>
    <n v="19"/>
    <n v="659"/>
    <n v="31604452"/>
    <n v="261253"/>
    <s v="Large"/>
    <s v="Hybrid"/>
    <n v="9"/>
    <n v="54.98"/>
    <n v="732175"/>
    <n v="1"/>
  </r>
  <r>
    <s v="Startup_4703"/>
    <x v="0"/>
    <n v="0"/>
    <n v="47605686"/>
    <n v="3"/>
    <n v="5"/>
    <n v="391"/>
    <n v="92976005"/>
    <n v="452386"/>
    <s v="Small"/>
    <s v="Hybrid"/>
    <n v="7"/>
    <n v="71.72"/>
    <n v="738785"/>
    <n v="1"/>
  </r>
  <r>
    <s v="Startup_4704"/>
    <x v="0"/>
    <n v="13"/>
    <n v="12166210"/>
    <n v="3"/>
    <n v="18"/>
    <n v="254"/>
    <n v="94193118"/>
    <n v="539805"/>
    <s v="Small"/>
    <s v="B2C"/>
    <n v="2"/>
    <n v="7"/>
    <n v="920192"/>
    <n v="1"/>
  </r>
  <r>
    <s v="Startup_4705"/>
    <x v="5"/>
    <n v="13"/>
    <n v="2598349"/>
    <n v="4"/>
    <n v="17"/>
    <n v="811"/>
    <n v="15856354"/>
    <n v="858606"/>
    <s v="Large"/>
    <s v="Hybrid"/>
    <n v="3"/>
    <n v="46.81"/>
    <n v="343320"/>
    <n v="1"/>
  </r>
  <r>
    <s v="Startup_4706"/>
    <x v="5"/>
    <n v="3"/>
    <n v="40550973"/>
    <n v="3"/>
    <n v="7"/>
    <n v="701"/>
    <n v="98076999"/>
    <n v="53390"/>
    <s v="Large"/>
    <s v="B2C"/>
    <n v="3"/>
    <n v="61.19"/>
    <n v="9976"/>
    <n v="1"/>
  </r>
  <r>
    <s v="Startup_4707"/>
    <x v="6"/>
    <n v="14"/>
    <n v="47727542"/>
    <n v="4"/>
    <n v="16"/>
    <n v="579"/>
    <n v="37403410"/>
    <n v="137956"/>
    <s v="Medium"/>
    <s v="B2B"/>
    <n v="8"/>
    <n v="31.77"/>
    <n v="892906"/>
    <n v="1"/>
  </r>
  <r>
    <s v="Startup_4708"/>
    <x v="0"/>
    <n v="9"/>
    <n v="33829734"/>
    <n v="2"/>
    <n v="22"/>
    <n v="683"/>
    <n v="12666932"/>
    <n v="820274"/>
    <s v="Medium"/>
    <s v="B2B"/>
    <n v="5"/>
    <n v="39.64"/>
    <n v="912100"/>
    <n v="1"/>
  </r>
  <r>
    <s v="Startup_4709"/>
    <x v="1"/>
    <n v="5"/>
    <n v="40933248"/>
    <n v="4"/>
    <n v="10"/>
    <n v="609"/>
    <n v="70347995"/>
    <n v="307585"/>
    <s v="Medium"/>
    <s v="Hybrid"/>
    <n v="2"/>
    <n v="95.8"/>
    <n v="342383"/>
    <n v="1"/>
  </r>
  <r>
    <s v="Startup_4710"/>
    <x v="6"/>
    <n v="11"/>
    <n v="32284211"/>
    <n v="4"/>
    <n v="23"/>
    <n v="602"/>
    <n v="63155522"/>
    <n v="933420"/>
    <s v="Large"/>
    <s v="B2C"/>
    <n v="9"/>
    <n v="79.58"/>
    <n v="298824"/>
    <n v="1"/>
  </r>
  <r>
    <s v="Startup_4711"/>
    <x v="6"/>
    <n v="13"/>
    <n v="13717342"/>
    <n v="3"/>
    <n v="4"/>
    <n v="417"/>
    <n v="63310291"/>
    <n v="240475"/>
    <s v="Large"/>
    <s v="B2C"/>
    <n v="9"/>
    <n v="9.2799999999999994"/>
    <n v="308022"/>
    <n v="1"/>
  </r>
  <r>
    <s v="Startup_4712"/>
    <x v="6"/>
    <n v="2"/>
    <n v="26734727"/>
    <n v="1"/>
    <n v="25"/>
    <n v="421"/>
    <n v="21638627"/>
    <n v="636595"/>
    <s v="Small"/>
    <s v="B2C"/>
    <n v="5"/>
    <n v="16.37"/>
    <n v="377602"/>
    <n v="1"/>
  </r>
  <r>
    <s v="Startup_4713"/>
    <x v="1"/>
    <n v="11"/>
    <n v="25467635"/>
    <n v="2"/>
    <n v="28"/>
    <n v="192"/>
    <n v="97749548"/>
    <n v="443118"/>
    <s v="Medium"/>
    <s v="Hybrid"/>
    <n v="9"/>
    <n v="26.14"/>
    <n v="464169"/>
    <n v="1"/>
  </r>
  <r>
    <s v="Startup_4714"/>
    <x v="2"/>
    <n v="11"/>
    <n v="10124691"/>
    <n v="4"/>
    <n v="4"/>
    <n v="375"/>
    <n v="39975407"/>
    <n v="351827"/>
    <s v="Medium"/>
    <s v="B2C"/>
    <n v="3"/>
    <n v="23.28"/>
    <n v="461005"/>
    <n v="1"/>
  </r>
  <r>
    <s v="Startup_4715"/>
    <x v="1"/>
    <n v="0"/>
    <n v="29363255"/>
    <n v="1"/>
    <n v="7"/>
    <n v="146"/>
    <n v="17667769"/>
    <n v="39715"/>
    <s v="Medium"/>
    <s v="B2B"/>
    <n v="3"/>
    <n v="29"/>
    <n v="559678"/>
    <n v="1"/>
  </r>
  <r>
    <s v="Startup_4716"/>
    <x v="6"/>
    <n v="1"/>
    <n v="42096057"/>
    <n v="1"/>
    <n v="26"/>
    <n v="524"/>
    <n v="55202653"/>
    <n v="882188"/>
    <s v="Large"/>
    <s v="B2C"/>
    <n v="3"/>
    <n v="48.99"/>
    <n v="957253"/>
    <n v="1"/>
  </r>
  <r>
    <s v="Startup_4717"/>
    <x v="1"/>
    <n v="2"/>
    <n v="27615577"/>
    <n v="2"/>
    <n v="11"/>
    <n v="211"/>
    <n v="21494531"/>
    <n v="632715"/>
    <s v="Large"/>
    <s v="B2C"/>
    <n v="2"/>
    <n v="52.99"/>
    <n v="778210"/>
    <n v="1"/>
  </r>
  <r>
    <s v="Startup_4718"/>
    <x v="3"/>
    <n v="2"/>
    <n v="4668179"/>
    <n v="4"/>
    <n v="8"/>
    <n v="459"/>
    <n v="63828745"/>
    <n v="135249"/>
    <s v="Small"/>
    <s v="Hybrid"/>
    <n v="9"/>
    <n v="97.17"/>
    <n v="419248"/>
    <n v="1"/>
  </r>
  <r>
    <s v="Startup_4719"/>
    <x v="3"/>
    <n v="14"/>
    <n v="37815376"/>
    <n v="1"/>
    <n v="17"/>
    <n v="898"/>
    <n v="37102298"/>
    <n v="609650"/>
    <s v="Medium"/>
    <s v="Hybrid"/>
    <n v="8"/>
    <n v="89.29"/>
    <n v="151773"/>
    <n v="1"/>
  </r>
  <r>
    <s v="Startup_4720"/>
    <x v="3"/>
    <n v="12"/>
    <n v="19685255"/>
    <n v="2"/>
    <n v="23"/>
    <n v="993"/>
    <n v="55336720"/>
    <n v="590921"/>
    <s v="Large"/>
    <s v="B2B"/>
    <n v="2"/>
    <n v="46.89"/>
    <n v="267419"/>
    <n v="1"/>
  </r>
  <r>
    <s v="Startup_4721"/>
    <x v="0"/>
    <n v="7"/>
    <n v="14903206"/>
    <n v="3"/>
    <n v="10"/>
    <n v="612"/>
    <n v="73481495"/>
    <n v="239868"/>
    <s v="Large"/>
    <s v="B2B"/>
    <n v="5"/>
    <n v="31.61"/>
    <n v="27500"/>
    <n v="1"/>
  </r>
  <r>
    <s v="Startup_4722"/>
    <x v="5"/>
    <n v="12"/>
    <n v="45963299"/>
    <n v="1"/>
    <n v="20"/>
    <n v="890"/>
    <n v="84016983"/>
    <n v="131220"/>
    <s v="Medium"/>
    <s v="B2B"/>
    <n v="1"/>
    <n v="27.85"/>
    <n v="948672"/>
    <n v="1"/>
  </r>
  <r>
    <s v="Startup_4723"/>
    <x v="2"/>
    <n v="12"/>
    <n v="14850977"/>
    <n v="4"/>
    <n v="10"/>
    <n v="653"/>
    <n v="20668181"/>
    <n v="738388"/>
    <s v="Large"/>
    <s v="B2C"/>
    <n v="2"/>
    <n v="7.18"/>
    <n v="792679"/>
    <n v="1"/>
  </r>
  <r>
    <s v="Startup_4724"/>
    <x v="1"/>
    <n v="1"/>
    <n v="37745721"/>
    <n v="2"/>
    <n v="4"/>
    <n v="732"/>
    <n v="45684340"/>
    <n v="864138"/>
    <s v="Medium"/>
    <s v="B2B"/>
    <n v="8"/>
    <n v="67.47"/>
    <n v="594243"/>
    <n v="1"/>
  </r>
  <r>
    <s v="Startup_4725"/>
    <x v="4"/>
    <n v="14"/>
    <n v="48275214"/>
    <n v="3"/>
    <n v="20"/>
    <n v="123"/>
    <n v="75146190"/>
    <n v="647912"/>
    <s v="Medium"/>
    <s v="Hybrid"/>
    <n v="6"/>
    <n v="54.98"/>
    <n v="745600"/>
    <n v="1"/>
  </r>
  <r>
    <s v="Startup_4726"/>
    <x v="6"/>
    <n v="12"/>
    <n v="8492790"/>
    <n v="4"/>
    <n v="20"/>
    <n v="460"/>
    <n v="14819528"/>
    <n v="339771"/>
    <s v="Medium"/>
    <s v="Hybrid"/>
    <n v="6"/>
    <n v="54.53"/>
    <n v="990621"/>
    <n v="1"/>
  </r>
  <r>
    <s v="Startup_4727"/>
    <x v="4"/>
    <n v="6"/>
    <n v="44888852"/>
    <n v="1"/>
    <n v="13"/>
    <n v="170"/>
    <n v="2179811"/>
    <n v="352423"/>
    <s v="Medium"/>
    <s v="B2C"/>
    <n v="4"/>
    <n v="51.69"/>
    <n v="951025"/>
    <n v="1"/>
  </r>
  <r>
    <s v="Startup_4728"/>
    <x v="4"/>
    <n v="14"/>
    <n v="42733335"/>
    <n v="4"/>
    <n v="11"/>
    <n v="222"/>
    <n v="33881644"/>
    <n v="975308"/>
    <s v="Medium"/>
    <s v="Hybrid"/>
    <n v="5"/>
    <n v="76.87"/>
    <n v="216492"/>
    <n v="1"/>
  </r>
  <r>
    <s v="Startup_4729"/>
    <x v="1"/>
    <n v="3"/>
    <n v="8422432"/>
    <n v="2"/>
    <n v="18"/>
    <n v="838"/>
    <n v="77680240"/>
    <n v="63280"/>
    <s v="Large"/>
    <s v="B2C"/>
    <n v="1"/>
    <n v="99.75"/>
    <n v="841162"/>
    <n v="1"/>
  </r>
  <r>
    <s v="Startup_4730"/>
    <x v="0"/>
    <n v="4"/>
    <n v="19030256"/>
    <n v="1"/>
    <n v="9"/>
    <n v="643"/>
    <n v="34768527"/>
    <n v="627614"/>
    <s v="Small"/>
    <s v="Hybrid"/>
    <n v="1"/>
    <n v="82.58"/>
    <n v="987809"/>
    <n v="1"/>
  </r>
  <r>
    <s v="Startup_4731"/>
    <x v="1"/>
    <n v="13"/>
    <n v="30160527"/>
    <n v="3"/>
    <n v="19"/>
    <n v="22"/>
    <n v="46480510"/>
    <n v="188368"/>
    <s v="Large"/>
    <s v="Hybrid"/>
    <n v="9"/>
    <n v="47.51"/>
    <n v="497559"/>
    <n v="1"/>
  </r>
  <r>
    <s v="Startup_4732"/>
    <x v="3"/>
    <n v="2"/>
    <n v="11725437"/>
    <n v="2"/>
    <n v="4"/>
    <n v="386"/>
    <n v="7533449"/>
    <n v="60296"/>
    <s v="Large"/>
    <s v="Hybrid"/>
    <n v="3"/>
    <n v="61.46"/>
    <n v="568507"/>
    <n v="1"/>
  </r>
  <r>
    <s v="Startup_4733"/>
    <x v="5"/>
    <n v="11"/>
    <n v="5700522"/>
    <n v="3"/>
    <n v="29"/>
    <n v="914"/>
    <n v="60458816"/>
    <n v="753717"/>
    <s v="Medium"/>
    <s v="B2C"/>
    <n v="4"/>
    <n v="43.32"/>
    <n v="776173"/>
    <n v="1"/>
  </r>
  <r>
    <s v="Startup_4734"/>
    <x v="2"/>
    <n v="11"/>
    <n v="363106"/>
    <n v="4"/>
    <n v="20"/>
    <n v="593"/>
    <n v="86165869"/>
    <n v="840232"/>
    <s v="Large"/>
    <s v="B2B"/>
    <n v="2"/>
    <n v="41.81"/>
    <n v="787486"/>
    <n v="1"/>
  </r>
  <r>
    <s v="Startup_4735"/>
    <x v="4"/>
    <n v="10"/>
    <n v="31980657"/>
    <n v="1"/>
    <n v="9"/>
    <n v="575"/>
    <n v="30599"/>
    <n v="423425"/>
    <s v="Large"/>
    <s v="B2B"/>
    <n v="6"/>
    <n v="67"/>
    <n v="950391"/>
    <n v="1"/>
  </r>
  <r>
    <s v="Startup_4736"/>
    <x v="0"/>
    <n v="10"/>
    <n v="25715908"/>
    <n v="3"/>
    <n v="18"/>
    <n v="280"/>
    <n v="8749894"/>
    <n v="195294"/>
    <s v="Small"/>
    <s v="B2B"/>
    <n v="3"/>
    <n v="23.95"/>
    <n v="458391"/>
    <n v="1"/>
  </r>
  <r>
    <s v="Startup_4737"/>
    <x v="0"/>
    <n v="9"/>
    <n v="42321001"/>
    <n v="4"/>
    <n v="25"/>
    <n v="437"/>
    <n v="80839883"/>
    <n v="109091"/>
    <s v="Medium"/>
    <s v="Hybrid"/>
    <n v="2"/>
    <n v="54.6"/>
    <n v="445198"/>
    <n v="1"/>
  </r>
  <r>
    <s v="Startup_4738"/>
    <x v="4"/>
    <n v="9"/>
    <n v="10236281"/>
    <n v="2"/>
    <n v="17"/>
    <n v="825"/>
    <n v="23614430"/>
    <n v="879336"/>
    <s v="Medium"/>
    <s v="B2B"/>
    <n v="5"/>
    <n v="66.319999999999993"/>
    <n v="192197"/>
    <n v="1"/>
  </r>
  <r>
    <s v="Startup_4739"/>
    <x v="4"/>
    <n v="5"/>
    <n v="42553042"/>
    <n v="2"/>
    <n v="11"/>
    <n v="752"/>
    <n v="22249180"/>
    <n v="75621"/>
    <s v="Large"/>
    <s v="B2B"/>
    <n v="7"/>
    <n v="25.52"/>
    <n v="976112"/>
    <n v="1"/>
  </r>
  <r>
    <s v="Startup_4740"/>
    <x v="2"/>
    <n v="13"/>
    <n v="43038670"/>
    <n v="3"/>
    <n v="2"/>
    <n v="941"/>
    <n v="92534754"/>
    <n v="74361"/>
    <s v="Large"/>
    <s v="B2B"/>
    <n v="4"/>
    <n v="12.19"/>
    <n v="133397"/>
    <n v="1"/>
  </r>
  <r>
    <s v="Startup_4741"/>
    <x v="5"/>
    <n v="12"/>
    <n v="15485154"/>
    <n v="4"/>
    <n v="14"/>
    <n v="437"/>
    <n v="20682778"/>
    <n v="389816"/>
    <s v="Small"/>
    <s v="B2B"/>
    <n v="5"/>
    <n v="51.76"/>
    <n v="508581"/>
    <n v="1"/>
  </r>
  <r>
    <s v="Startup_4742"/>
    <x v="5"/>
    <n v="3"/>
    <n v="5258254"/>
    <n v="3"/>
    <n v="7"/>
    <n v="300"/>
    <n v="15989372"/>
    <n v="8238"/>
    <s v="Medium"/>
    <s v="B2B"/>
    <n v="4"/>
    <n v="10.89"/>
    <n v="980688"/>
    <n v="1"/>
  </r>
  <r>
    <s v="Startup_4743"/>
    <x v="2"/>
    <n v="13"/>
    <n v="25201191"/>
    <n v="1"/>
    <n v="14"/>
    <n v="627"/>
    <n v="41767782"/>
    <n v="148413"/>
    <s v="Medium"/>
    <s v="Hybrid"/>
    <n v="4"/>
    <n v="41.54"/>
    <n v="685099"/>
    <n v="1"/>
  </r>
  <r>
    <s v="Startup_4744"/>
    <x v="6"/>
    <n v="8"/>
    <n v="40794564"/>
    <n v="1"/>
    <n v="22"/>
    <n v="931"/>
    <n v="11394472"/>
    <n v="264203"/>
    <s v="Large"/>
    <s v="B2B"/>
    <n v="2"/>
    <n v="80.38"/>
    <n v="824830"/>
    <n v="1"/>
  </r>
  <r>
    <s v="Startup_4745"/>
    <x v="3"/>
    <n v="9"/>
    <n v="2398947"/>
    <n v="1"/>
    <n v="20"/>
    <n v="851"/>
    <n v="37647833"/>
    <n v="36004"/>
    <s v="Large"/>
    <s v="Hybrid"/>
    <n v="6"/>
    <n v="21.19"/>
    <n v="863235"/>
    <n v="1"/>
  </r>
  <r>
    <s v="Startup_4746"/>
    <x v="0"/>
    <n v="5"/>
    <n v="4858863"/>
    <n v="2"/>
    <n v="7"/>
    <n v="645"/>
    <n v="91686159"/>
    <n v="842267"/>
    <s v="Small"/>
    <s v="Hybrid"/>
    <n v="7"/>
    <n v="17.98"/>
    <n v="936620"/>
    <n v="1"/>
  </r>
  <r>
    <s v="Startup_4747"/>
    <x v="4"/>
    <n v="1"/>
    <n v="14672122"/>
    <n v="1"/>
    <n v="2"/>
    <n v="47"/>
    <n v="10146286"/>
    <n v="926944"/>
    <s v="Medium"/>
    <s v="B2C"/>
    <n v="9"/>
    <n v="60.11"/>
    <n v="140671"/>
    <n v="1"/>
  </r>
  <r>
    <s v="Startup_4748"/>
    <x v="6"/>
    <n v="12"/>
    <n v="1297952"/>
    <n v="4"/>
    <n v="24"/>
    <n v="869"/>
    <n v="81557483"/>
    <n v="503222"/>
    <s v="Small"/>
    <s v="B2C"/>
    <n v="8"/>
    <n v="72.760000000000005"/>
    <n v="384179"/>
    <n v="1"/>
  </r>
  <r>
    <s v="Startup_4749"/>
    <x v="2"/>
    <n v="1"/>
    <n v="1311568"/>
    <n v="2"/>
    <n v="29"/>
    <n v="580"/>
    <n v="20763543"/>
    <n v="70900"/>
    <s v="Small"/>
    <s v="Hybrid"/>
    <n v="9"/>
    <n v="50.12"/>
    <n v="499763"/>
    <n v="1"/>
  </r>
  <r>
    <s v="Startup_4750"/>
    <x v="1"/>
    <n v="11"/>
    <n v="4268089"/>
    <n v="4"/>
    <n v="10"/>
    <n v="207"/>
    <n v="57820715"/>
    <n v="729993"/>
    <s v="Medium"/>
    <s v="Hybrid"/>
    <n v="5"/>
    <n v="62.94"/>
    <n v="370174"/>
    <n v="1"/>
  </r>
  <r>
    <s v="Startup_4751"/>
    <x v="0"/>
    <n v="11"/>
    <n v="34589807"/>
    <n v="4"/>
    <n v="10"/>
    <n v="994"/>
    <n v="81731474"/>
    <n v="835729"/>
    <s v="Large"/>
    <s v="B2B"/>
    <n v="2"/>
    <n v="80.84"/>
    <n v="814279"/>
    <n v="1"/>
  </r>
  <r>
    <s v="Startup_4752"/>
    <x v="3"/>
    <n v="9"/>
    <n v="41141072"/>
    <n v="4"/>
    <n v="11"/>
    <n v="146"/>
    <n v="70786888"/>
    <n v="353355"/>
    <s v="Small"/>
    <s v="B2C"/>
    <n v="1"/>
    <n v="64.92"/>
    <n v="52674"/>
    <n v="1"/>
  </r>
  <r>
    <s v="Startup_4753"/>
    <x v="1"/>
    <n v="8"/>
    <n v="2018998"/>
    <n v="4"/>
    <n v="17"/>
    <n v="100"/>
    <n v="62663834"/>
    <n v="720631"/>
    <s v="Large"/>
    <s v="Hybrid"/>
    <n v="9"/>
    <n v="97.54"/>
    <n v="764560"/>
    <n v="1"/>
  </r>
  <r>
    <s v="Startup_4754"/>
    <x v="3"/>
    <n v="10"/>
    <n v="46375943"/>
    <n v="1"/>
    <n v="19"/>
    <n v="8"/>
    <n v="81643684"/>
    <n v="379056"/>
    <s v="Large"/>
    <s v="B2B"/>
    <n v="7"/>
    <n v="80.45"/>
    <n v="868642"/>
    <n v="1"/>
  </r>
  <r>
    <s v="Startup_4755"/>
    <x v="4"/>
    <n v="10"/>
    <n v="29555371"/>
    <n v="3"/>
    <n v="13"/>
    <n v="40"/>
    <n v="25200104"/>
    <n v="487542"/>
    <s v="Medium"/>
    <s v="B2C"/>
    <n v="2"/>
    <n v="55.97"/>
    <n v="526181"/>
    <n v="1"/>
  </r>
  <r>
    <s v="Startup_4756"/>
    <x v="5"/>
    <n v="11"/>
    <n v="25888774"/>
    <n v="3"/>
    <n v="29"/>
    <n v="929"/>
    <n v="63839088"/>
    <n v="475397"/>
    <s v="Medium"/>
    <s v="B2C"/>
    <n v="3"/>
    <n v="5.03"/>
    <n v="197230"/>
    <n v="1"/>
  </r>
  <r>
    <s v="Startup_4757"/>
    <x v="0"/>
    <n v="5"/>
    <n v="36342224"/>
    <n v="3"/>
    <n v="27"/>
    <n v="816"/>
    <n v="69420837"/>
    <n v="626613"/>
    <s v="Small"/>
    <s v="B2C"/>
    <n v="4"/>
    <n v="68.040000000000006"/>
    <n v="871662"/>
    <n v="1"/>
  </r>
  <r>
    <s v="Startup_4758"/>
    <x v="6"/>
    <n v="2"/>
    <n v="48443481"/>
    <n v="2"/>
    <n v="26"/>
    <n v="768"/>
    <n v="99123973"/>
    <n v="894434"/>
    <s v="Medium"/>
    <s v="B2B"/>
    <n v="1"/>
    <n v="66.95"/>
    <n v="394987"/>
    <n v="1"/>
  </r>
  <r>
    <s v="Startup_4759"/>
    <x v="5"/>
    <n v="11"/>
    <n v="20687941"/>
    <n v="4"/>
    <n v="11"/>
    <n v="729"/>
    <n v="40966460"/>
    <n v="366205"/>
    <s v="Large"/>
    <s v="B2B"/>
    <n v="4"/>
    <n v="55.56"/>
    <n v="186164"/>
    <n v="1"/>
  </r>
  <r>
    <s v="Startup_4760"/>
    <x v="5"/>
    <n v="14"/>
    <n v="48439210"/>
    <n v="4"/>
    <n v="29"/>
    <n v="220"/>
    <n v="8272753"/>
    <n v="166596"/>
    <s v="Large"/>
    <s v="Hybrid"/>
    <n v="8"/>
    <n v="81.400000000000006"/>
    <n v="74822"/>
    <n v="1"/>
  </r>
  <r>
    <s v="Startup_4761"/>
    <x v="4"/>
    <n v="10"/>
    <n v="34591622"/>
    <n v="3"/>
    <n v="12"/>
    <n v="826"/>
    <n v="19678305"/>
    <n v="597437"/>
    <s v="Medium"/>
    <s v="B2B"/>
    <n v="4"/>
    <n v="3.54"/>
    <n v="706839"/>
    <n v="1"/>
  </r>
  <r>
    <s v="Startup_4762"/>
    <x v="6"/>
    <n v="10"/>
    <n v="43733314"/>
    <n v="2"/>
    <n v="6"/>
    <n v="808"/>
    <n v="1260018"/>
    <n v="442748"/>
    <s v="Small"/>
    <s v="B2B"/>
    <n v="6"/>
    <n v="9.49"/>
    <n v="742880"/>
    <n v="1"/>
  </r>
  <r>
    <s v="Startup_4763"/>
    <x v="4"/>
    <n v="2"/>
    <n v="4305324"/>
    <n v="3"/>
    <n v="17"/>
    <n v="34"/>
    <n v="39011005"/>
    <n v="83045"/>
    <s v="Medium"/>
    <s v="B2B"/>
    <n v="9"/>
    <n v="45.77"/>
    <n v="932727"/>
    <n v="1"/>
  </r>
  <r>
    <s v="Startup_4764"/>
    <x v="6"/>
    <n v="2"/>
    <n v="49859629"/>
    <n v="2"/>
    <n v="11"/>
    <n v="969"/>
    <n v="7577056"/>
    <n v="414364"/>
    <s v="Small"/>
    <s v="B2B"/>
    <n v="6"/>
    <n v="89.08"/>
    <n v="317016"/>
    <n v="1"/>
  </r>
  <r>
    <s v="Startup_4765"/>
    <x v="1"/>
    <n v="2"/>
    <n v="49927813"/>
    <n v="1"/>
    <n v="21"/>
    <n v="515"/>
    <n v="34154285"/>
    <n v="561072"/>
    <s v="Small"/>
    <s v="B2C"/>
    <n v="6"/>
    <n v="40.97"/>
    <n v="675607"/>
    <n v="1"/>
  </r>
  <r>
    <s v="Startup_4766"/>
    <x v="4"/>
    <n v="8"/>
    <n v="25146630"/>
    <n v="2"/>
    <n v="16"/>
    <n v="213"/>
    <n v="93273949"/>
    <n v="718646"/>
    <s v="Medium"/>
    <s v="Hybrid"/>
    <n v="6"/>
    <n v="21.88"/>
    <n v="41124"/>
    <n v="1"/>
  </r>
  <r>
    <s v="Startup_4767"/>
    <x v="4"/>
    <n v="4"/>
    <n v="11077900"/>
    <n v="1"/>
    <n v="23"/>
    <n v="248"/>
    <n v="4437399"/>
    <n v="128039"/>
    <s v="Medium"/>
    <s v="Hybrid"/>
    <n v="3"/>
    <n v="99.98"/>
    <n v="225568"/>
    <n v="1"/>
  </r>
  <r>
    <s v="Startup_4768"/>
    <x v="6"/>
    <n v="4"/>
    <n v="17412751"/>
    <n v="4"/>
    <n v="4"/>
    <n v="17"/>
    <n v="17920460"/>
    <n v="579586"/>
    <s v="Medium"/>
    <s v="B2C"/>
    <n v="9"/>
    <n v="60.34"/>
    <n v="228309"/>
    <n v="1"/>
  </r>
  <r>
    <s v="Startup_4769"/>
    <x v="1"/>
    <n v="0"/>
    <n v="15033278"/>
    <n v="1"/>
    <n v="20"/>
    <n v="652"/>
    <n v="81997242"/>
    <n v="717407"/>
    <s v="Medium"/>
    <s v="Hybrid"/>
    <n v="9"/>
    <n v="20.41"/>
    <n v="553545"/>
    <n v="1"/>
  </r>
  <r>
    <s v="Startup_4770"/>
    <x v="2"/>
    <n v="10"/>
    <n v="4219122"/>
    <n v="4"/>
    <n v="25"/>
    <n v="224"/>
    <n v="60305691"/>
    <n v="715647"/>
    <s v="Large"/>
    <s v="B2C"/>
    <n v="3"/>
    <n v="16.600000000000001"/>
    <n v="504882"/>
    <n v="1"/>
  </r>
  <r>
    <s v="Startup_4771"/>
    <x v="6"/>
    <n v="8"/>
    <n v="4876194"/>
    <n v="2"/>
    <n v="16"/>
    <n v="411"/>
    <n v="91086765"/>
    <n v="624737"/>
    <s v="Large"/>
    <s v="Hybrid"/>
    <n v="2"/>
    <n v="52.84"/>
    <n v="378478"/>
    <n v="1"/>
  </r>
  <r>
    <s v="Startup_4772"/>
    <x v="4"/>
    <n v="2"/>
    <n v="31601140"/>
    <n v="4"/>
    <n v="0"/>
    <n v="8"/>
    <n v="6742461"/>
    <n v="884983"/>
    <s v="Small"/>
    <s v="B2B"/>
    <n v="5"/>
    <n v="32.869999999999997"/>
    <n v="238591"/>
    <n v="1"/>
  </r>
  <r>
    <s v="Startup_4773"/>
    <x v="5"/>
    <n v="11"/>
    <n v="31650200"/>
    <n v="1"/>
    <n v="26"/>
    <n v="659"/>
    <n v="36030373"/>
    <n v="231442"/>
    <s v="Medium"/>
    <s v="Hybrid"/>
    <n v="2"/>
    <n v="20.45"/>
    <n v="480990"/>
    <n v="1"/>
  </r>
  <r>
    <s v="Startup_4774"/>
    <x v="4"/>
    <n v="2"/>
    <n v="43432060"/>
    <n v="3"/>
    <n v="13"/>
    <n v="43"/>
    <n v="24364056"/>
    <n v="884023"/>
    <s v="Small"/>
    <s v="B2C"/>
    <n v="2"/>
    <n v="92.42"/>
    <n v="209616"/>
    <n v="1"/>
  </r>
  <r>
    <s v="Startup_4775"/>
    <x v="1"/>
    <n v="14"/>
    <n v="11349256"/>
    <n v="1"/>
    <n v="10"/>
    <n v="530"/>
    <n v="15779858"/>
    <n v="647341"/>
    <s v="Medium"/>
    <s v="B2B"/>
    <n v="3"/>
    <n v="12.71"/>
    <n v="774372"/>
    <n v="1"/>
  </r>
  <r>
    <s v="Startup_4776"/>
    <x v="4"/>
    <n v="14"/>
    <n v="1048830"/>
    <n v="1"/>
    <n v="11"/>
    <n v="15"/>
    <n v="13414265"/>
    <n v="73077"/>
    <s v="Small"/>
    <s v="B2C"/>
    <n v="2"/>
    <n v="85.36"/>
    <n v="172609"/>
    <n v="1"/>
  </r>
  <r>
    <s v="Startup_4777"/>
    <x v="0"/>
    <n v="2"/>
    <n v="46145736"/>
    <n v="1"/>
    <n v="17"/>
    <n v="443"/>
    <n v="68085348"/>
    <n v="333518"/>
    <s v="Large"/>
    <s v="B2C"/>
    <n v="1"/>
    <n v="50.4"/>
    <n v="394588"/>
    <n v="1"/>
  </r>
  <r>
    <s v="Startup_4778"/>
    <x v="0"/>
    <n v="11"/>
    <n v="26338124"/>
    <n v="3"/>
    <n v="24"/>
    <n v="768"/>
    <n v="65397007"/>
    <n v="613384"/>
    <s v="Medium"/>
    <s v="B2C"/>
    <n v="9"/>
    <n v="97.17"/>
    <n v="31008"/>
    <n v="1"/>
  </r>
  <r>
    <s v="Startup_4779"/>
    <x v="4"/>
    <n v="0"/>
    <n v="17734613"/>
    <n v="1"/>
    <n v="2"/>
    <n v="754"/>
    <n v="80015167"/>
    <n v="642220"/>
    <s v="Small"/>
    <s v="B2B"/>
    <n v="8"/>
    <n v="99.98"/>
    <n v="608559"/>
    <n v="1"/>
  </r>
  <r>
    <s v="Startup_4780"/>
    <x v="2"/>
    <n v="13"/>
    <n v="12049696"/>
    <n v="4"/>
    <n v="19"/>
    <n v="494"/>
    <n v="33508549"/>
    <n v="265396"/>
    <s v="Medium"/>
    <s v="B2C"/>
    <n v="2"/>
    <n v="27.42"/>
    <n v="441509"/>
    <n v="1"/>
  </r>
  <r>
    <s v="Startup_4781"/>
    <x v="1"/>
    <n v="2"/>
    <n v="42389356"/>
    <n v="3"/>
    <n v="13"/>
    <n v="501"/>
    <n v="3676712"/>
    <n v="876782"/>
    <s v="Small"/>
    <s v="Hybrid"/>
    <n v="9"/>
    <n v="27.42"/>
    <n v="74496"/>
    <n v="1"/>
  </r>
  <r>
    <s v="Startup_4782"/>
    <x v="2"/>
    <n v="0"/>
    <n v="5646127"/>
    <n v="3"/>
    <n v="17"/>
    <n v="344"/>
    <n v="6392609"/>
    <n v="26918"/>
    <s v="Large"/>
    <s v="Hybrid"/>
    <n v="2"/>
    <n v="37.08"/>
    <n v="462305"/>
    <n v="1"/>
  </r>
  <r>
    <s v="Startup_4783"/>
    <x v="5"/>
    <n v="14"/>
    <n v="17286407"/>
    <n v="4"/>
    <n v="1"/>
    <n v="478"/>
    <n v="50808608"/>
    <n v="224152"/>
    <s v="Medium"/>
    <s v="B2C"/>
    <n v="2"/>
    <n v="74.5"/>
    <n v="392798"/>
    <n v="1"/>
  </r>
  <r>
    <s v="Startup_4784"/>
    <x v="4"/>
    <n v="14"/>
    <n v="10251372"/>
    <n v="2"/>
    <n v="4"/>
    <n v="154"/>
    <n v="97883379"/>
    <n v="321090"/>
    <s v="Small"/>
    <s v="B2B"/>
    <n v="3"/>
    <n v="82.34"/>
    <n v="399326"/>
    <n v="1"/>
  </r>
  <r>
    <s v="Startup_4785"/>
    <x v="5"/>
    <n v="13"/>
    <n v="42395023"/>
    <n v="1"/>
    <n v="1"/>
    <n v="33"/>
    <n v="25681234"/>
    <n v="560178"/>
    <s v="Large"/>
    <s v="Hybrid"/>
    <n v="3"/>
    <n v="56.85"/>
    <n v="522912"/>
    <n v="1"/>
  </r>
  <r>
    <s v="Startup_4786"/>
    <x v="2"/>
    <n v="0"/>
    <n v="17422401"/>
    <n v="3"/>
    <n v="25"/>
    <n v="853"/>
    <n v="81414641"/>
    <n v="122693"/>
    <s v="Small"/>
    <s v="B2B"/>
    <n v="4"/>
    <n v="43.26"/>
    <n v="244952"/>
    <n v="1"/>
  </r>
  <r>
    <s v="Startup_4787"/>
    <x v="0"/>
    <n v="8"/>
    <n v="48900924"/>
    <n v="1"/>
    <n v="27"/>
    <n v="489"/>
    <n v="45404393"/>
    <n v="259787"/>
    <s v="Small"/>
    <s v="B2C"/>
    <n v="3"/>
    <n v="53.89"/>
    <n v="373224"/>
    <n v="1"/>
  </r>
  <r>
    <s v="Startup_4788"/>
    <x v="4"/>
    <n v="8"/>
    <n v="34697834"/>
    <n v="4"/>
    <n v="20"/>
    <n v="626"/>
    <n v="2401306"/>
    <n v="812856"/>
    <s v="Medium"/>
    <s v="B2C"/>
    <n v="6"/>
    <n v="27.45"/>
    <n v="770391"/>
    <n v="1"/>
  </r>
  <r>
    <s v="Startup_4789"/>
    <x v="2"/>
    <n v="0"/>
    <n v="4931888"/>
    <n v="2"/>
    <n v="5"/>
    <n v="298"/>
    <n v="30050691"/>
    <n v="237628"/>
    <s v="Medium"/>
    <s v="Hybrid"/>
    <n v="6"/>
    <n v="59.65"/>
    <n v="771596"/>
    <n v="1"/>
  </r>
  <r>
    <s v="Startup_4790"/>
    <x v="1"/>
    <n v="9"/>
    <n v="14195463"/>
    <n v="3"/>
    <n v="10"/>
    <n v="872"/>
    <n v="65366768"/>
    <n v="458258"/>
    <s v="Small"/>
    <s v="Hybrid"/>
    <n v="3"/>
    <n v="91.12"/>
    <n v="446116"/>
    <n v="1"/>
  </r>
  <r>
    <s v="Startup_4791"/>
    <x v="0"/>
    <n v="13"/>
    <n v="28110479"/>
    <n v="4"/>
    <n v="20"/>
    <n v="666"/>
    <n v="90627473"/>
    <n v="375456"/>
    <s v="Large"/>
    <s v="B2C"/>
    <n v="8"/>
    <n v="16.3"/>
    <n v="9274"/>
    <n v="1"/>
  </r>
  <r>
    <s v="Startup_4792"/>
    <x v="4"/>
    <n v="3"/>
    <n v="4528570"/>
    <n v="2"/>
    <n v="4"/>
    <n v="396"/>
    <n v="64541850"/>
    <n v="128573"/>
    <s v="Medium"/>
    <s v="Hybrid"/>
    <n v="1"/>
    <n v="16.100000000000001"/>
    <n v="661521"/>
    <n v="1"/>
  </r>
  <r>
    <s v="Startup_4793"/>
    <x v="4"/>
    <n v="13"/>
    <n v="18150549"/>
    <n v="2"/>
    <n v="12"/>
    <n v="244"/>
    <n v="24355475"/>
    <n v="721459"/>
    <s v="Small"/>
    <s v="B2C"/>
    <n v="9"/>
    <n v="78.56"/>
    <n v="954085"/>
    <n v="1"/>
  </r>
  <r>
    <s v="Startup_4794"/>
    <x v="0"/>
    <n v="8"/>
    <n v="33001530"/>
    <n v="1"/>
    <n v="10"/>
    <n v="72"/>
    <n v="15597522"/>
    <n v="888941"/>
    <s v="Small"/>
    <s v="B2C"/>
    <n v="5"/>
    <n v="36.82"/>
    <n v="304803"/>
    <n v="1"/>
  </r>
  <r>
    <s v="Startup_4795"/>
    <x v="5"/>
    <n v="5"/>
    <n v="9818388"/>
    <n v="3"/>
    <n v="3"/>
    <n v="191"/>
    <n v="1878371"/>
    <n v="55133"/>
    <s v="Medium"/>
    <s v="B2B"/>
    <n v="4"/>
    <n v="25.63"/>
    <n v="24732"/>
    <n v="1"/>
  </r>
  <r>
    <s v="Startup_4796"/>
    <x v="1"/>
    <n v="13"/>
    <n v="19138622"/>
    <n v="1"/>
    <n v="13"/>
    <n v="483"/>
    <n v="90635841"/>
    <n v="624061"/>
    <s v="Small"/>
    <s v="B2C"/>
    <n v="4"/>
    <n v="10.44"/>
    <n v="552051"/>
    <n v="1"/>
  </r>
  <r>
    <s v="Startup_4797"/>
    <x v="5"/>
    <n v="3"/>
    <n v="22307608"/>
    <n v="4"/>
    <n v="1"/>
    <n v="377"/>
    <n v="30297836"/>
    <n v="489321"/>
    <s v="Small"/>
    <s v="B2C"/>
    <n v="2"/>
    <n v="78.52"/>
    <n v="837768"/>
    <n v="1"/>
  </r>
  <r>
    <s v="Startup_4798"/>
    <x v="2"/>
    <n v="9"/>
    <n v="32183036"/>
    <n v="3"/>
    <n v="14"/>
    <n v="783"/>
    <n v="98846653"/>
    <n v="946706"/>
    <s v="Medium"/>
    <s v="B2B"/>
    <n v="2"/>
    <n v="34.44"/>
    <n v="380718"/>
    <n v="1"/>
  </r>
  <r>
    <s v="Startup_4799"/>
    <x v="3"/>
    <n v="5"/>
    <n v="37242592"/>
    <n v="1"/>
    <n v="29"/>
    <n v="70"/>
    <n v="47279210"/>
    <n v="201143"/>
    <s v="Large"/>
    <s v="B2C"/>
    <n v="3"/>
    <n v="8.8800000000000008"/>
    <n v="10485"/>
    <n v="1"/>
  </r>
  <r>
    <s v="Startup_4800"/>
    <x v="5"/>
    <n v="2"/>
    <n v="2051490"/>
    <n v="3"/>
    <n v="12"/>
    <n v="871"/>
    <n v="73312466"/>
    <n v="305814"/>
    <s v="Large"/>
    <s v="B2C"/>
    <n v="5"/>
    <n v="7.44"/>
    <n v="483399"/>
    <n v="1"/>
  </r>
  <r>
    <s v="Startup_4801"/>
    <x v="6"/>
    <n v="10"/>
    <n v="11846500"/>
    <n v="4"/>
    <n v="16"/>
    <n v="95"/>
    <n v="17372312"/>
    <n v="645500"/>
    <s v="Small"/>
    <s v="B2B"/>
    <n v="5"/>
    <n v="96.02"/>
    <n v="273183"/>
    <n v="1"/>
  </r>
  <r>
    <s v="Startup_4802"/>
    <x v="5"/>
    <n v="0"/>
    <n v="9671322"/>
    <n v="2"/>
    <n v="12"/>
    <n v="312"/>
    <n v="84831566"/>
    <n v="927022"/>
    <s v="Small"/>
    <s v="Hybrid"/>
    <n v="7"/>
    <n v="83.66"/>
    <n v="799721"/>
    <n v="1"/>
  </r>
  <r>
    <s v="Startup_4803"/>
    <x v="2"/>
    <n v="6"/>
    <n v="24166752"/>
    <n v="4"/>
    <n v="14"/>
    <n v="358"/>
    <n v="68736225"/>
    <n v="493051"/>
    <s v="Small"/>
    <s v="B2C"/>
    <n v="2"/>
    <n v="23.5"/>
    <n v="267042"/>
    <n v="1"/>
  </r>
  <r>
    <s v="Startup_4804"/>
    <x v="2"/>
    <n v="10"/>
    <n v="37218207"/>
    <n v="4"/>
    <n v="17"/>
    <n v="282"/>
    <n v="32007991"/>
    <n v="609249"/>
    <s v="Medium"/>
    <s v="B2B"/>
    <n v="5"/>
    <n v="34.81"/>
    <n v="99372"/>
    <n v="1"/>
  </r>
  <r>
    <s v="Startup_4805"/>
    <x v="1"/>
    <n v="3"/>
    <n v="10576531"/>
    <n v="1"/>
    <n v="16"/>
    <n v="588"/>
    <n v="90189168"/>
    <n v="640528"/>
    <s v="Medium"/>
    <s v="B2C"/>
    <n v="3"/>
    <n v="38.130000000000003"/>
    <n v="335125"/>
    <n v="1"/>
  </r>
  <r>
    <s v="Startup_4806"/>
    <x v="3"/>
    <n v="5"/>
    <n v="8565506"/>
    <n v="3"/>
    <n v="11"/>
    <n v="977"/>
    <n v="9732947"/>
    <n v="582081"/>
    <s v="Small"/>
    <s v="B2B"/>
    <n v="4"/>
    <n v="20.97"/>
    <n v="865051"/>
    <n v="1"/>
  </r>
  <r>
    <s v="Startup_4807"/>
    <x v="6"/>
    <n v="3"/>
    <n v="32703907"/>
    <n v="4"/>
    <n v="23"/>
    <n v="196"/>
    <n v="67622916"/>
    <n v="709008"/>
    <s v="Medium"/>
    <s v="Hybrid"/>
    <n v="2"/>
    <n v="51.73"/>
    <n v="948861"/>
    <n v="1"/>
  </r>
  <r>
    <s v="Startup_4808"/>
    <x v="1"/>
    <n v="3"/>
    <n v="32077821"/>
    <n v="2"/>
    <n v="9"/>
    <n v="88"/>
    <n v="91962767"/>
    <n v="472340"/>
    <s v="Large"/>
    <s v="B2B"/>
    <n v="7"/>
    <n v="82.12"/>
    <n v="8844"/>
    <n v="1"/>
  </r>
  <r>
    <s v="Startup_4809"/>
    <x v="2"/>
    <n v="1"/>
    <n v="13000145"/>
    <n v="1"/>
    <n v="5"/>
    <n v="571"/>
    <n v="69169480"/>
    <n v="956224"/>
    <s v="Large"/>
    <s v="B2C"/>
    <n v="1"/>
    <n v="91.33"/>
    <n v="128588"/>
    <n v="1"/>
  </r>
  <r>
    <s v="Startup_4810"/>
    <x v="6"/>
    <n v="9"/>
    <n v="9796124"/>
    <n v="4"/>
    <n v="9"/>
    <n v="214"/>
    <n v="62814979"/>
    <n v="942346"/>
    <s v="Small"/>
    <s v="B2B"/>
    <n v="3"/>
    <n v="19.420000000000002"/>
    <n v="639940"/>
    <n v="1"/>
  </r>
  <r>
    <s v="Startup_4811"/>
    <x v="0"/>
    <n v="10"/>
    <n v="15531418"/>
    <n v="4"/>
    <n v="19"/>
    <n v="267"/>
    <n v="31799856"/>
    <n v="227423"/>
    <s v="Medium"/>
    <s v="B2C"/>
    <n v="1"/>
    <n v="25.54"/>
    <n v="916718"/>
    <n v="1"/>
  </r>
  <r>
    <s v="Startup_4812"/>
    <x v="6"/>
    <n v="10"/>
    <n v="33126657"/>
    <n v="3"/>
    <n v="9"/>
    <n v="944"/>
    <n v="36849372"/>
    <n v="337706"/>
    <s v="Small"/>
    <s v="B2B"/>
    <n v="8"/>
    <n v="8.7799999999999994"/>
    <n v="195045"/>
    <n v="1"/>
  </r>
  <r>
    <s v="Startup_4813"/>
    <x v="5"/>
    <n v="8"/>
    <n v="16119185"/>
    <n v="4"/>
    <n v="22"/>
    <n v="788"/>
    <n v="43364465"/>
    <n v="216085"/>
    <s v="Small"/>
    <s v="B2B"/>
    <n v="6"/>
    <n v="34.630000000000003"/>
    <n v="349839"/>
    <n v="1"/>
  </r>
  <r>
    <s v="Startup_4814"/>
    <x v="1"/>
    <n v="2"/>
    <n v="44998273"/>
    <n v="4"/>
    <n v="8"/>
    <n v="464"/>
    <n v="57131232"/>
    <n v="806762"/>
    <s v="Small"/>
    <s v="B2C"/>
    <n v="2"/>
    <n v="87.88"/>
    <n v="46560"/>
    <n v="1"/>
  </r>
  <r>
    <s v="Startup_4815"/>
    <x v="3"/>
    <n v="10"/>
    <n v="8605551"/>
    <n v="1"/>
    <n v="21"/>
    <n v="869"/>
    <n v="93034943"/>
    <n v="942954"/>
    <s v="Small"/>
    <s v="Hybrid"/>
    <n v="6"/>
    <n v="9.73"/>
    <n v="449425"/>
    <n v="1"/>
  </r>
  <r>
    <s v="Startup_4816"/>
    <x v="0"/>
    <n v="7"/>
    <n v="36997980"/>
    <n v="1"/>
    <n v="21"/>
    <n v="648"/>
    <n v="98605935"/>
    <n v="968988"/>
    <s v="Large"/>
    <s v="B2B"/>
    <n v="5"/>
    <n v="42.59"/>
    <n v="780064"/>
    <n v="1"/>
  </r>
  <r>
    <s v="Startup_4817"/>
    <x v="5"/>
    <n v="14"/>
    <n v="27522276"/>
    <n v="1"/>
    <n v="24"/>
    <n v="515"/>
    <n v="39322881"/>
    <n v="229919"/>
    <s v="Small"/>
    <s v="B2C"/>
    <n v="8"/>
    <n v="12.79"/>
    <n v="964840"/>
    <n v="1"/>
  </r>
  <r>
    <s v="Startup_4818"/>
    <x v="3"/>
    <n v="12"/>
    <n v="27212134"/>
    <n v="4"/>
    <n v="5"/>
    <n v="788"/>
    <n v="70707356"/>
    <n v="805930"/>
    <s v="Medium"/>
    <s v="B2C"/>
    <n v="1"/>
    <n v="57.94"/>
    <n v="652558"/>
    <n v="1"/>
  </r>
  <r>
    <s v="Startup_4819"/>
    <x v="2"/>
    <n v="9"/>
    <n v="15406775"/>
    <n v="1"/>
    <n v="5"/>
    <n v="305"/>
    <n v="68629410"/>
    <n v="967570"/>
    <s v="Large"/>
    <s v="Hybrid"/>
    <n v="7"/>
    <n v="25.75"/>
    <n v="805860"/>
    <n v="1"/>
  </r>
  <r>
    <s v="Startup_4820"/>
    <x v="5"/>
    <n v="11"/>
    <n v="34213460"/>
    <n v="1"/>
    <n v="7"/>
    <n v="647"/>
    <n v="92957130"/>
    <n v="716190"/>
    <s v="Medium"/>
    <s v="Hybrid"/>
    <n v="8"/>
    <n v="66.05"/>
    <n v="554890"/>
    <n v="1"/>
  </r>
  <r>
    <s v="Startup_4821"/>
    <x v="3"/>
    <n v="7"/>
    <n v="2077959"/>
    <n v="3"/>
    <n v="2"/>
    <n v="286"/>
    <n v="3217539"/>
    <n v="102227"/>
    <s v="Large"/>
    <s v="B2B"/>
    <n v="2"/>
    <n v="81.790000000000006"/>
    <n v="700393"/>
    <n v="1"/>
  </r>
  <r>
    <s v="Startup_4822"/>
    <x v="5"/>
    <n v="7"/>
    <n v="4425427"/>
    <n v="2"/>
    <n v="29"/>
    <n v="82"/>
    <n v="3709454"/>
    <n v="251163"/>
    <s v="Large"/>
    <s v="B2B"/>
    <n v="1"/>
    <n v="83.31"/>
    <n v="426789"/>
    <n v="1"/>
  </r>
  <r>
    <s v="Startup_4823"/>
    <x v="6"/>
    <n v="5"/>
    <n v="17442152"/>
    <n v="1"/>
    <n v="20"/>
    <n v="854"/>
    <n v="3354509"/>
    <n v="992325"/>
    <s v="Medium"/>
    <s v="B2C"/>
    <n v="8"/>
    <n v="25.84"/>
    <n v="451185"/>
    <n v="1"/>
  </r>
  <r>
    <s v="Startup_4824"/>
    <x v="1"/>
    <n v="8"/>
    <n v="18348108"/>
    <n v="4"/>
    <n v="11"/>
    <n v="634"/>
    <n v="62435253"/>
    <n v="517101"/>
    <s v="Medium"/>
    <s v="Hybrid"/>
    <n v="8"/>
    <n v="49.63"/>
    <n v="729895"/>
    <n v="1"/>
  </r>
  <r>
    <s v="Startup_4825"/>
    <x v="3"/>
    <n v="11"/>
    <n v="31674158"/>
    <n v="3"/>
    <n v="2"/>
    <n v="650"/>
    <n v="60101710"/>
    <n v="807898"/>
    <s v="Large"/>
    <s v="Hybrid"/>
    <n v="6"/>
    <n v="89.19"/>
    <n v="312822"/>
    <n v="1"/>
  </r>
  <r>
    <s v="Startup_4826"/>
    <x v="2"/>
    <n v="11"/>
    <n v="12166519"/>
    <n v="3"/>
    <n v="28"/>
    <n v="36"/>
    <n v="22022864"/>
    <n v="871481"/>
    <s v="Small"/>
    <s v="Hybrid"/>
    <n v="7"/>
    <n v="97.61"/>
    <n v="534771"/>
    <n v="1"/>
  </r>
  <r>
    <s v="Startup_4827"/>
    <x v="3"/>
    <n v="11"/>
    <n v="48192108"/>
    <n v="3"/>
    <n v="3"/>
    <n v="248"/>
    <n v="28267386"/>
    <n v="769826"/>
    <s v="Small"/>
    <s v="Hybrid"/>
    <n v="1"/>
    <n v="20.12"/>
    <n v="921203"/>
    <n v="1"/>
  </r>
  <r>
    <s v="Startup_4828"/>
    <x v="6"/>
    <n v="7"/>
    <n v="38090258"/>
    <n v="2"/>
    <n v="13"/>
    <n v="49"/>
    <n v="90370005"/>
    <n v="468389"/>
    <s v="Large"/>
    <s v="B2B"/>
    <n v="9"/>
    <n v="37.6"/>
    <n v="345598"/>
    <n v="1"/>
  </r>
  <r>
    <s v="Startup_4829"/>
    <x v="5"/>
    <n v="0"/>
    <n v="16662819"/>
    <n v="3"/>
    <n v="4"/>
    <n v="123"/>
    <n v="37106346"/>
    <n v="307235"/>
    <s v="Medium"/>
    <s v="B2C"/>
    <n v="1"/>
    <n v="82.39"/>
    <n v="25723"/>
    <n v="1"/>
  </r>
  <r>
    <s v="Startup_4830"/>
    <x v="0"/>
    <n v="11"/>
    <n v="29076100"/>
    <n v="3"/>
    <n v="12"/>
    <n v="940"/>
    <n v="49596662"/>
    <n v="775937"/>
    <s v="Large"/>
    <s v="Hybrid"/>
    <n v="5"/>
    <n v="9.9499999999999993"/>
    <n v="397812"/>
    <n v="1"/>
  </r>
  <r>
    <s v="Startup_4831"/>
    <x v="2"/>
    <n v="9"/>
    <n v="40939402"/>
    <n v="2"/>
    <n v="12"/>
    <n v="674"/>
    <n v="88757294"/>
    <n v="265257"/>
    <s v="Medium"/>
    <s v="B2C"/>
    <n v="6"/>
    <n v="52.6"/>
    <n v="36596"/>
    <n v="1"/>
  </r>
  <r>
    <s v="Startup_4832"/>
    <x v="0"/>
    <n v="12"/>
    <n v="37821945"/>
    <n v="2"/>
    <n v="13"/>
    <n v="467"/>
    <n v="35034608"/>
    <n v="801326"/>
    <s v="Large"/>
    <s v="Hybrid"/>
    <n v="8"/>
    <n v="97.12"/>
    <n v="785420"/>
    <n v="1"/>
  </r>
  <r>
    <s v="Startup_4833"/>
    <x v="5"/>
    <n v="14"/>
    <n v="36225608"/>
    <n v="3"/>
    <n v="16"/>
    <n v="574"/>
    <n v="79540124"/>
    <n v="198533"/>
    <s v="Large"/>
    <s v="B2C"/>
    <n v="2"/>
    <n v="3.98"/>
    <n v="726308"/>
    <n v="1"/>
  </r>
  <r>
    <s v="Startup_4834"/>
    <x v="4"/>
    <n v="9"/>
    <n v="40060746"/>
    <n v="2"/>
    <n v="0"/>
    <n v="468"/>
    <n v="32657524"/>
    <n v="833589"/>
    <s v="Medium"/>
    <s v="B2B"/>
    <n v="8"/>
    <n v="35.65"/>
    <n v="332710"/>
    <n v="1"/>
  </r>
  <r>
    <s v="Startup_4835"/>
    <x v="3"/>
    <n v="7"/>
    <n v="43482713"/>
    <n v="3"/>
    <n v="21"/>
    <n v="177"/>
    <n v="37642178"/>
    <n v="297879"/>
    <s v="Large"/>
    <s v="Hybrid"/>
    <n v="3"/>
    <n v="61.49"/>
    <n v="403066"/>
    <n v="1"/>
  </r>
  <r>
    <s v="Startup_4836"/>
    <x v="0"/>
    <n v="7"/>
    <n v="1403672"/>
    <n v="4"/>
    <n v="20"/>
    <n v="329"/>
    <n v="61148068"/>
    <n v="621093"/>
    <s v="Large"/>
    <s v="B2C"/>
    <n v="9"/>
    <n v="34.58"/>
    <n v="714221"/>
    <n v="1"/>
  </r>
  <r>
    <s v="Startup_4837"/>
    <x v="6"/>
    <n v="9"/>
    <n v="44351616"/>
    <n v="3"/>
    <n v="1"/>
    <n v="11"/>
    <n v="99996630"/>
    <n v="379808"/>
    <s v="Large"/>
    <s v="B2B"/>
    <n v="4"/>
    <n v="16.850000000000001"/>
    <n v="212775"/>
    <n v="1"/>
  </r>
  <r>
    <s v="Startup_4838"/>
    <x v="0"/>
    <n v="7"/>
    <n v="10553510"/>
    <n v="2"/>
    <n v="5"/>
    <n v="864"/>
    <n v="24135244"/>
    <n v="661949"/>
    <s v="Small"/>
    <s v="Hybrid"/>
    <n v="9"/>
    <n v="92.73"/>
    <n v="754303"/>
    <n v="1"/>
  </r>
  <r>
    <s v="Startup_4839"/>
    <x v="1"/>
    <n v="1"/>
    <n v="34091863"/>
    <n v="2"/>
    <n v="27"/>
    <n v="441"/>
    <n v="26478621"/>
    <n v="387609"/>
    <s v="Small"/>
    <s v="B2B"/>
    <n v="1"/>
    <n v="7.62"/>
    <n v="62525"/>
    <n v="1"/>
  </r>
  <r>
    <s v="Startup_4840"/>
    <x v="2"/>
    <n v="0"/>
    <n v="49625538"/>
    <n v="3"/>
    <n v="4"/>
    <n v="371"/>
    <n v="31274861"/>
    <n v="21027"/>
    <s v="Small"/>
    <s v="B2C"/>
    <n v="5"/>
    <n v="0.28999999999999998"/>
    <n v="299088"/>
    <n v="1"/>
  </r>
  <r>
    <s v="Startup_4841"/>
    <x v="1"/>
    <n v="5"/>
    <n v="19416590"/>
    <n v="1"/>
    <n v="18"/>
    <n v="982"/>
    <n v="80861885"/>
    <n v="424816"/>
    <s v="Large"/>
    <s v="B2B"/>
    <n v="2"/>
    <n v="19.329999999999998"/>
    <n v="878821"/>
    <n v="1"/>
  </r>
  <r>
    <s v="Startup_4842"/>
    <x v="6"/>
    <n v="5"/>
    <n v="46856326"/>
    <n v="4"/>
    <n v="0"/>
    <n v="601"/>
    <n v="254996"/>
    <n v="368001"/>
    <s v="Small"/>
    <s v="B2B"/>
    <n v="8"/>
    <n v="53.52"/>
    <n v="963430"/>
    <n v="1"/>
  </r>
  <r>
    <s v="Startup_4843"/>
    <x v="5"/>
    <n v="6"/>
    <n v="15997533"/>
    <n v="3"/>
    <n v="7"/>
    <n v="198"/>
    <n v="91689286"/>
    <n v="454096"/>
    <s v="Medium"/>
    <s v="B2B"/>
    <n v="3"/>
    <n v="65.540000000000006"/>
    <n v="913257"/>
    <n v="1"/>
  </r>
  <r>
    <s v="Startup_4844"/>
    <x v="1"/>
    <n v="7"/>
    <n v="39303261"/>
    <n v="4"/>
    <n v="2"/>
    <n v="446"/>
    <n v="59158767"/>
    <n v="957082"/>
    <s v="Large"/>
    <s v="B2C"/>
    <n v="1"/>
    <n v="63.24"/>
    <n v="79283"/>
    <n v="1"/>
  </r>
  <r>
    <s v="Startup_4845"/>
    <x v="1"/>
    <n v="5"/>
    <n v="3893469"/>
    <n v="4"/>
    <n v="1"/>
    <n v="636"/>
    <n v="96005887"/>
    <n v="919059"/>
    <s v="Small"/>
    <s v="Hybrid"/>
    <n v="1"/>
    <n v="26.21"/>
    <n v="839086"/>
    <n v="1"/>
  </r>
  <r>
    <s v="Startup_4846"/>
    <x v="0"/>
    <n v="9"/>
    <n v="25880787"/>
    <n v="2"/>
    <n v="28"/>
    <n v="547"/>
    <n v="95243795"/>
    <n v="425090"/>
    <s v="Large"/>
    <s v="B2B"/>
    <n v="2"/>
    <n v="95.29"/>
    <n v="929847"/>
    <n v="1"/>
  </r>
  <r>
    <s v="Startup_4847"/>
    <x v="1"/>
    <n v="11"/>
    <n v="30167789"/>
    <n v="2"/>
    <n v="25"/>
    <n v="603"/>
    <n v="11260368"/>
    <n v="994264"/>
    <s v="Medium"/>
    <s v="B2C"/>
    <n v="6"/>
    <n v="38.729999999999997"/>
    <n v="591391"/>
    <n v="1"/>
  </r>
  <r>
    <s v="Startup_4848"/>
    <x v="3"/>
    <n v="13"/>
    <n v="10666588"/>
    <n v="1"/>
    <n v="2"/>
    <n v="865"/>
    <n v="4258416"/>
    <n v="383888"/>
    <s v="Large"/>
    <s v="Hybrid"/>
    <n v="5"/>
    <n v="80.13"/>
    <n v="735483"/>
    <n v="1"/>
  </r>
  <r>
    <s v="Startup_4849"/>
    <x v="1"/>
    <n v="9"/>
    <n v="29415620"/>
    <n v="4"/>
    <n v="21"/>
    <n v="342"/>
    <n v="69808250"/>
    <n v="340457"/>
    <s v="Medium"/>
    <s v="Hybrid"/>
    <n v="1"/>
    <n v="54.93"/>
    <n v="475799"/>
    <n v="1"/>
  </r>
  <r>
    <s v="Startup_4850"/>
    <x v="3"/>
    <n v="10"/>
    <n v="4827572"/>
    <n v="3"/>
    <n v="23"/>
    <n v="391"/>
    <n v="18455445"/>
    <n v="244418"/>
    <s v="Medium"/>
    <s v="B2B"/>
    <n v="7"/>
    <n v="50.67"/>
    <n v="503555"/>
    <n v="1"/>
  </r>
  <r>
    <s v="Startup_4851"/>
    <x v="4"/>
    <n v="12"/>
    <n v="15208323"/>
    <n v="3"/>
    <n v="3"/>
    <n v="851"/>
    <n v="99268137"/>
    <n v="313457"/>
    <s v="Small"/>
    <s v="Hybrid"/>
    <n v="2"/>
    <n v="97.42"/>
    <n v="279668"/>
    <n v="1"/>
  </r>
  <r>
    <s v="Startup_4852"/>
    <x v="3"/>
    <n v="11"/>
    <n v="14955883"/>
    <n v="4"/>
    <n v="18"/>
    <n v="925"/>
    <n v="26865233"/>
    <n v="206469"/>
    <s v="Large"/>
    <s v="B2C"/>
    <n v="4"/>
    <n v="6.2"/>
    <n v="216836"/>
    <n v="1"/>
  </r>
  <r>
    <s v="Startup_4853"/>
    <x v="6"/>
    <n v="14"/>
    <n v="41833123"/>
    <n v="3"/>
    <n v="18"/>
    <n v="290"/>
    <n v="54481116"/>
    <n v="629502"/>
    <s v="Medium"/>
    <s v="Hybrid"/>
    <n v="2"/>
    <n v="92.75"/>
    <n v="890620"/>
    <n v="1"/>
  </r>
  <r>
    <s v="Startup_4854"/>
    <x v="1"/>
    <n v="0"/>
    <n v="18873036"/>
    <n v="4"/>
    <n v="27"/>
    <n v="819"/>
    <n v="62122275"/>
    <n v="63733"/>
    <s v="Large"/>
    <s v="Hybrid"/>
    <n v="5"/>
    <n v="2.46"/>
    <n v="512727"/>
    <n v="1"/>
  </r>
  <r>
    <s v="Startup_4855"/>
    <x v="5"/>
    <n v="10"/>
    <n v="19128314"/>
    <n v="4"/>
    <n v="16"/>
    <n v="545"/>
    <n v="68321757"/>
    <n v="841362"/>
    <s v="Medium"/>
    <s v="Hybrid"/>
    <n v="7"/>
    <n v="42.33"/>
    <n v="412165"/>
    <n v="1"/>
  </r>
  <r>
    <s v="Startup_4856"/>
    <x v="1"/>
    <n v="7"/>
    <n v="13311831"/>
    <n v="4"/>
    <n v="13"/>
    <n v="291"/>
    <n v="25635068"/>
    <n v="756654"/>
    <s v="Medium"/>
    <s v="B2B"/>
    <n v="1"/>
    <n v="89.34"/>
    <n v="294507"/>
    <n v="1"/>
  </r>
  <r>
    <s v="Startup_4857"/>
    <x v="0"/>
    <n v="13"/>
    <n v="34957614"/>
    <n v="1"/>
    <n v="9"/>
    <n v="274"/>
    <n v="68784988"/>
    <n v="440950"/>
    <s v="Medium"/>
    <s v="Hybrid"/>
    <n v="4"/>
    <n v="69.13"/>
    <n v="317935"/>
    <n v="1"/>
  </r>
  <r>
    <s v="Startup_4858"/>
    <x v="4"/>
    <n v="11"/>
    <n v="39430493"/>
    <n v="2"/>
    <n v="23"/>
    <n v="565"/>
    <n v="73100344"/>
    <n v="652527"/>
    <s v="Medium"/>
    <s v="B2C"/>
    <n v="2"/>
    <n v="60.81"/>
    <n v="95886"/>
    <n v="1"/>
  </r>
  <r>
    <s v="Startup_4859"/>
    <x v="4"/>
    <n v="2"/>
    <n v="42454677"/>
    <n v="3"/>
    <n v="8"/>
    <n v="142"/>
    <n v="59086650"/>
    <n v="615666"/>
    <s v="Small"/>
    <s v="B2B"/>
    <n v="1"/>
    <n v="91.12"/>
    <n v="831317"/>
    <n v="1"/>
  </r>
  <r>
    <s v="Startup_4860"/>
    <x v="0"/>
    <n v="14"/>
    <n v="22572970"/>
    <n v="1"/>
    <n v="19"/>
    <n v="984"/>
    <n v="34450856"/>
    <n v="794017"/>
    <s v="Medium"/>
    <s v="Hybrid"/>
    <n v="1"/>
    <n v="74.95"/>
    <n v="684362"/>
    <n v="1"/>
  </r>
  <r>
    <s v="Startup_4861"/>
    <x v="1"/>
    <n v="12"/>
    <n v="39325862"/>
    <n v="1"/>
    <n v="9"/>
    <n v="222"/>
    <n v="39302660"/>
    <n v="588236"/>
    <s v="Medium"/>
    <s v="B2B"/>
    <n v="1"/>
    <n v="16.489999999999998"/>
    <n v="806693"/>
    <n v="1"/>
  </r>
  <r>
    <s v="Startup_4862"/>
    <x v="5"/>
    <n v="11"/>
    <n v="14115141"/>
    <n v="1"/>
    <n v="10"/>
    <n v="99"/>
    <n v="12896730"/>
    <n v="927323"/>
    <s v="Medium"/>
    <s v="B2B"/>
    <n v="9"/>
    <n v="99.59"/>
    <n v="228707"/>
    <n v="1"/>
  </r>
  <r>
    <s v="Startup_4863"/>
    <x v="5"/>
    <n v="2"/>
    <n v="5312598"/>
    <n v="1"/>
    <n v="29"/>
    <n v="770"/>
    <n v="73726037"/>
    <n v="14000"/>
    <s v="Small"/>
    <s v="B2B"/>
    <n v="7"/>
    <n v="59.73"/>
    <n v="862538"/>
    <n v="1"/>
  </r>
  <r>
    <s v="Startup_4864"/>
    <x v="5"/>
    <n v="11"/>
    <n v="46138205"/>
    <n v="3"/>
    <n v="12"/>
    <n v="985"/>
    <n v="38879081"/>
    <n v="138764"/>
    <s v="Medium"/>
    <s v="B2B"/>
    <n v="4"/>
    <n v="96.14"/>
    <n v="774666"/>
    <n v="1"/>
  </r>
  <r>
    <s v="Startup_4865"/>
    <x v="2"/>
    <n v="10"/>
    <n v="27736461"/>
    <n v="1"/>
    <n v="5"/>
    <n v="51"/>
    <n v="38380112"/>
    <n v="199625"/>
    <s v="Large"/>
    <s v="Hybrid"/>
    <n v="2"/>
    <n v="21.55"/>
    <n v="67231"/>
    <n v="1"/>
  </r>
  <r>
    <s v="Startup_4866"/>
    <x v="6"/>
    <n v="8"/>
    <n v="13841937"/>
    <n v="1"/>
    <n v="16"/>
    <n v="855"/>
    <n v="97653166"/>
    <n v="54697"/>
    <s v="Large"/>
    <s v="Hybrid"/>
    <n v="3"/>
    <n v="75.42"/>
    <n v="866437"/>
    <n v="1"/>
  </r>
  <r>
    <s v="Startup_4867"/>
    <x v="3"/>
    <n v="4"/>
    <n v="16331380"/>
    <n v="2"/>
    <n v="19"/>
    <n v="835"/>
    <n v="30148668"/>
    <n v="377670"/>
    <s v="Small"/>
    <s v="Hybrid"/>
    <n v="2"/>
    <n v="77.58"/>
    <n v="435475"/>
    <n v="1"/>
  </r>
  <r>
    <s v="Startup_4868"/>
    <x v="2"/>
    <n v="6"/>
    <n v="38510848"/>
    <n v="1"/>
    <n v="11"/>
    <n v="226"/>
    <n v="31458117"/>
    <n v="255909"/>
    <s v="Medium"/>
    <s v="B2C"/>
    <n v="8"/>
    <n v="9.39"/>
    <n v="940033"/>
    <n v="1"/>
  </r>
  <r>
    <s v="Startup_4869"/>
    <x v="2"/>
    <n v="3"/>
    <n v="44695505"/>
    <n v="3"/>
    <n v="22"/>
    <n v="349"/>
    <n v="86774383"/>
    <n v="830290"/>
    <s v="Small"/>
    <s v="Hybrid"/>
    <n v="3"/>
    <n v="51.45"/>
    <n v="198627"/>
    <n v="1"/>
  </r>
  <r>
    <s v="Startup_4870"/>
    <x v="4"/>
    <n v="1"/>
    <n v="20822782"/>
    <n v="2"/>
    <n v="27"/>
    <n v="936"/>
    <n v="63621836"/>
    <n v="835400"/>
    <s v="Medium"/>
    <s v="B2C"/>
    <n v="7"/>
    <n v="40.6"/>
    <n v="430139"/>
    <n v="1"/>
  </r>
  <r>
    <s v="Startup_4871"/>
    <x v="0"/>
    <n v="3"/>
    <n v="46869535"/>
    <n v="1"/>
    <n v="22"/>
    <n v="307"/>
    <n v="28409453"/>
    <n v="683006"/>
    <s v="Medium"/>
    <s v="Hybrid"/>
    <n v="3"/>
    <n v="89.64"/>
    <n v="192488"/>
    <n v="1"/>
  </r>
  <r>
    <s v="Startup_4872"/>
    <x v="5"/>
    <n v="9"/>
    <n v="10681837"/>
    <n v="1"/>
    <n v="6"/>
    <n v="200"/>
    <n v="72173347"/>
    <n v="680991"/>
    <s v="Small"/>
    <s v="B2C"/>
    <n v="8"/>
    <n v="64.55"/>
    <n v="563705"/>
    <n v="1"/>
  </r>
  <r>
    <s v="Startup_4873"/>
    <x v="4"/>
    <n v="5"/>
    <n v="26147780"/>
    <n v="2"/>
    <n v="4"/>
    <n v="91"/>
    <n v="81940916"/>
    <n v="241573"/>
    <s v="Small"/>
    <s v="B2B"/>
    <n v="1"/>
    <n v="63.01"/>
    <n v="805639"/>
    <n v="1"/>
  </r>
  <r>
    <s v="Startup_4874"/>
    <x v="5"/>
    <n v="4"/>
    <n v="28402704"/>
    <n v="2"/>
    <n v="10"/>
    <n v="432"/>
    <n v="46059697"/>
    <n v="996745"/>
    <s v="Small"/>
    <s v="Hybrid"/>
    <n v="3"/>
    <n v="3.61"/>
    <n v="528991"/>
    <n v="1"/>
  </r>
  <r>
    <s v="Startup_4875"/>
    <x v="6"/>
    <n v="12"/>
    <n v="4563392"/>
    <n v="4"/>
    <n v="4"/>
    <n v="393"/>
    <n v="75024237"/>
    <n v="912366"/>
    <s v="Large"/>
    <s v="B2B"/>
    <n v="4"/>
    <n v="46.28"/>
    <n v="493273"/>
    <n v="1"/>
  </r>
  <r>
    <s v="Startup_4876"/>
    <x v="3"/>
    <n v="9"/>
    <n v="35305562"/>
    <n v="1"/>
    <n v="2"/>
    <n v="733"/>
    <n v="79640670"/>
    <n v="849542"/>
    <s v="Small"/>
    <s v="Hybrid"/>
    <n v="5"/>
    <n v="32.369999999999997"/>
    <n v="876509"/>
    <n v="1"/>
  </r>
  <r>
    <s v="Startup_4877"/>
    <x v="5"/>
    <n v="5"/>
    <n v="20312940"/>
    <n v="4"/>
    <n v="2"/>
    <n v="564"/>
    <n v="47111653"/>
    <n v="319210"/>
    <s v="Medium"/>
    <s v="B2B"/>
    <n v="3"/>
    <n v="50.19"/>
    <n v="56302"/>
    <n v="1"/>
  </r>
  <r>
    <s v="Startup_4878"/>
    <x v="0"/>
    <n v="11"/>
    <n v="48887984"/>
    <n v="1"/>
    <n v="2"/>
    <n v="200"/>
    <n v="97743130"/>
    <n v="372865"/>
    <s v="Small"/>
    <s v="B2C"/>
    <n v="4"/>
    <n v="98.24"/>
    <n v="717169"/>
    <n v="1"/>
  </r>
  <r>
    <s v="Startup_4879"/>
    <x v="1"/>
    <n v="7"/>
    <n v="15004323"/>
    <n v="2"/>
    <n v="14"/>
    <n v="45"/>
    <n v="60396185"/>
    <n v="446604"/>
    <s v="Medium"/>
    <s v="Hybrid"/>
    <n v="2"/>
    <n v="66.790000000000006"/>
    <n v="333598"/>
    <n v="1"/>
  </r>
  <r>
    <s v="Startup_4880"/>
    <x v="2"/>
    <n v="10"/>
    <n v="28525661"/>
    <n v="3"/>
    <n v="5"/>
    <n v="326"/>
    <n v="92685367"/>
    <n v="575562"/>
    <s v="Large"/>
    <s v="B2C"/>
    <n v="2"/>
    <n v="16.239999999999998"/>
    <n v="398844"/>
    <n v="1"/>
  </r>
  <r>
    <s v="Startup_4881"/>
    <x v="0"/>
    <n v="9"/>
    <n v="23893788"/>
    <n v="2"/>
    <n v="1"/>
    <n v="850"/>
    <n v="11700218"/>
    <n v="328245"/>
    <s v="Large"/>
    <s v="B2B"/>
    <n v="6"/>
    <n v="7.72"/>
    <n v="346527"/>
    <n v="1"/>
  </r>
  <r>
    <s v="Startup_4882"/>
    <x v="6"/>
    <n v="4"/>
    <n v="35704138"/>
    <n v="1"/>
    <n v="5"/>
    <n v="345"/>
    <n v="79108676"/>
    <n v="792302"/>
    <s v="Large"/>
    <s v="B2C"/>
    <n v="5"/>
    <n v="91.34"/>
    <n v="443081"/>
    <n v="1"/>
  </r>
  <r>
    <s v="Startup_4883"/>
    <x v="6"/>
    <n v="10"/>
    <n v="26494991"/>
    <n v="1"/>
    <n v="3"/>
    <n v="903"/>
    <n v="21860896"/>
    <n v="742752"/>
    <s v="Small"/>
    <s v="Hybrid"/>
    <n v="6"/>
    <n v="17.37"/>
    <n v="751911"/>
    <n v="1"/>
  </r>
  <r>
    <s v="Startup_4884"/>
    <x v="4"/>
    <n v="11"/>
    <n v="499438"/>
    <n v="1"/>
    <n v="14"/>
    <n v="424"/>
    <n v="3752014"/>
    <n v="927077"/>
    <s v="Small"/>
    <s v="B2B"/>
    <n v="4"/>
    <n v="89.54"/>
    <n v="602209"/>
    <n v="1"/>
  </r>
  <r>
    <s v="Startup_4885"/>
    <x v="0"/>
    <n v="9"/>
    <n v="48172476"/>
    <n v="3"/>
    <n v="1"/>
    <n v="398"/>
    <n v="91637239"/>
    <n v="750339"/>
    <s v="Large"/>
    <s v="Hybrid"/>
    <n v="2"/>
    <n v="26.25"/>
    <n v="276852"/>
    <n v="1"/>
  </r>
  <r>
    <s v="Startup_4886"/>
    <x v="4"/>
    <n v="5"/>
    <n v="31310465"/>
    <n v="2"/>
    <n v="24"/>
    <n v="2"/>
    <n v="91456651"/>
    <n v="681976"/>
    <s v="Large"/>
    <s v="Hybrid"/>
    <n v="3"/>
    <n v="35.43"/>
    <n v="259742"/>
    <n v="1"/>
  </r>
  <r>
    <s v="Startup_4887"/>
    <x v="1"/>
    <n v="14"/>
    <n v="32998013"/>
    <n v="3"/>
    <n v="0"/>
    <n v="202"/>
    <n v="30252279"/>
    <n v="310853"/>
    <s v="Medium"/>
    <s v="Hybrid"/>
    <n v="8"/>
    <n v="74.790000000000006"/>
    <n v="350626"/>
    <n v="1"/>
  </r>
  <r>
    <s v="Startup_4888"/>
    <x v="1"/>
    <n v="11"/>
    <n v="12966362"/>
    <n v="4"/>
    <n v="29"/>
    <n v="769"/>
    <n v="1895124"/>
    <n v="458779"/>
    <s v="Medium"/>
    <s v="Hybrid"/>
    <n v="5"/>
    <n v="0.62"/>
    <n v="807653"/>
    <n v="1"/>
  </r>
  <r>
    <s v="Startup_4889"/>
    <x v="2"/>
    <n v="5"/>
    <n v="16913474"/>
    <n v="4"/>
    <n v="3"/>
    <n v="601"/>
    <n v="16428988"/>
    <n v="394951"/>
    <s v="Medium"/>
    <s v="B2B"/>
    <n v="5"/>
    <n v="44.93"/>
    <n v="852504"/>
    <n v="1"/>
  </r>
  <r>
    <s v="Startup_4890"/>
    <x v="5"/>
    <n v="7"/>
    <n v="28299776"/>
    <n v="3"/>
    <n v="21"/>
    <n v="408"/>
    <n v="82458881"/>
    <n v="30314"/>
    <s v="Small"/>
    <s v="Hybrid"/>
    <n v="5"/>
    <n v="89.02"/>
    <n v="947736"/>
    <n v="1"/>
  </r>
  <r>
    <s v="Startup_4891"/>
    <x v="0"/>
    <n v="9"/>
    <n v="32146442"/>
    <n v="4"/>
    <n v="15"/>
    <n v="645"/>
    <n v="4070806"/>
    <n v="206014"/>
    <s v="Medium"/>
    <s v="Hybrid"/>
    <n v="1"/>
    <n v="35.200000000000003"/>
    <n v="139710"/>
    <n v="1"/>
  </r>
  <r>
    <s v="Startup_4892"/>
    <x v="0"/>
    <n v="7"/>
    <n v="18533711"/>
    <n v="2"/>
    <n v="9"/>
    <n v="472"/>
    <n v="66621491"/>
    <n v="393328"/>
    <s v="Medium"/>
    <s v="B2C"/>
    <n v="1"/>
    <n v="95.91"/>
    <n v="840320"/>
    <n v="1"/>
  </r>
  <r>
    <s v="Startup_4893"/>
    <x v="2"/>
    <n v="5"/>
    <n v="11597626"/>
    <n v="3"/>
    <n v="22"/>
    <n v="597"/>
    <n v="60206695"/>
    <n v="965410"/>
    <s v="Small"/>
    <s v="Hybrid"/>
    <n v="9"/>
    <n v="22.22"/>
    <n v="266169"/>
    <n v="1"/>
  </r>
  <r>
    <s v="Startup_4894"/>
    <x v="1"/>
    <n v="9"/>
    <n v="43371201"/>
    <n v="3"/>
    <n v="12"/>
    <n v="143"/>
    <n v="78400157"/>
    <n v="326729"/>
    <s v="Large"/>
    <s v="B2B"/>
    <n v="1"/>
    <n v="73.11"/>
    <n v="707463"/>
    <n v="1"/>
  </r>
  <r>
    <s v="Startup_4895"/>
    <x v="1"/>
    <n v="14"/>
    <n v="18651773"/>
    <n v="1"/>
    <n v="21"/>
    <n v="915"/>
    <n v="85105619"/>
    <n v="511454"/>
    <s v="Large"/>
    <s v="Hybrid"/>
    <n v="7"/>
    <n v="6.04"/>
    <n v="309359"/>
    <n v="1"/>
  </r>
  <r>
    <s v="Startup_4896"/>
    <x v="2"/>
    <n v="5"/>
    <n v="43016590"/>
    <n v="2"/>
    <n v="4"/>
    <n v="293"/>
    <n v="55856004"/>
    <n v="287447"/>
    <s v="Small"/>
    <s v="B2B"/>
    <n v="6"/>
    <n v="51.15"/>
    <n v="401069"/>
    <n v="1"/>
  </r>
  <r>
    <s v="Startup_4897"/>
    <x v="3"/>
    <n v="6"/>
    <n v="36228595"/>
    <n v="1"/>
    <n v="24"/>
    <n v="935"/>
    <n v="19166096"/>
    <n v="517969"/>
    <s v="Medium"/>
    <s v="Hybrid"/>
    <n v="7"/>
    <n v="65.92"/>
    <n v="194019"/>
    <n v="1"/>
  </r>
  <r>
    <s v="Startup_4898"/>
    <x v="0"/>
    <n v="9"/>
    <n v="29588502"/>
    <n v="1"/>
    <n v="5"/>
    <n v="476"/>
    <n v="35247702"/>
    <n v="519584"/>
    <s v="Large"/>
    <s v="B2B"/>
    <n v="3"/>
    <n v="25.75"/>
    <n v="985396"/>
    <n v="1"/>
  </r>
  <r>
    <s v="Startup_4899"/>
    <x v="3"/>
    <n v="9"/>
    <n v="45154784"/>
    <n v="3"/>
    <n v="4"/>
    <n v="68"/>
    <n v="62998118"/>
    <n v="496354"/>
    <s v="Large"/>
    <s v="B2B"/>
    <n v="2"/>
    <n v="39.950000000000003"/>
    <n v="350780"/>
    <n v="1"/>
  </r>
  <r>
    <s v="Startup_4900"/>
    <x v="5"/>
    <n v="10"/>
    <n v="44620097"/>
    <n v="2"/>
    <n v="11"/>
    <n v="684"/>
    <n v="44620466"/>
    <n v="860670"/>
    <s v="Small"/>
    <s v="Hybrid"/>
    <n v="1"/>
    <n v="38.11"/>
    <n v="982028"/>
    <n v="1"/>
  </r>
  <r>
    <s v="Startup_4901"/>
    <x v="4"/>
    <n v="7"/>
    <n v="11278906"/>
    <n v="3"/>
    <n v="16"/>
    <n v="716"/>
    <n v="45493271"/>
    <n v="432737"/>
    <s v="Large"/>
    <s v="B2B"/>
    <n v="7"/>
    <n v="64.239999999999995"/>
    <n v="586489"/>
    <n v="1"/>
  </r>
  <r>
    <s v="Startup_4902"/>
    <x v="3"/>
    <n v="8"/>
    <n v="47578640"/>
    <n v="3"/>
    <n v="2"/>
    <n v="218"/>
    <n v="67760401"/>
    <n v="18254"/>
    <s v="Large"/>
    <s v="B2C"/>
    <n v="7"/>
    <n v="95.68"/>
    <n v="574625"/>
    <n v="1"/>
  </r>
  <r>
    <s v="Startup_4903"/>
    <x v="0"/>
    <n v="1"/>
    <n v="227163"/>
    <n v="4"/>
    <n v="21"/>
    <n v="300"/>
    <n v="15956312"/>
    <n v="118875"/>
    <s v="Medium"/>
    <s v="B2B"/>
    <n v="9"/>
    <n v="38.479999999999997"/>
    <n v="970874"/>
    <n v="1"/>
  </r>
  <r>
    <s v="Startup_4904"/>
    <x v="5"/>
    <n v="8"/>
    <n v="14539014"/>
    <n v="2"/>
    <n v="5"/>
    <n v="296"/>
    <n v="60491274"/>
    <n v="281972"/>
    <s v="Large"/>
    <s v="Hybrid"/>
    <n v="3"/>
    <n v="96.28"/>
    <n v="257565"/>
    <n v="1"/>
  </r>
  <r>
    <s v="Startup_4905"/>
    <x v="3"/>
    <n v="10"/>
    <n v="27881893"/>
    <n v="4"/>
    <n v="1"/>
    <n v="111"/>
    <n v="82206768"/>
    <n v="688664"/>
    <s v="Medium"/>
    <s v="B2C"/>
    <n v="2"/>
    <n v="75.77"/>
    <n v="411859"/>
    <n v="1"/>
  </r>
  <r>
    <s v="Startup_4906"/>
    <x v="0"/>
    <n v="6"/>
    <n v="12171989"/>
    <n v="2"/>
    <n v="1"/>
    <n v="164"/>
    <n v="94332184"/>
    <n v="806904"/>
    <s v="Large"/>
    <s v="B2C"/>
    <n v="8"/>
    <n v="45.82"/>
    <n v="669720"/>
    <n v="1"/>
  </r>
  <r>
    <s v="Startup_4907"/>
    <x v="5"/>
    <n v="1"/>
    <n v="4348254"/>
    <n v="3"/>
    <n v="1"/>
    <n v="43"/>
    <n v="36073740"/>
    <n v="621077"/>
    <s v="Large"/>
    <s v="B2B"/>
    <n v="1"/>
    <n v="21.55"/>
    <n v="64156"/>
    <n v="1"/>
  </r>
  <r>
    <s v="Startup_4908"/>
    <x v="4"/>
    <n v="13"/>
    <n v="42933023"/>
    <n v="2"/>
    <n v="23"/>
    <n v="22"/>
    <n v="51229541"/>
    <n v="901280"/>
    <s v="Medium"/>
    <s v="B2C"/>
    <n v="9"/>
    <n v="92.66"/>
    <n v="237086"/>
    <n v="1"/>
  </r>
  <r>
    <s v="Startup_4909"/>
    <x v="2"/>
    <n v="12"/>
    <n v="348940"/>
    <n v="4"/>
    <n v="17"/>
    <n v="523"/>
    <n v="36862467"/>
    <n v="413465"/>
    <s v="Medium"/>
    <s v="Hybrid"/>
    <n v="5"/>
    <n v="89.64"/>
    <n v="663776"/>
    <n v="1"/>
  </r>
  <r>
    <s v="Startup_4910"/>
    <x v="2"/>
    <n v="10"/>
    <n v="13054556"/>
    <n v="2"/>
    <n v="10"/>
    <n v="976"/>
    <n v="61119866"/>
    <n v="947162"/>
    <s v="Medium"/>
    <s v="B2C"/>
    <n v="7"/>
    <n v="89.2"/>
    <n v="630318"/>
    <n v="1"/>
  </r>
  <r>
    <s v="Startup_4911"/>
    <x v="2"/>
    <n v="9"/>
    <n v="2211267"/>
    <n v="1"/>
    <n v="27"/>
    <n v="634"/>
    <n v="38297234"/>
    <n v="792591"/>
    <s v="Medium"/>
    <s v="B2B"/>
    <n v="3"/>
    <n v="62.49"/>
    <n v="635821"/>
    <n v="1"/>
  </r>
  <r>
    <s v="Startup_4912"/>
    <x v="5"/>
    <n v="13"/>
    <n v="40059911"/>
    <n v="2"/>
    <n v="25"/>
    <n v="850"/>
    <n v="95665311"/>
    <n v="314200"/>
    <s v="Medium"/>
    <s v="B2B"/>
    <n v="5"/>
    <n v="40.15"/>
    <n v="566223"/>
    <n v="1"/>
  </r>
  <r>
    <s v="Startup_4913"/>
    <x v="1"/>
    <n v="6"/>
    <n v="37874407"/>
    <n v="4"/>
    <n v="0"/>
    <n v="710"/>
    <n v="78284957"/>
    <n v="497633"/>
    <s v="Medium"/>
    <s v="B2B"/>
    <n v="5"/>
    <n v="19.75"/>
    <n v="403695"/>
    <n v="1"/>
  </r>
  <r>
    <s v="Startup_4914"/>
    <x v="5"/>
    <n v="5"/>
    <n v="20393633"/>
    <n v="1"/>
    <n v="22"/>
    <n v="495"/>
    <n v="46029744"/>
    <n v="989231"/>
    <s v="Large"/>
    <s v="Hybrid"/>
    <n v="8"/>
    <n v="37.03"/>
    <n v="565513"/>
    <n v="1"/>
  </r>
  <r>
    <s v="Startup_4915"/>
    <x v="3"/>
    <n v="5"/>
    <n v="26162376"/>
    <n v="1"/>
    <n v="26"/>
    <n v="673"/>
    <n v="25656978"/>
    <n v="457414"/>
    <s v="Medium"/>
    <s v="B2B"/>
    <n v="7"/>
    <n v="46.66"/>
    <n v="799248"/>
    <n v="1"/>
  </r>
  <r>
    <s v="Startup_4916"/>
    <x v="3"/>
    <n v="6"/>
    <n v="8478863"/>
    <n v="2"/>
    <n v="8"/>
    <n v="147"/>
    <n v="70124234"/>
    <n v="71593"/>
    <s v="Large"/>
    <s v="B2B"/>
    <n v="8"/>
    <n v="41.22"/>
    <n v="142686"/>
    <n v="1"/>
  </r>
  <r>
    <s v="Startup_4917"/>
    <x v="4"/>
    <n v="0"/>
    <n v="41244296"/>
    <n v="2"/>
    <n v="19"/>
    <n v="223"/>
    <n v="93905776"/>
    <n v="496256"/>
    <s v="Large"/>
    <s v="B2C"/>
    <n v="8"/>
    <n v="81.459999999999994"/>
    <n v="640188"/>
    <n v="1"/>
  </r>
  <r>
    <s v="Startup_4918"/>
    <x v="0"/>
    <n v="0"/>
    <n v="32118014"/>
    <n v="4"/>
    <n v="8"/>
    <n v="450"/>
    <n v="14275112"/>
    <n v="918733"/>
    <s v="Small"/>
    <s v="B2C"/>
    <n v="5"/>
    <n v="33.619999999999997"/>
    <n v="899425"/>
    <n v="1"/>
  </r>
  <r>
    <s v="Startup_4919"/>
    <x v="1"/>
    <n v="2"/>
    <n v="5607447"/>
    <n v="2"/>
    <n v="24"/>
    <n v="368"/>
    <n v="17698530"/>
    <n v="473530"/>
    <s v="Medium"/>
    <s v="B2C"/>
    <n v="5"/>
    <n v="50.96"/>
    <n v="149936"/>
    <n v="1"/>
  </r>
  <r>
    <s v="Startup_4920"/>
    <x v="4"/>
    <n v="4"/>
    <n v="7897927"/>
    <n v="1"/>
    <n v="15"/>
    <n v="309"/>
    <n v="66832864"/>
    <n v="582047"/>
    <s v="Medium"/>
    <s v="Hybrid"/>
    <n v="3"/>
    <n v="54.88"/>
    <n v="318290"/>
    <n v="1"/>
  </r>
  <r>
    <s v="Startup_4921"/>
    <x v="2"/>
    <n v="5"/>
    <n v="48449249"/>
    <n v="1"/>
    <n v="4"/>
    <n v="857"/>
    <n v="37439135"/>
    <n v="290828"/>
    <s v="Medium"/>
    <s v="Hybrid"/>
    <n v="1"/>
    <n v="25.21"/>
    <n v="270073"/>
    <n v="1"/>
  </r>
  <r>
    <s v="Startup_4922"/>
    <x v="0"/>
    <n v="11"/>
    <n v="34249661"/>
    <n v="4"/>
    <n v="24"/>
    <n v="745"/>
    <n v="69068823"/>
    <n v="506688"/>
    <s v="Small"/>
    <s v="Hybrid"/>
    <n v="6"/>
    <n v="52.07"/>
    <n v="279275"/>
    <n v="1"/>
  </r>
  <r>
    <s v="Startup_4923"/>
    <x v="2"/>
    <n v="0"/>
    <n v="9932408"/>
    <n v="3"/>
    <n v="8"/>
    <n v="443"/>
    <n v="90393199"/>
    <n v="840508"/>
    <s v="Large"/>
    <s v="B2C"/>
    <n v="3"/>
    <n v="16.79"/>
    <n v="311947"/>
    <n v="1"/>
  </r>
  <r>
    <s v="Startup_4924"/>
    <x v="5"/>
    <n v="11"/>
    <n v="33186362"/>
    <n v="1"/>
    <n v="28"/>
    <n v="382"/>
    <n v="29595314"/>
    <n v="27967"/>
    <s v="Small"/>
    <s v="Hybrid"/>
    <n v="1"/>
    <n v="80.31"/>
    <n v="800652"/>
    <n v="1"/>
  </r>
  <r>
    <s v="Startup_4925"/>
    <x v="5"/>
    <n v="11"/>
    <n v="25271749"/>
    <n v="3"/>
    <n v="26"/>
    <n v="140"/>
    <n v="37830563"/>
    <n v="569786"/>
    <s v="Small"/>
    <s v="B2B"/>
    <n v="2"/>
    <n v="84.2"/>
    <n v="803628"/>
    <n v="1"/>
  </r>
  <r>
    <s v="Startup_4926"/>
    <x v="3"/>
    <n v="2"/>
    <n v="24794160"/>
    <n v="4"/>
    <n v="6"/>
    <n v="469"/>
    <n v="19241040"/>
    <n v="833610"/>
    <s v="Small"/>
    <s v="B2C"/>
    <n v="5"/>
    <n v="5.46"/>
    <n v="282794"/>
    <n v="1"/>
  </r>
  <r>
    <s v="Startup_4927"/>
    <x v="5"/>
    <n v="4"/>
    <n v="44656882"/>
    <n v="4"/>
    <n v="13"/>
    <n v="378"/>
    <n v="69838165"/>
    <n v="777585"/>
    <s v="Medium"/>
    <s v="B2B"/>
    <n v="4"/>
    <n v="39.82"/>
    <n v="441938"/>
    <n v="1"/>
  </r>
  <r>
    <s v="Startup_4928"/>
    <x v="1"/>
    <n v="6"/>
    <n v="27083668"/>
    <n v="3"/>
    <n v="17"/>
    <n v="535"/>
    <n v="1683860"/>
    <n v="689101"/>
    <s v="Medium"/>
    <s v="Hybrid"/>
    <n v="5"/>
    <n v="67.38"/>
    <n v="519093"/>
    <n v="1"/>
  </r>
  <r>
    <s v="Startup_4929"/>
    <x v="1"/>
    <n v="8"/>
    <n v="27742885"/>
    <n v="4"/>
    <n v="25"/>
    <n v="659"/>
    <n v="24526197"/>
    <n v="932746"/>
    <s v="Small"/>
    <s v="B2B"/>
    <n v="4"/>
    <n v="94.43"/>
    <n v="240905"/>
    <n v="1"/>
  </r>
  <r>
    <s v="Startup_4930"/>
    <x v="1"/>
    <n v="3"/>
    <n v="37025797"/>
    <n v="1"/>
    <n v="2"/>
    <n v="565"/>
    <n v="97645425"/>
    <n v="617647"/>
    <s v="Medium"/>
    <s v="B2C"/>
    <n v="3"/>
    <n v="26.65"/>
    <n v="327421"/>
    <n v="1"/>
  </r>
  <r>
    <s v="Startup_4931"/>
    <x v="0"/>
    <n v="3"/>
    <n v="7124924"/>
    <n v="3"/>
    <n v="0"/>
    <n v="679"/>
    <n v="54704445"/>
    <n v="173877"/>
    <s v="Medium"/>
    <s v="B2B"/>
    <n v="3"/>
    <n v="72.75"/>
    <n v="816390"/>
    <n v="1"/>
  </r>
  <r>
    <s v="Startup_4932"/>
    <x v="3"/>
    <n v="14"/>
    <n v="6111048"/>
    <n v="1"/>
    <n v="18"/>
    <n v="427"/>
    <n v="10407458"/>
    <n v="329731"/>
    <s v="Medium"/>
    <s v="B2C"/>
    <n v="5"/>
    <n v="62.1"/>
    <n v="822940"/>
    <n v="1"/>
  </r>
  <r>
    <s v="Startup_4933"/>
    <x v="0"/>
    <n v="7"/>
    <n v="10397298"/>
    <n v="1"/>
    <n v="23"/>
    <n v="423"/>
    <n v="96225178"/>
    <n v="724287"/>
    <s v="Small"/>
    <s v="Hybrid"/>
    <n v="7"/>
    <n v="64.66"/>
    <n v="657057"/>
    <n v="1"/>
  </r>
  <r>
    <s v="Startup_4934"/>
    <x v="2"/>
    <n v="10"/>
    <n v="28505987"/>
    <n v="1"/>
    <n v="2"/>
    <n v="516"/>
    <n v="72020438"/>
    <n v="306487"/>
    <s v="Small"/>
    <s v="B2B"/>
    <n v="8"/>
    <n v="74.31"/>
    <n v="430882"/>
    <n v="1"/>
  </r>
  <r>
    <s v="Startup_4935"/>
    <x v="6"/>
    <n v="0"/>
    <n v="47615964"/>
    <n v="2"/>
    <n v="25"/>
    <n v="219"/>
    <n v="2546458"/>
    <n v="820179"/>
    <s v="Large"/>
    <s v="B2C"/>
    <n v="8"/>
    <n v="13.53"/>
    <n v="255615"/>
    <n v="1"/>
  </r>
  <r>
    <s v="Startup_4936"/>
    <x v="5"/>
    <n v="1"/>
    <n v="38874842"/>
    <n v="3"/>
    <n v="10"/>
    <n v="207"/>
    <n v="62981588"/>
    <n v="98590"/>
    <s v="Large"/>
    <s v="B2C"/>
    <n v="4"/>
    <n v="66.73"/>
    <n v="906591"/>
    <n v="1"/>
  </r>
  <r>
    <s v="Startup_4937"/>
    <x v="1"/>
    <n v="1"/>
    <n v="36851248"/>
    <n v="2"/>
    <n v="10"/>
    <n v="815"/>
    <n v="74613120"/>
    <n v="322288"/>
    <s v="Large"/>
    <s v="B2C"/>
    <n v="3"/>
    <n v="47.33"/>
    <n v="563222"/>
    <n v="1"/>
  </r>
  <r>
    <s v="Startup_4938"/>
    <x v="1"/>
    <n v="4"/>
    <n v="8023725"/>
    <n v="2"/>
    <n v="4"/>
    <n v="51"/>
    <n v="23583640"/>
    <n v="82895"/>
    <s v="Large"/>
    <s v="B2B"/>
    <n v="4"/>
    <n v="94.98"/>
    <n v="500710"/>
    <n v="1"/>
  </r>
  <r>
    <s v="Startup_4939"/>
    <x v="1"/>
    <n v="12"/>
    <n v="2233109"/>
    <n v="1"/>
    <n v="13"/>
    <n v="785"/>
    <n v="36803273"/>
    <n v="70594"/>
    <s v="Large"/>
    <s v="B2C"/>
    <n v="3"/>
    <n v="47.29"/>
    <n v="565876"/>
    <n v="1"/>
  </r>
  <r>
    <s v="Startup_4940"/>
    <x v="3"/>
    <n v="5"/>
    <n v="14815546"/>
    <n v="1"/>
    <n v="8"/>
    <n v="697"/>
    <n v="36982330"/>
    <n v="146189"/>
    <s v="Small"/>
    <s v="B2C"/>
    <n v="9"/>
    <n v="29.63"/>
    <n v="479373"/>
    <n v="1"/>
  </r>
  <r>
    <s v="Startup_4941"/>
    <x v="6"/>
    <n v="8"/>
    <n v="32441748"/>
    <n v="3"/>
    <n v="25"/>
    <n v="129"/>
    <n v="79193399"/>
    <n v="486682"/>
    <s v="Medium"/>
    <s v="B2B"/>
    <n v="5"/>
    <n v="6.67"/>
    <n v="698412"/>
    <n v="1"/>
  </r>
  <r>
    <s v="Startup_4942"/>
    <x v="0"/>
    <n v="3"/>
    <n v="49266290"/>
    <n v="1"/>
    <n v="0"/>
    <n v="58"/>
    <n v="97969628"/>
    <n v="601466"/>
    <s v="Small"/>
    <s v="Hybrid"/>
    <n v="6"/>
    <n v="66.56"/>
    <n v="744563"/>
    <n v="1"/>
  </r>
  <r>
    <s v="Startup_4943"/>
    <x v="1"/>
    <n v="8"/>
    <n v="12966384"/>
    <n v="1"/>
    <n v="1"/>
    <n v="355"/>
    <n v="73600547"/>
    <n v="113059"/>
    <s v="Small"/>
    <s v="B2B"/>
    <n v="5"/>
    <n v="10.87"/>
    <n v="251574"/>
    <n v="1"/>
  </r>
  <r>
    <s v="Startup_4944"/>
    <x v="1"/>
    <n v="11"/>
    <n v="15055138"/>
    <n v="2"/>
    <n v="27"/>
    <n v="914"/>
    <n v="77106676"/>
    <n v="361432"/>
    <s v="Large"/>
    <s v="B2C"/>
    <n v="2"/>
    <n v="9.5500000000000007"/>
    <n v="862322"/>
    <n v="1"/>
  </r>
  <r>
    <s v="Startup_4945"/>
    <x v="5"/>
    <n v="4"/>
    <n v="16729577"/>
    <n v="4"/>
    <n v="26"/>
    <n v="853"/>
    <n v="39308952"/>
    <n v="959309"/>
    <s v="Small"/>
    <s v="B2C"/>
    <n v="1"/>
    <n v="30.56"/>
    <n v="836050"/>
    <n v="1"/>
  </r>
  <r>
    <s v="Startup_4946"/>
    <x v="2"/>
    <n v="7"/>
    <n v="45551077"/>
    <n v="3"/>
    <n v="10"/>
    <n v="784"/>
    <n v="44459883"/>
    <n v="969495"/>
    <s v="Small"/>
    <s v="B2B"/>
    <n v="7"/>
    <n v="96.3"/>
    <n v="748580"/>
    <n v="1"/>
  </r>
  <r>
    <s v="Startup_4947"/>
    <x v="1"/>
    <n v="2"/>
    <n v="1490651"/>
    <n v="2"/>
    <n v="2"/>
    <n v="31"/>
    <n v="23273448"/>
    <n v="852516"/>
    <s v="Large"/>
    <s v="B2C"/>
    <n v="7"/>
    <n v="2.91"/>
    <n v="885861"/>
    <n v="1"/>
  </r>
  <r>
    <s v="Startup_4948"/>
    <x v="5"/>
    <n v="8"/>
    <n v="6997031"/>
    <n v="1"/>
    <n v="4"/>
    <n v="952"/>
    <n v="23521823"/>
    <n v="570292"/>
    <s v="Large"/>
    <s v="B2C"/>
    <n v="7"/>
    <n v="39.11"/>
    <n v="507796"/>
    <n v="1"/>
  </r>
  <r>
    <s v="Startup_4949"/>
    <x v="0"/>
    <n v="14"/>
    <n v="692369"/>
    <n v="2"/>
    <n v="8"/>
    <n v="538"/>
    <n v="50308652"/>
    <n v="10145"/>
    <s v="Large"/>
    <s v="Hybrid"/>
    <n v="5"/>
    <n v="0.62"/>
    <n v="500449"/>
    <n v="1"/>
  </r>
  <r>
    <s v="Startup_4950"/>
    <x v="5"/>
    <n v="9"/>
    <n v="7405077"/>
    <n v="4"/>
    <n v="19"/>
    <n v="108"/>
    <n v="13841648"/>
    <n v="181210"/>
    <s v="Medium"/>
    <s v="B2C"/>
    <n v="1"/>
    <n v="66.66"/>
    <n v="67635"/>
    <n v="1"/>
  </r>
  <r>
    <s v="Startup_4951"/>
    <x v="0"/>
    <n v="6"/>
    <n v="10663121"/>
    <n v="2"/>
    <n v="12"/>
    <n v="661"/>
    <n v="69204405"/>
    <n v="33703"/>
    <s v="Large"/>
    <s v="B2B"/>
    <n v="3"/>
    <n v="16.86"/>
    <n v="755031"/>
    <n v="1"/>
  </r>
  <r>
    <s v="Startup_4952"/>
    <x v="3"/>
    <n v="11"/>
    <n v="25556468"/>
    <n v="3"/>
    <n v="10"/>
    <n v="390"/>
    <n v="24767056"/>
    <n v="783249"/>
    <s v="Small"/>
    <s v="B2C"/>
    <n v="1"/>
    <n v="47.24"/>
    <n v="715286"/>
    <n v="1"/>
  </r>
  <r>
    <s v="Startup_4953"/>
    <x v="6"/>
    <n v="12"/>
    <n v="41976789"/>
    <n v="1"/>
    <n v="19"/>
    <n v="234"/>
    <n v="89530085"/>
    <n v="652761"/>
    <s v="Medium"/>
    <s v="Hybrid"/>
    <n v="3"/>
    <n v="99.49"/>
    <n v="73395"/>
    <n v="1"/>
  </r>
  <r>
    <s v="Startup_4954"/>
    <x v="1"/>
    <n v="3"/>
    <n v="46483268"/>
    <n v="3"/>
    <n v="24"/>
    <n v="875"/>
    <n v="47249951"/>
    <n v="199495"/>
    <s v="Large"/>
    <s v="Hybrid"/>
    <n v="6"/>
    <n v="90.13"/>
    <n v="234597"/>
    <n v="1"/>
  </r>
  <r>
    <s v="Startup_4955"/>
    <x v="4"/>
    <n v="5"/>
    <n v="34622769"/>
    <n v="1"/>
    <n v="14"/>
    <n v="139"/>
    <n v="99041969"/>
    <n v="357943"/>
    <s v="Large"/>
    <s v="B2C"/>
    <n v="9"/>
    <n v="44.23"/>
    <n v="351942"/>
    <n v="1"/>
  </r>
  <r>
    <s v="Startup_4956"/>
    <x v="2"/>
    <n v="9"/>
    <n v="26843101"/>
    <n v="2"/>
    <n v="27"/>
    <n v="999"/>
    <n v="67546052"/>
    <n v="41309"/>
    <s v="Large"/>
    <s v="B2B"/>
    <n v="1"/>
    <n v="96.55"/>
    <n v="320718"/>
    <n v="1"/>
  </r>
  <r>
    <s v="Startup_4957"/>
    <x v="6"/>
    <n v="7"/>
    <n v="48050662"/>
    <n v="3"/>
    <n v="10"/>
    <n v="101"/>
    <n v="48699011"/>
    <n v="806744"/>
    <s v="Large"/>
    <s v="Hybrid"/>
    <n v="1"/>
    <n v="83.39"/>
    <n v="680329"/>
    <n v="1"/>
  </r>
  <r>
    <s v="Startup_4958"/>
    <x v="1"/>
    <n v="0"/>
    <n v="13019528"/>
    <n v="4"/>
    <n v="20"/>
    <n v="295"/>
    <n v="99504266"/>
    <n v="258492"/>
    <s v="Medium"/>
    <s v="B2C"/>
    <n v="6"/>
    <n v="47.08"/>
    <n v="391192"/>
    <n v="1"/>
  </r>
  <r>
    <s v="Startup_4959"/>
    <x v="1"/>
    <n v="3"/>
    <n v="43852559"/>
    <n v="4"/>
    <n v="3"/>
    <n v="541"/>
    <n v="57623051"/>
    <n v="284159"/>
    <s v="Small"/>
    <s v="B2B"/>
    <n v="5"/>
    <n v="76.89"/>
    <n v="686684"/>
    <n v="1"/>
  </r>
  <r>
    <s v="Startup_4960"/>
    <x v="5"/>
    <n v="9"/>
    <n v="23229313"/>
    <n v="1"/>
    <n v="16"/>
    <n v="805"/>
    <n v="84977963"/>
    <n v="578486"/>
    <s v="Medium"/>
    <s v="B2C"/>
    <n v="1"/>
    <n v="18.53"/>
    <n v="661976"/>
    <n v="1"/>
  </r>
  <r>
    <s v="Startup_4961"/>
    <x v="5"/>
    <n v="9"/>
    <n v="44707137"/>
    <n v="4"/>
    <n v="22"/>
    <n v="708"/>
    <n v="38684925"/>
    <n v="279089"/>
    <s v="Medium"/>
    <s v="Hybrid"/>
    <n v="8"/>
    <n v="81.31"/>
    <n v="538065"/>
    <n v="1"/>
  </r>
  <r>
    <s v="Startup_4962"/>
    <x v="4"/>
    <n v="5"/>
    <n v="35320947"/>
    <n v="1"/>
    <n v="23"/>
    <n v="419"/>
    <n v="25205827"/>
    <n v="422815"/>
    <s v="Large"/>
    <s v="B2C"/>
    <n v="3"/>
    <n v="54.79"/>
    <n v="571630"/>
    <n v="1"/>
  </r>
  <r>
    <s v="Startup_4963"/>
    <x v="2"/>
    <n v="0"/>
    <n v="42726857"/>
    <n v="1"/>
    <n v="2"/>
    <n v="666"/>
    <n v="90737968"/>
    <n v="870957"/>
    <s v="Large"/>
    <s v="B2B"/>
    <n v="7"/>
    <n v="1.18"/>
    <n v="149506"/>
    <n v="1"/>
  </r>
  <r>
    <s v="Startup_4964"/>
    <x v="5"/>
    <n v="5"/>
    <n v="25842085"/>
    <n v="1"/>
    <n v="23"/>
    <n v="322"/>
    <n v="2649585"/>
    <n v="578035"/>
    <s v="Medium"/>
    <s v="Hybrid"/>
    <n v="1"/>
    <n v="38.909999999999997"/>
    <n v="309040"/>
    <n v="1"/>
  </r>
  <r>
    <s v="Startup_4965"/>
    <x v="0"/>
    <n v="9"/>
    <n v="13188177"/>
    <n v="3"/>
    <n v="4"/>
    <n v="385"/>
    <n v="97292952"/>
    <n v="880845"/>
    <s v="Large"/>
    <s v="B2B"/>
    <n v="9"/>
    <n v="13.8"/>
    <n v="141371"/>
    <n v="1"/>
  </r>
  <r>
    <s v="Startup_4966"/>
    <x v="6"/>
    <n v="6"/>
    <n v="31010453"/>
    <n v="2"/>
    <n v="11"/>
    <n v="538"/>
    <n v="7259931"/>
    <n v="276600"/>
    <s v="Large"/>
    <s v="B2B"/>
    <n v="2"/>
    <n v="90.65"/>
    <n v="562331"/>
    <n v="1"/>
  </r>
  <r>
    <s v="Startup_4967"/>
    <x v="2"/>
    <n v="12"/>
    <n v="919351"/>
    <n v="1"/>
    <n v="8"/>
    <n v="951"/>
    <n v="6314654"/>
    <n v="94868"/>
    <s v="Large"/>
    <s v="B2C"/>
    <n v="6"/>
    <n v="42.45"/>
    <n v="930677"/>
    <n v="1"/>
  </r>
  <r>
    <s v="Startup_4968"/>
    <x v="0"/>
    <n v="14"/>
    <n v="18102400"/>
    <n v="3"/>
    <n v="14"/>
    <n v="45"/>
    <n v="87298966"/>
    <n v="973543"/>
    <s v="Medium"/>
    <s v="B2B"/>
    <n v="3"/>
    <n v="57.48"/>
    <n v="734195"/>
    <n v="1"/>
  </r>
  <r>
    <s v="Startup_4969"/>
    <x v="3"/>
    <n v="6"/>
    <n v="27951820"/>
    <n v="3"/>
    <n v="14"/>
    <n v="530"/>
    <n v="36380972"/>
    <n v="308158"/>
    <s v="Large"/>
    <s v="Hybrid"/>
    <n v="1"/>
    <n v="86.78"/>
    <n v="822752"/>
    <n v="1"/>
  </r>
  <r>
    <s v="Startup_4970"/>
    <x v="3"/>
    <n v="5"/>
    <n v="10941190"/>
    <n v="4"/>
    <n v="6"/>
    <n v="534"/>
    <n v="93368751"/>
    <n v="999554"/>
    <s v="Medium"/>
    <s v="Hybrid"/>
    <n v="2"/>
    <n v="44.19"/>
    <n v="112466"/>
    <n v="1"/>
  </r>
  <r>
    <s v="Startup_4971"/>
    <x v="6"/>
    <n v="6"/>
    <n v="25244277"/>
    <n v="4"/>
    <n v="19"/>
    <n v="680"/>
    <n v="14619004"/>
    <n v="544830"/>
    <s v="Medium"/>
    <s v="B2B"/>
    <n v="3"/>
    <n v="98.05"/>
    <n v="374159"/>
    <n v="1"/>
  </r>
  <r>
    <s v="Startup_4972"/>
    <x v="1"/>
    <n v="2"/>
    <n v="8530373"/>
    <n v="1"/>
    <n v="18"/>
    <n v="518"/>
    <n v="15506050"/>
    <n v="928031"/>
    <s v="Medium"/>
    <s v="B2B"/>
    <n v="3"/>
    <n v="95.59"/>
    <n v="85094"/>
    <n v="1"/>
  </r>
  <r>
    <s v="Startup_4973"/>
    <x v="6"/>
    <n v="12"/>
    <n v="14907382"/>
    <n v="2"/>
    <n v="13"/>
    <n v="614"/>
    <n v="13554082"/>
    <n v="887859"/>
    <s v="Medium"/>
    <s v="Hybrid"/>
    <n v="2"/>
    <n v="7.21"/>
    <n v="414049"/>
    <n v="1"/>
  </r>
  <r>
    <s v="Startup_4974"/>
    <x v="6"/>
    <n v="11"/>
    <n v="47697408"/>
    <n v="3"/>
    <n v="10"/>
    <n v="645"/>
    <n v="93619774"/>
    <n v="898975"/>
    <s v="Large"/>
    <s v="Hybrid"/>
    <n v="7"/>
    <n v="61.65"/>
    <n v="664101"/>
    <n v="1"/>
  </r>
  <r>
    <s v="Startup_4975"/>
    <x v="6"/>
    <n v="5"/>
    <n v="5066122"/>
    <n v="3"/>
    <n v="16"/>
    <n v="930"/>
    <n v="83720285"/>
    <n v="540627"/>
    <s v="Medium"/>
    <s v="B2C"/>
    <n v="5"/>
    <n v="1.63"/>
    <n v="254405"/>
    <n v="1"/>
  </r>
  <r>
    <s v="Startup_4976"/>
    <x v="2"/>
    <n v="10"/>
    <n v="13258827"/>
    <n v="3"/>
    <n v="29"/>
    <n v="151"/>
    <n v="80884569"/>
    <n v="997967"/>
    <s v="Medium"/>
    <s v="B2C"/>
    <n v="9"/>
    <n v="45.73"/>
    <n v="619851"/>
    <n v="1"/>
  </r>
  <r>
    <s v="Startup_4977"/>
    <x v="2"/>
    <n v="13"/>
    <n v="43902593"/>
    <n v="3"/>
    <n v="29"/>
    <n v="900"/>
    <n v="54474473"/>
    <n v="694521"/>
    <s v="Small"/>
    <s v="Hybrid"/>
    <n v="3"/>
    <n v="27.14"/>
    <n v="337817"/>
    <n v="1"/>
  </r>
  <r>
    <s v="Startup_4978"/>
    <x v="5"/>
    <n v="14"/>
    <n v="25924085"/>
    <n v="1"/>
    <n v="28"/>
    <n v="19"/>
    <n v="43288133"/>
    <n v="452628"/>
    <s v="Large"/>
    <s v="B2C"/>
    <n v="4"/>
    <n v="30.46"/>
    <n v="224705"/>
    <n v="1"/>
  </r>
  <r>
    <s v="Startup_4979"/>
    <x v="3"/>
    <n v="11"/>
    <n v="28869844"/>
    <n v="3"/>
    <n v="16"/>
    <n v="286"/>
    <n v="94461528"/>
    <n v="395050"/>
    <s v="Small"/>
    <s v="B2C"/>
    <n v="3"/>
    <n v="75.849999999999994"/>
    <n v="242245"/>
    <n v="1"/>
  </r>
  <r>
    <s v="Startup_4980"/>
    <x v="5"/>
    <n v="8"/>
    <n v="38350160"/>
    <n v="3"/>
    <n v="3"/>
    <n v="497"/>
    <n v="62914616"/>
    <n v="871275"/>
    <s v="Large"/>
    <s v="B2C"/>
    <n v="8"/>
    <n v="62.7"/>
    <n v="39083"/>
    <n v="1"/>
  </r>
  <r>
    <s v="Startup_4981"/>
    <x v="3"/>
    <n v="7"/>
    <n v="21681322"/>
    <n v="4"/>
    <n v="24"/>
    <n v="898"/>
    <n v="14880581"/>
    <n v="992558"/>
    <s v="Large"/>
    <s v="B2B"/>
    <n v="5"/>
    <n v="35.47"/>
    <n v="545075"/>
    <n v="1"/>
  </r>
  <r>
    <s v="Startup_4982"/>
    <x v="3"/>
    <n v="3"/>
    <n v="7342619"/>
    <n v="3"/>
    <n v="28"/>
    <n v="65"/>
    <n v="21511638"/>
    <n v="898015"/>
    <s v="Medium"/>
    <s v="Hybrid"/>
    <n v="1"/>
    <n v="48.73"/>
    <n v="835527"/>
    <n v="1"/>
  </r>
  <r>
    <s v="Startup_4983"/>
    <x v="2"/>
    <n v="11"/>
    <n v="20178662"/>
    <n v="2"/>
    <n v="21"/>
    <n v="216"/>
    <n v="48232500"/>
    <n v="138770"/>
    <s v="Large"/>
    <s v="B2B"/>
    <n v="1"/>
    <n v="66.5"/>
    <n v="86356"/>
    <n v="1"/>
  </r>
  <r>
    <s v="Startup_4984"/>
    <x v="2"/>
    <n v="11"/>
    <n v="29021374"/>
    <n v="1"/>
    <n v="5"/>
    <n v="178"/>
    <n v="65660196"/>
    <n v="274462"/>
    <s v="Medium"/>
    <s v="B2C"/>
    <n v="1"/>
    <n v="69.349999999999994"/>
    <n v="858545"/>
    <n v="1"/>
  </r>
  <r>
    <s v="Startup_4985"/>
    <x v="1"/>
    <n v="9"/>
    <n v="24179659"/>
    <n v="3"/>
    <n v="22"/>
    <n v="677"/>
    <n v="1546468"/>
    <n v="506283"/>
    <s v="Large"/>
    <s v="B2B"/>
    <n v="4"/>
    <n v="86.53"/>
    <n v="296369"/>
    <n v="1"/>
  </r>
  <r>
    <s v="Startup_4986"/>
    <x v="2"/>
    <n v="7"/>
    <n v="32199127"/>
    <n v="4"/>
    <n v="26"/>
    <n v="535"/>
    <n v="16881233"/>
    <n v="672378"/>
    <s v="Large"/>
    <s v="B2B"/>
    <n v="6"/>
    <n v="0.04"/>
    <n v="221299"/>
    <n v="1"/>
  </r>
  <r>
    <s v="Startup_4987"/>
    <x v="1"/>
    <n v="11"/>
    <n v="25687890"/>
    <n v="4"/>
    <n v="11"/>
    <n v="450"/>
    <n v="17388424"/>
    <n v="836851"/>
    <s v="Small"/>
    <s v="B2C"/>
    <n v="8"/>
    <n v="91.75"/>
    <n v="188483"/>
    <n v="1"/>
  </r>
  <r>
    <s v="Startup_4988"/>
    <x v="1"/>
    <n v="10"/>
    <n v="10740618"/>
    <n v="1"/>
    <n v="11"/>
    <n v="714"/>
    <n v="38427043"/>
    <n v="726677"/>
    <s v="Large"/>
    <s v="B2C"/>
    <n v="5"/>
    <n v="35.44"/>
    <n v="6003"/>
    <n v="1"/>
  </r>
  <r>
    <s v="Startup_4989"/>
    <x v="6"/>
    <n v="11"/>
    <n v="37005511"/>
    <n v="4"/>
    <n v="27"/>
    <n v="190"/>
    <n v="15751928"/>
    <n v="858648"/>
    <s v="Large"/>
    <s v="Hybrid"/>
    <n v="3"/>
    <n v="7.93"/>
    <n v="773843"/>
    <n v="1"/>
  </r>
  <r>
    <s v="Startup_4990"/>
    <x v="0"/>
    <n v="2"/>
    <n v="19543508"/>
    <n v="3"/>
    <n v="28"/>
    <n v="725"/>
    <n v="22400256"/>
    <n v="917732"/>
    <s v="Small"/>
    <s v="B2B"/>
    <n v="1"/>
    <n v="5.73"/>
    <n v="938245"/>
    <n v="1"/>
  </r>
  <r>
    <s v="Startup_4991"/>
    <x v="4"/>
    <n v="14"/>
    <n v="45786588"/>
    <n v="3"/>
    <n v="25"/>
    <n v="901"/>
    <n v="71009384"/>
    <n v="226670"/>
    <s v="Large"/>
    <s v="B2B"/>
    <n v="3"/>
    <n v="36.159999999999997"/>
    <n v="326726"/>
    <n v="1"/>
  </r>
  <r>
    <s v="Startup_4992"/>
    <x v="5"/>
    <n v="5"/>
    <n v="2181601"/>
    <n v="4"/>
    <n v="27"/>
    <n v="954"/>
    <n v="1895871"/>
    <n v="737363"/>
    <s v="Small"/>
    <s v="B2B"/>
    <n v="7"/>
    <n v="39.880000000000003"/>
    <n v="501404"/>
    <n v="1"/>
  </r>
  <r>
    <s v="Startup_4993"/>
    <x v="4"/>
    <n v="10"/>
    <n v="44624232"/>
    <n v="4"/>
    <n v="21"/>
    <n v="104"/>
    <n v="27108849"/>
    <n v="802414"/>
    <s v="Large"/>
    <s v="B2B"/>
    <n v="6"/>
    <n v="44.46"/>
    <n v="417820"/>
    <n v="1"/>
  </r>
  <r>
    <s v="Startup_4994"/>
    <x v="2"/>
    <n v="3"/>
    <n v="35852867"/>
    <n v="1"/>
    <n v="4"/>
    <n v="868"/>
    <n v="85206283"/>
    <n v="352344"/>
    <s v="Medium"/>
    <s v="Hybrid"/>
    <n v="3"/>
    <n v="83.19"/>
    <n v="261018"/>
    <n v="1"/>
  </r>
  <r>
    <s v="Startup_4995"/>
    <x v="2"/>
    <n v="9"/>
    <n v="10093394"/>
    <n v="4"/>
    <n v="17"/>
    <n v="22"/>
    <n v="88476705"/>
    <n v="271295"/>
    <s v="Medium"/>
    <s v="B2C"/>
    <n v="4"/>
    <n v="87.97"/>
    <n v="153333"/>
    <n v="1"/>
  </r>
  <r>
    <s v="Startup_4996"/>
    <x v="1"/>
    <n v="9"/>
    <n v="39609909"/>
    <n v="4"/>
    <n v="13"/>
    <n v="324"/>
    <n v="16090631"/>
    <n v="971733"/>
    <s v="Small"/>
    <s v="B2B"/>
    <n v="7"/>
    <n v="21.56"/>
    <n v="568646"/>
    <n v="1"/>
  </r>
  <r>
    <s v="Startup_4997"/>
    <x v="6"/>
    <n v="7"/>
    <n v="32167694"/>
    <n v="3"/>
    <n v="17"/>
    <n v="673"/>
    <n v="72563900"/>
    <n v="148322"/>
    <s v="Large"/>
    <s v="B2C"/>
    <n v="5"/>
    <n v="89.58"/>
    <n v="466261"/>
    <n v="1"/>
  </r>
  <r>
    <s v="Startup_4998"/>
    <x v="0"/>
    <n v="13"/>
    <n v="38902583"/>
    <n v="4"/>
    <n v="14"/>
    <n v="253"/>
    <n v="66629971"/>
    <n v="487704"/>
    <s v="Medium"/>
    <s v="B2C"/>
    <n v="6"/>
    <n v="17.21"/>
    <n v="468514"/>
    <n v="1"/>
  </r>
  <r>
    <s v="Startup_4999"/>
    <x v="1"/>
    <n v="2"/>
    <n v="33410138"/>
    <n v="4"/>
    <n v="16"/>
    <n v="417"/>
    <n v="69293233"/>
    <n v="723237"/>
    <s v="Medium"/>
    <s v="B2B"/>
    <n v="9"/>
    <n v="39.35"/>
    <n v="134880"/>
    <n v="1"/>
  </r>
  <r>
    <s v="Startup_5000"/>
    <x v="2"/>
    <n v="1"/>
    <n v="42246335"/>
    <n v="1"/>
    <n v="29"/>
    <n v="708"/>
    <n v="53330079"/>
    <n v="962039"/>
    <s v="Large"/>
    <s v="B2C"/>
    <n v="7"/>
    <n v="16.32"/>
    <n v="217733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D2017-C7D4-4EBB-B5C4-313EA6FFB86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15">
    <pivotField showAll="0"/>
    <pivotField axis="axisRow" showAll="0">
      <items count="8">
        <item x="6"/>
        <item x="3"/>
        <item x="1"/>
        <item x="4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9B3EDB-2A6C-483B-B164-1775F7CC1622}" name="startupdata" displayName="startupdata" ref="A1:O5001" totalsRowShown="0">
  <autoFilter ref="A1:O5001" xr:uid="{449B3EDB-2A6C-483B-B164-1775F7CC1622}"/>
  <tableColumns count="15">
    <tableColumn id="1" xr3:uid="{555E7637-9787-41F1-A11A-B0E4C0A1C220}" name="Startup_Name"/>
    <tableColumn id="2" xr3:uid="{5FE8F7E3-76FB-4B3D-BFB7-C09806FE3D8C}" name="Industry"/>
    <tableColumn id="3" xr3:uid="{EA852245-F46F-4B4B-89A7-CFA8227062B4}" name="Startup_Age"/>
    <tableColumn id="4" xr3:uid="{2EEB3A8F-871C-4F3E-98D8-0FBAD89D3466}" name="Funding_Amount"/>
    <tableColumn id="5" xr3:uid="{22234161-69C3-4B26-BF89-F3E02CF5C060}" name="Number_of_Founders"/>
    <tableColumn id="6" xr3:uid="{A320EB77-CCBF-4D99-97EE-719405DA2CCE}" name="Founder_Experience"/>
    <tableColumn id="7" xr3:uid="{3E0D2283-D7E3-46C7-9F45-5A0D260AA920}" name="Employees_Count"/>
    <tableColumn id="8" xr3:uid="{206DDCAC-7733-4BE1-B260-7C1688C916B3}" name="Revenue"/>
    <tableColumn id="9" xr3:uid="{738596D4-E75A-4E37-B2CC-A57477B23F46}" name="Burn_Rate"/>
    <tableColumn id="10" xr3:uid="{C63115C8-9B27-4CBC-92E3-D4358801448D}" name="Market_Size"/>
    <tableColumn id="11" xr3:uid="{769653D5-DDA7-452F-B82C-AF98ADBB1BE2}" name="Business_Model"/>
    <tableColumn id="12" xr3:uid="{D3520F92-5DB8-44D5-9853-6207F8B762F8}" name="Product_Uniqueness_Score"/>
    <tableColumn id="13" xr3:uid="{E791B9B1-1866-4E0B-917F-C7D2B5DBA767}" name="Customer_Retention_Rate"/>
    <tableColumn id="14" xr3:uid="{A864AB16-94B1-4D67-99BC-32BFE944588B}" name="Marketing_Expense"/>
    <tableColumn id="15" xr3:uid="{D8111D94-33B5-4D75-97F9-70F0822DB06E}" name="Startup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5CB6-701C-4EE2-8558-6BF4B61C25A5}">
  <dimension ref="A3:B11"/>
  <sheetViews>
    <sheetView tabSelected="1" workbookViewId="0">
      <selection activeCell="D21" sqref="D21"/>
    </sheetView>
  </sheetViews>
  <sheetFormatPr defaultRowHeight="14.4"/>
  <cols>
    <col min="1" max="1" width="12.5546875" bestFit="1" customWidth="1"/>
    <col min="2" max="2" width="14.88671875" bestFit="1" customWidth="1"/>
  </cols>
  <sheetData>
    <row r="3" spans="1:2">
      <c r="A3" s="6" t="s">
        <v>5038</v>
      </c>
      <c r="B3" t="s">
        <v>5040</v>
      </c>
    </row>
    <row r="4" spans="1:2">
      <c r="A4" s="7" t="s">
        <v>38</v>
      </c>
      <c r="B4" s="8">
        <v>37681542717</v>
      </c>
    </row>
    <row r="5" spans="1:2">
      <c r="A5" s="7" t="s">
        <v>27</v>
      </c>
      <c r="B5" s="8">
        <v>33835784962</v>
      </c>
    </row>
    <row r="6" spans="1:2">
      <c r="A6" s="7" t="s">
        <v>20</v>
      </c>
      <c r="B6" s="8">
        <v>35779634609</v>
      </c>
    </row>
    <row r="7" spans="1:2">
      <c r="A7" s="7" t="s">
        <v>29</v>
      </c>
      <c r="B7" s="8">
        <v>32631039025</v>
      </c>
    </row>
    <row r="8" spans="1:2">
      <c r="A8" s="7" t="s">
        <v>24</v>
      </c>
      <c r="B8" s="8">
        <v>37221722742</v>
      </c>
    </row>
    <row r="9" spans="1:2">
      <c r="A9" s="7" t="s">
        <v>16</v>
      </c>
      <c r="B9" s="8">
        <v>36628158954</v>
      </c>
    </row>
    <row r="10" spans="1:2">
      <c r="A10" s="7" t="s">
        <v>32</v>
      </c>
      <c r="B10" s="8">
        <v>35822849824</v>
      </c>
    </row>
    <row r="11" spans="1:2">
      <c r="A11" s="7" t="s">
        <v>5039</v>
      </c>
      <c r="B11" s="8">
        <v>249600732833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7DD8F-BE56-41F2-9811-B5CC446D753C}">
  <dimension ref="A1:O5001"/>
  <sheetViews>
    <sheetView topLeftCell="A2" workbookViewId="0">
      <selection activeCell="B11" sqref="B11"/>
    </sheetView>
  </sheetViews>
  <sheetFormatPr defaultRowHeight="14.4"/>
  <cols>
    <col min="1" max="1" width="15.109375" customWidth="1"/>
    <col min="2" max="2" width="9.88671875" customWidth="1"/>
    <col min="3" max="3" width="13.33203125" customWidth="1"/>
    <col min="4" max="4" width="17.5546875" customWidth="1"/>
    <col min="5" max="5" width="21.33203125" customWidth="1"/>
    <col min="6" max="6" width="20" customWidth="1"/>
    <col min="7" max="7" width="18.109375" customWidth="1"/>
    <col min="8" max="8" width="10.21875" customWidth="1"/>
    <col min="9" max="9" width="11.6640625" customWidth="1"/>
    <col min="10" max="10" width="13.21875" customWidth="1"/>
    <col min="11" max="11" width="16.44140625" customWidth="1"/>
    <col min="12" max="12" width="26" customWidth="1"/>
    <col min="13" max="13" width="25" customWidth="1"/>
    <col min="14" max="14" width="19.44140625" customWidth="1"/>
    <col min="15" max="15" width="15.332031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8</v>
      </c>
      <c r="D2">
        <v>18328419</v>
      </c>
      <c r="E2">
        <v>2</v>
      </c>
      <c r="F2">
        <v>13</v>
      </c>
      <c r="G2">
        <v>581</v>
      </c>
      <c r="H2">
        <v>97866143</v>
      </c>
      <c r="I2">
        <v>602731</v>
      </c>
      <c r="J2" t="s">
        <v>17</v>
      </c>
      <c r="K2" t="s">
        <v>18</v>
      </c>
      <c r="L2">
        <v>2</v>
      </c>
      <c r="M2">
        <v>79.61</v>
      </c>
      <c r="N2">
        <v>987830</v>
      </c>
      <c r="O2">
        <v>1</v>
      </c>
    </row>
    <row r="3" spans="1:15">
      <c r="A3" t="s">
        <v>19</v>
      </c>
      <c r="B3" t="s">
        <v>20</v>
      </c>
      <c r="C3">
        <v>3</v>
      </c>
      <c r="D3">
        <v>39753708</v>
      </c>
      <c r="E3">
        <v>3</v>
      </c>
      <c r="F3">
        <v>16</v>
      </c>
      <c r="G3">
        <v>529</v>
      </c>
      <c r="H3">
        <v>36868744</v>
      </c>
      <c r="I3">
        <v>820698</v>
      </c>
      <c r="J3" t="s">
        <v>21</v>
      </c>
      <c r="K3" t="s">
        <v>22</v>
      </c>
      <c r="L3">
        <v>3</v>
      </c>
      <c r="M3">
        <v>32.47</v>
      </c>
      <c r="N3">
        <v>599615</v>
      </c>
      <c r="O3">
        <v>1</v>
      </c>
    </row>
    <row r="4" spans="1:15">
      <c r="A4" t="s">
        <v>23</v>
      </c>
      <c r="B4" t="s">
        <v>24</v>
      </c>
      <c r="C4">
        <v>14</v>
      </c>
      <c r="D4">
        <v>18073294</v>
      </c>
      <c r="E4">
        <v>1</v>
      </c>
      <c r="F4">
        <v>28</v>
      </c>
      <c r="G4">
        <v>82</v>
      </c>
      <c r="H4">
        <v>3478737</v>
      </c>
      <c r="I4">
        <v>992205</v>
      </c>
      <c r="J4" t="s">
        <v>25</v>
      </c>
      <c r="K4" t="s">
        <v>22</v>
      </c>
      <c r="L4">
        <v>1</v>
      </c>
      <c r="M4">
        <v>9.8800000000000008</v>
      </c>
      <c r="N4">
        <v>780730</v>
      </c>
      <c r="O4">
        <v>1</v>
      </c>
    </row>
    <row r="5" spans="1:15">
      <c r="A5" t="s">
        <v>26</v>
      </c>
      <c r="B5" t="s">
        <v>27</v>
      </c>
      <c r="C5">
        <v>5</v>
      </c>
      <c r="D5">
        <v>19435653</v>
      </c>
      <c r="E5">
        <v>4</v>
      </c>
      <c r="F5">
        <v>14</v>
      </c>
      <c r="G5">
        <v>234</v>
      </c>
      <c r="H5">
        <v>80716899</v>
      </c>
      <c r="I5">
        <v>536747</v>
      </c>
      <c r="J5" t="s">
        <v>17</v>
      </c>
      <c r="K5" t="s">
        <v>22</v>
      </c>
      <c r="L5">
        <v>9</v>
      </c>
      <c r="M5">
        <v>23.2</v>
      </c>
      <c r="N5">
        <v>188588</v>
      </c>
      <c r="O5">
        <v>1</v>
      </c>
    </row>
    <row r="6" spans="1:15">
      <c r="A6" t="s">
        <v>28</v>
      </c>
      <c r="B6" t="s">
        <v>29</v>
      </c>
      <c r="C6">
        <v>14</v>
      </c>
      <c r="D6">
        <v>4205797</v>
      </c>
      <c r="E6">
        <v>4</v>
      </c>
      <c r="F6">
        <v>17</v>
      </c>
      <c r="G6">
        <v>960</v>
      </c>
      <c r="H6">
        <v>53347246</v>
      </c>
      <c r="I6">
        <v>555199</v>
      </c>
      <c r="J6" t="s">
        <v>17</v>
      </c>
      <c r="K6" t="s">
        <v>30</v>
      </c>
      <c r="L6">
        <v>3</v>
      </c>
      <c r="M6">
        <v>73.52</v>
      </c>
      <c r="N6">
        <v>310892</v>
      </c>
      <c r="O6">
        <v>1</v>
      </c>
    </row>
    <row r="7" spans="1:15">
      <c r="A7" t="s">
        <v>31</v>
      </c>
      <c r="B7" t="s">
        <v>32</v>
      </c>
      <c r="C7">
        <v>0</v>
      </c>
      <c r="D7">
        <v>48328564</v>
      </c>
      <c r="E7">
        <v>4</v>
      </c>
      <c r="F7">
        <v>4</v>
      </c>
      <c r="G7">
        <v>279</v>
      </c>
      <c r="H7">
        <v>58660263</v>
      </c>
      <c r="I7">
        <v>208816</v>
      </c>
      <c r="J7" t="s">
        <v>21</v>
      </c>
      <c r="K7" t="s">
        <v>22</v>
      </c>
      <c r="L7">
        <v>9</v>
      </c>
      <c r="M7">
        <v>40.020000000000003</v>
      </c>
      <c r="N7">
        <v>452610</v>
      </c>
      <c r="O7">
        <v>1</v>
      </c>
    </row>
    <row r="8" spans="1:15">
      <c r="A8" t="s">
        <v>33</v>
      </c>
      <c r="B8" t="s">
        <v>24</v>
      </c>
      <c r="C8">
        <v>3</v>
      </c>
      <c r="D8">
        <v>37143557</v>
      </c>
      <c r="E8">
        <v>2</v>
      </c>
      <c r="F8">
        <v>19</v>
      </c>
      <c r="G8">
        <v>789</v>
      </c>
      <c r="H8">
        <v>95569521</v>
      </c>
      <c r="I8">
        <v>722325</v>
      </c>
      <c r="J8" t="s">
        <v>21</v>
      </c>
      <c r="K8" t="s">
        <v>30</v>
      </c>
      <c r="L8">
        <v>2</v>
      </c>
      <c r="M8">
        <v>95.23</v>
      </c>
      <c r="N8">
        <v>984848</v>
      </c>
      <c r="O8">
        <v>1</v>
      </c>
    </row>
    <row r="9" spans="1:15">
      <c r="A9" t="s">
        <v>34</v>
      </c>
      <c r="B9" t="s">
        <v>27</v>
      </c>
      <c r="C9">
        <v>14</v>
      </c>
      <c r="D9">
        <v>1127240</v>
      </c>
      <c r="E9">
        <v>2</v>
      </c>
      <c r="F9">
        <v>17</v>
      </c>
      <c r="G9">
        <v>810</v>
      </c>
      <c r="H9">
        <v>25786919</v>
      </c>
      <c r="I9">
        <v>853560</v>
      </c>
      <c r="J9" t="s">
        <v>17</v>
      </c>
      <c r="K9" t="s">
        <v>30</v>
      </c>
      <c r="L9">
        <v>6</v>
      </c>
      <c r="M9">
        <v>43</v>
      </c>
      <c r="N9">
        <v>318844</v>
      </c>
      <c r="O9">
        <v>1</v>
      </c>
    </row>
    <row r="10" spans="1:15">
      <c r="A10" t="s">
        <v>35</v>
      </c>
      <c r="B10" t="s">
        <v>24</v>
      </c>
      <c r="C10">
        <v>1</v>
      </c>
      <c r="D10">
        <v>34191972</v>
      </c>
      <c r="E10">
        <v>3</v>
      </c>
      <c r="F10">
        <v>16</v>
      </c>
      <c r="G10">
        <v>12</v>
      </c>
      <c r="H10">
        <v>26301736</v>
      </c>
      <c r="I10">
        <v>499809</v>
      </c>
      <c r="J10" t="s">
        <v>17</v>
      </c>
      <c r="K10" t="s">
        <v>30</v>
      </c>
      <c r="L10">
        <v>6</v>
      </c>
      <c r="M10">
        <v>86.05</v>
      </c>
      <c r="N10">
        <v>681932</v>
      </c>
      <c r="O10">
        <v>1</v>
      </c>
    </row>
    <row r="11" spans="1:15">
      <c r="A11" t="s">
        <v>36</v>
      </c>
      <c r="B11" t="s">
        <v>27</v>
      </c>
      <c r="C11">
        <v>1</v>
      </c>
      <c r="D11">
        <v>6929832</v>
      </c>
      <c r="E11">
        <v>1</v>
      </c>
      <c r="F11">
        <v>19</v>
      </c>
      <c r="G11">
        <v>95</v>
      </c>
      <c r="H11">
        <v>95098244</v>
      </c>
      <c r="I11">
        <v>21534</v>
      </c>
      <c r="J11" t="s">
        <v>25</v>
      </c>
      <c r="K11" t="s">
        <v>30</v>
      </c>
      <c r="L11">
        <v>5</v>
      </c>
      <c r="M11">
        <v>53.96</v>
      </c>
      <c r="N11">
        <v>846763</v>
      </c>
      <c r="O11">
        <v>1</v>
      </c>
    </row>
    <row r="12" spans="1:15">
      <c r="A12" t="s">
        <v>37</v>
      </c>
      <c r="B12" t="s">
        <v>38</v>
      </c>
      <c r="C12">
        <v>4</v>
      </c>
      <c r="D12">
        <v>33990992</v>
      </c>
      <c r="E12">
        <v>1</v>
      </c>
      <c r="F12">
        <v>20</v>
      </c>
      <c r="G12">
        <v>148</v>
      </c>
      <c r="H12">
        <v>97922292</v>
      </c>
      <c r="I12">
        <v>817861</v>
      </c>
      <c r="J12" t="s">
        <v>21</v>
      </c>
      <c r="K12" t="s">
        <v>30</v>
      </c>
      <c r="L12">
        <v>6</v>
      </c>
      <c r="M12">
        <v>29.96</v>
      </c>
      <c r="N12">
        <v>382315</v>
      </c>
      <c r="O12">
        <v>1</v>
      </c>
    </row>
    <row r="13" spans="1:15">
      <c r="A13" t="s">
        <v>39</v>
      </c>
      <c r="B13" t="s">
        <v>29</v>
      </c>
      <c r="C13">
        <v>14</v>
      </c>
      <c r="D13">
        <v>2104514</v>
      </c>
      <c r="E13">
        <v>1</v>
      </c>
      <c r="F13">
        <v>13</v>
      </c>
      <c r="G13">
        <v>773</v>
      </c>
      <c r="H13">
        <v>52521011</v>
      </c>
      <c r="I13">
        <v>291691</v>
      </c>
      <c r="J13" t="s">
        <v>25</v>
      </c>
      <c r="K13" t="s">
        <v>30</v>
      </c>
      <c r="L13">
        <v>4</v>
      </c>
      <c r="M13">
        <v>7.72</v>
      </c>
      <c r="N13">
        <v>732224</v>
      </c>
      <c r="O13">
        <v>1</v>
      </c>
    </row>
    <row r="14" spans="1:15">
      <c r="A14" t="s">
        <v>40</v>
      </c>
      <c r="B14" t="s">
        <v>29</v>
      </c>
      <c r="C14">
        <v>4</v>
      </c>
      <c r="D14">
        <v>34767581</v>
      </c>
      <c r="E14">
        <v>2</v>
      </c>
      <c r="F14">
        <v>0</v>
      </c>
      <c r="G14">
        <v>567</v>
      </c>
      <c r="H14">
        <v>79658365</v>
      </c>
      <c r="I14">
        <v>75106</v>
      </c>
      <c r="J14" t="s">
        <v>21</v>
      </c>
      <c r="K14" t="s">
        <v>18</v>
      </c>
      <c r="L14">
        <v>6</v>
      </c>
      <c r="M14">
        <v>57.15</v>
      </c>
      <c r="N14">
        <v>357642</v>
      </c>
      <c r="O14">
        <v>1</v>
      </c>
    </row>
    <row r="15" spans="1:15">
      <c r="A15" t="s">
        <v>41</v>
      </c>
      <c r="B15" t="s">
        <v>38</v>
      </c>
      <c r="C15">
        <v>6</v>
      </c>
      <c r="D15">
        <v>35054359</v>
      </c>
      <c r="E15">
        <v>4</v>
      </c>
      <c r="F15">
        <v>0</v>
      </c>
      <c r="G15">
        <v>77</v>
      </c>
      <c r="H15">
        <v>30520019</v>
      </c>
      <c r="I15">
        <v>14403</v>
      </c>
      <c r="J15" t="s">
        <v>21</v>
      </c>
      <c r="K15" t="s">
        <v>22</v>
      </c>
      <c r="L15">
        <v>3</v>
      </c>
      <c r="M15">
        <v>5.19</v>
      </c>
      <c r="N15">
        <v>439945</v>
      </c>
      <c r="O15">
        <v>1</v>
      </c>
    </row>
    <row r="16" spans="1:15">
      <c r="A16" t="s">
        <v>42</v>
      </c>
      <c r="B16" t="s">
        <v>32</v>
      </c>
      <c r="C16">
        <v>11</v>
      </c>
      <c r="D16">
        <v>40239796</v>
      </c>
      <c r="E16">
        <v>2</v>
      </c>
      <c r="F16">
        <v>11</v>
      </c>
      <c r="G16">
        <v>973</v>
      </c>
      <c r="H16">
        <v>87799552</v>
      </c>
      <c r="I16">
        <v>33836</v>
      </c>
      <c r="J16" t="s">
        <v>25</v>
      </c>
      <c r="K16" t="s">
        <v>18</v>
      </c>
      <c r="L16">
        <v>1</v>
      </c>
      <c r="M16">
        <v>50.62</v>
      </c>
      <c r="N16">
        <v>746600</v>
      </c>
      <c r="O16">
        <v>1</v>
      </c>
    </row>
    <row r="17" spans="1:15">
      <c r="A17" t="s">
        <v>43</v>
      </c>
      <c r="B17" t="s">
        <v>27</v>
      </c>
      <c r="C17">
        <v>8</v>
      </c>
      <c r="D17">
        <v>34215557</v>
      </c>
      <c r="E17">
        <v>2</v>
      </c>
      <c r="F17">
        <v>0</v>
      </c>
      <c r="G17">
        <v>879</v>
      </c>
      <c r="H17">
        <v>66290636</v>
      </c>
      <c r="I17">
        <v>705265</v>
      </c>
      <c r="J17" t="s">
        <v>21</v>
      </c>
      <c r="K17" t="s">
        <v>22</v>
      </c>
      <c r="L17">
        <v>2</v>
      </c>
      <c r="M17">
        <v>6.37</v>
      </c>
      <c r="N17">
        <v>370329</v>
      </c>
      <c r="O17">
        <v>1</v>
      </c>
    </row>
    <row r="18" spans="1:15">
      <c r="A18" t="s">
        <v>44</v>
      </c>
      <c r="B18" t="s">
        <v>20</v>
      </c>
      <c r="C18">
        <v>8</v>
      </c>
      <c r="D18">
        <v>31283211</v>
      </c>
      <c r="E18">
        <v>2</v>
      </c>
      <c r="F18">
        <v>24</v>
      </c>
      <c r="G18">
        <v>162</v>
      </c>
      <c r="H18">
        <v>56768240</v>
      </c>
      <c r="I18">
        <v>664511</v>
      </c>
      <c r="J18" t="s">
        <v>17</v>
      </c>
      <c r="K18" t="s">
        <v>18</v>
      </c>
      <c r="L18">
        <v>1</v>
      </c>
      <c r="M18">
        <v>51.84</v>
      </c>
      <c r="N18">
        <v>230993</v>
      </c>
      <c r="O18">
        <v>1</v>
      </c>
    </row>
    <row r="19" spans="1:15">
      <c r="A19" t="s">
        <v>45</v>
      </c>
      <c r="B19" t="s">
        <v>24</v>
      </c>
      <c r="C19">
        <v>2</v>
      </c>
      <c r="D19">
        <v>46116520</v>
      </c>
      <c r="E19">
        <v>2</v>
      </c>
      <c r="F19">
        <v>19</v>
      </c>
      <c r="G19">
        <v>771</v>
      </c>
      <c r="H19">
        <v>80301225</v>
      </c>
      <c r="I19">
        <v>872946</v>
      </c>
      <c r="J19" t="s">
        <v>17</v>
      </c>
      <c r="K19" t="s">
        <v>22</v>
      </c>
      <c r="L19">
        <v>4</v>
      </c>
      <c r="M19">
        <v>19.25</v>
      </c>
      <c r="N19">
        <v>654281</v>
      </c>
      <c r="O19">
        <v>1</v>
      </c>
    </row>
    <row r="20" spans="1:15">
      <c r="A20" t="s">
        <v>46</v>
      </c>
      <c r="B20" t="s">
        <v>20</v>
      </c>
      <c r="C20">
        <v>8</v>
      </c>
      <c r="D20">
        <v>20871316</v>
      </c>
      <c r="E20">
        <v>1</v>
      </c>
      <c r="F20">
        <v>26</v>
      </c>
      <c r="G20">
        <v>638</v>
      </c>
      <c r="H20">
        <v>12239897</v>
      </c>
      <c r="I20">
        <v>947650</v>
      </c>
      <c r="J20" t="s">
        <v>21</v>
      </c>
      <c r="K20" t="s">
        <v>18</v>
      </c>
      <c r="L20">
        <v>8</v>
      </c>
      <c r="M20">
        <v>34.979999999999997</v>
      </c>
      <c r="N20">
        <v>278923</v>
      </c>
      <c r="O20">
        <v>1</v>
      </c>
    </row>
    <row r="21" spans="1:15">
      <c r="A21" t="s">
        <v>47</v>
      </c>
      <c r="B21" t="s">
        <v>29</v>
      </c>
      <c r="C21">
        <v>4</v>
      </c>
      <c r="D21">
        <v>28036188</v>
      </c>
      <c r="E21">
        <v>4</v>
      </c>
      <c r="F21">
        <v>3</v>
      </c>
      <c r="G21">
        <v>867</v>
      </c>
      <c r="H21">
        <v>48656010</v>
      </c>
      <c r="I21">
        <v>913009</v>
      </c>
      <c r="J21" t="s">
        <v>17</v>
      </c>
      <c r="K21" t="s">
        <v>30</v>
      </c>
      <c r="L21">
        <v>3</v>
      </c>
      <c r="M21">
        <v>25.38</v>
      </c>
      <c r="N21">
        <v>877806</v>
      </c>
      <c r="O21">
        <v>1</v>
      </c>
    </row>
    <row r="22" spans="1:15">
      <c r="A22" t="s">
        <v>48</v>
      </c>
      <c r="B22" t="s">
        <v>29</v>
      </c>
      <c r="C22">
        <v>11</v>
      </c>
      <c r="D22">
        <v>37596728</v>
      </c>
      <c r="E22">
        <v>3</v>
      </c>
      <c r="F22">
        <v>10</v>
      </c>
      <c r="G22">
        <v>245</v>
      </c>
      <c r="H22">
        <v>52807951</v>
      </c>
      <c r="I22">
        <v>714953</v>
      </c>
      <c r="J22" t="s">
        <v>21</v>
      </c>
      <c r="K22" t="s">
        <v>30</v>
      </c>
      <c r="L22">
        <v>2</v>
      </c>
      <c r="M22">
        <v>64.64</v>
      </c>
      <c r="N22">
        <v>13770</v>
      </c>
      <c r="O22">
        <v>1</v>
      </c>
    </row>
    <row r="23" spans="1:15">
      <c r="A23" t="s">
        <v>49</v>
      </c>
      <c r="B23" t="s">
        <v>29</v>
      </c>
      <c r="C23">
        <v>0</v>
      </c>
      <c r="D23">
        <v>10363707</v>
      </c>
      <c r="E23">
        <v>1</v>
      </c>
      <c r="F23">
        <v>9</v>
      </c>
      <c r="G23">
        <v>88</v>
      </c>
      <c r="H23">
        <v>62794509</v>
      </c>
      <c r="I23">
        <v>43600</v>
      </c>
      <c r="J23" t="s">
        <v>21</v>
      </c>
      <c r="K23" t="s">
        <v>18</v>
      </c>
      <c r="L23">
        <v>7</v>
      </c>
      <c r="M23">
        <v>72.91</v>
      </c>
      <c r="N23">
        <v>40529</v>
      </c>
      <c r="O23">
        <v>1</v>
      </c>
    </row>
    <row r="24" spans="1:15">
      <c r="A24" t="s">
        <v>50</v>
      </c>
      <c r="B24" t="s">
        <v>29</v>
      </c>
      <c r="C24">
        <v>7</v>
      </c>
      <c r="D24">
        <v>36299372</v>
      </c>
      <c r="E24">
        <v>3</v>
      </c>
      <c r="F24">
        <v>7</v>
      </c>
      <c r="G24">
        <v>717</v>
      </c>
      <c r="H24">
        <v>8773379</v>
      </c>
      <c r="I24">
        <v>176662</v>
      </c>
      <c r="J24" t="s">
        <v>17</v>
      </c>
      <c r="K24" t="s">
        <v>22</v>
      </c>
      <c r="L24">
        <v>9</v>
      </c>
      <c r="M24">
        <v>61.56</v>
      </c>
      <c r="N24">
        <v>137040</v>
      </c>
      <c r="O24">
        <v>1</v>
      </c>
    </row>
    <row r="25" spans="1:15">
      <c r="A25" t="s">
        <v>51</v>
      </c>
      <c r="B25" t="s">
        <v>16</v>
      </c>
      <c r="C25">
        <v>8</v>
      </c>
      <c r="D25">
        <v>7754288</v>
      </c>
      <c r="E25">
        <v>1</v>
      </c>
      <c r="F25">
        <v>7</v>
      </c>
      <c r="G25">
        <v>426</v>
      </c>
      <c r="H25">
        <v>76427837</v>
      </c>
      <c r="I25">
        <v>138681</v>
      </c>
      <c r="J25" t="s">
        <v>21</v>
      </c>
      <c r="K25" t="s">
        <v>18</v>
      </c>
      <c r="L25">
        <v>1</v>
      </c>
      <c r="M25">
        <v>38.090000000000003</v>
      </c>
      <c r="N25">
        <v>162026</v>
      </c>
      <c r="O25">
        <v>1</v>
      </c>
    </row>
    <row r="26" spans="1:15">
      <c r="A26" t="s">
        <v>52</v>
      </c>
      <c r="B26" t="s">
        <v>29</v>
      </c>
      <c r="C26">
        <v>13</v>
      </c>
      <c r="D26">
        <v>19601617</v>
      </c>
      <c r="E26">
        <v>3</v>
      </c>
      <c r="F26">
        <v>26</v>
      </c>
      <c r="G26">
        <v>436</v>
      </c>
      <c r="H26">
        <v>64369447</v>
      </c>
      <c r="I26">
        <v>564789</v>
      </c>
      <c r="J26" t="s">
        <v>17</v>
      </c>
      <c r="K26" t="s">
        <v>22</v>
      </c>
      <c r="L26">
        <v>3</v>
      </c>
      <c r="M26">
        <v>71.319999999999993</v>
      </c>
      <c r="N26">
        <v>29395</v>
      </c>
      <c r="O26">
        <v>1</v>
      </c>
    </row>
    <row r="27" spans="1:15">
      <c r="A27" t="s">
        <v>53</v>
      </c>
      <c r="B27" t="s">
        <v>38</v>
      </c>
      <c r="C27">
        <v>7</v>
      </c>
      <c r="D27">
        <v>28150838</v>
      </c>
      <c r="E27">
        <v>1</v>
      </c>
      <c r="F27">
        <v>9</v>
      </c>
      <c r="G27">
        <v>537</v>
      </c>
      <c r="H27">
        <v>50615355</v>
      </c>
      <c r="I27">
        <v>103565</v>
      </c>
      <c r="J27" t="s">
        <v>21</v>
      </c>
      <c r="K27" t="s">
        <v>18</v>
      </c>
      <c r="L27">
        <v>3</v>
      </c>
      <c r="M27">
        <v>52.88</v>
      </c>
      <c r="N27">
        <v>16100</v>
      </c>
      <c r="O27">
        <v>1</v>
      </c>
    </row>
    <row r="28" spans="1:15">
      <c r="A28" t="s">
        <v>54</v>
      </c>
      <c r="B28" t="s">
        <v>24</v>
      </c>
      <c r="C28">
        <v>2</v>
      </c>
      <c r="D28">
        <v>18997115</v>
      </c>
      <c r="E28">
        <v>3</v>
      </c>
      <c r="F28">
        <v>27</v>
      </c>
      <c r="G28">
        <v>665</v>
      </c>
      <c r="H28">
        <v>94939738</v>
      </c>
      <c r="I28">
        <v>658128</v>
      </c>
      <c r="J28" t="s">
        <v>17</v>
      </c>
      <c r="K28" t="s">
        <v>22</v>
      </c>
      <c r="L28">
        <v>9</v>
      </c>
      <c r="M28">
        <v>64.56</v>
      </c>
      <c r="N28">
        <v>880890</v>
      </c>
      <c r="O28">
        <v>1</v>
      </c>
    </row>
    <row r="29" spans="1:15">
      <c r="A29" t="s">
        <v>55</v>
      </c>
      <c r="B29" t="s">
        <v>29</v>
      </c>
      <c r="C29">
        <v>10</v>
      </c>
      <c r="D29">
        <v>38166773</v>
      </c>
      <c r="E29">
        <v>1</v>
      </c>
      <c r="F29">
        <v>12</v>
      </c>
      <c r="G29">
        <v>890</v>
      </c>
      <c r="H29">
        <v>67252567</v>
      </c>
      <c r="I29">
        <v>937341</v>
      </c>
      <c r="J29" t="s">
        <v>17</v>
      </c>
      <c r="K29" t="s">
        <v>30</v>
      </c>
      <c r="L29">
        <v>3</v>
      </c>
      <c r="M29">
        <v>26.36</v>
      </c>
      <c r="N29">
        <v>825995</v>
      </c>
      <c r="O29">
        <v>1</v>
      </c>
    </row>
    <row r="30" spans="1:15">
      <c r="A30" t="s">
        <v>56</v>
      </c>
      <c r="B30" t="s">
        <v>29</v>
      </c>
      <c r="C30">
        <v>0</v>
      </c>
      <c r="D30">
        <v>5831688</v>
      </c>
      <c r="E30">
        <v>2</v>
      </c>
      <c r="F30">
        <v>12</v>
      </c>
      <c r="G30">
        <v>700</v>
      </c>
      <c r="H30">
        <v>71839120</v>
      </c>
      <c r="I30">
        <v>22035</v>
      </c>
      <c r="J30" t="s">
        <v>21</v>
      </c>
      <c r="K30" t="s">
        <v>30</v>
      </c>
      <c r="L30">
        <v>3</v>
      </c>
      <c r="M30">
        <v>31.04</v>
      </c>
      <c r="N30">
        <v>198988</v>
      </c>
      <c r="O30">
        <v>1</v>
      </c>
    </row>
    <row r="31" spans="1:15">
      <c r="A31" t="s">
        <v>57</v>
      </c>
      <c r="B31" t="s">
        <v>27</v>
      </c>
      <c r="C31">
        <v>2</v>
      </c>
      <c r="D31">
        <v>26065297</v>
      </c>
      <c r="E31">
        <v>4</v>
      </c>
      <c r="F31">
        <v>20</v>
      </c>
      <c r="G31">
        <v>640</v>
      </c>
      <c r="H31">
        <v>27943836</v>
      </c>
      <c r="I31">
        <v>413921</v>
      </c>
      <c r="J31" t="s">
        <v>17</v>
      </c>
      <c r="K31" t="s">
        <v>18</v>
      </c>
      <c r="L31">
        <v>8</v>
      </c>
      <c r="M31">
        <v>73.98</v>
      </c>
      <c r="N31">
        <v>7254</v>
      </c>
      <c r="O31">
        <v>1</v>
      </c>
    </row>
    <row r="32" spans="1:15">
      <c r="A32" t="s">
        <v>58</v>
      </c>
      <c r="B32" t="s">
        <v>24</v>
      </c>
      <c r="C32">
        <v>12</v>
      </c>
      <c r="D32">
        <v>37067121</v>
      </c>
      <c r="E32">
        <v>2</v>
      </c>
      <c r="F32">
        <v>27</v>
      </c>
      <c r="G32">
        <v>693</v>
      </c>
      <c r="H32">
        <v>54630107</v>
      </c>
      <c r="I32">
        <v>758568</v>
      </c>
      <c r="J32" t="s">
        <v>21</v>
      </c>
      <c r="K32" t="s">
        <v>18</v>
      </c>
      <c r="L32">
        <v>5</v>
      </c>
      <c r="M32">
        <v>32.76</v>
      </c>
      <c r="N32">
        <v>871489</v>
      </c>
      <c r="O32">
        <v>1</v>
      </c>
    </row>
    <row r="33" spans="1:15">
      <c r="A33" t="s">
        <v>59</v>
      </c>
      <c r="B33" t="s">
        <v>24</v>
      </c>
      <c r="C33">
        <v>10</v>
      </c>
      <c r="D33">
        <v>16915371</v>
      </c>
      <c r="E33">
        <v>1</v>
      </c>
      <c r="F33">
        <v>28</v>
      </c>
      <c r="G33">
        <v>992</v>
      </c>
      <c r="H33">
        <v>41222079</v>
      </c>
      <c r="I33">
        <v>118890</v>
      </c>
      <c r="J33" t="s">
        <v>17</v>
      </c>
      <c r="K33" t="s">
        <v>30</v>
      </c>
      <c r="L33">
        <v>9</v>
      </c>
      <c r="M33">
        <v>30.57</v>
      </c>
      <c r="N33">
        <v>667981</v>
      </c>
      <c r="O33">
        <v>1</v>
      </c>
    </row>
    <row r="34" spans="1:15">
      <c r="A34" t="s">
        <v>60</v>
      </c>
      <c r="B34" t="s">
        <v>27</v>
      </c>
      <c r="C34">
        <v>8</v>
      </c>
      <c r="D34">
        <v>42124031</v>
      </c>
      <c r="E34">
        <v>2</v>
      </c>
      <c r="F34">
        <v>28</v>
      </c>
      <c r="G34">
        <v>735</v>
      </c>
      <c r="H34">
        <v>24803442</v>
      </c>
      <c r="I34">
        <v>8172</v>
      </c>
      <c r="J34" t="s">
        <v>25</v>
      </c>
      <c r="K34" t="s">
        <v>22</v>
      </c>
      <c r="L34">
        <v>4</v>
      </c>
      <c r="M34">
        <v>5.51</v>
      </c>
      <c r="N34">
        <v>682592</v>
      </c>
      <c r="O34">
        <v>1</v>
      </c>
    </row>
    <row r="35" spans="1:15">
      <c r="A35" t="s">
        <v>61</v>
      </c>
      <c r="B35" t="s">
        <v>20</v>
      </c>
      <c r="C35">
        <v>13</v>
      </c>
      <c r="D35">
        <v>2321715</v>
      </c>
      <c r="E35">
        <v>4</v>
      </c>
      <c r="F35">
        <v>29</v>
      </c>
      <c r="G35">
        <v>279</v>
      </c>
      <c r="H35">
        <v>3829111</v>
      </c>
      <c r="I35">
        <v>873498</v>
      </c>
      <c r="J35" t="s">
        <v>25</v>
      </c>
      <c r="K35" t="s">
        <v>22</v>
      </c>
      <c r="L35">
        <v>3</v>
      </c>
      <c r="M35">
        <v>81.64</v>
      </c>
      <c r="N35">
        <v>366940</v>
      </c>
      <c r="O35">
        <v>1</v>
      </c>
    </row>
    <row r="36" spans="1:15">
      <c r="A36" t="s">
        <v>62</v>
      </c>
      <c r="B36" t="s">
        <v>20</v>
      </c>
      <c r="C36">
        <v>6</v>
      </c>
      <c r="D36">
        <v>7221743</v>
      </c>
      <c r="E36">
        <v>3</v>
      </c>
      <c r="F36">
        <v>5</v>
      </c>
      <c r="G36">
        <v>791</v>
      </c>
      <c r="H36">
        <v>60588053</v>
      </c>
      <c r="I36">
        <v>855109</v>
      </c>
      <c r="J36" t="s">
        <v>17</v>
      </c>
      <c r="K36" t="s">
        <v>18</v>
      </c>
      <c r="L36">
        <v>7</v>
      </c>
      <c r="M36">
        <v>55.14</v>
      </c>
      <c r="N36">
        <v>479174</v>
      </c>
      <c r="O36">
        <v>1</v>
      </c>
    </row>
    <row r="37" spans="1:15">
      <c r="A37" t="s">
        <v>63</v>
      </c>
      <c r="B37" t="s">
        <v>27</v>
      </c>
      <c r="C37">
        <v>12</v>
      </c>
      <c r="D37">
        <v>21623058</v>
      </c>
      <c r="E37">
        <v>2</v>
      </c>
      <c r="F37">
        <v>5</v>
      </c>
      <c r="G37">
        <v>192</v>
      </c>
      <c r="H37">
        <v>28372482</v>
      </c>
      <c r="I37">
        <v>714902</v>
      </c>
      <c r="J37" t="s">
        <v>25</v>
      </c>
      <c r="K37" t="s">
        <v>30</v>
      </c>
      <c r="L37">
        <v>5</v>
      </c>
      <c r="M37">
        <v>97.6</v>
      </c>
      <c r="N37">
        <v>831281</v>
      </c>
      <c r="O37">
        <v>1</v>
      </c>
    </row>
    <row r="38" spans="1:15">
      <c r="A38" t="s">
        <v>64</v>
      </c>
      <c r="B38" t="s">
        <v>20</v>
      </c>
      <c r="C38">
        <v>1</v>
      </c>
      <c r="D38">
        <v>29168999</v>
      </c>
      <c r="E38">
        <v>4</v>
      </c>
      <c r="F38">
        <v>27</v>
      </c>
      <c r="G38">
        <v>979</v>
      </c>
      <c r="H38">
        <v>11559233</v>
      </c>
      <c r="I38">
        <v>288566</v>
      </c>
      <c r="J38" t="s">
        <v>17</v>
      </c>
      <c r="K38" t="s">
        <v>22</v>
      </c>
      <c r="L38">
        <v>8</v>
      </c>
      <c r="M38">
        <v>90.25</v>
      </c>
      <c r="N38">
        <v>476830</v>
      </c>
      <c r="O38">
        <v>1</v>
      </c>
    </row>
    <row r="39" spans="1:15">
      <c r="A39" t="s">
        <v>65</v>
      </c>
      <c r="B39" t="s">
        <v>16</v>
      </c>
      <c r="C39">
        <v>9</v>
      </c>
      <c r="D39">
        <v>28632223</v>
      </c>
      <c r="E39">
        <v>4</v>
      </c>
      <c r="F39">
        <v>18</v>
      </c>
      <c r="G39">
        <v>901</v>
      </c>
      <c r="H39">
        <v>45107055</v>
      </c>
      <c r="I39">
        <v>550866</v>
      </c>
      <c r="J39" t="s">
        <v>21</v>
      </c>
      <c r="K39" t="s">
        <v>22</v>
      </c>
      <c r="L39">
        <v>6</v>
      </c>
      <c r="M39">
        <v>9.9499999999999993</v>
      </c>
      <c r="N39">
        <v>343908</v>
      </c>
      <c r="O39">
        <v>1</v>
      </c>
    </row>
    <row r="40" spans="1:15">
      <c r="A40" t="s">
        <v>66</v>
      </c>
      <c r="B40" t="s">
        <v>16</v>
      </c>
      <c r="C40">
        <v>13</v>
      </c>
      <c r="D40">
        <v>7249691</v>
      </c>
      <c r="E40">
        <v>2</v>
      </c>
      <c r="F40">
        <v>27</v>
      </c>
      <c r="G40">
        <v>920</v>
      </c>
      <c r="H40">
        <v>65388315</v>
      </c>
      <c r="I40">
        <v>694094</v>
      </c>
      <c r="J40" t="s">
        <v>21</v>
      </c>
      <c r="K40" t="s">
        <v>30</v>
      </c>
      <c r="L40">
        <v>4</v>
      </c>
      <c r="M40">
        <v>41.62</v>
      </c>
      <c r="N40">
        <v>718248</v>
      </c>
      <c r="O40">
        <v>1</v>
      </c>
    </row>
    <row r="41" spans="1:15">
      <c r="A41" t="s">
        <v>67</v>
      </c>
      <c r="B41" t="s">
        <v>16</v>
      </c>
      <c r="C41">
        <v>10</v>
      </c>
      <c r="D41">
        <v>7433487</v>
      </c>
      <c r="E41">
        <v>4</v>
      </c>
      <c r="F41">
        <v>27</v>
      </c>
      <c r="G41">
        <v>517</v>
      </c>
      <c r="H41">
        <v>37811084</v>
      </c>
      <c r="I41">
        <v>843950</v>
      </c>
      <c r="J41" t="s">
        <v>25</v>
      </c>
      <c r="K41" t="s">
        <v>18</v>
      </c>
      <c r="L41">
        <v>6</v>
      </c>
      <c r="M41">
        <v>65.08</v>
      </c>
      <c r="N41">
        <v>774772</v>
      </c>
      <c r="O41">
        <v>1</v>
      </c>
    </row>
    <row r="42" spans="1:15">
      <c r="A42" t="s">
        <v>68</v>
      </c>
      <c r="B42" t="s">
        <v>38</v>
      </c>
      <c r="C42">
        <v>12</v>
      </c>
      <c r="D42">
        <v>33047488</v>
      </c>
      <c r="E42">
        <v>1</v>
      </c>
      <c r="F42">
        <v>7</v>
      </c>
      <c r="G42">
        <v>672</v>
      </c>
      <c r="H42">
        <v>1985521</v>
      </c>
      <c r="I42">
        <v>339171</v>
      </c>
      <c r="J42" t="s">
        <v>21</v>
      </c>
      <c r="K42" t="s">
        <v>22</v>
      </c>
      <c r="L42">
        <v>2</v>
      </c>
      <c r="M42">
        <v>39.39</v>
      </c>
      <c r="N42">
        <v>678073</v>
      </c>
      <c r="O42">
        <v>1</v>
      </c>
    </row>
    <row r="43" spans="1:15">
      <c r="A43" t="s">
        <v>69</v>
      </c>
      <c r="B43" t="s">
        <v>29</v>
      </c>
      <c r="C43">
        <v>9</v>
      </c>
      <c r="D43">
        <v>48202891</v>
      </c>
      <c r="E43">
        <v>2</v>
      </c>
      <c r="F43">
        <v>25</v>
      </c>
      <c r="G43">
        <v>659</v>
      </c>
      <c r="H43">
        <v>76615311</v>
      </c>
      <c r="I43">
        <v>611087</v>
      </c>
      <c r="J43" t="s">
        <v>17</v>
      </c>
      <c r="K43" t="s">
        <v>22</v>
      </c>
      <c r="L43">
        <v>5</v>
      </c>
      <c r="M43">
        <v>85.61</v>
      </c>
      <c r="N43">
        <v>114800</v>
      </c>
      <c r="O43">
        <v>1</v>
      </c>
    </row>
    <row r="44" spans="1:15">
      <c r="A44" t="s">
        <v>70</v>
      </c>
      <c r="B44" t="s">
        <v>27</v>
      </c>
      <c r="C44">
        <v>2</v>
      </c>
      <c r="D44">
        <v>41748660</v>
      </c>
      <c r="E44">
        <v>1</v>
      </c>
      <c r="F44">
        <v>26</v>
      </c>
      <c r="G44">
        <v>850</v>
      </c>
      <c r="H44">
        <v>48443488</v>
      </c>
      <c r="I44">
        <v>185798</v>
      </c>
      <c r="J44" t="s">
        <v>25</v>
      </c>
      <c r="K44" t="s">
        <v>22</v>
      </c>
      <c r="L44">
        <v>2</v>
      </c>
      <c r="M44">
        <v>60.06</v>
      </c>
      <c r="N44">
        <v>682103</v>
      </c>
      <c r="O44">
        <v>1</v>
      </c>
    </row>
    <row r="45" spans="1:15">
      <c r="A45" t="s">
        <v>71</v>
      </c>
      <c r="B45" t="s">
        <v>32</v>
      </c>
      <c r="C45">
        <v>2</v>
      </c>
      <c r="D45">
        <v>32967189</v>
      </c>
      <c r="E45">
        <v>2</v>
      </c>
      <c r="F45">
        <v>7</v>
      </c>
      <c r="G45">
        <v>230</v>
      </c>
      <c r="H45">
        <v>17996309</v>
      </c>
      <c r="I45">
        <v>579673</v>
      </c>
      <c r="J45" t="s">
        <v>25</v>
      </c>
      <c r="K45" t="s">
        <v>22</v>
      </c>
      <c r="L45">
        <v>2</v>
      </c>
      <c r="M45">
        <v>28.19</v>
      </c>
      <c r="N45">
        <v>82418</v>
      </c>
      <c r="O45">
        <v>1</v>
      </c>
    </row>
    <row r="46" spans="1:15">
      <c r="A46" t="s">
        <v>72</v>
      </c>
      <c r="B46" t="s">
        <v>29</v>
      </c>
      <c r="C46">
        <v>1</v>
      </c>
      <c r="D46">
        <v>40289077</v>
      </c>
      <c r="E46">
        <v>3</v>
      </c>
      <c r="F46">
        <v>11</v>
      </c>
      <c r="G46">
        <v>643</v>
      </c>
      <c r="H46">
        <v>37052953</v>
      </c>
      <c r="I46">
        <v>405253</v>
      </c>
      <c r="J46" t="s">
        <v>17</v>
      </c>
      <c r="K46" t="s">
        <v>30</v>
      </c>
      <c r="L46">
        <v>6</v>
      </c>
      <c r="M46">
        <v>74.180000000000007</v>
      </c>
      <c r="N46">
        <v>398972</v>
      </c>
      <c r="O46">
        <v>1</v>
      </c>
    </row>
    <row r="47" spans="1:15">
      <c r="A47" t="s">
        <v>73</v>
      </c>
      <c r="B47" t="s">
        <v>32</v>
      </c>
      <c r="C47">
        <v>6</v>
      </c>
      <c r="D47">
        <v>45804502</v>
      </c>
      <c r="E47">
        <v>4</v>
      </c>
      <c r="F47">
        <v>11</v>
      </c>
      <c r="G47">
        <v>823</v>
      </c>
      <c r="H47">
        <v>63322307</v>
      </c>
      <c r="I47">
        <v>805398</v>
      </c>
      <c r="J47" t="s">
        <v>17</v>
      </c>
      <c r="K47" t="s">
        <v>30</v>
      </c>
      <c r="L47">
        <v>5</v>
      </c>
      <c r="M47">
        <v>34.6</v>
      </c>
      <c r="N47">
        <v>462265</v>
      </c>
      <c r="O47">
        <v>1</v>
      </c>
    </row>
    <row r="48" spans="1:15">
      <c r="A48" t="s">
        <v>74</v>
      </c>
      <c r="B48" t="s">
        <v>32</v>
      </c>
      <c r="C48">
        <v>6</v>
      </c>
      <c r="D48">
        <v>22897174</v>
      </c>
      <c r="E48">
        <v>4</v>
      </c>
      <c r="F48">
        <v>9</v>
      </c>
      <c r="G48">
        <v>59</v>
      </c>
      <c r="H48">
        <v>82518967</v>
      </c>
      <c r="I48">
        <v>85235</v>
      </c>
      <c r="J48" t="s">
        <v>25</v>
      </c>
      <c r="K48" t="s">
        <v>18</v>
      </c>
      <c r="L48">
        <v>9</v>
      </c>
      <c r="M48">
        <v>56</v>
      </c>
      <c r="N48">
        <v>638758</v>
      </c>
      <c r="O48">
        <v>1</v>
      </c>
    </row>
    <row r="49" spans="1:15">
      <c r="A49" t="s">
        <v>75</v>
      </c>
      <c r="B49" t="s">
        <v>29</v>
      </c>
      <c r="C49">
        <v>8</v>
      </c>
      <c r="D49">
        <v>18756075</v>
      </c>
      <c r="E49">
        <v>4</v>
      </c>
      <c r="F49">
        <v>6</v>
      </c>
      <c r="G49">
        <v>451</v>
      </c>
      <c r="H49">
        <v>18158305</v>
      </c>
      <c r="I49">
        <v>348177</v>
      </c>
      <c r="J49" t="s">
        <v>25</v>
      </c>
      <c r="K49" t="s">
        <v>30</v>
      </c>
      <c r="L49">
        <v>5</v>
      </c>
      <c r="M49">
        <v>62.51</v>
      </c>
      <c r="N49">
        <v>998541</v>
      </c>
      <c r="O49">
        <v>1</v>
      </c>
    </row>
    <row r="50" spans="1:15">
      <c r="A50" t="s">
        <v>76</v>
      </c>
      <c r="B50" t="s">
        <v>20</v>
      </c>
      <c r="C50">
        <v>2</v>
      </c>
      <c r="D50">
        <v>22618831</v>
      </c>
      <c r="E50">
        <v>3</v>
      </c>
      <c r="F50">
        <v>18</v>
      </c>
      <c r="G50">
        <v>990</v>
      </c>
      <c r="H50">
        <v>1611175</v>
      </c>
      <c r="I50">
        <v>860396</v>
      </c>
      <c r="J50" t="s">
        <v>17</v>
      </c>
      <c r="K50" t="s">
        <v>30</v>
      </c>
      <c r="L50">
        <v>9</v>
      </c>
      <c r="M50">
        <v>17.2</v>
      </c>
      <c r="N50">
        <v>754166</v>
      </c>
      <c r="O50">
        <v>1</v>
      </c>
    </row>
    <row r="51" spans="1:15">
      <c r="A51" t="s">
        <v>77</v>
      </c>
      <c r="B51" t="s">
        <v>27</v>
      </c>
      <c r="C51">
        <v>9</v>
      </c>
      <c r="D51">
        <v>2841501</v>
      </c>
      <c r="E51">
        <v>3</v>
      </c>
      <c r="F51">
        <v>6</v>
      </c>
      <c r="G51">
        <v>660</v>
      </c>
      <c r="H51">
        <v>32099516</v>
      </c>
      <c r="I51">
        <v>424102</v>
      </c>
      <c r="J51" t="s">
        <v>21</v>
      </c>
      <c r="K51" t="s">
        <v>22</v>
      </c>
      <c r="L51">
        <v>8</v>
      </c>
      <c r="M51">
        <v>62.15</v>
      </c>
      <c r="N51">
        <v>611625</v>
      </c>
      <c r="O51">
        <v>1</v>
      </c>
    </row>
    <row r="52" spans="1:15">
      <c r="A52" t="s">
        <v>78</v>
      </c>
      <c r="B52" t="s">
        <v>38</v>
      </c>
      <c r="C52">
        <v>13</v>
      </c>
      <c r="D52">
        <v>42973719</v>
      </c>
      <c r="E52">
        <v>3</v>
      </c>
      <c r="F52">
        <v>1</v>
      </c>
      <c r="G52">
        <v>723</v>
      </c>
      <c r="H52">
        <v>43767085</v>
      </c>
      <c r="I52">
        <v>933167</v>
      </c>
      <c r="J52" t="s">
        <v>25</v>
      </c>
      <c r="K52" t="s">
        <v>18</v>
      </c>
      <c r="L52">
        <v>4</v>
      </c>
      <c r="M52">
        <v>58.39</v>
      </c>
      <c r="N52">
        <v>92581</v>
      </c>
      <c r="O52">
        <v>1</v>
      </c>
    </row>
    <row r="53" spans="1:15">
      <c r="A53" t="s">
        <v>79</v>
      </c>
      <c r="B53" t="s">
        <v>29</v>
      </c>
      <c r="C53">
        <v>2</v>
      </c>
      <c r="D53">
        <v>12058869</v>
      </c>
      <c r="E53">
        <v>3</v>
      </c>
      <c r="F53">
        <v>5</v>
      </c>
      <c r="G53">
        <v>858</v>
      </c>
      <c r="H53">
        <v>16953770</v>
      </c>
      <c r="I53">
        <v>447762</v>
      </c>
      <c r="J53" t="s">
        <v>21</v>
      </c>
      <c r="K53" t="s">
        <v>30</v>
      </c>
      <c r="L53">
        <v>5</v>
      </c>
      <c r="M53">
        <v>10.83</v>
      </c>
      <c r="N53">
        <v>896976</v>
      </c>
      <c r="O53">
        <v>1</v>
      </c>
    </row>
    <row r="54" spans="1:15">
      <c r="A54" t="s">
        <v>80</v>
      </c>
      <c r="B54" t="s">
        <v>24</v>
      </c>
      <c r="C54">
        <v>5</v>
      </c>
      <c r="D54">
        <v>675413</v>
      </c>
      <c r="E54">
        <v>2</v>
      </c>
      <c r="F54">
        <v>26</v>
      </c>
      <c r="G54">
        <v>451</v>
      </c>
      <c r="H54">
        <v>57771629</v>
      </c>
      <c r="I54">
        <v>45013</v>
      </c>
      <c r="J54" t="s">
        <v>17</v>
      </c>
      <c r="K54" t="s">
        <v>22</v>
      </c>
      <c r="L54">
        <v>8</v>
      </c>
      <c r="M54">
        <v>14.21</v>
      </c>
      <c r="N54">
        <v>859732</v>
      </c>
      <c r="O54">
        <v>1</v>
      </c>
    </row>
    <row r="55" spans="1:15">
      <c r="A55" t="s">
        <v>81</v>
      </c>
      <c r="B55" t="s">
        <v>16</v>
      </c>
      <c r="C55">
        <v>7</v>
      </c>
      <c r="D55">
        <v>44110266</v>
      </c>
      <c r="E55">
        <v>3</v>
      </c>
      <c r="F55">
        <v>1</v>
      </c>
      <c r="G55">
        <v>621</v>
      </c>
      <c r="H55">
        <v>21729624</v>
      </c>
      <c r="I55">
        <v>921224</v>
      </c>
      <c r="J55" t="s">
        <v>17</v>
      </c>
      <c r="K55" t="s">
        <v>18</v>
      </c>
      <c r="L55">
        <v>9</v>
      </c>
      <c r="M55">
        <v>14.32</v>
      </c>
      <c r="N55">
        <v>706655</v>
      </c>
      <c r="O55">
        <v>1</v>
      </c>
    </row>
    <row r="56" spans="1:15">
      <c r="A56" t="s">
        <v>82</v>
      </c>
      <c r="B56" t="s">
        <v>27</v>
      </c>
      <c r="C56">
        <v>10</v>
      </c>
      <c r="D56">
        <v>38596101</v>
      </c>
      <c r="E56">
        <v>4</v>
      </c>
      <c r="F56">
        <v>4</v>
      </c>
      <c r="G56">
        <v>169</v>
      </c>
      <c r="H56">
        <v>40950142</v>
      </c>
      <c r="I56">
        <v>203325</v>
      </c>
      <c r="J56" t="s">
        <v>21</v>
      </c>
      <c r="K56" t="s">
        <v>18</v>
      </c>
      <c r="L56">
        <v>2</v>
      </c>
      <c r="M56">
        <v>40.9</v>
      </c>
      <c r="N56">
        <v>382153</v>
      </c>
      <c r="O56">
        <v>1</v>
      </c>
    </row>
    <row r="57" spans="1:15">
      <c r="A57" t="s">
        <v>83</v>
      </c>
      <c r="B57" t="s">
        <v>27</v>
      </c>
      <c r="C57">
        <v>12</v>
      </c>
      <c r="D57">
        <v>17343842</v>
      </c>
      <c r="E57">
        <v>1</v>
      </c>
      <c r="F57">
        <v>15</v>
      </c>
      <c r="G57">
        <v>251</v>
      </c>
      <c r="H57">
        <v>41789321</v>
      </c>
      <c r="I57">
        <v>603141</v>
      </c>
      <c r="J57" t="s">
        <v>17</v>
      </c>
      <c r="K57" t="s">
        <v>22</v>
      </c>
      <c r="L57">
        <v>2</v>
      </c>
      <c r="M57">
        <v>16.350000000000001</v>
      </c>
      <c r="N57">
        <v>157756</v>
      </c>
      <c r="O57">
        <v>1</v>
      </c>
    </row>
    <row r="58" spans="1:15">
      <c r="A58" t="s">
        <v>84</v>
      </c>
      <c r="B58" t="s">
        <v>27</v>
      </c>
      <c r="C58">
        <v>0</v>
      </c>
      <c r="D58">
        <v>35436756</v>
      </c>
      <c r="E58">
        <v>4</v>
      </c>
      <c r="F58">
        <v>6</v>
      </c>
      <c r="G58">
        <v>715</v>
      </c>
      <c r="H58">
        <v>4796127</v>
      </c>
      <c r="I58">
        <v>358151</v>
      </c>
      <c r="J58" t="s">
        <v>25</v>
      </c>
      <c r="K58" t="s">
        <v>18</v>
      </c>
      <c r="L58">
        <v>7</v>
      </c>
      <c r="M58">
        <v>9.44</v>
      </c>
      <c r="N58">
        <v>748128</v>
      </c>
      <c r="O58">
        <v>1</v>
      </c>
    </row>
    <row r="59" spans="1:15">
      <c r="A59" t="s">
        <v>85</v>
      </c>
      <c r="B59" t="s">
        <v>16</v>
      </c>
      <c r="C59">
        <v>5</v>
      </c>
      <c r="D59">
        <v>32056708</v>
      </c>
      <c r="E59">
        <v>2</v>
      </c>
      <c r="F59">
        <v>14</v>
      </c>
      <c r="G59">
        <v>162</v>
      </c>
      <c r="H59">
        <v>44675913</v>
      </c>
      <c r="I59">
        <v>29134</v>
      </c>
      <c r="J59" t="s">
        <v>17</v>
      </c>
      <c r="K59" t="s">
        <v>30</v>
      </c>
      <c r="L59">
        <v>4</v>
      </c>
      <c r="M59">
        <v>41.71</v>
      </c>
      <c r="N59">
        <v>784120</v>
      </c>
      <c r="O59">
        <v>1</v>
      </c>
    </row>
    <row r="60" spans="1:15">
      <c r="A60" t="s">
        <v>86</v>
      </c>
      <c r="B60" t="s">
        <v>24</v>
      </c>
      <c r="C60">
        <v>5</v>
      </c>
      <c r="D60">
        <v>29656596</v>
      </c>
      <c r="E60">
        <v>4</v>
      </c>
      <c r="F60">
        <v>15</v>
      </c>
      <c r="G60">
        <v>623</v>
      </c>
      <c r="H60">
        <v>64175087</v>
      </c>
      <c r="I60">
        <v>237608</v>
      </c>
      <c r="J60" t="s">
        <v>17</v>
      </c>
      <c r="K60" t="s">
        <v>22</v>
      </c>
      <c r="L60">
        <v>6</v>
      </c>
      <c r="M60">
        <v>24.64</v>
      </c>
      <c r="N60">
        <v>864891</v>
      </c>
      <c r="O60">
        <v>1</v>
      </c>
    </row>
    <row r="61" spans="1:15">
      <c r="A61" t="s">
        <v>87</v>
      </c>
      <c r="B61" t="s">
        <v>24</v>
      </c>
      <c r="C61">
        <v>11</v>
      </c>
      <c r="D61">
        <v>23725346</v>
      </c>
      <c r="E61">
        <v>2</v>
      </c>
      <c r="F61">
        <v>28</v>
      </c>
      <c r="G61">
        <v>509</v>
      </c>
      <c r="H61">
        <v>77282665</v>
      </c>
      <c r="I61">
        <v>384404</v>
      </c>
      <c r="J61" t="s">
        <v>17</v>
      </c>
      <c r="K61" t="s">
        <v>18</v>
      </c>
      <c r="L61">
        <v>3</v>
      </c>
      <c r="M61">
        <v>94.62</v>
      </c>
      <c r="N61">
        <v>606346</v>
      </c>
      <c r="O61">
        <v>1</v>
      </c>
    </row>
    <row r="62" spans="1:15">
      <c r="A62" t="s">
        <v>88</v>
      </c>
      <c r="B62" t="s">
        <v>38</v>
      </c>
      <c r="C62">
        <v>3</v>
      </c>
      <c r="D62">
        <v>18519913</v>
      </c>
      <c r="E62">
        <v>2</v>
      </c>
      <c r="F62">
        <v>11</v>
      </c>
      <c r="G62">
        <v>662</v>
      </c>
      <c r="H62">
        <v>76459032</v>
      </c>
      <c r="I62">
        <v>385114</v>
      </c>
      <c r="J62" t="s">
        <v>21</v>
      </c>
      <c r="K62" t="s">
        <v>18</v>
      </c>
      <c r="L62">
        <v>3</v>
      </c>
      <c r="M62">
        <v>3.24</v>
      </c>
      <c r="N62">
        <v>634659</v>
      </c>
      <c r="O62">
        <v>1</v>
      </c>
    </row>
    <row r="63" spans="1:15">
      <c r="A63" t="s">
        <v>89</v>
      </c>
      <c r="B63" t="s">
        <v>24</v>
      </c>
      <c r="C63">
        <v>5</v>
      </c>
      <c r="D63">
        <v>1603212</v>
      </c>
      <c r="E63">
        <v>2</v>
      </c>
      <c r="F63">
        <v>9</v>
      </c>
      <c r="G63">
        <v>698</v>
      </c>
      <c r="H63">
        <v>41241205</v>
      </c>
      <c r="I63">
        <v>757639</v>
      </c>
      <c r="J63" t="s">
        <v>17</v>
      </c>
      <c r="K63" t="s">
        <v>18</v>
      </c>
      <c r="L63">
        <v>6</v>
      </c>
      <c r="M63">
        <v>67.569999999999993</v>
      </c>
      <c r="N63">
        <v>157329</v>
      </c>
      <c r="O63">
        <v>1</v>
      </c>
    </row>
    <row r="64" spans="1:15">
      <c r="A64" t="s">
        <v>90</v>
      </c>
      <c r="B64" t="s">
        <v>38</v>
      </c>
      <c r="C64">
        <v>4</v>
      </c>
      <c r="D64">
        <v>42120184</v>
      </c>
      <c r="E64">
        <v>3</v>
      </c>
      <c r="F64">
        <v>5</v>
      </c>
      <c r="G64">
        <v>336</v>
      </c>
      <c r="H64">
        <v>70743675</v>
      </c>
      <c r="I64">
        <v>159120</v>
      </c>
      <c r="J64" t="s">
        <v>21</v>
      </c>
      <c r="K64" t="s">
        <v>18</v>
      </c>
      <c r="L64">
        <v>7</v>
      </c>
      <c r="M64">
        <v>67.97</v>
      </c>
      <c r="N64">
        <v>243569</v>
      </c>
      <c r="O64">
        <v>1</v>
      </c>
    </row>
    <row r="65" spans="1:15">
      <c r="A65" t="s">
        <v>91</v>
      </c>
      <c r="B65" t="s">
        <v>38</v>
      </c>
      <c r="C65">
        <v>8</v>
      </c>
      <c r="D65">
        <v>7528811</v>
      </c>
      <c r="E65">
        <v>4</v>
      </c>
      <c r="F65">
        <v>5</v>
      </c>
      <c r="G65">
        <v>324</v>
      </c>
      <c r="H65">
        <v>59342815</v>
      </c>
      <c r="I65">
        <v>778866</v>
      </c>
      <c r="J65" t="s">
        <v>21</v>
      </c>
      <c r="K65" t="s">
        <v>30</v>
      </c>
      <c r="L65">
        <v>3</v>
      </c>
      <c r="M65">
        <v>38.11</v>
      </c>
      <c r="N65">
        <v>889255</v>
      </c>
      <c r="O65">
        <v>1</v>
      </c>
    </row>
    <row r="66" spans="1:15">
      <c r="A66" t="s">
        <v>92</v>
      </c>
      <c r="B66" t="s">
        <v>27</v>
      </c>
      <c r="C66">
        <v>11</v>
      </c>
      <c r="D66">
        <v>5367670</v>
      </c>
      <c r="E66">
        <v>2</v>
      </c>
      <c r="F66">
        <v>12</v>
      </c>
      <c r="G66">
        <v>341</v>
      </c>
      <c r="H66">
        <v>67204540</v>
      </c>
      <c r="I66">
        <v>908985</v>
      </c>
      <c r="J66" t="s">
        <v>17</v>
      </c>
      <c r="K66" t="s">
        <v>22</v>
      </c>
      <c r="L66">
        <v>8</v>
      </c>
      <c r="M66">
        <v>74.38</v>
      </c>
      <c r="N66">
        <v>604674</v>
      </c>
      <c r="O66">
        <v>1</v>
      </c>
    </row>
    <row r="67" spans="1:15">
      <c r="A67" t="s">
        <v>93</v>
      </c>
      <c r="B67" t="s">
        <v>32</v>
      </c>
      <c r="C67">
        <v>4</v>
      </c>
      <c r="D67">
        <v>7929441</v>
      </c>
      <c r="E67">
        <v>4</v>
      </c>
      <c r="F67">
        <v>12</v>
      </c>
      <c r="G67">
        <v>852</v>
      </c>
      <c r="H67">
        <v>89972520</v>
      </c>
      <c r="I67">
        <v>955376</v>
      </c>
      <c r="J67" t="s">
        <v>17</v>
      </c>
      <c r="K67" t="s">
        <v>30</v>
      </c>
      <c r="L67">
        <v>1</v>
      </c>
      <c r="M67">
        <v>14.61</v>
      </c>
      <c r="N67">
        <v>27192</v>
      </c>
      <c r="O67">
        <v>1</v>
      </c>
    </row>
    <row r="68" spans="1:15">
      <c r="A68" t="s">
        <v>94</v>
      </c>
      <c r="B68" t="s">
        <v>38</v>
      </c>
      <c r="C68">
        <v>14</v>
      </c>
      <c r="D68">
        <v>30779731</v>
      </c>
      <c r="E68">
        <v>1</v>
      </c>
      <c r="F68">
        <v>11</v>
      </c>
      <c r="G68">
        <v>18</v>
      </c>
      <c r="H68">
        <v>64820766</v>
      </c>
      <c r="I68">
        <v>782928</v>
      </c>
      <c r="J68" t="s">
        <v>21</v>
      </c>
      <c r="K68" t="s">
        <v>22</v>
      </c>
      <c r="L68">
        <v>2</v>
      </c>
      <c r="M68">
        <v>9.7200000000000006</v>
      </c>
      <c r="N68">
        <v>434625</v>
      </c>
      <c r="O68">
        <v>1</v>
      </c>
    </row>
    <row r="69" spans="1:15">
      <c r="A69" t="s">
        <v>95</v>
      </c>
      <c r="B69" t="s">
        <v>24</v>
      </c>
      <c r="C69">
        <v>8</v>
      </c>
      <c r="D69">
        <v>11284847</v>
      </c>
      <c r="E69">
        <v>4</v>
      </c>
      <c r="F69">
        <v>0</v>
      </c>
      <c r="G69">
        <v>54</v>
      </c>
      <c r="H69">
        <v>4812841</v>
      </c>
      <c r="I69">
        <v>881269</v>
      </c>
      <c r="J69" t="s">
        <v>21</v>
      </c>
      <c r="K69" t="s">
        <v>30</v>
      </c>
      <c r="L69">
        <v>6</v>
      </c>
      <c r="M69">
        <v>66.61</v>
      </c>
      <c r="N69">
        <v>853276</v>
      </c>
      <c r="O69">
        <v>1</v>
      </c>
    </row>
    <row r="70" spans="1:15">
      <c r="A70" t="s">
        <v>96</v>
      </c>
      <c r="B70" t="s">
        <v>32</v>
      </c>
      <c r="C70">
        <v>1</v>
      </c>
      <c r="D70">
        <v>18566308</v>
      </c>
      <c r="E70">
        <v>3</v>
      </c>
      <c r="F70">
        <v>15</v>
      </c>
      <c r="G70">
        <v>264</v>
      </c>
      <c r="H70">
        <v>76489399</v>
      </c>
      <c r="I70">
        <v>446690</v>
      </c>
      <c r="J70" t="s">
        <v>21</v>
      </c>
      <c r="K70" t="s">
        <v>22</v>
      </c>
      <c r="L70">
        <v>1</v>
      </c>
      <c r="M70">
        <v>12.97</v>
      </c>
      <c r="N70">
        <v>611356</v>
      </c>
      <c r="O70">
        <v>1</v>
      </c>
    </row>
    <row r="71" spans="1:15">
      <c r="A71" t="s">
        <v>97</v>
      </c>
      <c r="B71" t="s">
        <v>38</v>
      </c>
      <c r="C71">
        <v>8</v>
      </c>
      <c r="D71">
        <v>12034761</v>
      </c>
      <c r="E71">
        <v>2</v>
      </c>
      <c r="F71">
        <v>13</v>
      </c>
      <c r="G71">
        <v>49</v>
      </c>
      <c r="H71">
        <v>36479232</v>
      </c>
      <c r="I71">
        <v>754718</v>
      </c>
      <c r="J71" t="s">
        <v>25</v>
      </c>
      <c r="K71" t="s">
        <v>22</v>
      </c>
      <c r="L71">
        <v>9</v>
      </c>
      <c r="M71">
        <v>31.62</v>
      </c>
      <c r="N71">
        <v>668876</v>
      </c>
      <c r="O71">
        <v>1</v>
      </c>
    </row>
    <row r="72" spans="1:15">
      <c r="A72" t="s">
        <v>98</v>
      </c>
      <c r="B72" t="s">
        <v>29</v>
      </c>
      <c r="C72">
        <v>10</v>
      </c>
      <c r="D72">
        <v>35394775</v>
      </c>
      <c r="E72">
        <v>3</v>
      </c>
      <c r="F72">
        <v>24</v>
      </c>
      <c r="G72">
        <v>340</v>
      </c>
      <c r="H72">
        <v>14079048</v>
      </c>
      <c r="I72">
        <v>812559</v>
      </c>
      <c r="J72" t="s">
        <v>17</v>
      </c>
      <c r="K72" t="s">
        <v>30</v>
      </c>
      <c r="L72">
        <v>8</v>
      </c>
      <c r="M72">
        <v>67.150000000000006</v>
      </c>
      <c r="N72">
        <v>454592</v>
      </c>
      <c r="O72">
        <v>1</v>
      </c>
    </row>
    <row r="73" spans="1:15">
      <c r="A73" t="s">
        <v>99</v>
      </c>
      <c r="B73" t="s">
        <v>20</v>
      </c>
      <c r="C73">
        <v>12</v>
      </c>
      <c r="D73">
        <v>31623899</v>
      </c>
      <c r="E73">
        <v>4</v>
      </c>
      <c r="F73">
        <v>23</v>
      </c>
      <c r="G73">
        <v>365</v>
      </c>
      <c r="H73">
        <v>83494704</v>
      </c>
      <c r="I73">
        <v>707360</v>
      </c>
      <c r="J73" t="s">
        <v>25</v>
      </c>
      <c r="K73" t="s">
        <v>22</v>
      </c>
      <c r="L73">
        <v>6</v>
      </c>
      <c r="M73">
        <v>8.33</v>
      </c>
      <c r="N73">
        <v>907194</v>
      </c>
      <c r="O73">
        <v>1</v>
      </c>
    </row>
    <row r="74" spans="1:15">
      <c r="A74" t="s">
        <v>100</v>
      </c>
      <c r="B74" t="s">
        <v>29</v>
      </c>
      <c r="C74">
        <v>12</v>
      </c>
      <c r="D74">
        <v>12222557</v>
      </c>
      <c r="E74">
        <v>3</v>
      </c>
      <c r="F74">
        <v>21</v>
      </c>
      <c r="G74">
        <v>364</v>
      </c>
      <c r="H74">
        <v>69417912</v>
      </c>
      <c r="I74">
        <v>792925</v>
      </c>
      <c r="J74" t="s">
        <v>21</v>
      </c>
      <c r="K74" t="s">
        <v>22</v>
      </c>
      <c r="L74">
        <v>6</v>
      </c>
      <c r="M74">
        <v>68.23</v>
      </c>
      <c r="N74">
        <v>821516</v>
      </c>
      <c r="O74">
        <v>1</v>
      </c>
    </row>
    <row r="75" spans="1:15">
      <c r="A75" t="s">
        <v>101</v>
      </c>
      <c r="B75" t="s">
        <v>29</v>
      </c>
      <c r="C75">
        <v>10</v>
      </c>
      <c r="D75">
        <v>6979695</v>
      </c>
      <c r="E75">
        <v>1</v>
      </c>
      <c r="F75">
        <v>3</v>
      </c>
      <c r="G75">
        <v>240</v>
      </c>
      <c r="H75">
        <v>58776373</v>
      </c>
      <c r="I75">
        <v>63979</v>
      </c>
      <c r="J75" t="s">
        <v>17</v>
      </c>
      <c r="K75" t="s">
        <v>18</v>
      </c>
      <c r="L75">
        <v>6</v>
      </c>
      <c r="M75">
        <v>68.05</v>
      </c>
      <c r="N75">
        <v>37848</v>
      </c>
      <c r="O75">
        <v>1</v>
      </c>
    </row>
    <row r="76" spans="1:15">
      <c r="A76" t="s">
        <v>102</v>
      </c>
      <c r="B76" t="s">
        <v>29</v>
      </c>
      <c r="C76">
        <v>12</v>
      </c>
      <c r="D76">
        <v>23712489</v>
      </c>
      <c r="E76">
        <v>1</v>
      </c>
      <c r="F76">
        <v>0</v>
      </c>
      <c r="G76">
        <v>86</v>
      </c>
      <c r="H76">
        <v>25958910</v>
      </c>
      <c r="I76">
        <v>352524</v>
      </c>
      <c r="J76" t="s">
        <v>17</v>
      </c>
      <c r="K76" t="s">
        <v>30</v>
      </c>
      <c r="L76">
        <v>1</v>
      </c>
      <c r="M76">
        <v>29.61</v>
      </c>
      <c r="N76">
        <v>127437</v>
      </c>
      <c r="O76">
        <v>1</v>
      </c>
    </row>
    <row r="77" spans="1:15">
      <c r="A77" t="s">
        <v>103</v>
      </c>
      <c r="B77" t="s">
        <v>16</v>
      </c>
      <c r="C77">
        <v>5</v>
      </c>
      <c r="D77">
        <v>18997328</v>
      </c>
      <c r="E77">
        <v>1</v>
      </c>
      <c r="F77">
        <v>4</v>
      </c>
      <c r="G77">
        <v>222</v>
      </c>
      <c r="H77">
        <v>9449383</v>
      </c>
      <c r="I77">
        <v>83413</v>
      </c>
      <c r="J77" t="s">
        <v>25</v>
      </c>
      <c r="K77" t="s">
        <v>18</v>
      </c>
      <c r="L77">
        <v>7</v>
      </c>
      <c r="M77">
        <v>76.2</v>
      </c>
      <c r="N77">
        <v>907499</v>
      </c>
      <c r="O77">
        <v>1</v>
      </c>
    </row>
    <row r="78" spans="1:15">
      <c r="A78" t="s">
        <v>104</v>
      </c>
      <c r="B78" t="s">
        <v>24</v>
      </c>
      <c r="C78">
        <v>14</v>
      </c>
      <c r="D78">
        <v>9634999</v>
      </c>
      <c r="E78">
        <v>2</v>
      </c>
      <c r="F78">
        <v>25</v>
      </c>
      <c r="G78">
        <v>990</v>
      </c>
      <c r="H78">
        <v>18044963</v>
      </c>
      <c r="I78">
        <v>493831</v>
      </c>
      <c r="J78" t="s">
        <v>21</v>
      </c>
      <c r="K78" t="s">
        <v>18</v>
      </c>
      <c r="L78">
        <v>7</v>
      </c>
      <c r="M78">
        <v>8.85</v>
      </c>
      <c r="N78">
        <v>467600</v>
      </c>
      <c r="O78">
        <v>1</v>
      </c>
    </row>
    <row r="79" spans="1:15">
      <c r="A79" t="s">
        <v>105</v>
      </c>
      <c r="B79" t="s">
        <v>16</v>
      </c>
      <c r="C79">
        <v>14</v>
      </c>
      <c r="D79">
        <v>23179918</v>
      </c>
      <c r="E79">
        <v>4</v>
      </c>
      <c r="F79">
        <v>15</v>
      </c>
      <c r="G79">
        <v>336</v>
      </c>
      <c r="H79">
        <v>38538013</v>
      </c>
      <c r="I79">
        <v>161662</v>
      </c>
      <c r="J79" t="s">
        <v>17</v>
      </c>
      <c r="K79" t="s">
        <v>30</v>
      </c>
      <c r="L79">
        <v>2</v>
      </c>
      <c r="M79">
        <v>81.430000000000007</v>
      </c>
      <c r="N79">
        <v>918492</v>
      </c>
      <c r="O79">
        <v>1</v>
      </c>
    </row>
    <row r="80" spans="1:15">
      <c r="A80" t="s">
        <v>106</v>
      </c>
      <c r="B80" t="s">
        <v>20</v>
      </c>
      <c r="C80">
        <v>8</v>
      </c>
      <c r="D80">
        <v>43449657</v>
      </c>
      <c r="E80">
        <v>4</v>
      </c>
      <c r="F80">
        <v>9</v>
      </c>
      <c r="G80">
        <v>892</v>
      </c>
      <c r="H80">
        <v>54725529</v>
      </c>
      <c r="I80">
        <v>454259</v>
      </c>
      <c r="J80" t="s">
        <v>17</v>
      </c>
      <c r="K80" t="s">
        <v>18</v>
      </c>
      <c r="L80">
        <v>9</v>
      </c>
      <c r="M80">
        <v>35.46</v>
      </c>
      <c r="N80">
        <v>643200</v>
      </c>
      <c r="O80">
        <v>1</v>
      </c>
    </row>
    <row r="81" spans="1:15">
      <c r="A81" t="s">
        <v>107</v>
      </c>
      <c r="B81" t="s">
        <v>27</v>
      </c>
      <c r="C81">
        <v>0</v>
      </c>
      <c r="D81">
        <v>14853499</v>
      </c>
      <c r="E81">
        <v>1</v>
      </c>
      <c r="F81">
        <v>13</v>
      </c>
      <c r="G81">
        <v>765</v>
      </c>
      <c r="H81">
        <v>68432135</v>
      </c>
      <c r="I81">
        <v>263216</v>
      </c>
      <c r="J81" t="s">
        <v>17</v>
      </c>
      <c r="K81" t="s">
        <v>30</v>
      </c>
      <c r="L81">
        <v>8</v>
      </c>
      <c r="M81">
        <v>6.53</v>
      </c>
      <c r="N81">
        <v>241860</v>
      </c>
      <c r="O81">
        <v>1</v>
      </c>
    </row>
    <row r="82" spans="1:15">
      <c r="A82" t="s">
        <v>108</v>
      </c>
      <c r="B82" t="s">
        <v>38</v>
      </c>
      <c r="C82">
        <v>2</v>
      </c>
      <c r="D82">
        <v>9651950</v>
      </c>
      <c r="E82">
        <v>4</v>
      </c>
      <c r="F82">
        <v>0</v>
      </c>
      <c r="G82">
        <v>260</v>
      </c>
      <c r="H82">
        <v>4632736</v>
      </c>
      <c r="I82">
        <v>434632</v>
      </c>
      <c r="J82" t="s">
        <v>25</v>
      </c>
      <c r="K82" t="s">
        <v>18</v>
      </c>
      <c r="L82">
        <v>3</v>
      </c>
      <c r="M82">
        <v>23</v>
      </c>
      <c r="N82">
        <v>741810</v>
      </c>
      <c r="O82">
        <v>1</v>
      </c>
    </row>
    <row r="83" spans="1:15">
      <c r="A83" t="s">
        <v>109</v>
      </c>
      <c r="B83" t="s">
        <v>24</v>
      </c>
      <c r="C83">
        <v>12</v>
      </c>
      <c r="D83">
        <v>13138896</v>
      </c>
      <c r="E83">
        <v>4</v>
      </c>
      <c r="F83">
        <v>7</v>
      </c>
      <c r="G83">
        <v>476</v>
      </c>
      <c r="H83">
        <v>89188811</v>
      </c>
      <c r="I83">
        <v>83747</v>
      </c>
      <c r="J83" t="s">
        <v>21</v>
      </c>
      <c r="K83" t="s">
        <v>18</v>
      </c>
      <c r="L83">
        <v>4</v>
      </c>
      <c r="M83">
        <v>31.99</v>
      </c>
      <c r="N83">
        <v>248795</v>
      </c>
      <c r="O83">
        <v>1</v>
      </c>
    </row>
    <row r="84" spans="1:15">
      <c r="A84" t="s">
        <v>110</v>
      </c>
      <c r="B84" t="s">
        <v>24</v>
      </c>
      <c r="C84">
        <v>4</v>
      </c>
      <c r="D84">
        <v>46495824</v>
      </c>
      <c r="E84">
        <v>4</v>
      </c>
      <c r="F84">
        <v>21</v>
      </c>
      <c r="G84">
        <v>627</v>
      </c>
      <c r="H84">
        <v>68425974</v>
      </c>
      <c r="I84">
        <v>603837</v>
      </c>
      <c r="J84" t="s">
        <v>25</v>
      </c>
      <c r="K84" t="s">
        <v>18</v>
      </c>
      <c r="L84">
        <v>6</v>
      </c>
      <c r="M84">
        <v>33.979999999999997</v>
      </c>
      <c r="N84">
        <v>126271</v>
      </c>
      <c r="O84">
        <v>1</v>
      </c>
    </row>
    <row r="85" spans="1:15">
      <c r="A85" t="s">
        <v>111</v>
      </c>
      <c r="B85" t="s">
        <v>24</v>
      </c>
      <c r="C85">
        <v>7</v>
      </c>
      <c r="D85">
        <v>34221114</v>
      </c>
      <c r="E85">
        <v>1</v>
      </c>
      <c r="F85">
        <v>7</v>
      </c>
      <c r="G85">
        <v>932</v>
      </c>
      <c r="H85">
        <v>10373401</v>
      </c>
      <c r="I85">
        <v>111682</v>
      </c>
      <c r="J85" t="s">
        <v>17</v>
      </c>
      <c r="K85" t="s">
        <v>18</v>
      </c>
      <c r="L85">
        <v>8</v>
      </c>
      <c r="M85">
        <v>52.4</v>
      </c>
      <c r="N85">
        <v>589002</v>
      </c>
      <c r="O85">
        <v>1</v>
      </c>
    </row>
    <row r="86" spans="1:15">
      <c r="A86" t="s">
        <v>112</v>
      </c>
      <c r="B86" t="s">
        <v>27</v>
      </c>
      <c r="C86">
        <v>11</v>
      </c>
      <c r="D86">
        <v>15599293</v>
      </c>
      <c r="E86">
        <v>1</v>
      </c>
      <c r="F86">
        <v>4</v>
      </c>
      <c r="G86">
        <v>389</v>
      </c>
      <c r="H86">
        <v>71836315</v>
      </c>
      <c r="I86">
        <v>260412</v>
      </c>
      <c r="J86" t="s">
        <v>17</v>
      </c>
      <c r="K86" t="s">
        <v>22</v>
      </c>
      <c r="L86">
        <v>4</v>
      </c>
      <c r="M86">
        <v>4.2</v>
      </c>
      <c r="N86">
        <v>235165</v>
      </c>
      <c r="O86">
        <v>1</v>
      </c>
    </row>
    <row r="87" spans="1:15">
      <c r="A87" t="s">
        <v>113</v>
      </c>
      <c r="B87" t="s">
        <v>16</v>
      </c>
      <c r="C87">
        <v>6</v>
      </c>
      <c r="D87">
        <v>19753431</v>
      </c>
      <c r="E87">
        <v>3</v>
      </c>
      <c r="F87">
        <v>28</v>
      </c>
      <c r="G87">
        <v>762</v>
      </c>
      <c r="H87">
        <v>30315871</v>
      </c>
      <c r="I87">
        <v>376858</v>
      </c>
      <c r="J87" t="s">
        <v>21</v>
      </c>
      <c r="K87" t="s">
        <v>30</v>
      </c>
      <c r="L87">
        <v>2</v>
      </c>
      <c r="M87">
        <v>5.59</v>
      </c>
      <c r="N87">
        <v>202927</v>
      </c>
      <c r="O87">
        <v>1</v>
      </c>
    </row>
    <row r="88" spans="1:15">
      <c r="A88" t="s">
        <v>114</v>
      </c>
      <c r="B88" t="s">
        <v>20</v>
      </c>
      <c r="C88">
        <v>5</v>
      </c>
      <c r="D88">
        <v>15383398</v>
      </c>
      <c r="E88">
        <v>3</v>
      </c>
      <c r="F88">
        <v>12</v>
      </c>
      <c r="G88">
        <v>426</v>
      </c>
      <c r="H88">
        <v>41971808</v>
      </c>
      <c r="I88">
        <v>455353</v>
      </c>
      <c r="J88" t="s">
        <v>21</v>
      </c>
      <c r="K88" t="s">
        <v>30</v>
      </c>
      <c r="L88">
        <v>2</v>
      </c>
      <c r="M88">
        <v>30.29</v>
      </c>
      <c r="N88">
        <v>915156</v>
      </c>
      <c r="O88">
        <v>1</v>
      </c>
    </row>
    <row r="89" spans="1:15">
      <c r="A89" t="s">
        <v>115</v>
      </c>
      <c r="B89" t="s">
        <v>38</v>
      </c>
      <c r="C89">
        <v>5</v>
      </c>
      <c r="D89">
        <v>7900965</v>
      </c>
      <c r="E89">
        <v>1</v>
      </c>
      <c r="F89">
        <v>28</v>
      </c>
      <c r="G89">
        <v>88</v>
      </c>
      <c r="H89">
        <v>70077343</v>
      </c>
      <c r="I89">
        <v>135477</v>
      </c>
      <c r="J89" t="s">
        <v>17</v>
      </c>
      <c r="K89" t="s">
        <v>30</v>
      </c>
      <c r="L89">
        <v>2</v>
      </c>
      <c r="M89">
        <v>36.950000000000003</v>
      </c>
      <c r="N89">
        <v>268687</v>
      </c>
      <c r="O89">
        <v>1</v>
      </c>
    </row>
    <row r="90" spans="1:15">
      <c r="A90" t="s">
        <v>116</v>
      </c>
      <c r="B90" t="s">
        <v>32</v>
      </c>
      <c r="C90">
        <v>5</v>
      </c>
      <c r="D90">
        <v>40038073</v>
      </c>
      <c r="E90">
        <v>4</v>
      </c>
      <c r="F90">
        <v>29</v>
      </c>
      <c r="G90">
        <v>654</v>
      </c>
      <c r="H90">
        <v>98106162</v>
      </c>
      <c r="I90">
        <v>911778</v>
      </c>
      <c r="J90" t="s">
        <v>21</v>
      </c>
      <c r="K90" t="s">
        <v>22</v>
      </c>
      <c r="L90">
        <v>2</v>
      </c>
      <c r="M90">
        <v>78.14</v>
      </c>
      <c r="N90">
        <v>118470</v>
      </c>
      <c r="O90">
        <v>1</v>
      </c>
    </row>
    <row r="91" spans="1:15">
      <c r="A91" t="s">
        <v>117</v>
      </c>
      <c r="B91" t="s">
        <v>32</v>
      </c>
      <c r="C91">
        <v>6</v>
      </c>
      <c r="D91">
        <v>37920093</v>
      </c>
      <c r="E91">
        <v>4</v>
      </c>
      <c r="F91">
        <v>23</v>
      </c>
      <c r="G91">
        <v>678</v>
      </c>
      <c r="H91">
        <v>93025682</v>
      </c>
      <c r="I91">
        <v>372445</v>
      </c>
      <c r="J91" t="s">
        <v>21</v>
      </c>
      <c r="K91" t="s">
        <v>30</v>
      </c>
      <c r="L91">
        <v>6</v>
      </c>
      <c r="M91">
        <v>35.090000000000003</v>
      </c>
      <c r="N91">
        <v>710295</v>
      </c>
      <c r="O91">
        <v>1</v>
      </c>
    </row>
    <row r="92" spans="1:15">
      <c r="A92" t="s">
        <v>118</v>
      </c>
      <c r="B92" t="s">
        <v>16</v>
      </c>
      <c r="C92">
        <v>0</v>
      </c>
      <c r="D92">
        <v>7554350</v>
      </c>
      <c r="E92">
        <v>3</v>
      </c>
      <c r="F92">
        <v>19</v>
      </c>
      <c r="G92">
        <v>752</v>
      </c>
      <c r="H92">
        <v>47510260</v>
      </c>
      <c r="I92">
        <v>611413</v>
      </c>
      <c r="J92" t="s">
        <v>25</v>
      </c>
      <c r="K92" t="s">
        <v>22</v>
      </c>
      <c r="L92">
        <v>6</v>
      </c>
      <c r="M92">
        <v>53.22</v>
      </c>
      <c r="N92">
        <v>900436</v>
      </c>
      <c r="O92">
        <v>1</v>
      </c>
    </row>
    <row r="93" spans="1:15">
      <c r="A93" t="s">
        <v>119</v>
      </c>
      <c r="B93" t="s">
        <v>16</v>
      </c>
      <c r="C93">
        <v>11</v>
      </c>
      <c r="D93">
        <v>7128856</v>
      </c>
      <c r="E93">
        <v>2</v>
      </c>
      <c r="F93">
        <v>29</v>
      </c>
      <c r="G93">
        <v>430</v>
      </c>
      <c r="H93">
        <v>44784491</v>
      </c>
      <c r="I93">
        <v>768275</v>
      </c>
      <c r="J93" t="s">
        <v>25</v>
      </c>
      <c r="K93" t="s">
        <v>30</v>
      </c>
      <c r="L93">
        <v>3</v>
      </c>
      <c r="M93">
        <v>15.68</v>
      </c>
      <c r="N93">
        <v>827396</v>
      </c>
      <c r="O93">
        <v>1</v>
      </c>
    </row>
    <row r="94" spans="1:15">
      <c r="A94" t="s">
        <v>120</v>
      </c>
      <c r="B94" t="s">
        <v>32</v>
      </c>
      <c r="C94">
        <v>3</v>
      </c>
      <c r="D94">
        <v>18316133</v>
      </c>
      <c r="E94">
        <v>2</v>
      </c>
      <c r="F94">
        <v>14</v>
      </c>
      <c r="G94">
        <v>608</v>
      </c>
      <c r="H94">
        <v>53607790</v>
      </c>
      <c r="I94">
        <v>260855</v>
      </c>
      <c r="J94" t="s">
        <v>17</v>
      </c>
      <c r="K94" t="s">
        <v>30</v>
      </c>
      <c r="L94">
        <v>6</v>
      </c>
      <c r="M94">
        <v>82.76</v>
      </c>
      <c r="N94">
        <v>810484</v>
      </c>
      <c r="O94">
        <v>1</v>
      </c>
    </row>
    <row r="95" spans="1:15">
      <c r="A95" t="s">
        <v>121</v>
      </c>
      <c r="B95" t="s">
        <v>24</v>
      </c>
      <c r="C95">
        <v>14</v>
      </c>
      <c r="D95">
        <v>41149128</v>
      </c>
      <c r="E95">
        <v>4</v>
      </c>
      <c r="F95">
        <v>11</v>
      </c>
      <c r="G95">
        <v>424</v>
      </c>
      <c r="H95">
        <v>52757975</v>
      </c>
      <c r="I95">
        <v>887435</v>
      </c>
      <c r="J95" t="s">
        <v>17</v>
      </c>
      <c r="K95" t="s">
        <v>30</v>
      </c>
      <c r="L95">
        <v>3</v>
      </c>
      <c r="M95">
        <v>49.93</v>
      </c>
      <c r="N95">
        <v>541298</v>
      </c>
      <c r="O95">
        <v>1</v>
      </c>
    </row>
    <row r="96" spans="1:15">
      <c r="A96" t="s">
        <v>122</v>
      </c>
      <c r="B96" t="s">
        <v>24</v>
      </c>
      <c r="C96">
        <v>12</v>
      </c>
      <c r="D96">
        <v>29596845</v>
      </c>
      <c r="E96">
        <v>1</v>
      </c>
      <c r="F96">
        <v>20</v>
      </c>
      <c r="G96">
        <v>171</v>
      </c>
      <c r="H96">
        <v>60817626</v>
      </c>
      <c r="I96">
        <v>957475</v>
      </c>
      <c r="J96" t="s">
        <v>21</v>
      </c>
      <c r="K96" t="s">
        <v>18</v>
      </c>
      <c r="L96">
        <v>9</v>
      </c>
      <c r="M96">
        <v>28.27</v>
      </c>
      <c r="N96">
        <v>213087</v>
      </c>
      <c r="O96">
        <v>1</v>
      </c>
    </row>
    <row r="97" spans="1:15">
      <c r="A97" t="s">
        <v>123</v>
      </c>
      <c r="B97" t="s">
        <v>24</v>
      </c>
      <c r="C97">
        <v>10</v>
      </c>
      <c r="D97">
        <v>31992021</v>
      </c>
      <c r="E97">
        <v>1</v>
      </c>
      <c r="F97">
        <v>19</v>
      </c>
      <c r="G97">
        <v>167</v>
      </c>
      <c r="H97">
        <v>58491007</v>
      </c>
      <c r="I97">
        <v>159276</v>
      </c>
      <c r="J97" t="s">
        <v>25</v>
      </c>
      <c r="K97" t="s">
        <v>18</v>
      </c>
      <c r="L97">
        <v>1</v>
      </c>
      <c r="M97">
        <v>64.14</v>
      </c>
      <c r="N97">
        <v>297616</v>
      </c>
      <c r="O97">
        <v>1</v>
      </c>
    </row>
    <row r="98" spans="1:15">
      <c r="A98" t="s">
        <v>124</v>
      </c>
      <c r="B98" t="s">
        <v>24</v>
      </c>
      <c r="C98">
        <v>10</v>
      </c>
      <c r="D98">
        <v>44058261</v>
      </c>
      <c r="E98">
        <v>3</v>
      </c>
      <c r="F98">
        <v>7</v>
      </c>
      <c r="G98">
        <v>959</v>
      </c>
      <c r="H98">
        <v>24332335</v>
      </c>
      <c r="I98">
        <v>607196</v>
      </c>
      <c r="J98" t="s">
        <v>17</v>
      </c>
      <c r="K98" t="s">
        <v>22</v>
      </c>
      <c r="L98">
        <v>1</v>
      </c>
      <c r="M98">
        <v>5.16</v>
      </c>
      <c r="N98">
        <v>419845</v>
      </c>
      <c r="O98">
        <v>1</v>
      </c>
    </row>
    <row r="99" spans="1:15">
      <c r="A99" t="s">
        <v>125</v>
      </c>
      <c r="B99" t="s">
        <v>38</v>
      </c>
      <c r="C99">
        <v>1</v>
      </c>
      <c r="D99">
        <v>38318256</v>
      </c>
      <c r="E99">
        <v>4</v>
      </c>
      <c r="F99">
        <v>18</v>
      </c>
      <c r="G99">
        <v>804</v>
      </c>
      <c r="H99">
        <v>61669123</v>
      </c>
      <c r="I99">
        <v>768333</v>
      </c>
      <c r="J99" t="s">
        <v>21</v>
      </c>
      <c r="K99" t="s">
        <v>18</v>
      </c>
      <c r="L99">
        <v>7</v>
      </c>
      <c r="M99">
        <v>37.31</v>
      </c>
      <c r="N99">
        <v>129366</v>
      </c>
      <c r="O99">
        <v>1</v>
      </c>
    </row>
    <row r="100" spans="1:15">
      <c r="A100" t="s">
        <v>126</v>
      </c>
      <c r="B100" t="s">
        <v>16</v>
      </c>
      <c r="C100">
        <v>10</v>
      </c>
      <c r="D100">
        <v>17382157</v>
      </c>
      <c r="E100">
        <v>4</v>
      </c>
      <c r="F100">
        <v>8</v>
      </c>
      <c r="G100">
        <v>951</v>
      </c>
      <c r="H100">
        <v>86905412</v>
      </c>
      <c r="I100">
        <v>303429</v>
      </c>
      <c r="J100" t="s">
        <v>17</v>
      </c>
      <c r="K100" t="s">
        <v>18</v>
      </c>
      <c r="L100">
        <v>7</v>
      </c>
      <c r="M100">
        <v>17.84</v>
      </c>
      <c r="N100">
        <v>345069</v>
      </c>
      <c r="O100">
        <v>1</v>
      </c>
    </row>
    <row r="101" spans="1:15">
      <c r="A101" t="s">
        <v>127</v>
      </c>
      <c r="B101" t="s">
        <v>32</v>
      </c>
      <c r="C101">
        <v>9</v>
      </c>
      <c r="D101">
        <v>16664432</v>
      </c>
      <c r="E101">
        <v>4</v>
      </c>
      <c r="F101">
        <v>8</v>
      </c>
      <c r="G101">
        <v>415</v>
      </c>
      <c r="H101">
        <v>67796141</v>
      </c>
      <c r="I101">
        <v>400530</v>
      </c>
      <c r="J101" t="s">
        <v>21</v>
      </c>
      <c r="K101" t="s">
        <v>30</v>
      </c>
      <c r="L101">
        <v>7</v>
      </c>
      <c r="M101">
        <v>37.15</v>
      </c>
      <c r="N101">
        <v>284616</v>
      </c>
      <c r="O101">
        <v>1</v>
      </c>
    </row>
    <row r="102" spans="1:15">
      <c r="A102" t="s">
        <v>128</v>
      </c>
      <c r="B102" t="s">
        <v>38</v>
      </c>
      <c r="C102">
        <v>8</v>
      </c>
      <c r="D102">
        <v>47016211</v>
      </c>
      <c r="E102">
        <v>3</v>
      </c>
      <c r="F102">
        <v>22</v>
      </c>
      <c r="G102">
        <v>413</v>
      </c>
      <c r="H102">
        <v>84812277</v>
      </c>
      <c r="I102">
        <v>235201</v>
      </c>
      <c r="J102" t="s">
        <v>17</v>
      </c>
      <c r="K102" t="s">
        <v>22</v>
      </c>
      <c r="L102">
        <v>1</v>
      </c>
      <c r="M102">
        <v>14.3</v>
      </c>
      <c r="N102">
        <v>569194</v>
      </c>
      <c r="O102">
        <v>1</v>
      </c>
    </row>
    <row r="103" spans="1:15">
      <c r="A103" t="s">
        <v>129</v>
      </c>
      <c r="B103" t="s">
        <v>16</v>
      </c>
      <c r="C103">
        <v>2</v>
      </c>
      <c r="D103">
        <v>5955258</v>
      </c>
      <c r="E103">
        <v>1</v>
      </c>
      <c r="F103">
        <v>12</v>
      </c>
      <c r="G103">
        <v>510</v>
      </c>
      <c r="H103">
        <v>92901067</v>
      </c>
      <c r="I103">
        <v>468364</v>
      </c>
      <c r="J103" t="s">
        <v>17</v>
      </c>
      <c r="K103" t="s">
        <v>30</v>
      </c>
      <c r="L103">
        <v>7</v>
      </c>
      <c r="M103">
        <v>99.78</v>
      </c>
      <c r="N103">
        <v>668631</v>
      </c>
      <c r="O103">
        <v>1</v>
      </c>
    </row>
    <row r="104" spans="1:15">
      <c r="A104" t="s">
        <v>130</v>
      </c>
      <c r="B104" t="s">
        <v>16</v>
      </c>
      <c r="C104">
        <v>12</v>
      </c>
      <c r="D104">
        <v>34331374</v>
      </c>
      <c r="E104">
        <v>3</v>
      </c>
      <c r="F104">
        <v>27</v>
      </c>
      <c r="G104">
        <v>620</v>
      </c>
      <c r="H104">
        <v>25836271</v>
      </c>
      <c r="I104">
        <v>678174</v>
      </c>
      <c r="J104" t="s">
        <v>21</v>
      </c>
      <c r="K104" t="s">
        <v>30</v>
      </c>
      <c r="L104">
        <v>8</v>
      </c>
      <c r="M104">
        <v>91.9</v>
      </c>
      <c r="N104">
        <v>240567</v>
      </c>
      <c r="O104">
        <v>1</v>
      </c>
    </row>
    <row r="105" spans="1:15">
      <c r="A105" t="s">
        <v>131</v>
      </c>
      <c r="B105" t="s">
        <v>24</v>
      </c>
      <c r="C105">
        <v>12</v>
      </c>
      <c r="D105">
        <v>45573763</v>
      </c>
      <c r="E105">
        <v>2</v>
      </c>
      <c r="F105">
        <v>29</v>
      </c>
      <c r="G105">
        <v>173</v>
      </c>
      <c r="H105">
        <v>66434260</v>
      </c>
      <c r="I105">
        <v>418186</v>
      </c>
      <c r="J105" t="s">
        <v>21</v>
      </c>
      <c r="K105" t="s">
        <v>18</v>
      </c>
      <c r="L105">
        <v>6</v>
      </c>
      <c r="M105">
        <v>38.86</v>
      </c>
      <c r="N105">
        <v>139285</v>
      </c>
      <c r="O105">
        <v>1</v>
      </c>
    </row>
    <row r="106" spans="1:15">
      <c r="A106" t="s">
        <v>132</v>
      </c>
      <c r="B106" t="s">
        <v>20</v>
      </c>
      <c r="C106">
        <v>13</v>
      </c>
      <c r="D106">
        <v>11209</v>
      </c>
      <c r="E106">
        <v>4</v>
      </c>
      <c r="F106">
        <v>9</v>
      </c>
      <c r="G106">
        <v>105</v>
      </c>
      <c r="H106">
        <v>37777860</v>
      </c>
      <c r="I106">
        <v>252665</v>
      </c>
      <c r="J106" t="s">
        <v>17</v>
      </c>
      <c r="K106" t="s">
        <v>18</v>
      </c>
      <c r="L106">
        <v>2</v>
      </c>
      <c r="M106">
        <v>85.78</v>
      </c>
      <c r="N106">
        <v>510828</v>
      </c>
      <c r="O106">
        <v>1</v>
      </c>
    </row>
    <row r="107" spans="1:15">
      <c r="A107" t="s">
        <v>133</v>
      </c>
      <c r="B107" t="s">
        <v>32</v>
      </c>
      <c r="C107">
        <v>2</v>
      </c>
      <c r="D107">
        <v>6513111</v>
      </c>
      <c r="E107">
        <v>3</v>
      </c>
      <c r="F107">
        <v>22</v>
      </c>
      <c r="G107">
        <v>165</v>
      </c>
      <c r="H107">
        <v>68693993</v>
      </c>
      <c r="I107">
        <v>323799</v>
      </c>
      <c r="J107" t="s">
        <v>21</v>
      </c>
      <c r="K107" t="s">
        <v>18</v>
      </c>
      <c r="L107">
        <v>8</v>
      </c>
      <c r="M107">
        <v>59.82</v>
      </c>
      <c r="N107">
        <v>293173</v>
      </c>
      <c r="O107">
        <v>1</v>
      </c>
    </row>
    <row r="108" spans="1:15">
      <c r="A108" t="s">
        <v>134</v>
      </c>
      <c r="B108" t="s">
        <v>29</v>
      </c>
      <c r="C108">
        <v>14</v>
      </c>
      <c r="D108">
        <v>5170535</v>
      </c>
      <c r="E108">
        <v>3</v>
      </c>
      <c r="F108">
        <v>29</v>
      </c>
      <c r="G108">
        <v>851</v>
      </c>
      <c r="H108">
        <v>63252004</v>
      </c>
      <c r="I108">
        <v>41530</v>
      </c>
      <c r="J108" t="s">
        <v>21</v>
      </c>
      <c r="K108" t="s">
        <v>22</v>
      </c>
      <c r="L108">
        <v>5</v>
      </c>
      <c r="M108">
        <v>37.19</v>
      </c>
      <c r="N108">
        <v>259037</v>
      </c>
      <c r="O108">
        <v>1</v>
      </c>
    </row>
    <row r="109" spans="1:15">
      <c r="A109" t="s">
        <v>135</v>
      </c>
      <c r="B109" t="s">
        <v>38</v>
      </c>
      <c r="C109">
        <v>11</v>
      </c>
      <c r="D109">
        <v>29164039</v>
      </c>
      <c r="E109">
        <v>4</v>
      </c>
      <c r="F109">
        <v>8</v>
      </c>
      <c r="G109">
        <v>23</v>
      </c>
      <c r="H109">
        <v>96587796</v>
      </c>
      <c r="I109">
        <v>923372</v>
      </c>
      <c r="J109" t="s">
        <v>17</v>
      </c>
      <c r="K109" t="s">
        <v>22</v>
      </c>
      <c r="L109">
        <v>8</v>
      </c>
      <c r="M109">
        <v>95.55</v>
      </c>
      <c r="N109">
        <v>809281</v>
      </c>
      <c r="O109">
        <v>1</v>
      </c>
    </row>
    <row r="110" spans="1:15">
      <c r="A110" t="s">
        <v>136</v>
      </c>
      <c r="B110" t="s">
        <v>32</v>
      </c>
      <c r="C110">
        <v>12</v>
      </c>
      <c r="D110">
        <v>22605293</v>
      </c>
      <c r="E110">
        <v>1</v>
      </c>
      <c r="F110">
        <v>28</v>
      </c>
      <c r="G110">
        <v>176</v>
      </c>
      <c r="H110">
        <v>70468635</v>
      </c>
      <c r="I110">
        <v>588157</v>
      </c>
      <c r="J110" t="s">
        <v>17</v>
      </c>
      <c r="K110" t="s">
        <v>22</v>
      </c>
      <c r="L110">
        <v>6</v>
      </c>
      <c r="M110">
        <v>16.579999999999998</v>
      </c>
      <c r="N110">
        <v>651278</v>
      </c>
      <c r="O110">
        <v>1</v>
      </c>
    </row>
    <row r="111" spans="1:15">
      <c r="A111" t="s">
        <v>137</v>
      </c>
      <c r="B111" t="s">
        <v>38</v>
      </c>
      <c r="C111">
        <v>12</v>
      </c>
      <c r="D111">
        <v>37915472</v>
      </c>
      <c r="E111">
        <v>3</v>
      </c>
      <c r="F111">
        <v>16</v>
      </c>
      <c r="G111">
        <v>725</v>
      </c>
      <c r="H111">
        <v>46610997</v>
      </c>
      <c r="I111">
        <v>219851</v>
      </c>
      <c r="J111" t="s">
        <v>25</v>
      </c>
      <c r="K111" t="s">
        <v>22</v>
      </c>
      <c r="L111">
        <v>2</v>
      </c>
      <c r="M111">
        <v>40.659999999999997</v>
      </c>
      <c r="N111">
        <v>498567</v>
      </c>
      <c r="O111">
        <v>1</v>
      </c>
    </row>
    <row r="112" spans="1:15">
      <c r="A112" t="s">
        <v>138</v>
      </c>
      <c r="B112" t="s">
        <v>29</v>
      </c>
      <c r="C112">
        <v>5</v>
      </c>
      <c r="D112">
        <v>18124408</v>
      </c>
      <c r="E112">
        <v>4</v>
      </c>
      <c r="F112">
        <v>13</v>
      </c>
      <c r="G112">
        <v>815</v>
      </c>
      <c r="H112">
        <v>82079113</v>
      </c>
      <c r="I112">
        <v>285309</v>
      </c>
      <c r="J112" t="s">
        <v>17</v>
      </c>
      <c r="K112" t="s">
        <v>22</v>
      </c>
      <c r="L112">
        <v>8</v>
      </c>
      <c r="M112">
        <v>90.87</v>
      </c>
      <c r="N112">
        <v>798625</v>
      </c>
      <c r="O112">
        <v>1</v>
      </c>
    </row>
    <row r="113" spans="1:15">
      <c r="A113" t="s">
        <v>139</v>
      </c>
      <c r="B113" t="s">
        <v>16</v>
      </c>
      <c r="C113">
        <v>1</v>
      </c>
      <c r="D113">
        <v>38849885</v>
      </c>
      <c r="E113">
        <v>3</v>
      </c>
      <c r="F113">
        <v>4</v>
      </c>
      <c r="G113">
        <v>133</v>
      </c>
      <c r="H113">
        <v>266080</v>
      </c>
      <c r="I113">
        <v>617031</v>
      </c>
      <c r="J113" t="s">
        <v>25</v>
      </c>
      <c r="K113" t="s">
        <v>30</v>
      </c>
      <c r="L113">
        <v>4</v>
      </c>
      <c r="M113">
        <v>14.56</v>
      </c>
      <c r="N113">
        <v>280813</v>
      </c>
      <c r="O113">
        <v>1</v>
      </c>
    </row>
    <row r="114" spans="1:15">
      <c r="A114" t="s">
        <v>140</v>
      </c>
      <c r="B114" t="s">
        <v>32</v>
      </c>
      <c r="C114">
        <v>6</v>
      </c>
      <c r="D114">
        <v>20160886</v>
      </c>
      <c r="E114">
        <v>4</v>
      </c>
      <c r="F114">
        <v>11</v>
      </c>
      <c r="G114">
        <v>104</v>
      </c>
      <c r="H114">
        <v>31945270</v>
      </c>
      <c r="I114">
        <v>51477</v>
      </c>
      <c r="J114" t="s">
        <v>17</v>
      </c>
      <c r="K114" t="s">
        <v>22</v>
      </c>
      <c r="L114">
        <v>7</v>
      </c>
      <c r="M114">
        <v>75.709999999999994</v>
      </c>
      <c r="N114">
        <v>469372</v>
      </c>
      <c r="O114">
        <v>1</v>
      </c>
    </row>
    <row r="115" spans="1:15">
      <c r="A115" t="s">
        <v>141</v>
      </c>
      <c r="B115" t="s">
        <v>29</v>
      </c>
      <c r="C115">
        <v>2</v>
      </c>
      <c r="D115">
        <v>47215844</v>
      </c>
      <c r="E115">
        <v>4</v>
      </c>
      <c r="F115">
        <v>1</v>
      </c>
      <c r="G115">
        <v>708</v>
      </c>
      <c r="H115">
        <v>82099290</v>
      </c>
      <c r="I115">
        <v>258908</v>
      </c>
      <c r="J115" t="s">
        <v>25</v>
      </c>
      <c r="K115" t="s">
        <v>22</v>
      </c>
      <c r="L115">
        <v>8</v>
      </c>
      <c r="M115">
        <v>1.5</v>
      </c>
      <c r="N115">
        <v>142791</v>
      </c>
      <c r="O115">
        <v>1</v>
      </c>
    </row>
    <row r="116" spans="1:15">
      <c r="A116" t="s">
        <v>142</v>
      </c>
      <c r="B116" t="s">
        <v>24</v>
      </c>
      <c r="C116">
        <v>7</v>
      </c>
      <c r="D116">
        <v>20604062</v>
      </c>
      <c r="E116">
        <v>2</v>
      </c>
      <c r="F116">
        <v>19</v>
      </c>
      <c r="G116">
        <v>42</v>
      </c>
      <c r="H116">
        <v>80376453</v>
      </c>
      <c r="I116">
        <v>903036</v>
      </c>
      <c r="J116" t="s">
        <v>17</v>
      </c>
      <c r="K116" t="s">
        <v>18</v>
      </c>
      <c r="L116">
        <v>7</v>
      </c>
      <c r="M116">
        <v>99.63</v>
      </c>
      <c r="N116">
        <v>162063</v>
      </c>
      <c r="O116">
        <v>1</v>
      </c>
    </row>
    <row r="117" spans="1:15">
      <c r="A117" t="s">
        <v>143</v>
      </c>
      <c r="B117" t="s">
        <v>29</v>
      </c>
      <c r="C117">
        <v>14</v>
      </c>
      <c r="D117">
        <v>44581234</v>
      </c>
      <c r="E117">
        <v>4</v>
      </c>
      <c r="F117">
        <v>7</v>
      </c>
      <c r="G117">
        <v>375</v>
      </c>
      <c r="H117">
        <v>80140488</v>
      </c>
      <c r="I117">
        <v>667631</v>
      </c>
      <c r="J117" t="s">
        <v>17</v>
      </c>
      <c r="K117" t="s">
        <v>22</v>
      </c>
      <c r="L117">
        <v>6</v>
      </c>
      <c r="M117">
        <v>77.53</v>
      </c>
      <c r="N117">
        <v>417191</v>
      </c>
      <c r="O117">
        <v>1</v>
      </c>
    </row>
    <row r="118" spans="1:15">
      <c r="A118" t="s">
        <v>144</v>
      </c>
      <c r="B118" t="s">
        <v>38</v>
      </c>
      <c r="C118">
        <v>0</v>
      </c>
      <c r="D118">
        <v>25312794</v>
      </c>
      <c r="E118">
        <v>3</v>
      </c>
      <c r="F118">
        <v>0</v>
      </c>
      <c r="G118">
        <v>845</v>
      </c>
      <c r="H118">
        <v>15993562</v>
      </c>
      <c r="I118">
        <v>365928</v>
      </c>
      <c r="J118" t="s">
        <v>25</v>
      </c>
      <c r="K118" t="s">
        <v>30</v>
      </c>
      <c r="L118">
        <v>4</v>
      </c>
      <c r="M118">
        <v>77.849999999999994</v>
      </c>
      <c r="N118">
        <v>778760</v>
      </c>
      <c r="O118">
        <v>1</v>
      </c>
    </row>
    <row r="119" spans="1:15">
      <c r="A119" t="s">
        <v>145</v>
      </c>
      <c r="B119" t="s">
        <v>27</v>
      </c>
      <c r="C119">
        <v>8</v>
      </c>
      <c r="D119">
        <v>19684508</v>
      </c>
      <c r="E119">
        <v>3</v>
      </c>
      <c r="F119">
        <v>14</v>
      </c>
      <c r="G119">
        <v>173</v>
      </c>
      <c r="H119">
        <v>36792394</v>
      </c>
      <c r="I119">
        <v>340478</v>
      </c>
      <c r="J119" t="s">
        <v>17</v>
      </c>
      <c r="K119" t="s">
        <v>18</v>
      </c>
      <c r="L119">
        <v>6</v>
      </c>
      <c r="M119">
        <v>26.14</v>
      </c>
      <c r="N119">
        <v>896822</v>
      </c>
      <c r="O119">
        <v>1</v>
      </c>
    </row>
    <row r="120" spans="1:15">
      <c r="A120" t="s">
        <v>146</v>
      </c>
      <c r="B120" t="s">
        <v>27</v>
      </c>
      <c r="C120">
        <v>2</v>
      </c>
      <c r="D120">
        <v>40167948</v>
      </c>
      <c r="E120">
        <v>4</v>
      </c>
      <c r="F120">
        <v>20</v>
      </c>
      <c r="G120">
        <v>200</v>
      </c>
      <c r="H120">
        <v>8333915</v>
      </c>
      <c r="I120">
        <v>842148</v>
      </c>
      <c r="J120" t="s">
        <v>21</v>
      </c>
      <c r="K120" t="s">
        <v>30</v>
      </c>
      <c r="L120">
        <v>4</v>
      </c>
      <c r="M120">
        <v>15.45</v>
      </c>
      <c r="N120">
        <v>561159</v>
      </c>
      <c r="O120">
        <v>1</v>
      </c>
    </row>
    <row r="121" spans="1:15">
      <c r="A121" t="s">
        <v>147</v>
      </c>
      <c r="B121" t="s">
        <v>16</v>
      </c>
      <c r="C121">
        <v>5</v>
      </c>
      <c r="D121">
        <v>24434221</v>
      </c>
      <c r="E121">
        <v>3</v>
      </c>
      <c r="F121">
        <v>2</v>
      </c>
      <c r="G121">
        <v>636</v>
      </c>
      <c r="H121">
        <v>83002034</v>
      </c>
      <c r="I121">
        <v>217699</v>
      </c>
      <c r="J121" t="s">
        <v>17</v>
      </c>
      <c r="K121" t="s">
        <v>18</v>
      </c>
      <c r="L121">
        <v>4</v>
      </c>
      <c r="M121">
        <v>93.65</v>
      </c>
      <c r="N121">
        <v>368560</v>
      </c>
      <c r="O121">
        <v>1</v>
      </c>
    </row>
    <row r="122" spans="1:15">
      <c r="A122" t="s">
        <v>148</v>
      </c>
      <c r="B122" t="s">
        <v>24</v>
      </c>
      <c r="C122">
        <v>14</v>
      </c>
      <c r="D122">
        <v>30615134</v>
      </c>
      <c r="E122">
        <v>4</v>
      </c>
      <c r="F122">
        <v>16</v>
      </c>
      <c r="G122">
        <v>503</v>
      </c>
      <c r="H122">
        <v>61214552</v>
      </c>
      <c r="I122">
        <v>858011</v>
      </c>
      <c r="J122" t="s">
        <v>21</v>
      </c>
      <c r="K122" t="s">
        <v>18</v>
      </c>
      <c r="L122">
        <v>1</v>
      </c>
      <c r="M122">
        <v>26.9</v>
      </c>
      <c r="N122">
        <v>793370</v>
      </c>
      <c r="O122">
        <v>1</v>
      </c>
    </row>
    <row r="123" spans="1:15">
      <c r="A123" t="s">
        <v>149</v>
      </c>
      <c r="B123" t="s">
        <v>29</v>
      </c>
      <c r="C123">
        <v>6</v>
      </c>
      <c r="D123">
        <v>5841211</v>
      </c>
      <c r="E123">
        <v>1</v>
      </c>
      <c r="F123">
        <v>24</v>
      </c>
      <c r="G123">
        <v>73</v>
      </c>
      <c r="H123">
        <v>22974561</v>
      </c>
      <c r="I123">
        <v>795407</v>
      </c>
      <c r="J123" t="s">
        <v>17</v>
      </c>
      <c r="K123" t="s">
        <v>18</v>
      </c>
      <c r="L123">
        <v>8</v>
      </c>
      <c r="M123">
        <v>39.479999999999997</v>
      </c>
      <c r="N123">
        <v>576680</v>
      </c>
      <c r="O123">
        <v>1</v>
      </c>
    </row>
    <row r="124" spans="1:15">
      <c r="A124" t="s">
        <v>150</v>
      </c>
      <c r="B124" t="s">
        <v>38</v>
      </c>
      <c r="C124">
        <v>13</v>
      </c>
      <c r="D124">
        <v>32917788</v>
      </c>
      <c r="E124">
        <v>2</v>
      </c>
      <c r="F124">
        <v>0</v>
      </c>
      <c r="G124">
        <v>476</v>
      </c>
      <c r="H124">
        <v>53147466</v>
      </c>
      <c r="I124">
        <v>998007</v>
      </c>
      <c r="J124" t="s">
        <v>17</v>
      </c>
      <c r="K124" t="s">
        <v>30</v>
      </c>
      <c r="L124">
        <v>2</v>
      </c>
      <c r="M124">
        <v>87.96</v>
      </c>
      <c r="N124">
        <v>519366</v>
      </c>
      <c r="O124">
        <v>1</v>
      </c>
    </row>
    <row r="125" spans="1:15">
      <c r="A125" t="s">
        <v>151</v>
      </c>
      <c r="B125" t="s">
        <v>27</v>
      </c>
      <c r="C125">
        <v>11</v>
      </c>
      <c r="D125">
        <v>31874108</v>
      </c>
      <c r="E125">
        <v>4</v>
      </c>
      <c r="F125">
        <v>20</v>
      </c>
      <c r="G125">
        <v>920</v>
      </c>
      <c r="H125">
        <v>45401528</v>
      </c>
      <c r="I125">
        <v>699011</v>
      </c>
      <c r="J125" t="s">
        <v>25</v>
      </c>
      <c r="K125" t="s">
        <v>30</v>
      </c>
      <c r="L125">
        <v>1</v>
      </c>
      <c r="M125">
        <v>97.08</v>
      </c>
      <c r="N125">
        <v>483218</v>
      </c>
      <c r="O125">
        <v>1</v>
      </c>
    </row>
    <row r="126" spans="1:15">
      <c r="A126" t="s">
        <v>152</v>
      </c>
      <c r="B126" t="s">
        <v>16</v>
      </c>
      <c r="C126">
        <v>12</v>
      </c>
      <c r="D126">
        <v>28046650</v>
      </c>
      <c r="E126">
        <v>1</v>
      </c>
      <c r="F126">
        <v>8</v>
      </c>
      <c r="G126">
        <v>52</v>
      </c>
      <c r="H126">
        <v>64820176</v>
      </c>
      <c r="I126">
        <v>7809</v>
      </c>
      <c r="J126" t="s">
        <v>17</v>
      </c>
      <c r="K126" t="s">
        <v>30</v>
      </c>
      <c r="L126">
        <v>5</v>
      </c>
      <c r="M126">
        <v>30.83</v>
      </c>
      <c r="N126">
        <v>134785</v>
      </c>
      <c r="O126">
        <v>1</v>
      </c>
    </row>
    <row r="127" spans="1:15">
      <c r="A127" t="s">
        <v>153</v>
      </c>
      <c r="B127" t="s">
        <v>20</v>
      </c>
      <c r="C127">
        <v>8</v>
      </c>
      <c r="D127">
        <v>26659998</v>
      </c>
      <c r="E127">
        <v>4</v>
      </c>
      <c r="F127">
        <v>11</v>
      </c>
      <c r="G127">
        <v>745</v>
      </c>
      <c r="H127">
        <v>96265153</v>
      </c>
      <c r="I127">
        <v>653195</v>
      </c>
      <c r="J127" t="s">
        <v>17</v>
      </c>
      <c r="K127" t="s">
        <v>18</v>
      </c>
      <c r="L127">
        <v>7</v>
      </c>
      <c r="M127">
        <v>28.94</v>
      </c>
      <c r="N127">
        <v>840759</v>
      </c>
      <c r="O127">
        <v>1</v>
      </c>
    </row>
    <row r="128" spans="1:15">
      <c r="A128" t="s">
        <v>154</v>
      </c>
      <c r="B128" t="s">
        <v>27</v>
      </c>
      <c r="C128">
        <v>14</v>
      </c>
      <c r="D128">
        <v>37479984</v>
      </c>
      <c r="E128">
        <v>3</v>
      </c>
      <c r="F128">
        <v>23</v>
      </c>
      <c r="G128">
        <v>145</v>
      </c>
      <c r="H128">
        <v>90842356</v>
      </c>
      <c r="I128">
        <v>533204</v>
      </c>
      <c r="J128" t="s">
        <v>21</v>
      </c>
      <c r="K128" t="s">
        <v>30</v>
      </c>
      <c r="L128">
        <v>3</v>
      </c>
      <c r="M128">
        <v>50.28</v>
      </c>
      <c r="N128">
        <v>579483</v>
      </c>
      <c r="O128">
        <v>1</v>
      </c>
    </row>
    <row r="129" spans="1:15">
      <c r="A129" t="s">
        <v>155</v>
      </c>
      <c r="B129" t="s">
        <v>38</v>
      </c>
      <c r="C129">
        <v>9</v>
      </c>
      <c r="D129">
        <v>5423430</v>
      </c>
      <c r="E129">
        <v>4</v>
      </c>
      <c r="F129">
        <v>5</v>
      </c>
      <c r="G129">
        <v>202</v>
      </c>
      <c r="H129">
        <v>28607510</v>
      </c>
      <c r="I129">
        <v>398448</v>
      </c>
      <c r="J129" t="s">
        <v>17</v>
      </c>
      <c r="K129" t="s">
        <v>18</v>
      </c>
      <c r="L129">
        <v>5</v>
      </c>
      <c r="M129">
        <v>83.49</v>
      </c>
      <c r="N129">
        <v>348940</v>
      </c>
      <c r="O129">
        <v>1</v>
      </c>
    </row>
    <row r="130" spans="1:15">
      <c r="A130" t="s">
        <v>156</v>
      </c>
      <c r="B130" t="s">
        <v>29</v>
      </c>
      <c r="C130">
        <v>13</v>
      </c>
      <c r="D130">
        <v>19399270</v>
      </c>
      <c r="E130">
        <v>4</v>
      </c>
      <c r="F130">
        <v>7</v>
      </c>
      <c r="G130">
        <v>341</v>
      </c>
      <c r="H130">
        <v>79508587</v>
      </c>
      <c r="I130">
        <v>719596</v>
      </c>
      <c r="J130" t="s">
        <v>21</v>
      </c>
      <c r="K130" t="s">
        <v>30</v>
      </c>
      <c r="L130">
        <v>3</v>
      </c>
      <c r="M130">
        <v>3.61</v>
      </c>
      <c r="N130">
        <v>83698</v>
      </c>
      <c r="O130">
        <v>1</v>
      </c>
    </row>
    <row r="131" spans="1:15">
      <c r="A131" t="s">
        <v>157</v>
      </c>
      <c r="B131" t="s">
        <v>20</v>
      </c>
      <c r="C131">
        <v>1</v>
      </c>
      <c r="D131">
        <v>46057559</v>
      </c>
      <c r="E131">
        <v>3</v>
      </c>
      <c r="F131">
        <v>16</v>
      </c>
      <c r="G131">
        <v>533</v>
      </c>
      <c r="H131">
        <v>92887953</v>
      </c>
      <c r="I131">
        <v>964638</v>
      </c>
      <c r="J131" t="s">
        <v>17</v>
      </c>
      <c r="K131" t="s">
        <v>22</v>
      </c>
      <c r="L131">
        <v>8</v>
      </c>
      <c r="M131">
        <v>49.79</v>
      </c>
      <c r="N131">
        <v>635526</v>
      </c>
      <c r="O131">
        <v>1</v>
      </c>
    </row>
    <row r="132" spans="1:15">
      <c r="A132" t="s">
        <v>158</v>
      </c>
      <c r="B132" t="s">
        <v>32</v>
      </c>
      <c r="C132">
        <v>14</v>
      </c>
      <c r="D132">
        <v>31375653</v>
      </c>
      <c r="E132">
        <v>1</v>
      </c>
      <c r="F132">
        <v>19</v>
      </c>
      <c r="G132">
        <v>54</v>
      </c>
      <c r="H132">
        <v>77610306</v>
      </c>
      <c r="I132">
        <v>697685</v>
      </c>
      <c r="J132" t="s">
        <v>17</v>
      </c>
      <c r="K132" t="s">
        <v>22</v>
      </c>
      <c r="L132">
        <v>8</v>
      </c>
      <c r="M132">
        <v>66.87</v>
      </c>
      <c r="N132">
        <v>259229</v>
      </c>
      <c r="O132">
        <v>1</v>
      </c>
    </row>
    <row r="133" spans="1:15">
      <c r="A133" t="s">
        <v>159</v>
      </c>
      <c r="B133" t="s">
        <v>29</v>
      </c>
      <c r="C133">
        <v>13</v>
      </c>
      <c r="D133">
        <v>13140232</v>
      </c>
      <c r="E133">
        <v>1</v>
      </c>
      <c r="F133">
        <v>18</v>
      </c>
      <c r="G133">
        <v>904</v>
      </c>
      <c r="H133">
        <v>19888727</v>
      </c>
      <c r="I133">
        <v>36137</v>
      </c>
      <c r="J133" t="s">
        <v>21</v>
      </c>
      <c r="K133" t="s">
        <v>30</v>
      </c>
      <c r="L133">
        <v>1</v>
      </c>
      <c r="M133">
        <v>47.52</v>
      </c>
      <c r="N133">
        <v>901220</v>
      </c>
      <c r="O133">
        <v>1</v>
      </c>
    </row>
    <row r="134" spans="1:15">
      <c r="A134" t="s">
        <v>160</v>
      </c>
      <c r="B134" t="s">
        <v>32</v>
      </c>
      <c r="C134">
        <v>12</v>
      </c>
      <c r="D134">
        <v>29338697</v>
      </c>
      <c r="E134">
        <v>2</v>
      </c>
      <c r="F134">
        <v>29</v>
      </c>
      <c r="G134">
        <v>643</v>
      </c>
      <c r="H134">
        <v>14622761</v>
      </c>
      <c r="I134">
        <v>145650</v>
      </c>
      <c r="J134" t="s">
        <v>17</v>
      </c>
      <c r="K134" t="s">
        <v>22</v>
      </c>
      <c r="L134">
        <v>7</v>
      </c>
      <c r="M134">
        <v>3.28</v>
      </c>
      <c r="N134">
        <v>54413</v>
      </c>
      <c r="O134">
        <v>1</v>
      </c>
    </row>
    <row r="135" spans="1:15">
      <c r="A135" t="s">
        <v>161</v>
      </c>
      <c r="B135" t="s">
        <v>38</v>
      </c>
      <c r="C135">
        <v>2</v>
      </c>
      <c r="D135">
        <v>39274641</v>
      </c>
      <c r="E135">
        <v>2</v>
      </c>
      <c r="F135">
        <v>0</v>
      </c>
      <c r="G135">
        <v>524</v>
      </c>
      <c r="H135">
        <v>43920287</v>
      </c>
      <c r="I135">
        <v>205168</v>
      </c>
      <c r="J135" t="s">
        <v>25</v>
      </c>
      <c r="K135" t="s">
        <v>22</v>
      </c>
      <c r="L135">
        <v>3</v>
      </c>
      <c r="M135">
        <v>80.73</v>
      </c>
      <c r="N135">
        <v>657187</v>
      </c>
      <c r="O135">
        <v>1</v>
      </c>
    </row>
    <row r="136" spans="1:15">
      <c r="A136" t="s">
        <v>162</v>
      </c>
      <c r="B136" t="s">
        <v>32</v>
      </c>
      <c r="C136">
        <v>12</v>
      </c>
      <c r="D136">
        <v>9072682</v>
      </c>
      <c r="E136">
        <v>1</v>
      </c>
      <c r="F136">
        <v>28</v>
      </c>
      <c r="G136">
        <v>592</v>
      </c>
      <c r="H136">
        <v>18575218</v>
      </c>
      <c r="I136">
        <v>704569</v>
      </c>
      <c r="J136" t="s">
        <v>21</v>
      </c>
      <c r="K136" t="s">
        <v>18</v>
      </c>
      <c r="L136">
        <v>9</v>
      </c>
      <c r="M136">
        <v>49.04</v>
      </c>
      <c r="N136">
        <v>663311</v>
      </c>
      <c r="O136">
        <v>1</v>
      </c>
    </row>
    <row r="137" spans="1:15">
      <c r="A137" t="s">
        <v>163</v>
      </c>
      <c r="B137" t="s">
        <v>16</v>
      </c>
      <c r="C137">
        <v>3</v>
      </c>
      <c r="D137">
        <v>18735889</v>
      </c>
      <c r="E137">
        <v>2</v>
      </c>
      <c r="F137">
        <v>2</v>
      </c>
      <c r="G137">
        <v>269</v>
      </c>
      <c r="H137">
        <v>8366160</v>
      </c>
      <c r="I137">
        <v>505260</v>
      </c>
      <c r="J137" t="s">
        <v>17</v>
      </c>
      <c r="K137" t="s">
        <v>22</v>
      </c>
      <c r="L137">
        <v>1</v>
      </c>
      <c r="M137">
        <v>61.57</v>
      </c>
      <c r="N137">
        <v>693597</v>
      </c>
      <c r="O137">
        <v>1</v>
      </c>
    </row>
    <row r="138" spans="1:15">
      <c r="A138" t="s">
        <v>164</v>
      </c>
      <c r="B138" t="s">
        <v>16</v>
      </c>
      <c r="C138">
        <v>1</v>
      </c>
      <c r="D138">
        <v>713064</v>
      </c>
      <c r="E138">
        <v>2</v>
      </c>
      <c r="F138">
        <v>10</v>
      </c>
      <c r="G138">
        <v>758</v>
      </c>
      <c r="H138">
        <v>53127591</v>
      </c>
      <c r="I138">
        <v>76323</v>
      </c>
      <c r="J138" t="s">
        <v>17</v>
      </c>
      <c r="K138" t="s">
        <v>18</v>
      </c>
      <c r="L138">
        <v>3</v>
      </c>
      <c r="M138">
        <v>7.73</v>
      </c>
      <c r="N138">
        <v>282620</v>
      </c>
      <c r="O138">
        <v>1</v>
      </c>
    </row>
    <row r="139" spans="1:15">
      <c r="A139" t="s">
        <v>165</v>
      </c>
      <c r="B139" t="s">
        <v>38</v>
      </c>
      <c r="C139">
        <v>14</v>
      </c>
      <c r="D139">
        <v>47613376</v>
      </c>
      <c r="E139">
        <v>4</v>
      </c>
      <c r="F139">
        <v>8</v>
      </c>
      <c r="G139">
        <v>671</v>
      </c>
      <c r="H139">
        <v>14036707</v>
      </c>
      <c r="I139">
        <v>758232</v>
      </c>
      <c r="J139" t="s">
        <v>17</v>
      </c>
      <c r="K139" t="s">
        <v>18</v>
      </c>
      <c r="L139">
        <v>3</v>
      </c>
      <c r="M139">
        <v>92.68</v>
      </c>
      <c r="N139">
        <v>497413</v>
      </c>
      <c r="O139">
        <v>1</v>
      </c>
    </row>
    <row r="140" spans="1:15">
      <c r="A140" t="s">
        <v>166</v>
      </c>
      <c r="B140" t="s">
        <v>38</v>
      </c>
      <c r="C140">
        <v>5</v>
      </c>
      <c r="D140">
        <v>42103143</v>
      </c>
      <c r="E140">
        <v>2</v>
      </c>
      <c r="F140">
        <v>5</v>
      </c>
      <c r="G140">
        <v>88</v>
      </c>
      <c r="H140">
        <v>15314388</v>
      </c>
      <c r="I140">
        <v>906707</v>
      </c>
      <c r="J140" t="s">
        <v>25</v>
      </c>
      <c r="K140" t="s">
        <v>30</v>
      </c>
      <c r="L140">
        <v>4</v>
      </c>
      <c r="M140">
        <v>55.59</v>
      </c>
      <c r="N140">
        <v>805123</v>
      </c>
      <c r="O140">
        <v>1</v>
      </c>
    </row>
    <row r="141" spans="1:15">
      <c r="A141" t="s">
        <v>167</v>
      </c>
      <c r="B141" t="s">
        <v>27</v>
      </c>
      <c r="C141">
        <v>8</v>
      </c>
      <c r="D141">
        <v>24417237</v>
      </c>
      <c r="E141">
        <v>1</v>
      </c>
      <c r="F141">
        <v>13</v>
      </c>
      <c r="G141">
        <v>215</v>
      </c>
      <c r="H141">
        <v>54141693</v>
      </c>
      <c r="I141">
        <v>176730</v>
      </c>
      <c r="J141" t="s">
        <v>21</v>
      </c>
      <c r="K141" t="s">
        <v>30</v>
      </c>
      <c r="L141">
        <v>8</v>
      </c>
      <c r="M141">
        <v>0.87</v>
      </c>
      <c r="N141">
        <v>697232</v>
      </c>
      <c r="O141">
        <v>1</v>
      </c>
    </row>
    <row r="142" spans="1:15">
      <c r="A142" t="s">
        <v>168</v>
      </c>
      <c r="B142" t="s">
        <v>24</v>
      </c>
      <c r="C142">
        <v>14</v>
      </c>
      <c r="D142">
        <v>28311503</v>
      </c>
      <c r="E142">
        <v>4</v>
      </c>
      <c r="F142">
        <v>26</v>
      </c>
      <c r="G142">
        <v>89</v>
      </c>
      <c r="H142">
        <v>86295765</v>
      </c>
      <c r="I142">
        <v>715823</v>
      </c>
      <c r="J142" t="s">
        <v>21</v>
      </c>
      <c r="K142" t="s">
        <v>30</v>
      </c>
      <c r="L142">
        <v>3</v>
      </c>
      <c r="M142">
        <v>64.58</v>
      </c>
      <c r="N142">
        <v>817002</v>
      </c>
      <c r="O142">
        <v>1</v>
      </c>
    </row>
    <row r="143" spans="1:15">
      <c r="A143" t="s">
        <v>169</v>
      </c>
      <c r="B143" t="s">
        <v>38</v>
      </c>
      <c r="C143">
        <v>4</v>
      </c>
      <c r="D143">
        <v>22308648</v>
      </c>
      <c r="E143">
        <v>2</v>
      </c>
      <c r="F143">
        <v>21</v>
      </c>
      <c r="G143">
        <v>695</v>
      </c>
      <c r="H143">
        <v>14982463</v>
      </c>
      <c r="I143">
        <v>476825</v>
      </c>
      <c r="J143" t="s">
        <v>21</v>
      </c>
      <c r="K143" t="s">
        <v>22</v>
      </c>
      <c r="L143">
        <v>6</v>
      </c>
      <c r="M143">
        <v>78.87</v>
      </c>
      <c r="N143">
        <v>665790</v>
      </c>
      <c r="O143">
        <v>1</v>
      </c>
    </row>
    <row r="144" spans="1:15">
      <c r="A144" t="s">
        <v>170</v>
      </c>
      <c r="B144" t="s">
        <v>32</v>
      </c>
      <c r="C144">
        <v>7</v>
      </c>
      <c r="D144">
        <v>11561825</v>
      </c>
      <c r="E144">
        <v>3</v>
      </c>
      <c r="F144">
        <v>27</v>
      </c>
      <c r="G144">
        <v>185</v>
      </c>
      <c r="H144">
        <v>76668613</v>
      </c>
      <c r="I144">
        <v>362009</v>
      </c>
      <c r="J144" t="s">
        <v>25</v>
      </c>
      <c r="K144" t="s">
        <v>18</v>
      </c>
      <c r="L144">
        <v>5</v>
      </c>
      <c r="M144">
        <v>6.65</v>
      </c>
      <c r="N144">
        <v>104397</v>
      </c>
      <c r="O144">
        <v>1</v>
      </c>
    </row>
    <row r="145" spans="1:15">
      <c r="A145" t="s">
        <v>171</v>
      </c>
      <c r="B145" t="s">
        <v>20</v>
      </c>
      <c r="C145">
        <v>11</v>
      </c>
      <c r="D145">
        <v>13353622</v>
      </c>
      <c r="E145">
        <v>2</v>
      </c>
      <c r="F145">
        <v>9</v>
      </c>
      <c r="G145">
        <v>513</v>
      </c>
      <c r="H145">
        <v>85707668</v>
      </c>
      <c r="I145">
        <v>872077</v>
      </c>
      <c r="J145" t="s">
        <v>21</v>
      </c>
      <c r="K145" t="s">
        <v>22</v>
      </c>
      <c r="L145">
        <v>9</v>
      </c>
      <c r="M145">
        <v>87.02</v>
      </c>
      <c r="N145">
        <v>643507</v>
      </c>
      <c r="O145">
        <v>1</v>
      </c>
    </row>
    <row r="146" spans="1:15">
      <c r="A146" t="s">
        <v>172</v>
      </c>
      <c r="B146" t="s">
        <v>29</v>
      </c>
      <c r="C146">
        <v>7</v>
      </c>
      <c r="D146">
        <v>43957324</v>
      </c>
      <c r="E146">
        <v>1</v>
      </c>
      <c r="F146">
        <v>13</v>
      </c>
      <c r="G146">
        <v>838</v>
      </c>
      <c r="H146">
        <v>64280224</v>
      </c>
      <c r="I146">
        <v>350783</v>
      </c>
      <c r="J146" t="s">
        <v>17</v>
      </c>
      <c r="K146" t="s">
        <v>30</v>
      </c>
      <c r="L146">
        <v>5</v>
      </c>
      <c r="M146">
        <v>85.21</v>
      </c>
      <c r="N146">
        <v>266525</v>
      </c>
      <c r="O146">
        <v>1</v>
      </c>
    </row>
    <row r="147" spans="1:15">
      <c r="A147" t="s">
        <v>173</v>
      </c>
      <c r="B147" t="s">
        <v>38</v>
      </c>
      <c r="C147">
        <v>6</v>
      </c>
      <c r="D147">
        <v>1929745</v>
      </c>
      <c r="E147">
        <v>4</v>
      </c>
      <c r="F147">
        <v>8</v>
      </c>
      <c r="G147">
        <v>122</v>
      </c>
      <c r="H147">
        <v>55721013</v>
      </c>
      <c r="I147">
        <v>172010</v>
      </c>
      <c r="J147" t="s">
        <v>21</v>
      </c>
      <c r="K147" t="s">
        <v>30</v>
      </c>
      <c r="L147">
        <v>7</v>
      </c>
      <c r="M147">
        <v>27.23</v>
      </c>
      <c r="N147">
        <v>986449</v>
      </c>
      <c r="O147">
        <v>1</v>
      </c>
    </row>
    <row r="148" spans="1:15">
      <c r="A148" t="s">
        <v>174</v>
      </c>
      <c r="B148" t="s">
        <v>32</v>
      </c>
      <c r="C148">
        <v>10</v>
      </c>
      <c r="D148">
        <v>47836389</v>
      </c>
      <c r="E148">
        <v>2</v>
      </c>
      <c r="F148">
        <v>15</v>
      </c>
      <c r="G148">
        <v>809</v>
      </c>
      <c r="H148">
        <v>37937886</v>
      </c>
      <c r="I148">
        <v>365126</v>
      </c>
      <c r="J148" t="s">
        <v>21</v>
      </c>
      <c r="K148" t="s">
        <v>30</v>
      </c>
      <c r="L148">
        <v>1</v>
      </c>
      <c r="M148">
        <v>3.54</v>
      </c>
      <c r="N148">
        <v>377157</v>
      </c>
      <c r="O148">
        <v>1</v>
      </c>
    </row>
    <row r="149" spans="1:15">
      <c r="A149" t="s">
        <v>175</v>
      </c>
      <c r="B149" t="s">
        <v>24</v>
      </c>
      <c r="C149">
        <v>8</v>
      </c>
      <c r="D149">
        <v>24804061</v>
      </c>
      <c r="E149">
        <v>2</v>
      </c>
      <c r="F149">
        <v>26</v>
      </c>
      <c r="G149">
        <v>971</v>
      </c>
      <c r="H149">
        <v>67652958</v>
      </c>
      <c r="I149">
        <v>847818</v>
      </c>
      <c r="J149" t="s">
        <v>25</v>
      </c>
      <c r="K149" t="s">
        <v>30</v>
      </c>
      <c r="L149">
        <v>1</v>
      </c>
      <c r="M149">
        <v>4.8899999999999997</v>
      </c>
      <c r="N149">
        <v>296078</v>
      </c>
      <c r="O149">
        <v>1</v>
      </c>
    </row>
    <row r="150" spans="1:15">
      <c r="A150" t="s">
        <v>176</v>
      </c>
      <c r="B150" t="s">
        <v>24</v>
      </c>
      <c r="C150">
        <v>2</v>
      </c>
      <c r="D150">
        <v>39889973</v>
      </c>
      <c r="E150">
        <v>4</v>
      </c>
      <c r="F150">
        <v>10</v>
      </c>
      <c r="G150">
        <v>119</v>
      </c>
      <c r="H150">
        <v>18859950</v>
      </c>
      <c r="I150">
        <v>260907</v>
      </c>
      <c r="J150" t="s">
        <v>21</v>
      </c>
      <c r="K150" t="s">
        <v>30</v>
      </c>
      <c r="L150">
        <v>4</v>
      </c>
      <c r="M150">
        <v>90.81</v>
      </c>
      <c r="N150">
        <v>825107</v>
      </c>
      <c r="O150">
        <v>1</v>
      </c>
    </row>
    <row r="151" spans="1:15">
      <c r="A151" t="s">
        <v>177</v>
      </c>
      <c r="B151" t="s">
        <v>20</v>
      </c>
      <c r="C151">
        <v>3</v>
      </c>
      <c r="D151">
        <v>4417185</v>
      </c>
      <c r="E151">
        <v>4</v>
      </c>
      <c r="F151">
        <v>20</v>
      </c>
      <c r="G151">
        <v>564</v>
      </c>
      <c r="H151">
        <v>26132946</v>
      </c>
      <c r="I151">
        <v>903002</v>
      </c>
      <c r="J151" t="s">
        <v>25</v>
      </c>
      <c r="K151" t="s">
        <v>18</v>
      </c>
      <c r="L151">
        <v>6</v>
      </c>
      <c r="M151">
        <v>26.19</v>
      </c>
      <c r="N151">
        <v>172733</v>
      </c>
      <c r="O151">
        <v>1</v>
      </c>
    </row>
    <row r="152" spans="1:15">
      <c r="A152" t="s">
        <v>178</v>
      </c>
      <c r="B152" t="s">
        <v>24</v>
      </c>
      <c r="C152">
        <v>7</v>
      </c>
      <c r="D152">
        <v>9009297</v>
      </c>
      <c r="E152">
        <v>2</v>
      </c>
      <c r="F152">
        <v>20</v>
      </c>
      <c r="G152">
        <v>269</v>
      </c>
      <c r="H152">
        <v>40920793</v>
      </c>
      <c r="I152">
        <v>102898</v>
      </c>
      <c r="J152" t="s">
        <v>21</v>
      </c>
      <c r="K152" t="s">
        <v>30</v>
      </c>
      <c r="L152">
        <v>3</v>
      </c>
      <c r="M152">
        <v>27.79</v>
      </c>
      <c r="N152">
        <v>993315</v>
      </c>
      <c r="O152">
        <v>1</v>
      </c>
    </row>
    <row r="153" spans="1:15">
      <c r="A153" t="s">
        <v>179</v>
      </c>
      <c r="B153" t="s">
        <v>16</v>
      </c>
      <c r="C153">
        <v>1</v>
      </c>
      <c r="D153">
        <v>21430803</v>
      </c>
      <c r="E153">
        <v>4</v>
      </c>
      <c r="F153">
        <v>27</v>
      </c>
      <c r="G153">
        <v>116</v>
      </c>
      <c r="H153">
        <v>75581014</v>
      </c>
      <c r="I153">
        <v>588720</v>
      </c>
      <c r="J153" t="s">
        <v>21</v>
      </c>
      <c r="K153" t="s">
        <v>30</v>
      </c>
      <c r="L153">
        <v>7</v>
      </c>
      <c r="M153">
        <v>56.06</v>
      </c>
      <c r="N153">
        <v>122462</v>
      </c>
      <c r="O153">
        <v>1</v>
      </c>
    </row>
    <row r="154" spans="1:15">
      <c r="A154" t="s">
        <v>180</v>
      </c>
      <c r="B154" t="s">
        <v>20</v>
      </c>
      <c r="C154">
        <v>10</v>
      </c>
      <c r="D154">
        <v>6944355</v>
      </c>
      <c r="E154">
        <v>1</v>
      </c>
      <c r="F154">
        <v>20</v>
      </c>
      <c r="G154">
        <v>142</v>
      </c>
      <c r="H154">
        <v>57958125</v>
      </c>
      <c r="I154">
        <v>954352</v>
      </c>
      <c r="J154" t="s">
        <v>21</v>
      </c>
      <c r="K154" t="s">
        <v>18</v>
      </c>
      <c r="L154">
        <v>1</v>
      </c>
      <c r="M154">
        <v>68.930000000000007</v>
      </c>
      <c r="N154">
        <v>786988</v>
      </c>
      <c r="O154">
        <v>1</v>
      </c>
    </row>
    <row r="155" spans="1:15">
      <c r="A155" t="s">
        <v>181</v>
      </c>
      <c r="B155" t="s">
        <v>20</v>
      </c>
      <c r="C155">
        <v>10</v>
      </c>
      <c r="D155">
        <v>11982591</v>
      </c>
      <c r="E155">
        <v>2</v>
      </c>
      <c r="F155">
        <v>0</v>
      </c>
      <c r="G155">
        <v>879</v>
      </c>
      <c r="H155">
        <v>34292438</v>
      </c>
      <c r="I155">
        <v>220697</v>
      </c>
      <c r="J155" t="s">
        <v>25</v>
      </c>
      <c r="K155" t="s">
        <v>30</v>
      </c>
      <c r="L155">
        <v>5</v>
      </c>
      <c r="M155">
        <v>21.65</v>
      </c>
      <c r="N155">
        <v>937773</v>
      </c>
      <c r="O155">
        <v>1</v>
      </c>
    </row>
    <row r="156" spans="1:15">
      <c r="A156" t="s">
        <v>182</v>
      </c>
      <c r="B156" t="s">
        <v>38</v>
      </c>
      <c r="C156">
        <v>13</v>
      </c>
      <c r="D156">
        <v>27715205</v>
      </c>
      <c r="E156">
        <v>4</v>
      </c>
      <c r="F156">
        <v>0</v>
      </c>
      <c r="G156">
        <v>656</v>
      </c>
      <c r="H156">
        <v>98096022</v>
      </c>
      <c r="I156">
        <v>77904</v>
      </c>
      <c r="J156" t="s">
        <v>17</v>
      </c>
      <c r="K156" t="s">
        <v>18</v>
      </c>
      <c r="L156">
        <v>7</v>
      </c>
      <c r="M156">
        <v>69.27</v>
      </c>
      <c r="N156">
        <v>281403</v>
      </c>
      <c r="O156">
        <v>1</v>
      </c>
    </row>
    <row r="157" spans="1:15">
      <c r="A157" t="s">
        <v>183</v>
      </c>
      <c r="B157" t="s">
        <v>20</v>
      </c>
      <c r="C157">
        <v>11</v>
      </c>
      <c r="D157">
        <v>8498271</v>
      </c>
      <c r="E157">
        <v>2</v>
      </c>
      <c r="F157">
        <v>6</v>
      </c>
      <c r="G157">
        <v>219</v>
      </c>
      <c r="H157">
        <v>73727453</v>
      </c>
      <c r="I157">
        <v>632497</v>
      </c>
      <c r="J157" t="s">
        <v>21</v>
      </c>
      <c r="K157" t="s">
        <v>22</v>
      </c>
      <c r="L157">
        <v>3</v>
      </c>
      <c r="M157">
        <v>93.62</v>
      </c>
      <c r="N157">
        <v>514773</v>
      </c>
      <c r="O157">
        <v>1</v>
      </c>
    </row>
    <row r="158" spans="1:15">
      <c r="A158" t="s">
        <v>184</v>
      </c>
      <c r="B158" t="s">
        <v>32</v>
      </c>
      <c r="C158">
        <v>7</v>
      </c>
      <c r="D158">
        <v>9779179</v>
      </c>
      <c r="E158">
        <v>4</v>
      </c>
      <c r="F158">
        <v>10</v>
      </c>
      <c r="G158">
        <v>382</v>
      </c>
      <c r="H158">
        <v>82146332</v>
      </c>
      <c r="I158">
        <v>707356</v>
      </c>
      <c r="J158" t="s">
        <v>17</v>
      </c>
      <c r="K158" t="s">
        <v>30</v>
      </c>
      <c r="L158">
        <v>5</v>
      </c>
      <c r="M158">
        <v>53.96</v>
      </c>
      <c r="N158">
        <v>929410</v>
      </c>
      <c r="O158">
        <v>1</v>
      </c>
    </row>
    <row r="159" spans="1:15">
      <c r="A159" t="s">
        <v>185</v>
      </c>
      <c r="B159" t="s">
        <v>24</v>
      </c>
      <c r="C159">
        <v>9</v>
      </c>
      <c r="D159">
        <v>43737211</v>
      </c>
      <c r="E159">
        <v>4</v>
      </c>
      <c r="F159">
        <v>28</v>
      </c>
      <c r="G159">
        <v>895</v>
      </c>
      <c r="H159">
        <v>38173026</v>
      </c>
      <c r="I159">
        <v>981007</v>
      </c>
      <c r="J159" t="s">
        <v>25</v>
      </c>
      <c r="K159" t="s">
        <v>30</v>
      </c>
      <c r="L159">
        <v>2</v>
      </c>
      <c r="M159">
        <v>56.98</v>
      </c>
      <c r="N159">
        <v>505056</v>
      </c>
      <c r="O159">
        <v>1</v>
      </c>
    </row>
    <row r="160" spans="1:15">
      <c r="A160" t="s">
        <v>186</v>
      </c>
      <c r="B160" t="s">
        <v>20</v>
      </c>
      <c r="C160">
        <v>10</v>
      </c>
      <c r="D160">
        <v>3149655</v>
      </c>
      <c r="E160">
        <v>2</v>
      </c>
      <c r="F160">
        <v>6</v>
      </c>
      <c r="G160">
        <v>972</v>
      </c>
      <c r="H160">
        <v>48357108</v>
      </c>
      <c r="I160">
        <v>913129</v>
      </c>
      <c r="J160" t="s">
        <v>25</v>
      </c>
      <c r="K160" t="s">
        <v>30</v>
      </c>
      <c r="L160">
        <v>1</v>
      </c>
      <c r="M160">
        <v>60.63</v>
      </c>
      <c r="N160">
        <v>556995</v>
      </c>
      <c r="O160">
        <v>1</v>
      </c>
    </row>
    <row r="161" spans="1:15">
      <c r="A161" t="s">
        <v>187</v>
      </c>
      <c r="B161" t="s">
        <v>20</v>
      </c>
      <c r="C161">
        <v>6</v>
      </c>
      <c r="D161">
        <v>15548822</v>
      </c>
      <c r="E161">
        <v>1</v>
      </c>
      <c r="F161">
        <v>11</v>
      </c>
      <c r="G161">
        <v>499</v>
      </c>
      <c r="H161">
        <v>55009877</v>
      </c>
      <c r="I161">
        <v>630936</v>
      </c>
      <c r="J161" t="s">
        <v>21</v>
      </c>
      <c r="K161" t="s">
        <v>18</v>
      </c>
      <c r="L161">
        <v>9</v>
      </c>
      <c r="M161">
        <v>62.37</v>
      </c>
      <c r="N161">
        <v>751481</v>
      </c>
      <c r="O161">
        <v>1</v>
      </c>
    </row>
    <row r="162" spans="1:15">
      <c r="A162" t="s">
        <v>188</v>
      </c>
      <c r="B162" t="s">
        <v>20</v>
      </c>
      <c r="C162">
        <v>5</v>
      </c>
      <c r="D162">
        <v>40165236</v>
      </c>
      <c r="E162">
        <v>2</v>
      </c>
      <c r="F162">
        <v>25</v>
      </c>
      <c r="G162">
        <v>254</v>
      </c>
      <c r="H162">
        <v>87516916</v>
      </c>
      <c r="I162">
        <v>447081</v>
      </c>
      <c r="J162" t="s">
        <v>17</v>
      </c>
      <c r="K162" t="s">
        <v>18</v>
      </c>
      <c r="L162">
        <v>8</v>
      </c>
      <c r="M162">
        <v>82.7</v>
      </c>
      <c r="N162">
        <v>82144</v>
      </c>
      <c r="O162">
        <v>1</v>
      </c>
    </row>
    <row r="163" spans="1:15">
      <c r="A163" t="s">
        <v>189</v>
      </c>
      <c r="B163" t="s">
        <v>27</v>
      </c>
      <c r="C163">
        <v>10</v>
      </c>
      <c r="D163">
        <v>13991016</v>
      </c>
      <c r="E163">
        <v>4</v>
      </c>
      <c r="F163">
        <v>11</v>
      </c>
      <c r="G163">
        <v>937</v>
      </c>
      <c r="H163">
        <v>9638491</v>
      </c>
      <c r="I163">
        <v>652108</v>
      </c>
      <c r="J163" t="s">
        <v>21</v>
      </c>
      <c r="K163" t="s">
        <v>22</v>
      </c>
      <c r="L163">
        <v>6</v>
      </c>
      <c r="M163">
        <v>78.260000000000005</v>
      </c>
      <c r="N163">
        <v>524265</v>
      </c>
      <c r="O163">
        <v>1</v>
      </c>
    </row>
    <row r="164" spans="1:15">
      <c r="A164" t="s">
        <v>190</v>
      </c>
      <c r="B164" t="s">
        <v>27</v>
      </c>
      <c r="C164">
        <v>4</v>
      </c>
      <c r="D164">
        <v>44045952</v>
      </c>
      <c r="E164">
        <v>1</v>
      </c>
      <c r="F164">
        <v>18</v>
      </c>
      <c r="G164">
        <v>367</v>
      </c>
      <c r="H164">
        <v>29286015</v>
      </c>
      <c r="I164">
        <v>599982</v>
      </c>
      <c r="J164" t="s">
        <v>17</v>
      </c>
      <c r="K164" t="s">
        <v>30</v>
      </c>
      <c r="L164">
        <v>2</v>
      </c>
      <c r="M164">
        <v>20.54</v>
      </c>
      <c r="N164">
        <v>900335</v>
      </c>
      <c r="O164">
        <v>1</v>
      </c>
    </row>
    <row r="165" spans="1:15">
      <c r="A165" t="s">
        <v>191</v>
      </c>
      <c r="B165" t="s">
        <v>38</v>
      </c>
      <c r="C165">
        <v>6</v>
      </c>
      <c r="D165">
        <v>28874805</v>
      </c>
      <c r="E165">
        <v>2</v>
      </c>
      <c r="F165">
        <v>28</v>
      </c>
      <c r="G165">
        <v>21</v>
      </c>
      <c r="H165">
        <v>88210074</v>
      </c>
      <c r="I165">
        <v>243253</v>
      </c>
      <c r="J165" t="s">
        <v>17</v>
      </c>
      <c r="K165" t="s">
        <v>30</v>
      </c>
      <c r="L165">
        <v>9</v>
      </c>
      <c r="M165">
        <v>58.9</v>
      </c>
      <c r="N165">
        <v>691773</v>
      </c>
      <c r="O165">
        <v>1</v>
      </c>
    </row>
    <row r="166" spans="1:15">
      <c r="A166" t="s">
        <v>192</v>
      </c>
      <c r="B166" t="s">
        <v>24</v>
      </c>
      <c r="C166">
        <v>9</v>
      </c>
      <c r="D166">
        <v>46798569</v>
      </c>
      <c r="E166">
        <v>1</v>
      </c>
      <c r="F166">
        <v>15</v>
      </c>
      <c r="G166">
        <v>348</v>
      </c>
      <c r="H166">
        <v>5105840</v>
      </c>
      <c r="I166">
        <v>930246</v>
      </c>
      <c r="J166" t="s">
        <v>21</v>
      </c>
      <c r="K166" t="s">
        <v>18</v>
      </c>
      <c r="L166">
        <v>8</v>
      </c>
      <c r="M166">
        <v>77.3</v>
      </c>
      <c r="N166">
        <v>394527</v>
      </c>
      <c r="O166">
        <v>1</v>
      </c>
    </row>
    <row r="167" spans="1:15">
      <c r="A167" t="s">
        <v>193</v>
      </c>
      <c r="B167" t="s">
        <v>20</v>
      </c>
      <c r="C167">
        <v>11</v>
      </c>
      <c r="D167">
        <v>35265044</v>
      </c>
      <c r="E167">
        <v>1</v>
      </c>
      <c r="F167">
        <v>24</v>
      </c>
      <c r="G167">
        <v>233</v>
      </c>
      <c r="H167">
        <v>71566978</v>
      </c>
      <c r="I167">
        <v>983818</v>
      </c>
      <c r="J167" t="s">
        <v>17</v>
      </c>
      <c r="K167" t="s">
        <v>22</v>
      </c>
      <c r="L167">
        <v>3</v>
      </c>
      <c r="M167">
        <v>59.29</v>
      </c>
      <c r="N167">
        <v>26890</v>
      </c>
      <c r="O167">
        <v>1</v>
      </c>
    </row>
    <row r="168" spans="1:15">
      <c r="A168" t="s">
        <v>194</v>
      </c>
      <c r="B168" t="s">
        <v>20</v>
      </c>
      <c r="C168">
        <v>1</v>
      </c>
      <c r="D168">
        <v>22713576</v>
      </c>
      <c r="E168">
        <v>1</v>
      </c>
      <c r="F168">
        <v>29</v>
      </c>
      <c r="G168">
        <v>996</v>
      </c>
      <c r="H168">
        <v>5863701</v>
      </c>
      <c r="I168">
        <v>405188</v>
      </c>
      <c r="J168" t="s">
        <v>17</v>
      </c>
      <c r="K168" t="s">
        <v>30</v>
      </c>
      <c r="L168">
        <v>4</v>
      </c>
      <c r="M168">
        <v>53.8</v>
      </c>
      <c r="N168">
        <v>57754</v>
      </c>
      <c r="O168">
        <v>1</v>
      </c>
    </row>
    <row r="169" spans="1:15">
      <c r="A169" t="s">
        <v>195</v>
      </c>
      <c r="B169" t="s">
        <v>24</v>
      </c>
      <c r="C169">
        <v>0</v>
      </c>
      <c r="D169">
        <v>46397483</v>
      </c>
      <c r="E169">
        <v>2</v>
      </c>
      <c r="F169">
        <v>7</v>
      </c>
      <c r="G169">
        <v>843</v>
      </c>
      <c r="H169">
        <v>86712314</v>
      </c>
      <c r="I169">
        <v>334726</v>
      </c>
      <c r="J169" t="s">
        <v>17</v>
      </c>
      <c r="K169" t="s">
        <v>30</v>
      </c>
      <c r="L169">
        <v>4</v>
      </c>
      <c r="M169">
        <v>8.0399999999999991</v>
      </c>
      <c r="N169">
        <v>892900</v>
      </c>
      <c r="O169">
        <v>1</v>
      </c>
    </row>
    <row r="170" spans="1:15">
      <c r="A170" t="s">
        <v>196</v>
      </c>
      <c r="B170" t="s">
        <v>29</v>
      </c>
      <c r="C170">
        <v>3</v>
      </c>
      <c r="D170">
        <v>21552156</v>
      </c>
      <c r="E170">
        <v>3</v>
      </c>
      <c r="F170">
        <v>12</v>
      </c>
      <c r="G170">
        <v>256</v>
      </c>
      <c r="H170">
        <v>96379573</v>
      </c>
      <c r="I170">
        <v>248488</v>
      </c>
      <c r="J170" t="s">
        <v>25</v>
      </c>
      <c r="K170" t="s">
        <v>18</v>
      </c>
      <c r="L170">
        <v>1</v>
      </c>
      <c r="M170">
        <v>64.45</v>
      </c>
      <c r="N170">
        <v>205591</v>
      </c>
      <c r="O170">
        <v>1</v>
      </c>
    </row>
    <row r="171" spans="1:15">
      <c r="A171" t="s">
        <v>197</v>
      </c>
      <c r="B171" t="s">
        <v>16</v>
      </c>
      <c r="C171">
        <v>5</v>
      </c>
      <c r="D171">
        <v>19384868</v>
      </c>
      <c r="E171">
        <v>4</v>
      </c>
      <c r="F171">
        <v>29</v>
      </c>
      <c r="G171">
        <v>95</v>
      </c>
      <c r="H171">
        <v>59990024</v>
      </c>
      <c r="I171">
        <v>817412</v>
      </c>
      <c r="J171" t="s">
        <v>25</v>
      </c>
      <c r="K171" t="s">
        <v>18</v>
      </c>
      <c r="L171">
        <v>2</v>
      </c>
      <c r="M171">
        <v>93.88</v>
      </c>
      <c r="N171">
        <v>327762</v>
      </c>
      <c r="O171">
        <v>1</v>
      </c>
    </row>
    <row r="172" spans="1:15">
      <c r="A172" t="s">
        <v>198</v>
      </c>
      <c r="B172" t="s">
        <v>20</v>
      </c>
      <c r="C172">
        <v>9</v>
      </c>
      <c r="D172">
        <v>20723419</v>
      </c>
      <c r="E172">
        <v>3</v>
      </c>
      <c r="F172">
        <v>11</v>
      </c>
      <c r="G172">
        <v>259</v>
      </c>
      <c r="H172">
        <v>15103700</v>
      </c>
      <c r="I172">
        <v>577604</v>
      </c>
      <c r="J172" t="s">
        <v>25</v>
      </c>
      <c r="K172" t="s">
        <v>22</v>
      </c>
      <c r="L172">
        <v>7</v>
      </c>
      <c r="M172">
        <v>40.75</v>
      </c>
      <c r="N172">
        <v>432995</v>
      </c>
      <c r="O172">
        <v>1</v>
      </c>
    </row>
    <row r="173" spans="1:15">
      <c r="A173" t="s">
        <v>199</v>
      </c>
      <c r="B173" t="s">
        <v>24</v>
      </c>
      <c r="C173">
        <v>14</v>
      </c>
      <c r="D173">
        <v>38867725</v>
      </c>
      <c r="E173">
        <v>3</v>
      </c>
      <c r="F173">
        <v>11</v>
      </c>
      <c r="G173">
        <v>476</v>
      </c>
      <c r="H173">
        <v>58052397</v>
      </c>
      <c r="I173">
        <v>403958</v>
      </c>
      <c r="J173" t="s">
        <v>21</v>
      </c>
      <c r="K173" t="s">
        <v>18</v>
      </c>
      <c r="L173">
        <v>2</v>
      </c>
      <c r="M173">
        <v>20.36</v>
      </c>
      <c r="N173">
        <v>358460</v>
      </c>
      <c r="O173">
        <v>1</v>
      </c>
    </row>
    <row r="174" spans="1:15">
      <c r="A174" t="s">
        <v>200</v>
      </c>
      <c r="B174" t="s">
        <v>29</v>
      </c>
      <c r="C174">
        <v>11</v>
      </c>
      <c r="D174">
        <v>34181557</v>
      </c>
      <c r="E174">
        <v>3</v>
      </c>
      <c r="F174">
        <v>23</v>
      </c>
      <c r="G174">
        <v>864</v>
      </c>
      <c r="H174">
        <v>33322488</v>
      </c>
      <c r="I174">
        <v>395775</v>
      </c>
      <c r="J174" t="s">
        <v>17</v>
      </c>
      <c r="K174" t="s">
        <v>18</v>
      </c>
      <c r="L174">
        <v>7</v>
      </c>
      <c r="M174">
        <v>68.31</v>
      </c>
      <c r="N174">
        <v>687363</v>
      </c>
      <c r="O174">
        <v>1</v>
      </c>
    </row>
    <row r="175" spans="1:15">
      <c r="A175" t="s">
        <v>201</v>
      </c>
      <c r="B175" t="s">
        <v>29</v>
      </c>
      <c r="C175">
        <v>9</v>
      </c>
      <c r="D175">
        <v>10965453</v>
      </c>
      <c r="E175">
        <v>2</v>
      </c>
      <c r="F175">
        <v>20</v>
      </c>
      <c r="G175">
        <v>925</v>
      </c>
      <c r="H175">
        <v>1552314</v>
      </c>
      <c r="I175">
        <v>195673</v>
      </c>
      <c r="J175" t="s">
        <v>21</v>
      </c>
      <c r="K175" t="s">
        <v>18</v>
      </c>
      <c r="L175">
        <v>3</v>
      </c>
      <c r="M175">
        <v>89.91</v>
      </c>
      <c r="N175">
        <v>939153</v>
      </c>
      <c r="O175">
        <v>1</v>
      </c>
    </row>
    <row r="176" spans="1:15">
      <c r="A176" t="s">
        <v>202</v>
      </c>
      <c r="B176" t="s">
        <v>38</v>
      </c>
      <c r="C176">
        <v>7</v>
      </c>
      <c r="D176">
        <v>19516110</v>
      </c>
      <c r="E176">
        <v>2</v>
      </c>
      <c r="F176">
        <v>24</v>
      </c>
      <c r="G176">
        <v>447</v>
      </c>
      <c r="H176">
        <v>10747578</v>
      </c>
      <c r="I176">
        <v>499004</v>
      </c>
      <c r="J176" t="s">
        <v>17</v>
      </c>
      <c r="K176" t="s">
        <v>30</v>
      </c>
      <c r="L176">
        <v>8</v>
      </c>
      <c r="M176">
        <v>56.62</v>
      </c>
      <c r="N176">
        <v>970023</v>
      </c>
      <c r="O176">
        <v>1</v>
      </c>
    </row>
    <row r="177" spans="1:15">
      <c r="A177" t="s">
        <v>203</v>
      </c>
      <c r="B177" t="s">
        <v>24</v>
      </c>
      <c r="C177">
        <v>14</v>
      </c>
      <c r="D177">
        <v>44734632</v>
      </c>
      <c r="E177">
        <v>1</v>
      </c>
      <c r="F177">
        <v>28</v>
      </c>
      <c r="G177">
        <v>124</v>
      </c>
      <c r="H177">
        <v>2978339</v>
      </c>
      <c r="I177">
        <v>524096</v>
      </c>
      <c r="J177" t="s">
        <v>25</v>
      </c>
      <c r="K177" t="s">
        <v>30</v>
      </c>
      <c r="L177">
        <v>4</v>
      </c>
      <c r="M177">
        <v>7.28</v>
      </c>
      <c r="N177">
        <v>584837</v>
      </c>
      <c r="O177">
        <v>1</v>
      </c>
    </row>
    <row r="178" spans="1:15">
      <c r="A178" t="s">
        <v>204</v>
      </c>
      <c r="B178" t="s">
        <v>20</v>
      </c>
      <c r="C178">
        <v>2</v>
      </c>
      <c r="D178">
        <v>17090047</v>
      </c>
      <c r="E178">
        <v>2</v>
      </c>
      <c r="F178">
        <v>6</v>
      </c>
      <c r="G178">
        <v>293</v>
      </c>
      <c r="H178">
        <v>54139285</v>
      </c>
      <c r="I178">
        <v>131167</v>
      </c>
      <c r="J178" t="s">
        <v>21</v>
      </c>
      <c r="K178" t="s">
        <v>30</v>
      </c>
      <c r="L178">
        <v>6</v>
      </c>
      <c r="M178">
        <v>56.62</v>
      </c>
      <c r="N178">
        <v>158831</v>
      </c>
      <c r="O178">
        <v>1</v>
      </c>
    </row>
    <row r="179" spans="1:15">
      <c r="A179" t="s">
        <v>205</v>
      </c>
      <c r="B179" t="s">
        <v>27</v>
      </c>
      <c r="C179">
        <v>13</v>
      </c>
      <c r="D179">
        <v>43342092</v>
      </c>
      <c r="E179">
        <v>3</v>
      </c>
      <c r="F179">
        <v>19</v>
      </c>
      <c r="G179">
        <v>439</v>
      </c>
      <c r="H179">
        <v>34803973</v>
      </c>
      <c r="I179">
        <v>973691</v>
      </c>
      <c r="J179" t="s">
        <v>25</v>
      </c>
      <c r="K179" t="s">
        <v>22</v>
      </c>
      <c r="L179">
        <v>2</v>
      </c>
      <c r="M179">
        <v>17.86</v>
      </c>
      <c r="N179">
        <v>951504</v>
      </c>
      <c r="O179">
        <v>1</v>
      </c>
    </row>
    <row r="180" spans="1:15">
      <c r="A180" t="s">
        <v>206</v>
      </c>
      <c r="B180" t="s">
        <v>24</v>
      </c>
      <c r="C180">
        <v>14</v>
      </c>
      <c r="D180">
        <v>37695897</v>
      </c>
      <c r="E180">
        <v>2</v>
      </c>
      <c r="F180">
        <v>13</v>
      </c>
      <c r="G180">
        <v>356</v>
      </c>
      <c r="H180">
        <v>49948391</v>
      </c>
      <c r="I180">
        <v>566644</v>
      </c>
      <c r="J180" t="s">
        <v>17</v>
      </c>
      <c r="K180" t="s">
        <v>22</v>
      </c>
      <c r="L180">
        <v>3</v>
      </c>
      <c r="M180">
        <v>23.04</v>
      </c>
      <c r="N180">
        <v>868033</v>
      </c>
      <c r="O180">
        <v>1</v>
      </c>
    </row>
    <row r="181" spans="1:15">
      <c r="A181" t="s">
        <v>207</v>
      </c>
      <c r="B181" t="s">
        <v>38</v>
      </c>
      <c r="C181">
        <v>4</v>
      </c>
      <c r="D181">
        <v>3983167</v>
      </c>
      <c r="E181">
        <v>1</v>
      </c>
      <c r="F181">
        <v>11</v>
      </c>
      <c r="G181">
        <v>960</v>
      </c>
      <c r="H181">
        <v>46224751</v>
      </c>
      <c r="I181">
        <v>69518</v>
      </c>
      <c r="J181" t="s">
        <v>25</v>
      </c>
      <c r="K181" t="s">
        <v>22</v>
      </c>
      <c r="L181">
        <v>6</v>
      </c>
      <c r="M181">
        <v>85.93</v>
      </c>
      <c r="N181">
        <v>872738</v>
      </c>
      <c r="O181">
        <v>1</v>
      </c>
    </row>
    <row r="182" spans="1:15">
      <c r="A182" t="s">
        <v>208</v>
      </c>
      <c r="B182" t="s">
        <v>27</v>
      </c>
      <c r="C182">
        <v>2</v>
      </c>
      <c r="D182">
        <v>14114252</v>
      </c>
      <c r="E182">
        <v>3</v>
      </c>
      <c r="F182">
        <v>20</v>
      </c>
      <c r="G182">
        <v>853</v>
      </c>
      <c r="H182">
        <v>33051093</v>
      </c>
      <c r="I182">
        <v>127239</v>
      </c>
      <c r="J182" t="s">
        <v>21</v>
      </c>
      <c r="K182" t="s">
        <v>22</v>
      </c>
      <c r="L182">
        <v>3</v>
      </c>
      <c r="M182">
        <v>45.71</v>
      </c>
      <c r="N182">
        <v>960513</v>
      </c>
      <c r="O182">
        <v>1</v>
      </c>
    </row>
    <row r="183" spans="1:15">
      <c r="A183" t="s">
        <v>209</v>
      </c>
      <c r="B183" t="s">
        <v>24</v>
      </c>
      <c r="C183">
        <v>1</v>
      </c>
      <c r="D183">
        <v>12667728</v>
      </c>
      <c r="E183">
        <v>3</v>
      </c>
      <c r="F183">
        <v>18</v>
      </c>
      <c r="G183">
        <v>425</v>
      </c>
      <c r="H183">
        <v>63605452</v>
      </c>
      <c r="I183">
        <v>179936</v>
      </c>
      <c r="J183" t="s">
        <v>17</v>
      </c>
      <c r="K183" t="s">
        <v>18</v>
      </c>
      <c r="L183">
        <v>7</v>
      </c>
      <c r="M183">
        <v>82.7</v>
      </c>
      <c r="N183">
        <v>530451</v>
      </c>
      <c r="O183">
        <v>1</v>
      </c>
    </row>
    <row r="184" spans="1:15">
      <c r="A184" t="s">
        <v>210</v>
      </c>
      <c r="B184" t="s">
        <v>20</v>
      </c>
      <c r="C184">
        <v>9</v>
      </c>
      <c r="D184">
        <v>8173677</v>
      </c>
      <c r="E184">
        <v>4</v>
      </c>
      <c r="F184">
        <v>12</v>
      </c>
      <c r="G184">
        <v>174</v>
      </c>
      <c r="H184">
        <v>92761175</v>
      </c>
      <c r="I184">
        <v>555048</v>
      </c>
      <c r="J184" t="s">
        <v>21</v>
      </c>
      <c r="K184" t="s">
        <v>30</v>
      </c>
      <c r="L184">
        <v>6</v>
      </c>
      <c r="M184">
        <v>98.78</v>
      </c>
      <c r="N184">
        <v>161376</v>
      </c>
      <c r="O184">
        <v>1</v>
      </c>
    </row>
    <row r="185" spans="1:15">
      <c r="A185" t="s">
        <v>211</v>
      </c>
      <c r="B185" t="s">
        <v>32</v>
      </c>
      <c r="C185">
        <v>9</v>
      </c>
      <c r="D185">
        <v>31306721</v>
      </c>
      <c r="E185">
        <v>4</v>
      </c>
      <c r="F185">
        <v>29</v>
      </c>
      <c r="G185">
        <v>954</v>
      </c>
      <c r="H185">
        <v>41704492</v>
      </c>
      <c r="I185">
        <v>280122</v>
      </c>
      <c r="J185" t="s">
        <v>17</v>
      </c>
      <c r="K185" t="s">
        <v>22</v>
      </c>
      <c r="L185">
        <v>5</v>
      </c>
      <c r="M185">
        <v>21.15</v>
      </c>
      <c r="N185">
        <v>599554</v>
      </c>
      <c r="O185">
        <v>1</v>
      </c>
    </row>
    <row r="186" spans="1:15">
      <c r="A186" t="s">
        <v>212</v>
      </c>
      <c r="B186" t="s">
        <v>24</v>
      </c>
      <c r="C186">
        <v>14</v>
      </c>
      <c r="D186">
        <v>24639927</v>
      </c>
      <c r="E186">
        <v>4</v>
      </c>
      <c r="F186">
        <v>29</v>
      </c>
      <c r="G186">
        <v>992</v>
      </c>
      <c r="H186">
        <v>73937999</v>
      </c>
      <c r="I186">
        <v>900549</v>
      </c>
      <c r="J186" t="s">
        <v>21</v>
      </c>
      <c r="K186" t="s">
        <v>22</v>
      </c>
      <c r="L186">
        <v>4</v>
      </c>
      <c r="M186">
        <v>68.569999999999993</v>
      </c>
      <c r="N186">
        <v>438832</v>
      </c>
      <c r="O186">
        <v>1</v>
      </c>
    </row>
    <row r="187" spans="1:15">
      <c r="A187" t="s">
        <v>213</v>
      </c>
      <c r="B187" t="s">
        <v>24</v>
      </c>
      <c r="C187">
        <v>4</v>
      </c>
      <c r="D187">
        <v>22277197</v>
      </c>
      <c r="E187">
        <v>1</v>
      </c>
      <c r="F187">
        <v>18</v>
      </c>
      <c r="G187">
        <v>640</v>
      </c>
      <c r="H187">
        <v>1405153</v>
      </c>
      <c r="I187">
        <v>178738</v>
      </c>
      <c r="J187" t="s">
        <v>21</v>
      </c>
      <c r="K187" t="s">
        <v>22</v>
      </c>
      <c r="L187">
        <v>2</v>
      </c>
      <c r="M187">
        <v>24.69</v>
      </c>
      <c r="N187">
        <v>12148</v>
      </c>
      <c r="O187">
        <v>1</v>
      </c>
    </row>
    <row r="188" spans="1:15">
      <c r="A188" t="s">
        <v>214</v>
      </c>
      <c r="B188" t="s">
        <v>38</v>
      </c>
      <c r="C188">
        <v>7</v>
      </c>
      <c r="D188">
        <v>46567175</v>
      </c>
      <c r="E188">
        <v>3</v>
      </c>
      <c r="F188">
        <v>5</v>
      </c>
      <c r="G188">
        <v>157</v>
      </c>
      <c r="H188">
        <v>82211719</v>
      </c>
      <c r="I188">
        <v>907190</v>
      </c>
      <c r="J188" t="s">
        <v>21</v>
      </c>
      <c r="K188" t="s">
        <v>18</v>
      </c>
      <c r="L188">
        <v>7</v>
      </c>
      <c r="M188">
        <v>96.16</v>
      </c>
      <c r="N188">
        <v>277176</v>
      </c>
      <c r="O188">
        <v>1</v>
      </c>
    </row>
    <row r="189" spans="1:15">
      <c r="A189" t="s">
        <v>215</v>
      </c>
      <c r="B189" t="s">
        <v>38</v>
      </c>
      <c r="C189">
        <v>1</v>
      </c>
      <c r="D189">
        <v>26267248</v>
      </c>
      <c r="E189">
        <v>1</v>
      </c>
      <c r="F189">
        <v>22</v>
      </c>
      <c r="G189">
        <v>647</v>
      </c>
      <c r="H189">
        <v>95769729</v>
      </c>
      <c r="I189">
        <v>900961</v>
      </c>
      <c r="J189" t="s">
        <v>25</v>
      </c>
      <c r="K189" t="s">
        <v>18</v>
      </c>
      <c r="L189">
        <v>8</v>
      </c>
      <c r="M189">
        <v>46.88</v>
      </c>
      <c r="N189">
        <v>108079</v>
      </c>
      <c r="O189">
        <v>1</v>
      </c>
    </row>
    <row r="190" spans="1:15">
      <c r="A190" t="s">
        <v>216</v>
      </c>
      <c r="B190" t="s">
        <v>20</v>
      </c>
      <c r="C190">
        <v>10</v>
      </c>
      <c r="D190">
        <v>33627366</v>
      </c>
      <c r="E190">
        <v>4</v>
      </c>
      <c r="F190">
        <v>14</v>
      </c>
      <c r="G190">
        <v>780</v>
      </c>
      <c r="H190">
        <v>60548371</v>
      </c>
      <c r="I190">
        <v>406753</v>
      </c>
      <c r="J190" t="s">
        <v>17</v>
      </c>
      <c r="K190" t="s">
        <v>22</v>
      </c>
      <c r="L190">
        <v>6</v>
      </c>
      <c r="M190">
        <v>46.37</v>
      </c>
      <c r="N190">
        <v>703308</v>
      </c>
      <c r="O190">
        <v>1</v>
      </c>
    </row>
    <row r="191" spans="1:15">
      <c r="A191" t="s">
        <v>217</v>
      </c>
      <c r="B191" t="s">
        <v>32</v>
      </c>
      <c r="C191">
        <v>2</v>
      </c>
      <c r="D191">
        <v>45105602</v>
      </c>
      <c r="E191">
        <v>4</v>
      </c>
      <c r="F191">
        <v>17</v>
      </c>
      <c r="G191">
        <v>830</v>
      </c>
      <c r="H191">
        <v>14889863</v>
      </c>
      <c r="I191">
        <v>136334</v>
      </c>
      <c r="J191" t="s">
        <v>25</v>
      </c>
      <c r="K191" t="s">
        <v>30</v>
      </c>
      <c r="L191">
        <v>4</v>
      </c>
      <c r="M191">
        <v>99.68</v>
      </c>
      <c r="N191">
        <v>92248</v>
      </c>
      <c r="O191">
        <v>1</v>
      </c>
    </row>
    <row r="192" spans="1:15">
      <c r="A192" t="s">
        <v>218</v>
      </c>
      <c r="B192" t="s">
        <v>32</v>
      </c>
      <c r="C192">
        <v>4</v>
      </c>
      <c r="D192">
        <v>47389015</v>
      </c>
      <c r="E192">
        <v>3</v>
      </c>
      <c r="F192">
        <v>5</v>
      </c>
      <c r="G192">
        <v>681</v>
      </c>
      <c r="H192">
        <v>63045859</v>
      </c>
      <c r="I192">
        <v>83035</v>
      </c>
      <c r="J192" t="s">
        <v>25</v>
      </c>
      <c r="K192" t="s">
        <v>22</v>
      </c>
      <c r="L192">
        <v>4</v>
      </c>
      <c r="M192">
        <v>91.41</v>
      </c>
      <c r="N192">
        <v>562357</v>
      </c>
      <c r="O192">
        <v>1</v>
      </c>
    </row>
    <row r="193" spans="1:15">
      <c r="A193" t="s">
        <v>219</v>
      </c>
      <c r="B193" t="s">
        <v>20</v>
      </c>
      <c r="C193">
        <v>9</v>
      </c>
      <c r="D193">
        <v>36637291</v>
      </c>
      <c r="E193">
        <v>2</v>
      </c>
      <c r="F193">
        <v>10</v>
      </c>
      <c r="G193">
        <v>11</v>
      </c>
      <c r="H193">
        <v>58085014</v>
      </c>
      <c r="I193">
        <v>478356</v>
      </c>
      <c r="J193" t="s">
        <v>21</v>
      </c>
      <c r="K193" t="s">
        <v>18</v>
      </c>
      <c r="L193">
        <v>1</v>
      </c>
      <c r="M193">
        <v>40.78</v>
      </c>
      <c r="N193">
        <v>355949</v>
      </c>
      <c r="O193">
        <v>1</v>
      </c>
    </row>
    <row r="194" spans="1:15">
      <c r="A194" t="s">
        <v>220</v>
      </c>
      <c r="B194" t="s">
        <v>16</v>
      </c>
      <c r="C194">
        <v>2</v>
      </c>
      <c r="D194">
        <v>2151779</v>
      </c>
      <c r="E194">
        <v>3</v>
      </c>
      <c r="F194">
        <v>11</v>
      </c>
      <c r="G194">
        <v>701</v>
      </c>
      <c r="H194">
        <v>57287958</v>
      </c>
      <c r="I194">
        <v>674545</v>
      </c>
      <c r="J194" t="s">
        <v>21</v>
      </c>
      <c r="K194" t="s">
        <v>22</v>
      </c>
      <c r="L194">
        <v>3</v>
      </c>
      <c r="M194">
        <v>4.4400000000000004</v>
      </c>
      <c r="N194">
        <v>997857</v>
      </c>
      <c r="O194">
        <v>1</v>
      </c>
    </row>
    <row r="195" spans="1:15">
      <c r="A195" t="s">
        <v>221</v>
      </c>
      <c r="B195" t="s">
        <v>20</v>
      </c>
      <c r="C195">
        <v>14</v>
      </c>
      <c r="D195">
        <v>35564367</v>
      </c>
      <c r="E195">
        <v>3</v>
      </c>
      <c r="F195">
        <v>6</v>
      </c>
      <c r="G195">
        <v>129</v>
      </c>
      <c r="H195">
        <v>4186186</v>
      </c>
      <c r="I195">
        <v>484091</v>
      </c>
      <c r="J195" t="s">
        <v>25</v>
      </c>
      <c r="K195" t="s">
        <v>18</v>
      </c>
      <c r="L195">
        <v>2</v>
      </c>
      <c r="M195">
        <v>82.7</v>
      </c>
      <c r="N195">
        <v>629025</v>
      </c>
      <c r="O195">
        <v>1</v>
      </c>
    </row>
    <row r="196" spans="1:15">
      <c r="A196" t="s">
        <v>222</v>
      </c>
      <c r="B196" t="s">
        <v>38</v>
      </c>
      <c r="C196">
        <v>5</v>
      </c>
      <c r="D196">
        <v>33382463</v>
      </c>
      <c r="E196">
        <v>2</v>
      </c>
      <c r="F196">
        <v>27</v>
      </c>
      <c r="G196">
        <v>363</v>
      </c>
      <c r="H196">
        <v>94373017</v>
      </c>
      <c r="I196">
        <v>899713</v>
      </c>
      <c r="J196" t="s">
        <v>17</v>
      </c>
      <c r="K196" t="s">
        <v>30</v>
      </c>
      <c r="L196">
        <v>1</v>
      </c>
      <c r="M196">
        <v>40.25</v>
      </c>
      <c r="N196">
        <v>160111</v>
      </c>
      <c r="O196">
        <v>1</v>
      </c>
    </row>
    <row r="197" spans="1:15">
      <c r="A197" t="s">
        <v>223</v>
      </c>
      <c r="B197" t="s">
        <v>16</v>
      </c>
      <c r="C197">
        <v>11</v>
      </c>
      <c r="D197">
        <v>29875660</v>
      </c>
      <c r="E197">
        <v>2</v>
      </c>
      <c r="F197">
        <v>27</v>
      </c>
      <c r="G197">
        <v>967</v>
      </c>
      <c r="H197">
        <v>59785675</v>
      </c>
      <c r="I197">
        <v>867722</v>
      </c>
      <c r="J197" t="s">
        <v>21</v>
      </c>
      <c r="K197" t="s">
        <v>30</v>
      </c>
      <c r="L197">
        <v>3</v>
      </c>
      <c r="M197">
        <v>6.71</v>
      </c>
      <c r="N197">
        <v>865382</v>
      </c>
      <c r="O197">
        <v>1</v>
      </c>
    </row>
    <row r="198" spans="1:15">
      <c r="A198" t="s">
        <v>224</v>
      </c>
      <c r="B198" t="s">
        <v>24</v>
      </c>
      <c r="C198">
        <v>2</v>
      </c>
      <c r="D198">
        <v>18991542</v>
      </c>
      <c r="E198">
        <v>1</v>
      </c>
      <c r="F198">
        <v>23</v>
      </c>
      <c r="G198">
        <v>885</v>
      </c>
      <c r="H198">
        <v>67618925</v>
      </c>
      <c r="I198">
        <v>842497</v>
      </c>
      <c r="J198" t="s">
        <v>25</v>
      </c>
      <c r="K198" t="s">
        <v>18</v>
      </c>
      <c r="L198">
        <v>8</v>
      </c>
      <c r="M198">
        <v>10.9</v>
      </c>
      <c r="N198">
        <v>189214</v>
      </c>
      <c r="O198">
        <v>1</v>
      </c>
    </row>
    <row r="199" spans="1:15">
      <c r="A199" t="s">
        <v>225</v>
      </c>
      <c r="B199" t="s">
        <v>32</v>
      </c>
      <c r="C199">
        <v>5</v>
      </c>
      <c r="D199">
        <v>30676453</v>
      </c>
      <c r="E199">
        <v>3</v>
      </c>
      <c r="F199">
        <v>19</v>
      </c>
      <c r="G199">
        <v>725</v>
      </c>
      <c r="H199">
        <v>60952591</v>
      </c>
      <c r="I199">
        <v>307471</v>
      </c>
      <c r="J199" t="s">
        <v>21</v>
      </c>
      <c r="K199" t="s">
        <v>22</v>
      </c>
      <c r="L199">
        <v>4</v>
      </c>
      <c r="M199">
        <v>53.39</v>
      </c>
      <c r="N199">
        <v>27676</v>
      </c>
      <c r="O199">
        <v>1</v>
      </c>
    </row>
    <row r="200" spans="1:15">
      <c r="A200" t="s">
        <v>226</v>
      </c>
      <c r="B200" t="s">
        <v>27</v>
      </c>
      <c r="C200">
        <v>8</v>
      </c>
      <c r="D200">
        <v>33565953</v>
      </c>
      <c r="E200">
        <v>1</v>
      </c>
      <c r="F200">
        <v>1</v>
      </c>
      <c r="G200">
        <v>927</v>
      </c>
      <c r="H200">
        <v>121464</v>
      </c>
      <c r="I200">
        <v>23993</v>
      </c>
      <c r="J200" t="s">
        <v>17</v>
      </c>
      <c r="K200" t="s">
        <v>30</v>
      </c>
      <c r="L200">
        <v>4</v>
      </c>
      <c r="M200">
        <v>51.03</v>
      </c>
      <c r="N200">
        <v>830208</v>
      </c>
      <c r="O200">
        <v>1</v>
      </c>
    </row>
    <row r="201" spans="1:15">
      <c r="A201" t="s">
        <v>227</v>
      </c>
      <c r="B201" t="s">
        <v>20</v>
      </c>
      <c r="C201">
        <v>4</v>
      </c>
      <c r="D201">
        <v>46973089</v>
      </c>
      <c r="E201">
        <v>2</v>
      </c>
      <c r="F201">
        <v>18</v>
      </c>
      <c r="G201">
        <v>9</v>
      </c>
      <c r="H201">
        <v>88946759</v>
      </c>
      <c r="I201">
        <v>777187</v>
      </c>
      <c r="J201" t="s">
        <v>21</v>
      </c>
      <c r="K201" t="s">
        <v>18</v>
      </c>
      <c r="L201">
        <v>8</v>
      </c>
      <c r="M201">
        <v>65.569999999999993</v>
      </c>
      <c r="N201">
        <v>393788</v>
      </c>
      <c r="O201">
        <v>1</v>
      </c>
    </row>
    <row r="202" spans="1:15">
      <c r="A202" t="s">
        <v>228</v>
      </c>
      <c r="B202" t="s">
        <v>24</v>
      </c>
      <c r="C202">
        <v>14</v>
      </c>
      <c r="D202">
        <v>13650778</v>
      </c>
      <c r="E202">
        <v>1</v>
      </c>
      <c r="F202">
        <v>26</v>
      </c>
      <c r="G202">
        <v>722</v>
      </c>
      <c r="H202">
        <v>26903312</v>
      </c>
      <c r="I202">
        <v>182154</v>
      </c>
      <c r="J202" t="s">
        <v>21</v>
      </c>
      <c r="K202" t="s">
        <v>18</v>
      </c>
      <c r="L202">
        <v>3</v>
      </c>
      <c r="M202">
        <v>55</v>
      </c>
      <c r="N202">
        <v>405998</v>
      </c>
      <c r="O202">
        <v>1</v>
      </c>
    </row>
    <row r="203" spans="1:15">
      <c r="A203" t="s">
        <v>229</v>
      </c>
      <c r="B203" t="s">
        <v>20</v>
      </c>
      <c r="C203">
        <v>14</v>
      </c>
      <c r="D203">
        <v>698867</v>
      </c>
      <c r="E203">
        <v>4</v>
      </c>
      <c r="F203">
        <v>26</v>
      </c>
      <c r="G203">
        <v>983</v>
      </c>
      <c r="H203">
        <v>65596624</v>
      </c>
      <c r="I203">
        <v>793587</v>
      </c>
      <c r="J203" t="s">
        <v>17</v>
      </c>
      <c r="K203" t="s">
        <v>30</v>
      </c>
      <c r="L203">
        <v>7</v>
      </c>
      <c r="M203">
        <v>30.14</v>
      </c>
      <c r="N203">
        <v>189578</v>
      </c>
      <c r="O203">
        <v>1</v>
      </c>
    </row>
    <row r="204" spans="1:15">
      <c r="A204" t="s">
        <v>230</v>
      </c>
      <c r="B204" t="s">
        <v>24</v>
      </c>
      <c r="C204">
        <v>14</v>
      </c>
      <c r="D204">
        <v>27462605</v>
      </c>
      <c r="E204">
        <v>3</v>
      </c>
      <c r="F204">
        <v>24</v>
      </c>
      <c r="G204">
        <v>633</v>
      </c>
      <c r="H204">
        <v>66410258</v>
      </c>
      <c r="I204">
        <v>699380</v>
      </c>
      <c r="J204" t="s">
        <v>17</v>
      </c>
      <c r="K204" t="s">
        <v>18</v>
      </c>
      <c r="L204">
        <v>6</v>
      </c>
      <c r="M204">
        <v>90.9</v>
      </c>
      <c r="N204">
        <v>768814</v>
      </c>
      <c r="O204">
        <v>1</v>
      </c>
    </row>
    <row r="205" spans="1:15">
      <c r="A205" t="s">
        <v>231</v>
      </c>
      <c r="B205" t="s">
        <v>27</v>
      </c>
      <c r="C205">
        <v>11</v>
      </c>
      <c r="D205">
        <v>4857625</v>
      </c>
      <c r="E205">
        <v>1</v>
      </c>
      <c r="F205">
        <v>13</v>
      </c>
      <c r="G205">
        <v>967</v>
      </c>
      <c r="H205">
        <v>75080855</v>
      </c>
      <c r="I205">
        <v>638894</v>
      </c>
      <c r="J205" t="s">
        <v>25</v>
      </c>
      <c r="K205" t="s">
        <v>18</v>
      </c>
      <c r="L205">
        <v>6</v>
      </c>
      <c r="M205">
        <v>52.66</v>
      </c>
      <c r="N205">
        <v>555635</v>
      </c>
      <c r="O205">
        <v>1</v>
      </c>
    </row>
    <row r="206" spans="1:15">
      <c r="A206" t="s">
        <v>232</v>
      </c>
      <c r="B206" t="s">
        <v>24</v>
      </c>
      <c r="C206">
        <v>3</v>
      </c>
      <c r="D206">
        <v>9823010</v>
      </c>
      <c r="E206">
        <v>2</v>
      </c>
      <c r="F206">
        <v>26</v>
      </c>
      <c r="G206">
        <v>711</v>
      </c>
      <c r="H206">
        <v>27841925</v>
      </c>
      <c r="I206">
        <v>370863</v>
      </c>
      <c r="J206" t="s">
        <v>25</v>
      </c>
      <c r="K206" t="s">
        <v>18</v>
      </c>
      <c r="L206">
        <v>1</v>
      </c>
      <c r="M206">
        <v>33.08</v>
      </c>
      <c r="N206">
        <v>825836</v>
      </c>
      <c r="O206">
        <v>1</v>
      </c>
    </row>
    <row r="207" spans="1:15">
      <c r="A207" t="s">
        <v>233</v>
      </c>
      <c r="B207" t="s">
        <v>20</v>
      </c>
      <c r="C207">
        <v>6</v>
      </c>
      <c r="D207">
        <v>20655267</v>
      </c>
      <c r="E207">
        <v>3</v>
      </c>
      <c r="F207">
        <v>19</v>
      </c>
      <c r="G207">
        <v>372</v>
      </c>
      <c r="H207">
        <v>18749552</v>
      </c>
      <c r="I207">
        <v>431973</v>
      </c>
      <c r="J207" t="s">
        <v>21</v>
      </c>
      <c r="K207" t="s">
        <v>18</v>
      </c>
      <c r="L207">
        <v>4</v>
      </c>
      <c r="M207">
        <v>47.57</v>
      </c>
      <c r="N207">
        <v>499653</v>
      </c>
      <c r="O207">
        <v>1</v>
      </c>
    </row>
    <row r="208" spans="1:15">
      <c r="A208" t="s">
        <v>234</v>
      </c>
      <c r="B208" t="s">
        <v>24</v>
      </c>
      <c r="C208">
        <v>11</v>
      </c>
      <c r="D208">
        <v>8076745</v>
      </c>
      <c r="E208">
        <v>3</v>
      </c>
      <c r="F208">
        <v>14</v>
      </c>
      <c r="G208">
        <v>227</v>
      </c>
      <c r="H208">
        <v>47812494</v>
      </c>
      <c r="I208">
        <v>272239</v>
      </c>
      <c r="J208" t="s">
        <v>17</v>
      </c>
      <c r="K208" t="s">
        <v>22</v>
      </c>
      <c r="L208">
        <v>6</v>
      </c>
      <c r="M208">
        <v>99.5</v>
      </c>
      <c r="N208">
        <v>657928</v>
      </c>
      <c r="O208">
        <v>1</v>
      </c>
    </row>
    <row r="209" spans="1:15">
      <c r="A209" t="s">
        <v>235</v>
      </c>
      <c r="B209" t="s">
        <v>20</v>
      </c>
      <c r="C209">
        <v>5</v>
      </c>
      <c r="D209">
        <v>48914606</v>
      </c>
      <c r="E209">
        <v>2</v>
      </c>
      <c r="F209">
        <v>16</v>
      </c>
      <c r="G209">
        <v>997</v>
      </c>
      <c r="H209">
        <v>60549013</v>
      </c>
      <c r="I209">
        <v>935044</v>
      </c>
      <c r="J209" t="s">
        <v>21</v>
      </c>
      <c r="K209" t="s">
        <v>30</v>
      </c>
      <c r="L209">
        <v>7</v>
      </c>
      <c r="M209">
        <v>45.51</v>
      </c>
      <c r="N209">
        <v>34340</v>
      </c>
      <c r="O209">
        <v>1</v>
      </c>
    </row>
    <row r="210" spans="1:15">
      <c r="A210" t="s">
        <v>236</v>
      </c>
      <c r="B210" t="s">
        <v>20</v>
      </c>
      <c r="C210">
        <v>0</v>
      </c>
      <c r="D210">
        <v>34757853</v>
      </c>
      <c r="E210">
        <v>1</v>
      </c>
      <c r="F210">
        <v>2</v>
      </c>
      <c r="G210">
        <v>585</v>
      </c>
      <c r="H210">
        <v>25113085</v>
      </c>
      <c r="I210">
        <v>801305</v>
      </c>
      <c r="J210" t="s">
        <v>17</v>
      </c>
      <c r="K210" t="s">
        <v>30</v>
      </c>
      <c r="L210">
        <v>1</v>
      </c>
      <c r="M210">
        <v>13.6</v>
      </c>
      <c r="N210">
        <v>418616</v>
      </c>
      <c r="O210">
        <v>1</v>
      </c>
    </row>
    <row r="211" spans="1:15">
      <c r="A211" t="s">
        <v>237</v>
      </c>
      <c r="B211" t="s">
        <v>29</v>
      </c>
      <c r="C211">
        <v>0</v>
      </c>
      <c r="D211">
        <v>41274352</v>
      </c>
      <c r="E211">
        <v>4</v>
      </c>
      <c r="F211">
        <v>16</v>
      </c>
      <c r="G211">
        <v>45</v>
      </c>
      <c r="H211">
        <v>99031696</v>
      </c>
      <c r="I211">
        <v>357675</v>
      </c>
      <c r="J211" t="s">
        <v>21</v>
      </c>
      <c r="K211" t="s">
        <v>18</v>
      </c>
      <c r="L211">
        <v>8</v>
      </c>
      <c r="M211">
        <v>11.41</v>
      </c>
      <c r="N211">
        <v>931981</v>
      </c>
      <c r="O211">
        <v>1</v>
      </c>
    </row>
    <row r="212" spans="1:15">
      <c r="A212" t="s">
        <v>238</v>
      </c>
      <c r="B212" t="s">
        <v>38</v>
      </c>
      <c r="C212">
        <v>14</v>
      </c>
      <c r="D212">
        <v>21198100</v>
      </c>
      <c r="E212">
        <v>4</v>
      </c>
      <c r="F212">
        <v>13</v>
      </c>
      <c r="G212">
        <v>454</v>
      </c>
      <c r="H212">
        <v>84272800</v>
      </c>
      <c r="I212">
        <v>394630</v>
      </c>
      <c r="J212" t="s">
        <v>25</v>
      </c>
      <c r="K212" t="s">
        <v>30</v>
      </c>
      <c r="L212">
        <v>4</v>
      </c>
      <c r="M212">
        <v>69.19</v>
      </c>
      <c r="N212">
        <v>747188</v>
      </c>
      <c r="O212">
        <v>1</v>
      </c>
    </row>
    <row r="213" spans="1:15">
      <c r="A213" t="s">
        <v>239</v>
      </c>
      <c r="B213" t="s">
        <v>29</v>
      </c>
      <c r="C213">
        <v>9</v>
      </c>
      <c r="D213">
        <v>49049614</v>
      </c>
      <c r="E213">
        <v>1</v>
      </c>
      <c r="F213">
        <v>5</v>
      </c>
      <c r="G213">
        <v>869</v>
      </c>
      <c r="H213">
        <v>27966023</v>
      </c>
      <c r="I213">
        <v>958001</v>
      </c>
      <c r="J213" t="s">
        <v>21</v>
      </c>
      <c r="K213" t="s">
        <v>18</v>
      </c>
      <c r="L213">
        <v>8</v>
      </c>
      <c r="M213">
        <v>26.11</v>
      </c>
      <c r="N213">
        <v>610152</v>
      </c>
      <c r="O213">
        <v>1</v>
      </c>
    </row>
    <row r="214" spans="1:15">
      <c r="A214" t="s">
        <v>240</v>
      </c>
      <c r="B214" t="s">
        <v>16</v>
      </c>
      <c r="C214">
        <v>1</v>
      </c>
      <c r="D214">
        <v>31998840</v>
      </c>
      <c r="E214">
        <v>4</v>
      </c>
      <c r="F214">
        <v>12</v>
      </c>
      <c r="G214">
        <v>118</v>
      </c>
      <c r="H214">
        <v>66481804</v>
      </c>
      <c r="I214">
        <v>415935</v>
      </c>
      <c r="J214" t="s">
        <v>21</v>
      </c>
      <c r="K214" t="s">
        <v>30</v>
      </c>
      <c r="L214">
        <v>9</v>
      </c>
      <c r="M214">
        <v>34.65</v>
      </c>
      <c r="N214">
        <v>123458</v>
      </c>
      <c r="O214">
        <v>1</v>
      </c>
    </row>
    <row r="215" spans="1:15">
      <c r="A215" t="s">
        <v>241</v>
      </c>
      <c r="B215" t="s">
        <v>24</v>
      </c>
      <c r="C215">
        <v>10</v>
      </c>
      <c r="D215">
        <v>33552639</v>
      </c>
      <c r="E215">
        <v>4</v>
      </c>
      <c r="F215">
        <v>14</v>
      </c>
      <c r="G215">
        <v>634</v>
      </c>
      <c r="H215">
        <v>6946619</v>
      </c>
      <c r="I215">
        <v>922722</v>
      </c>
      <c r="J215" t="s">
        <v>17</v>
      </c>
      <c r="K215" t="s">
        <v>30</v>
      </c>
      <c r="L215">
        <v>7</v>
      </c>
      <c r="M215">
        <v>97.94</v>
      </c>
      <c r="N215">
        <v>198163</v>
      </c>
      <c r="O215">
        <v>1</v>
      </c>
    </row>
    <row r="216" spans="1:15">
      <c r="A216" t="s">
        <v>242</v>
      </c>
      <c r="B216" t="s">
        <v>29</v>
      </c>
      <c r="C216">
        <v>0</v>
      </c>
      <c r="D216">
        <v>27465103</v>
      </c>
      <c r="E216">
        <v>4</v>
      </c>
      <c r="F216">
        <v>26</v>
      </c>
      <c r="G216">
        <v>296</v>
      </c>
      <c r="H216">
        <v>7254930</v>
      </c>
      <c r="I216">
        <v>905591</v>
      </c>
      <c r="J216" t="s">
        <v>17</v>
      </c>
      <c r="K216" t="s">
        <v>22</v>
      </c>
      <c r="L216">
        <v>8</v>
      </c>
      <c r="M216">
        <v>68.69</v>
      </c>
      <c r="N216">
        <v>75686</v>
      </c>
      <c r="O216">
        <v>1</v>
      </c>
    </row>
    <row r="217" spans="1:15">
      <c r="A217" t="s">
        <v>243</v>
      </c>
      <c r="B217" t="s">
        <v>32</v>
      </c>
      <c r="C217">
        <v>1</v>
      </c>
      <c r="D217">
        <v>41883199</v>
      </c>
      <c r="E217">
        <v>2</v>
      </c>
      <c r="F217">
        <v>27</v>
      </c>
      <c r="G217">
        <v>251</v>
      </c>
      <c r="H217">
        <v>5585792</v>
      </c>
      <c r="I217">
        <v>242300</v>
      </c>
      <c r="J217" t="s">
        <v>21</v>
      </c>
      <c r="K217" t="s">
        <v>30</v>
      </c>
      <c r="L217">
        <v>2</v>
      </c>
      <c r="M217">
        <v>35.82</v>
      </c>
      <c r="N217">
        <v>848041</v>
      </c>
      <c r="O217">
        <v>1</v>
      </c>
    </row>
    <row r="218" spans="1:15">
      <c r="A218" t="s">
        <v>244</v>
      </c>
      <c r="B218" t="s">
        <v>20</v>
      </c>
      <c r="C218">
        <v>7</v>
      </c>
      <c r="D218">
        <v>24138094</v>
      </c>
      <c r="E218">
        <v>1</v>
      </c>
      <c r="F218">
        <v>21</v>
      </c>
      <c r="G218">
        <v>34</v>
      </c>
      <c r="H218">
        <v>21159969</v>
      </c>
      <c r="I218">
        <v>334361</v>
      </c>
      <c r="J218" t="s">
        <v>17</v>
      </c>
      <c r="K218" t="s">
        <v>18</v>
      </c>
      <c r="L218">
        <v>1</v>
      </c>
      <c r="M218">
        <v>1.92</v>
      </c>
      <c r="N218">
        <v>832012</v>
      </c>
      <c r="O218">
        <v>1</v>
      </c>
    </row>
    <row r="219" spans="1:15">
      <c r="A219" t="s">
        <v>245</v>
      </c>
      <c r="B219" t="s">
        <v>24</v>
      </c>
      <c r="C219">
        <v>9</v>
      </c>
      <c r="D219">
        <v>12752963</v>
      </c>
      <c r="E219">
        <v>2</v>
      </c>
      <c r="F219">
        <v>3</v>
      </c>
      <c r="G219">
        <v>320</v>
      </c>
      <c r="H219">
        <v>55503088</v>
      </c>
      <c r="I219">
        <v>758379</v>
      </c>
      <c r="J219" t="s">
        <v>17</v>
      </c>
      <c r="K219" t="s">
        <v>18</v>
      </c>
      <c r="L219">
        <v>1</v>
      </c>
      <c r="M219">
        <v>1.1599999999999999</v>
      </c>
      <c r="N219">
        <v>94805</v>
      </c>
      <c r="O219">
        <v>1</v>
      </c>
    </row>
    <row r="220" spans="1:15">
      <c r="A220" t="s">
        <v>246</v>
      </c>
      <c r="B220" t="s">
        <v>24</v>
      </c>
      <c r="C220">
        <v>12</v>
      </c>
      <c r="D220">
        <v>39084866</v>
      </c>
      <c r="E220">
        <v>2</v>
      </c>
      <c r="F220">
        <v>13</v>
      </c>
      <c r="G220">
        <v>574</v>
      </c>
      <c r="H220">
        <v>37822990</v>
      </c>
      <c r="I220">
        <v>713717</v>
      </c>
      <c r="J220" t="s">
        <v>17</v>
      </c>
      <c r="K220" t="s">
        <v>30</v>
      </c>
      <c r="L220">
        <v>2</v>
      </c>
      <c r="M220">
        <v>25.98</v>
      </c>
      <c r="N220">
        <v>505920</v>
      </c>
      <c r="O220">
        <v>1</v>
      </c>
    </row>
    <row r="221" spans="1:15">
      <c r="A221" t="s">
        <v>247</v>
      </c>
      <c r="B221" t="s">
        <v>16</v>
      </c>
      <c r="C221">
        <v>5</v>
      </c>
      <c r="D221">
        <v>17416652</v>
      </c>
      <c r="E221">
        <v>3</v>
      </c>
      <c r="F221">
        <v>22</v>
      </c>
      <c r="G221">
        <v>920</v>
      </c>
      <c r="H221">
        <v>61964621</v>
      </c>
      <c r="I221">
        <v>394251</v>
      </c>
      <c r="J221" t="s">
        <v>25</v>
      </c>
      <c r="K221" t="s">
        <v>30</v>
      </c>
      <c r="L221">
        <v>1</v>
      </c>
      <c r="M221">
        <v>59.44</v>
      </c>
      <c r="N221">
        <v>397418</v>
      </c>
      <c r="O221">
        <v>1</v>
      </c>
    </row>
    <row r="222" spans="1:15">
      <c r="A222" t="s">
        <v>248</v>
      </c>
      <c r="B222" t="s">
        <v>27</v>
      </c>
      <c r="C222">
        <v>2</v>
      </c>
      <c r="D222">
        <v>46011770</v>
      </c>
      <c r="E222">
        <v>2</v>
      </c>
      <c r="F222">
        <v>23</v>
      </c>
      <c r="G222">
        <v>83</v>
      </c>
      <c r="H222">
        <v>67700769</v>
      </c>
      <c r="I222">
        <v>612323</v>
      </c>
      <c r="J222" t="s">
        <v>21</v>
      </c>
      <c r="K222" t="s">
        <v>22</v>
      </c>
      <c r="L222">
        <v>5</v>
      </c>
      <c r="M222">
        <v>9.56</v>
      </c>
      <c r="N222">
        <v>232467</v>
      </c>
      <c r="O222">
        <v>1</v>
      </c>
    </row>
    <row r="223" spans="1:15">
      <c r="A223" t="s">
        <v>249</v>
      </c>
      <c r="B223" t="s">
        <v>16</v>
      </c>
      <c r="C223">
        <v>0</v>
      </c>
      <c r="D223">
        <v>28500107</v>
      </c>
      <c r="E223">
        <v>3</v>
      </c>
      <c r="F223">
        <v>14</v>
      </c>
      <c r="G223">
        <v>650</v>
      </c>
      <c r="H223">
        <v>24612061</v>
      </c>
      <c r="I223">
        <v>778205</v>
      </c>
      <c r="J223" t="s">
        <v>21</v>
      </c>
      <c r="K223" t="s">
        <v>30</v>
      </c>
      <c r="L223">
        <v>8</v>
      </c>
      <c r="M223">
        <v>10.119999999999999</v>
      </c>
      <c r="N223">
        <v>17599</v>
      </c>
      <c r="O223">
        <v>1</v>
      </c>
    </row>
    <row r="224" spans="1:15">
      <c r="A224" t="s">
        <v>250</v>
      </c>
      <c r="B224" t="s">
        <v>38</v>
      </c>
      <c r="C224">
        <v>5</v>
      </c>
      <c r="D224">
        <v>48957620</v>
      </c>
      <c r="E224">
        <v>4</v>
      </c>
      <c r="F224">
        <v>25</v>
      </c>
      <c r="G224">
        <v>788</v>
      </c>
      <c r="H224">
        <v>95520526</v>
      </c>
      <c r="I224">
        <v>419494</v>
      </c>
      <c r="J224" t="s">
        <v>25</v>
      </c>
      <c r="K224" t="s">
        <v>30</v>
      </c>
      <c r="L224">
        <v>3</v>
      </c>
      <c r="M224">
        <v>0.83</v>
      </c>
      <c r="N224">
        <v>241067</v>
      </c>
      <c r="O224">
        <v>1</v>
      </c>
    </row>
    <row r="225" spans="1:15">
      <c r="A225" t="s">
        <v>251</v>
      </c>
      <c r="B225" t="s">
        <v>32</v>
      </c>
      <c r="C225">
        <v>14</v>
      </c>
      <c r="D225">
        <v>30428965</v>
      </c>
      <c r="E225">
        <v>4</v>
      </c>
      <c r="F225">
        <v>17</v>
      </c>
      <c r="G225">
        <v>951</v>
      </c>
      <c r="H225">
        <v>66900954</v>
      </c>
      <c r="I225">
        <v>225409</v>
      </c>
      <c r="J225" t="s">
        <v>21</v>
      </c>
      <c r="K225" t="s">
        <v>30</v>
      </c>
      <c r="L225">
        <v>9</v>
      </c>
      <c r="M225">
        <v>53.83</v>
      </c>
      <c r="N225">
        <v>508463</v>
      </c>
      <c r="O225">
        <v>1</v>
      </c>
    </row>
    <row r="226" spans="1:15">
      <c r="A226" t="s">
        <v>252</v>
      </c>
      <c r="B226" t="s">
        <v>20</v>
      </c>
      <c r="C226">
        <v>6</v>
      </c>
      <c r="D226">
        <v>26005379</v>
      </c>
      <c r="E226">
        <v>3</v>
      </c>
      <c r="F226">
        <v>4</v>
      </c>
      <c r="G226">
        <v>983</v>
      </c>
      <c r="H226">
        <v>40981559</v>
      </c>
      <c r="I226">
        <v>527888</v>
      </c>
      <c r="J226" t="s">
        <v>25</v>
      </c>
      <c r="K226" t="s">
        <v>30</v>
      </c>
      <c r="L226">
        <v>9</v>
      </c>
      <c r="M226">
        <v>80.3</v>
      </c>
      <c r="N226">
        <v>25298</v>
      </c>
      <c r="O226">
        <v>1</v>
      </c>
    </row>
    <row r="227" spans="1:15">
      <c r="A227" t="s">
        <v>253</v>
      </c>
      <c r="B227" t="s">
        <v>27</v>
      </c>
      <c r="C227">
        <v>0</v>
      </c>
      <c r="D227">
        <v>38524061</v>
      </c>
      <c r="E227">
        <v>4</v>
      </c>
      <c r="F227">
        <v>14</v>
      </c>
      <c r="G227">
        <v>644</v>
      </c>
      <c r="H227">
        <v>52167897</v>
      </c>
      <c r="I227">
        <v>578522</v>
      </c>
      <c r="J227" t="s">
        <v>21</v>
      </c>
      <c r="K227" t="s">
        <v>30</v>
      </c>
      <c r="L227">
        <v>4</v>
      </c>
      <c r="M227">
        <v>45.19</v>
      </c>
      <c r="N227">
        <v>827026</v>
      </c>
      <c r="O227">
        <v>1</v>
      </c>
    </row>
    <row r="228" spans="1:15">
      <c r="A228" t="s">
        <v>254</v>
      </c>
      <c r="B228" t="s">
        <v>16</v>
      </c>
      <c r="C228">
        <v>10</v>
      </c>
      <c r="D228">
        <v>10810487</v>
      </c>
      <c r="E228">
        <v>4</v>
      </c>
      <c r="F228">
        <v>1</v>
      </c>
      <c r="G228">
        <v>397</v>
      </c>
      <c r="H228">
        <v>65388259</v>
      </c>
      <c r="I228">
        <v>275523</v>
      </c>
      <c r="J228" t="s">
        <v>25</v>
      </c>
      <c r="K228" t="s">
        <v>30</v>
      </c>
      <c r="L228">
        <v>9</v>
      </c>
      <c r="M228">
        <v>19.850000000000001</v>
      </c>
      <c r="N228">
        <v>445731</v>
      </c>
      <c r="O228">
        <v>1</v>
      </c>
    </row>
    <row r="229" spans="1:15">
      <c r="A229" t="s">
        <v>255</v>
      </c>
      <c r="B229" t="s">
        <v>24</v>
      </c>
      <c r="C229">
        <v>4</v>
      </c>
      <c r="D229">
        <v>26942692</v>
      </c>
      <c r="E229">
        <v>2</v>
      </c>
      <c r="F229">
        <v>28</v>
      </c>
      <c r="G229">
        <v>244</v>
      </c>
      <c r="H229">
        <v>96446864</v>
      </c>
      <c r="I229">
        <v>792237</v>
      </c>
      <c r="J229" t="s">
        <v>25</v>
      </c>
      <c r="K229" t="s">
        <v>18</v>
      </c>
      <c r="L229">
        <v>3</v>
      </c>
      <c r="M229">
        <v>30.41</v>
      </c>
      <c r="N229">
        <v>479297</v>
      </c>
      <c r="O229">
        <v>1</v>
      </c>
    </row>
    <row r="230" spans="1:15">
      <c r="A230" t="s">
        <v>256</v>
      </c>
      <c r="B230" t="s">
        <v>29</v>
      </c>
      <c r="C230">
        <v>2</v>
      </c>
      <c r="D230">
        <v>34281051</v>
      </c>
      <c r="E230">
        <v>4</v>
      </c>
      <c r="F230">
        <v>28</v>
      </c>
      <c r="G230">
        <v>475</v>
      </c>
      <c r="H230">
        <v>14719306</v>
      </c>
      <c r="I230">
        <v>919088</v>
      </c>
      <c r="J230" t="s">
        <v>25</v>
      </c>
      <c r="K230" t="s">
        <v>30</v>
      </c>
      <c r="L230">
        <v>6</v>
      </c>
      <c r="M230">
        <v>33.54</v>
      </c>
      <c r="N230">
        <v>611250</v>
      </c>
      <c r="O230">
        <v>1</v>
      </c>
    </row>
    <row r="231" spans="1:15">
      <c r="A231" t="s">
        <v>257</v>
      </c>
      <c r="B231" t="s">
        <v>16</v>
      </c>
      <c r="C231">
        <v>14</v>
      </c>
      <c r="D231">
        <v>49385172</v>
      </c>
      <c r="E231">
        <v>1</v>
      </c>
      <c r="F231">
        <v>28</v>
      </c>
      <c r="G231">
        <v>306</v>
      </c>
      <c r="H231">
        <v>96239264</v>
      </c>
      <c r="I231">
        <v>450482</v>
      </c>
      <c r="J231" t="s">
        <v>21</v>
      </c>
      <c r="K231" t="s">
        <v>18</v>
      </c>
      <c r="L231">
        <v>8</v>
      </c>
      <c r="M231">
        <v>28.96</v>
      </c>
      <c r="N231">
        <v>92215</v>
      </c>
      <c r="O231">
        <v>1</v>
      </c>
    </row>
    <row r="232" spans="1:15">
      <c r="A232" t="s">
        <v>258</v>
      </c>
      <c r="B232" t="s">
        <v>20</v>
      </c>
      <c r="C232">
        <v>13</v>
      </c>
      <c r="D232">
        <v>11005271</v>
      </c>
      <c r="E232">
        <v>1</v>
      </c>
      <c r="F232">
        <v>5</v>
      </c>
      <c r="G232">
        <v>995</v>
      </c>
      <c r="H232">
        <v>25664947</v>
      </c>
      <c r="I232">
        <v>889823</v>
      </c>
      <c r="J232" t="s">
        <v>17</v>
      </c>
      <c r="K232" t="s">
        <v>30</v>
      </c>
      <c r="L232">
        <v>3</v>
      </c>
      <c r="M232">
        <v>93.04</v>
      </c>
      <c r="N232">
        <v>711594</v>
      </c>
      <c r="O232">
        <v>1</v>
      </c>
    </row>
    <row r="233" spans="1:15">
      <c r="A233" t="s">
        <v>259</v>
      </c>
      <c r="B233" t="s">
        <v>29</v>
      </c>
      <c r="C233">
        <v>11</v>
      </c>
      <c r="D233">
        <v>2330274</v>
      </c>
      <c r="E233">
        <v>3</v>
      </c>
      <c r="F233">
        <v>24</v>
      </c>
      <c r="G233">
        <v>499</v>
      </c>
      <c r="H233">
        <v>29791346</v>
      </c>
      <c r="I233">
        <v>349078</v>
      </c>
      <c r="J233" t="s">
        <v>25</v>
      </c>
      <c r="K233" t="s">
        <v>30</v>
      </c>
      <c r="L233">
        <v>2</v>
      </c>
      <c r="M233">
        <v>26.91</v>
      </c>
      <c r="N233">
        <v>972595</v>
      </c>
      <c r="O233">
        <v>1</v>
      </c>
    </row>
    <row r="234" spans="1:15">
      <c r="A234" t="s">
        <v>260</v>
      </c>
      <c r="B234" t="s">
        <v>29</v>
      </c>
      <c r="C234">
        <v>11</v>
      </c>
      <c r="D234">
        <v>11801254</v>
      </c>
      <c r="E234">
        <v>2</v>
      </c>
      <c r="F234">
        <v>19</v>
      </c>
      <c r="G234">
        <v>671</v>
      </c>
      <c r="H234">
        <v>55499048</v>
      </c>
      <c r="I234">
        <v>293264</v>
      </c>
      <c r="J234" t="s">
        <v>17</v>
      </c>
      <c r="K234" t="s">
        <v>22</v>
      </c>
      <c r="L234">
        <v>9</v>
      </c>
      <c r="M234">
        <v>49.58</v>
      </c>
      <c r="N234">
        <v>688917</v>
      </c>
      <c r="O234">
        <v>1</v>
      </c>
    </row>
    <row r="235" spans="1:15">
      <c r="A235" t="s">
        <v>261</v>
      </c>
      <c r="B235" t="s">
        <v>29</v>
      </c>
      <c r="C235">
        <v>13</v>
      </c>
      <c r="D235">
        <v>4395831</v>
      </c>
      <c r="E235">
        <v>2</v>
      </c>
      <c r="F235">
        <v>19</v>
      </c>
      <c r="G235">
        <v>924</v>
      </c>
      <c r="H235">
        <v>21415602</v>
      </c>
      <c r="I235">
        <v>157762</v>
      </c>
      <c r="J235" t="s">
        <v>25</v>
      </c>
      <c r="K235" t="s">
        <v>22</v>
      </c>
      <c r="L235">
        <v>4</v>
      </c>
      <c r="M235">
        <v>79</v>
      </c>
      <c r="N235">
        <v>794901</v>
      </c>
      <c r="O235">
        <v>1</v>
      </c>
    </row>
    <row r="236" spans="1:15">
      <c r="A236" t="s">
        <v>262</v>
      </c>
      <c r="B236" t="s">
        <v>24</v>
      </c>
      <c r="C236">
        <v>8</v>
      </c>
      <c r="D236">
        <v>19643207</v>
      </c>
      <c r="E236">
        <v>4</v>
      </c>
      <c r="F236">
        <v>1</v>
      </c>
      <c r="G236">
        <v>461</v>
      </c>
      <c r="H236">
        <v>83609872</v>
      </c>
      <c r="I236">
        <v>93594</v>
      </c>
      <c r="J236" t="s">
        <v>25</v>
      </c>
      <c r="K236" t="s">
        <v>30</v>
      </c>
      <c r="L236">
        <v>5</v>
      </c>
      <c r="M236">
        <v>77.010000000000005</v>
      </c>
      <c r="N236">
        <v>635536</v>
      </c>
      <c r="O236">
        <v>1</v>
      </c>
    </row>
    <row r="237" spans="1:15">
      <c r="A237" t="s">
        <v>263</v>
      </c>
      <c r="B237" t="s">
        <v>24</v>
      </c>
      <c r="C237">
        <v>0</v>
      </c>
      <c r="D237">
        <v>35792765</v>
      </c>
      <c r="E237">
        <v>3</v>
      </c>
      <c r="F237">
        <v>10</v>
      </c>
      <c r="G237">
        <v>206</v>
      </c>
      <c r="H237">
        <v>90005638</v>
      </c>
      <c r="I237">
        <v>874054</v>
      </c>
      <c r="J237" t="s">
        <v>17</v>
      </c>
      <c r="K237" t="s">
        <v>18</v>
      </c>
      <c r="L237">
        <v>2</v>
      </c>
      <c r="M237">
        <v>55.36</v>
      </c>
      <c r="N237">
        <v>660898</v>
      </c>
      <c r="O237">
        <v>1</v>
      </c>
    </row>
    <row r="238" spans="1:15">
      <c r="A238" t="s">
        <v>264</v>
      </c>
      <c r="B238" t="s">
        <v>38</v>
      </c>
      <c r="C238">
        <v>10</v>
      </c>
      <c r="D238">
        <v>24320397</v>
      </c>
      <c r="E238">
        <v>1</v>
      </c>
      <c r="F238">
        <v>10</v>
      </c>
      <c r="G238">
        <v>739</v>
      </c>
      <c r="H238">
        <v>7585921</v>
      </c>
      <c r="I238">
        <v>818098</v>
      </c>
      <c r="J238" t="s">
        <v>25</v>
      </c>
      <c r="K238" t="s">
        <v>18</v>
      </c>
      <c r="L238">
        <v>6</v>
      </c>
      <c r="M238">
        <v>43.86</v>
      </c>
      <c r="N238">
        <v>746387</v>
      </c>
      <c r="O238">
        <v>1</v>
      </c>
    </row>
    <row r="239" spans="1:15">
      <c r="A239" t="s">
        <v>265</v>
      </c>
      <c r="B239" t="s">
        <v>38</v>
      </c>
      <c r="C239">
        <v>5</v>
      </c>
      <c r="D239">
        <v>3681714</v>
      </c>
      <c r="E239">
        <v>3</v>
      </c>
      <c r="F239">
        <v>26</v>
      </c>
      <c r="G239">
        <v>910</v>
      </c>
      <c r="H239">
        <v>44467017</v>
      </c>
      <c r="I239">
        <v>758267</v>
      </c>
      <c r="J239" t="s">
        <v>21</v>
      </c>
      <c r="K239" t="s">
        <v>30</v>
      </c>
      <c r="L239">
        <v>6</v>
      </c>
      <c r="M239">
        <v>79</v>
      </c>
      <c r="N239">
        <v>726711</v>
      </c>
      <c r="O239">
        <v>1</v>
      </c>
    </row>
    <row r="240" spans="1:15">
      <c r="A240" t="s">
        <v>266</v>
      </c>
      <c r="B240" t="s">
        <v>24</v>
      </c>
      <c r="C240">
        <v>11</v>
      </c>
      <c r="D240">
        <v>39654760</v>
      </c>
      <c r="E240">
        <v>2</v>
      </c>
      <c r="F240">
        <v>4</v>
      </c>
      <c r="G240">
        <v>661</v>
      </c>
      <c r="H240">
        <v>75681810</v>
      </c>
      <c r="I240">
        <v>850959</v>
      </c>
      <c r="J240" t="s">
        <v>17</v>
      </c>
      <c r="K240" t="s">
        <v>22</v>
      </c>
      <c r="L240">
        <v>2</v>
      </c>
      <c r="M240">
        <v>88.87</v>
      </c>
      <c r="N240">
        <v>62030</v>
      </c>
      <c r="O240">
        <v>1</v>
      </c>
    </row>
    <row r="241" spans="1:15">
      <c r="A241" t="s">
        <v>267</v>
      </c>
      <c r="B241" t="s">
        <v>24</v>
      </c>
      <c r="C241">
        <v>7</v>
      </c>
      <c r="D241">
        <v>42284697</v>
      </c>
      <c r="E241">
        <v>2</v>
      </c>
      <c r="F241">
        <v>17</v>
      </c>
      <c r="G241">
        <v>105</v>
      </c>
      <c r="H241">
        <v>36242854</v>
      </c>
      <c r="I241">
        <v>164150</v>
      </c>
      <c r="J241" t="s">
        <v>17</v>
      </c>
      <c r="K241" t="s">
        <v>30</v>
      </c>
      <c r="L241">
        <v>7</v>
      </c>
      <c r="M241">
        <v>93.76</v>
      </c>
      <c r="N241">
        <v>562439</v>
      </c>
      <c r="O241">
        <v>1</v>
      </c>
    </row>
    <row r="242" spans="1:15">
      <c r="A242" t="s">
        <v>268</v>
      </c>
      <c r="B242" t="s">
        <v>38</v>
      </c>
      <c r="C242">
        <v>1</v>
      </c>
      <c r="D242">
        <v>48138061</v>
      </c>
      <c r="E242">
        <v>2</v>
      </c>
      <c r="F242">
        <v>17</v>
      </c>
      <c r="G242">
        <v>942</v>
      </c>
      <c r="H242">
        <v>83409201</v>
      </c>
      <c r="I242">
        <v>787488</v>
      </c>
      <c r="J242" t="s">
        <v>21</v>
      </c>
      <c r="K242" t="s">
        <v>18</v>
      </c>
      <c r="L242">
        <v>3</v>
      </c>
      <c r="M242">
        <v>16.260000000000002</v>
      </c>
      <c r="N242">
        <v>643886</v>
      </c>
      <c r="O242">
        <v>1</v>
      </c>
    </row>
    <row r="243" spans="1:15">
      <c r="A243" t="s">
        <v>269</v>
      </c>
      <c r="B243" t="s">
        <v>38</v>
      </c>
      <c r="C243">
        <v>6</v>
      </c>
      <c r="D243">
        <v>9546504</v>
      </c>
      <c r="E243">
        <v>1</v>
      </c>
      <c r="F243">
        <v>1</v>
      </c>
      <c r="G243">
        <v>10</v>
      </c>
      <c r="H243">
        <v>36362179</v>
      </c>
      <c r="I243">
        <v>612271</v>
      </c>
      <c r="J243" t="s">
        <v>21</v>
      </c>
      <c r="K243" t="s">
        <v>18</v>
      </c>
      <c r="L243">
        <v>1</v>
      </c>
      <c r="M243">
        <v>60.77</v>
      </c>
      <c r="N243">
        <v>371547</v>
      </c>
      <c r="O243">
        <v>1</v>
      </c>
    </row>
    <row r="244" spans="1:15">
      <c r="A244" t="s">
        <v>270</v>
      </c>
      <c r="B244" t="s">
        <v>32</v>
      </c>
      <c r="C244">
        <v>8</v>
      </c>
      <c r="D244">
        <v>42483790</v>
      </c>
      <c r="E244">
        <v>1</v>
      </c>
      <c r="F244">
        <v>5</v>
      </c>
      <c r="G244">
        <v>747</v>
      </c>
      <c r="H244">
        <v>29016965</v>
      </c>
      <c r="I244">
        <v>460756</v>
      </c>
      <c r="J244" t="s">
        <v>25</v>
      </c>
      <c r="K244" t="s">
        <v>22</v>
      </c>
      <c r="L244">
        <v>4</v>
      </c>
      <c r="M244">
        <v>57.52</v>
      </c>
      <c r="N244">
        <v>179795</v>
      </c>
      <c r="O244">
        <v>1</v>
      </c>
    </row>
    <row r="245" spans="1:15">
      <c r="A245" t="s">
        <v>271</v>
      </c>
      <c r="B245" t="s">
        <v>27</v>
      </c>
      <c r="C245">
        <v>0</v>
      </c>
      <c r="D245">
        <v>32037141</v>
      </c>
      <c r="E245">
        <v>3</v>
      </c>
      <c r="F245">
        <v>23</v>
      </c>
      <c r="G245">
        <v>969</v>
      </c>
      <c r="H245">
        <v>18263048</v>
      </c>
      <c r="I245">
        <v>931008</v>
      </c>
      <c r="J245" t="s">
        <v>21</v>
      </c>
      <c r="K245" t="s">
        <v>22</v>
      </c>
      <c r="L245">
        <v>8</v>
      </c>
      <c r="M245">
        <v>4.3</v>
      </c>
      <c r="N245">
        <v>941901</v>
      </c>
      <c r="O245">
        <v>1</v>
      </c>
    </row>
    <row r="246" spans="1:15">
      <c r="A246" t="s">
        <v>272</v>
      </c>
      <c r="B246" t="s">
        <v>20</v>
      </c>
      <c r="C246">
        <v>10</v>
      </c>
      <c r="D246">
        <v>1202899</v>
      </c>
      <c r="E246">
        <v>4</v>
      </c>
      <c r="F246">
        <v>20</v>
      </c>
      <c r="G246">
        <v>715</v>
      </c>
      <c r="H246">
        <v>54065514</v>
      </c>
      <c r="I246">
        <v>737805</v>
      </c>
      <c r="J246" t="s">
        <v>21</v>
      </c>
      <c r="K246" t="s">
        <v>18</v>
      </c>
      <c r="L246">
        <v>3</v>
      </c>
      <c r="M246">
        <v>17.82</v>
      </c>
      <c r="N246">
        <v>24484</v>
      </c>
      <c r="O246">
        <v>1</v>
      </c>
    </row>
    <row r="247" spans="1:15">
      <c r="A247" t="s">
        <v>273</v>
      </c>
      <c r="B247" t="s">
        <v>24</v>
      </c>
      <c r="C247">
        <v>0</v>
      </c>
      <c r="D247">
        <v>36022415</v>
      </c>
      <c r="E247">
        <v>3</v>
      </c>
      <c r="F247">
        <v>14</v>
      </c>
      <c r="G247">
        <v>485</v>
      </c>
      <c r="H247">
        <v>69702034</v>
      </c>
      <c r="I247">
        <v>692048</v>
      </c>
      <c r="J247" t="s">
        <v>17</v>
      </c>
      <c r="K247" t="s">
        <v>30</v>
      </c>
      <c r="L247">
        <v>4</v>
      </c>
      <c r="M247">
        <v>69.62</v>
      </c>
      <c r="N247">
        <v>285769</v>
      </c>
      <c r="O247">
        <v>1</v>
      </c>
    </row>
    <row r="248" spans="1:15">
      <c r="A248" t="s">
        <v>274</v>
      </c>
      <c r="B248" t="s">
        <v>20</v>
      </c>
      <c r="C248">
        <v>4</v>
      </c>
      <c r="D248">
        <v>37756863</v>
      </c>
      <c r="E248">
        <v>4</v>
      </c>
      <c r="F248">
        <v>21</v>
      </c>
      <c r="G248">
        <v>111</v>
      </c>
      <c r="H248">
        <v>27423037</v>
      </c>
      <c r="I248">
        <v>147000</v>
      </c>
      <c r="J248" t="s">
        <v>25</v>
      </c>
      <c r="K248" t="s">
        <v>30</v>
      </c>
      <c r="L248">
        <v>5</v>
      </c>
      <c r="M248">
        <v>14.38</v>
      </c>
      <c r="N248">
        <v>977608</v>
      </c>
      <c r="O248">
        <v>1</v>
      </c>
    </row>
    <row r="249" spans="1:15">
      <c r="A249" t="s">
        <v>275</v>
      </c>
      <c r="B249" t="s">
        <v>32</v>
      </c>
      <c r="C249">
        <v>7</v>
      </c>
      <c r="D249">
        <v>37326792</v>
      </c>
      <c r="E249">
        <v>2</v>
      </c>
      <c r="F249">
        <v>8</v>
      </c>
      <c r="G249">
        <v>626</v>
      </c>
      <c r="H249">
        <v>89169176</v>
      </c>
      <c r="I249">
        <v>808307</v>
      </c>
      <c r="J249" t="s">
        <v>17</v>
      </c>
      <c r="K249" t="s">
        <v>30</v>
      </c>
      <c r="L249">
        <v>5</v>
      </c>
      <c r="M249">
        <v>27.96</v>
      </c>
      <c r="N249">
        <v>724172</v>
      </c>
      <c r="O249">
        <v>1</v>
      </c>
    </row>
    <row r="250" spans="1:15">
      <c r="A250" t="s">
        <v>276</v>
      </c>
      <c r="B250" t="s">
        <v>38</v>
      </c>
      <c r="C250">
        <v>7</v>
      </c>
      <c r="D250">
        <v>7929108</v>
      </c>
      <c r="E250">
        <v>3</v>
      </c>
      <c r="F250">
        <v>5</v>
      </c>
      <c r="G250">
        <v>268</v>
      </c>
      <c r="H250">
        <v>90118173</v>
      </c>
      <c r="I250">
        <v>603678</v>
      </c>
      <c r="J250" t="s">
        <v>21</v>
      </c>
      <c r="K250" t="s">
        <v>30</v>
      </c>
      <c r="L250">
        <v>5</v>
      </c>
      <c r="M250">
        <v>88.44</v>
      </c>
      <c r="N250">
        <v>835847</v>
      </c>
      <c r="O250">
        <v>1</v>
      </c>
    </row>
    <row r="251" spans="1:15">
      <c r="A251" t="s">
        <v>277</v>
      </c>
      <c r="B251" t="s">
        <v>32</v>
      </c>
      <c r="C251">
        <v>1</v>
      </c>
      <c r="D251">
        <v>46364043</v>
      </c>
      <c r="E251">
        <v>2</v>
      </c>
      <c r="F251">
        <v>15</v>
      </c>
      <c r="G251">
        <v>98</v>
      </c>
      <c r="H251">
        <v>88335059</v>
      </c>
      <c r="I251">
        <v>620815</v>
      </c>
      <c r="J251" t="s">
        <v>17</v>
      </c>
      <c r="K251" t="s">
        <v>30</v>
      </c>
      <c r="L251">
        <v>2</v>
      </c>
      <c r="M251">
        <v>41.41</v>
      </c>
      <c r="N251">
        <v>383280</v>
      </c>
      <c r="O251">
        <v>1</v>
      </c>
    </row>
    <row r="252" spans="1:15">
      <c r="A252" t="s">
        <v>278</v>
      </c>
      <c r="B252" t="s">
        <v>38</v>
      </c>
      <c r="C252">
        <v>12</v>
      </c>
      <c r="D252">
        <v>47143041</v>
      </c>
      <c r="E252">
        <v>4</v>
      </c>
      <c r="F252">
        <v>6</v>
      </c>
      <c r="G252">
        <v>665</v>
      </c>
      <c r="H252">
        <v>11263313</v>
      </c>
      <c r="I252">
        <v>36576</v>
      </c>
      <c r="J252" t="s">
        <v>25</v>
      </c>
      <c r="K252" t="s">
        <v>30</v>
      </c>
      <c r="L252">
        <v>7</v>
      </c>
      <c r="M252">
        <v>11.48</v>
      </c>
      <c r="N252">
        <v>782205</v>
      </c>
      <c r="O252">
        <v>1</v>
      </c>
    </row>
    <row r="253" spans="1:15">
      <c r="A253" t="s">
        <v>279</v>
      </c>
      <c r="B253" t="s">
        <v>29</v>
      </c>
      <c r="C253">
        <v>3</v>
      </c>
      <c r="D253">
        <v>45940958</v>
      </c>
      <c r="E253">
        <v>1</v>
      </c>
      <c r="F253">
        <v>3</v>
      </c>
      <c r="G253">
        <v>856</v>
      </c>
      <c r="H253">
        <v>27973647</v>
      </c>
      <c r="I253">
        <v>160774</v>
      </c>
      <c r="J253" t="s">
        <v>21</v>
      </c>
      <c r="K253" t="s">
        <v>30</v>
      </c>
      <c r="L253">
        <v>9</v>
      </c>
      <c r="M253">
        <v>22.24</v>
      </c>
      <c r="N253">
        <v>435519</v>
      </c>
      <c r="O253">
        <v>1</v>
      </c>
    </row>
    <row r="254" spans="1:15">
      <c r="A254" t="s">
        <v>280</v>
      </c>
      <c r="B254" t="s">
        <v>38</v>
      </c>
      <c r="C254">
        <v>5</v>
      </c>
      <c r="D254">
        <v>32396868</v>
      </c>
      <c r="E254">
        <v>1</v>
      </c>
      <c r="F254">
        <v>15</v>
      </c>
      <c r="G254">
        <v>853</v>
      </c>
      <c r="H254">
        <v>54380646</v>
      </c>
      <c r="I254">
        <v>664919</v>
      </c>
      <c r="J254" t="s">
        <v>17</v>
      </c>
      <c r="K254" t="s">
        <v>22</v>
      </c>
      <c r="L254">
        <v>4</v>
      </c>
      <c r="M254">
        <v>57.17</v>
      </c>
      <c r="N254">
        <v>783487</v>
      </c>
      <c r="O254">
        <v>1</v>
      </c>
    </row>
    <row r="255" spans="1:15">
      <c r="A255" t="s">
        <v>281</v>
      </c>
      <c r="B255" t="s">
        <v>29</v>
      </c>
      <c r="C255">
        <v>10</v>
      </c>
      <c r="D255">
        <v>27648196</v>
      </c>
      <c r="E255">
        <v>1</v>
      </c>
      <c r="F255">
        <v>13</v>
      </c>
      <c r="G255">
        <v>384</v>
      </c>
      <c r="H255">
        <v>9326710</v>
      </c>
      <c r="I255">
        <v>285436</v>
      </c>
      <c r="J255" t="s">
        <v>21</v>
      </c>
      <c r="K255" t="s">
        <v>30</v>
      </c>
      <c r="L255">
        <v>4</v>
      </c>
      <c r="M255">
        <v>0.53</v>
      </c>
      <c r="N255">
        <v>787459</v>
      </c>
      <c r="O255">
        <v>1</v>
      </c>
    </row>
    <row r="256" spans="1:15">
      <c r="A256" t="s">
        <v>282</v>
      </c>
      <c r="B256" t="s">
        <v>24</v>
      </c>
      <c r="C256">
        <v>8</v>
      </c>
      <c r="D256">
        <v>17515832</v>
      </c>
      <c r="E256">
        <v>2</v>
      </c>
      <c r="F256">
        <v>17</v>
      </c>
      <c r="G256">
        <v>843</v>
      </c>
      <c r="H256">
        <v>39961649</v>
      </c>
      <c r="I256">
        <v>440364</v>
      </c>
      <c r="J256" t="s">
        <v>21</v>
      </c>
      <c r="K256" t="s">
        <v>18</v>
      </c>
      <c r="L256">
        <v>2</v>
      </c>
      <c r="M256">
        <v>69.27</v>
      </c>
      <c r="N256">
        <v>115145</v>
      </c>
      <c r="O256">
        <v>1</v>
      </c>
    </row>
    <row r="257" spans="1:15">
      <c r="A257" t="s">
        <v>283</v>
      </c>
      <c r="B257" t="s">
        <v>27</v>
      </c>
      <c r="C257">
        <v>6</v>
      </c>
      <c r="D257">
        <v>10421945</v>
      </c>
      <c r="E257">
        <v>3</v>
      </c>
      <c r="F257">
        <v>25</v>
      </c>
      <c r="G257">
        <v>946</v>
      </c>
      <c r="H257">
        <v>84699134</v>
      </c>
      <c r="I257">
        <v>161163</v>
      </c>
      <c r="J257" t="s">
        <v>25</v>
      </c>
      <c r="K257" t="s">
        <v>18</v>
      </c>
      <c r="L257">
        <v>3</v>
      </c>
      <c r="M257">
        <v>65.150000000000006</v>
      </c>
      <c r="N257">
        <v>110785</v>
      </c>
      <c r="O257">
        <v>1</v>
      </c>
    </row>
    <row r="258" spans="1:15">
      <c r="A258" t="s">
        <v>284</v>
      </c>
      <c r="B258" t="s">
        <v>29</v>
      </c>
      <c r="C258">
        <v>10</v>
      </c>
      <c r="D258">
        <v>28428034</v>
      </c>
      <c r="E258">
        <v>4</v>
      </c>
      <c r="F258">
        <v>2</v>
      </c>
      <c r="G258">
        <v>223</v>
      </c>
      <c r="H258">
        <v>44050476</v>
      </c>
      <c r="I258">
        <v>41078</v>
      </c>
      <c r="J258" t="s">
        <v>21</v>
      </c>
      <c r="K258" t="s">
        <v>18</v>
      </c>
      <c r="L258">
        <v>3</v>
      </c>
      <c r="M258">
        <v>52.41</v>
      </c>
      <c r="N258">
        <v>45393</v>
      </c>
      <c r="O258">
        <v>1</v>
      </c>
    </row>
    <row r="259" spans="1:15">
      <c r="A259" t="s">
        <v>285</v>
      </c>
      <c r="B259" t="s">
        <v>27</v>
      </c>
      <c r="C259">
        <v>3</v>
      </c>
      <c r="D259">
        <v>11955086</v>
      </c>
      <c r="E259">
        <v>1</v>
      </c>
      <c r="F259">
        <v>15</v>
      </c>
      <c r="G259">
        <v>488</v>
      </c>
      <c r="H259">
        <v>37627227</v>
      </c>
      <c r="I259">
        <v>830274</v>
      </c>
      <c r="J259" t="s">
        <v>21</v>
      </c>
      <c r="K259" t="s">
        <v>22</v>
      </c>
      <c r="L259">
        <v>6</v>
      </c>
      <c r="M259">
        <v>53.27</v>
      </c>
      <c r="N259">
        <v>733411</v>
      </c>
      <c r="O259">
        <v>1</v>
      </c>
    </row>
    <row r="260" spans="1:15">
      <c r="A260" t="s">
        <v>286</v>
      </c>
      <c r="B260" t="s">
        <v>27</v>
      </c>
      <c r="C260">
        <v>9</v>
      </c>
      <c r="D260">
        <v>2249268</v>
      </c>
      <c r="E260">
        <v>2</v>
      </c>
      <c r="F260">
        <v>20</v>
      </c>
      <c r="G260">
        <v>151</v>
      </c>
      <c r="H260">
        <v>18647852</v>
      </c>
      <c r="I260">
        <v>127420</v>
      </c>
      <c r="J260" t="s">
        <v>17</v>
      </c>
      <c r="K260" t="s">
        <v>18</v>
      </c>
      <c r="L260">
        <v>9</v>
      </c>
      <c r="M260">
        <v>87.2</v>
      </c>
      <c r="N260">
        <v>170888</v>
      </c>
      <c r="O260">
        <v>1</v>
      </c>
    </row>
    <row r="261" spans="1:15">
      <c r="A261" t="s">
        <v>287</v>
      </c>
      <c r="B261" t="s">
        <v>29</v>
      </c>
      <c r="C261">
        <v>10</v>
      </c>
      <c r="D261">
        <v>22599420</v>
      </c>
      <c r="E261">
        <v>3</v>
      </c>
      <c r="F261">
        <v>12</v>
      </c>
      <c r="G261">
        <v>83</v>
      </c>
      <c r="H261">
        <v>22043619</v>
      </c>
      <c r="I261">
        <v>803275</v>
      </c>
      <c r="J261" t="s">
        <v>21</v>
      </c>
      <c r="K261" t="s">
        <v>30</v>
      </c>
      <c r="L261">
        <v>2</v>
      </c>
      <c r="M261">
        <v>75.040000000000006</v>
      </c>
      <c r="N261">
        <v>453989</v>
      </c>
      <c r="O261">
        <v>1</v>
      </c>
    </row>
    <row r="262" spans="1:15">
      <c r="A262" t="s">
        <v>288</v>
      </c>
      <c r="B262" t="s">
        <v>32</v>
      </c>
      <c r="C262">
        <v>6</v>
      </c>
      <c r="D262">
        <v>36093965</v>
      </c>
      <c r="E262">
        <v>1</v>
      </c>
      <c r="F262">
        <v>24</v>
      </c>
      <c r="G262">
        <v>612</v>
      </c>
      <c r="H262">
        <v>69571542</v>
      </c>
      <c r="I262">
        <v>502733</v>
      </c>
      <c r="J262" t="s">
        <v>17</v>
      </c>
      <c r="K262" t="s">
        <v>30</v>
      </c>
      <c r="L262">
        <v>4</v>
      </c>
      <c r="M262">
        <v>26.08</v>
      </c>
      <c r="N262">
        <v>141383</v>
      </c>
      <c r="O262">
        <v>1</v>
      </c>
    </row>
    <row r="263" spans="1:15">
      <c r="A263" t="s">
        <v>289</v>
      </c>
      <c r="B263" t="s">
        <v>16</v>
      </c>
      <c r="C263">
        <v>8</v>
      </c>
      <c r="D263">
        <v>49511090</v>
      </c>
      <c r="E263">
        <v>3</v>
      </c>
      <c r="F263">
        <v>26</v>
      </c>
      <c r="G263">
        <v>61</v>
      </c>
      <c r="H263">
        <v>50083150</v>
      </c>
      <c r="I263">
        <v>888083</v>
      </c>
      <c r="J263" t="s">
        <v>17</v>
      </c>
      <c r="K263" t="s">
        <v>22</v>
      </c>
      <c r="L263">
        <v>8</v>
      </c>
      <c r="M263">
        <v>89.95</v>
      </c>
      <c r="N263">
        <v>937824</v>
      </c>
      <c r="O263">
        <v>1</v>
      </c>
    </row>
    <row r="264" spans="1:15">
      <c r="A264" t="s">
        <v>290</v>
      </c>
      <c r="B264" t="s">
        <v>27</v>
      </c>
      <c r="C264">
        <v>4</v>
      </c>
      <c r="D264">
        <v>43108157</v>
      </c>
      <c r="E264">
        <v>1</v>
      </c>
      <c r="F264">
        <v>5</v>
      </c>
      <c r="G264">
        <v>889</v>
      </c>
      <c r="H264">
        <v>25634748</v>
      </c>
      <c r="I264">
        <v>569297</v>
      </c>
      <c r="J264" t="s">
        <v>17</v>
      </c>
      <c r="K264" t="s">
        <v>18</v>
      </c>
      <c r="L264">
        <v>6</v>
      </c>
      <c r="M264">
        <v>38.46</v>
      </c>
      <c r="N264">
        <v>394072</v>
      </c>
      <c r="O264">
        <v>1</v>
      </c>
    </row>
    <row r="265" spans="1:15">
      <c r="A265" t="s">
        <v>291</v>
      </c>
      <c r="B265" t="s">
        <v>29</v>
      </c>
      <c r="C265">
        <v>2</v>
      </c>
      <c r="D265">
        <v>10890089</v>
      </c>
      <c r="E265">
        <v>1</v>
      </c>
      <c r="F265">
        <v>13</v>
      </c>
      <c r="G265">
        <v>979</v>
      </c>
      <c r="H265">
        <v>24954270</v>
      </c>
      <c r="I265">
        <v>77616</v>
      </c>
      <c r="J265" t="s">
        <v>17</v>
      </c>
      <c r="K265" t="s">
        <v>30</v>
      </c>
      <c r="L265">
        <v>4</v>
      </c>
      <c r="M265">
        <v>39.119999999999997</v>
      </c>
      <c r="N265">
        <v>121849</v>
      </c>
      <c r="O265">
        <v>1</v>
      </c>
    </row>
    <row r="266" spans="1:15">
      <c r="A266" t="s">
        <v>292</v>
      </c>
      <c r="B266" t="s">
        <v>24</v>
      </c>
      <c r="C266">
        <v>11</v>
      </c>
      <c r="D266">
        <v>20898797</v>
      </c>
      <c r="E266">
        <v>2</v>
      </c>
      <c r="F266">
        <v>27</v>
      </c>
      <c r="G266">
        <v>749</v>
      </c>
      <c r="H266">
        <v>49420583</v>
      </c>
      <c r="I266">
        <v>723428</v>
      </c>
      <c r="J266" t="s">
        <v>25</v>
      </c>
      <c r="K266" t="s">
        <v>22</v>
      </c>
      <c r="L266">
        <v>2</v>
      </c>
      <c r="M266">
        <v>47.85</v>
      </c>
      <c r="N266">
        <v>56118</v>
      </c>
      <c r="O266">
        <v>1</v>
      </c>
    </row>
    <row r="267" spans="1:15">
      <c r="A267" t="s">
        <v>293</v>
      </c>
      <c r="B267" t="s">
        <v>32</v>
      </c>
      <c r="C267">
        <v>14</v>
      </c>
      <c r="D267">
        <v>29692987</v>
      </c>
      <c r="E267">
        <v>1</v>
      </c>
      <c r="F267">
        <v>6</v>
      </c>
      <c r="G267">
        <v>263</v>
      </c>
      <c r="H267">
        <v>82223994</v>
      </c>
      <c r="I267">
        <v>610537</v>
      </c>
      <c r="J267" t="s">
        <v>21</v>
      </c>
      <c r="K267" t="s">
        <v>22</v>
      </c>
      <c r="L267">
        <v>7</v>
      </c>
      <c r="M267">
        <v>62.58</v>
      </c>
      <c r="N267">
        <v>935340</v>
      </c>
      <c r="O267">
        <v>1</v>
      </c>
    </row>
    <row r="268" spans="1:15">
      <c r="A268" t="s">
        <v>294</v>
      </c>
      <c r="B268" t="s">
        <v>38</v>
      </c>
      <c r="C268">
        <v>0</v>
      </c>
      <c r="D268">
        <v>43350220</v>
      </c>
      <c r="E268">
        <v>4</v>
      </c>
      <c r="F268">
        <v>21</v>
      </c>
      <c r="G268">
        <v>305</v>
      </c>
      <c r="H268">
        <v>52400114</v>
      </c>
      <c r="I268">
        <v>246806</v>
      </c>
      <c r="J268" t="s">
        <v>21</v>
      </c>
      <c r="K268" t="s">
        <v>22</v>
      </c>
      <c r="L268">
        <v>4</v>
      </c>
      <c r="M268">
        <v>7.93</v>
      </c>
      <c r="N268">
        <v>147846</v>
      </c>
      <c r="O268">
        <v>1</v>
      </c>
    </row>
    <row r="269" spans="1:15">
      <c r="A269" t="s">
        <v>295</v>
      </c>
      <c r="B269" t="s">
        <v>27</v>
      </c>
      <c r="C269">
        <v>12</v>
      </c>
      <c r="D269">
        <v>1557115</v>
      </c>
      <c r="E269">
        <v>3</v>
      </c>
      <c r="F269">
        <v>28</v>
      </c>
      <c r="G269">
        <v>301</v>
      </c>
      <c r="H269">
        <v>15251144</v>
      </c>
      <c r="I269">
        <v>739670</v>
      </c>
      <c r="J269" t="s">
        <v>21</v>
      </c>
      <c r="K269" t="s">
        <v>22</v>
      </c>
      <c r="L269">
        <v>8</v>
      </c>
      <c r="M269">
        <v>51.92</v>
      </c>
      <c r="N269">
        <v>99381</v>
      </c>
      <c r="O269">
        <v>1</v>
      </c>
    </row>
    <row r="270" spans="1:15">
      <c r="A270" t="s">
        <v>296</v>
      </c>
      <c r="B270" t="s">
        <v>24</v>
      </c>
      <c r="C270">
        <v>4</v>
      </c>
      <c r="D270">
        <v>10488410</v>
      </c>
      <c r="E270">
        <v>3</v>
      </c>
      <c r="F270">
        <v>4</v>
      </c>
      <c r="G270">
        <v>534</v>
      </c>
      <c r="H270">
        <v>73802518</v>
      </c>
      <c r="I270">
        <v>186053</v>
      </c>
      <c r="J270" t="s">
        <v>25</v>
      </c>
      <c r="K270" t="s">
        <v>18</v>
      </c>
      <c r="L270">
        <v>6</v>
      </c>
      <c r="M270">
        <v>21.88</v>
      </c>
      <c r="N270">
        <v>433561</v>
      </c>
      <c r="O270">
        <v>1</v>
      </c>
    </row>
    <row r="271" spans="1:15">
      <c r="A271" t="s">
        <v>297</v>
      </c>
      <c r="B271" t="s">
        <v>20</v>
      </c>
      <c r="C271">
        <v>11</v>
      </c>
      <c r="D271">
        <v>41018318</v>
      </c>
      <c r="E271">
        <v>4</v>
      </c>
      <c r="F271">
        <v>18</v>
      </c>
      <c r="G271">
        <v>794</v>
      </c>
      <c r="H271">
        <v>11710727</v>
      </c>
      <c r="I271">
        <v>363545</v>
      </c>
      <c r="J271" t="s">
        <v>25</v>
      </c>
      <c r="K271" t="s">
        <v>22</v>
      </c>
      <c r="L271">
        <v>9</v>
      </c>
      <c r="M271">
        <v>37.450000000000003</v>
      </c>
      <c r="N271">
        <v>576748</v>
      </c>
      <c r="O271">
        <v>1</v>
      </c>
    </row>
    <row r="272" spans="1:15">
      <c r="A272" t="s">
        <v>298</v>
      </c>
      <c r="B272" t="s">
        <v>16</v>
      </c>
      <c r="C272">
        <v>5</v>
      </c>
      <c r="D272">
        <v>38986839</v>
      </c>
      <c r="E272">
        <v>1</v>
      </c>
      <c r="F272">
        <v>21</v>
      </c>
      <c r="G272">
        <v>203</v>
      </c>
      <c r="H272">
        <v>79681209</v>
      </c>
      <c r="I272">
        <v>936602</v>
      </c>
      <c r="J272" t="s">
        <v>21</v>
      </c>
      <c r="K272" t="s">
        <v>18</v>
      </c>
      <c r="L272">
        <v>7</v>
      </c>
      <c r="M272">
        <v>78.239999999999995</v>
      </c>
      <c r="N272">
        <v>94021</v>
      </c>
      <c r="O272">
        <v>1</v>
      </c>
    </row>
    <row r="273" spans="1:15">
      <c r="A273" t="s">
        <v>299</v>
      </c>
      <c r="B273" t="s">
        <v>16</v>
      </c>
      <c r="C273">
        <v>2</v>
      </c>
      <c r="D273">
        <v>28572577</v>
      </c>
      <c r="E273">
        <v>1</v>
      </c>
      <c r="F273">
        <v>24</v>
      </c>
      <c r="G273">
        <v>361</v>
      </c>
      <c r="H273">
        <v>99265058</v>
      </c>
      <c r="I273">
        <v>109007</v>
      </c>
      <c r="J273" t="s">
        <v>25</v>
      </c>
      <c r="K273" t="s">
        <v>22</v>
      </c>
      <c r="L273">
        <v>9</v>
      </c>
      <c r="M273">
        <v>18.88</v>
      </c>
      <c r="N273">
        <v>424815</v>
      </c>
      <c r="O273">
        <v>1</v>
      </c>
    </row>
    <row r="274" spans="1:15">
      <c r="A274" t="s">
        <v>300</v>
      </c>
      <c r="B274" t="s">
        <v>24</v>
      </c>
      <c r="C274">
        <v>7</v>
      </c>
      <c r="D274">
        <v>24496222</v>
      </c>
      <c r="E274">
        <v>1</v>
      </c>
      <c r="F274">
        <v>3</v>
      </c>
      <c r="G274">
        <v>885</v>
      </c>
      <c r="H274">
        <v>51148878</v>
      </c>
      <c r="I274">
        <v>45619</v>
      </c>
      <c r="J274" t="s">
        <v>17</v>
      </c>
      <c r="K274" t="s">
        <v>22</v>
      </c>
      <c r="L274">
        <v>4</v>
      </c>
      <c r="M274">
        <v>76.459999999999994</v>
      </c>
      <c r="N274">
        <v>724427</v>
      </c>
      <c r="O274">
        <v>1</v>
      </c>
    </row>
    <row r="275" spans="1:15">
      <c r="A275" t="s">
        <v>301</v>
      </c>
      <c r="B275" t="s">
        <v>38</v>
      </c>
      <c r="C275">
        <v>7</v>
      </c>
      <c r="D275">
        <v>20705803</v>
      </c>
      <c r="E275">
        <v>1</v>
      </c>
      <c r="F275">
        <v>8</v>
      </c>
      <c r="G275">
        <v>913</v>
      </c>
      <c r="H275">
        <v>98701691</v>
      </c>
      <c r="I275">
        <v>352205</v>
      </c>
      <c r="J275" t="s">
        <v>17</v>
      </c>
      <c r="K275" t="s">
        <v>18</v>
      </c>
      <c r="L275">
        <v>1</v>
      </c>
      <c r="M275">
        <v>59.42</v>
      </c>
      <c r="N275">
        <v>362954</v>
      </c>
      <c r="O275">
        <v>1</v>
      </c>
    </row>
    <row r="276" spans="1:15">
      <c r="A276" t="s">
        <v>302</v>
      </c>
      <c r="B276" t="s">
        <v>16</v>
      </c>
      <c r="C276">
        <v>0</v>
      </c>
      <c r="D276">
        <v>5250303</v>
      </c>
      <c r="E276">
        <v>4</v>
      </c>
      <c r="F276">
        <v>11</v>
      </c>
      <c r="G276">
        <v>688</v>
      </c>
      <c r="H276">
        <v>87254029</v>
      </c>
      <c r="I276">
        <v>976937</v>
      </c>
      <c r="J276" t="s">
        <v>21</v>
      </c>
      <c r="K276" t="s">
        <v>30</v>
      </c>
      <c r="L276">
        <v>5</v>
      </c>
      <c r="M276">
        <v>46.48</v>
      </c>
      <c r="N276">
        <v>744039</v>
      </c>
      <c r="O276">
        <v>1</v>
      </c>
    </row>
    <row r="277" spans="1:15">
      <c r="A277" t="s">
        <v>303</v>
      </c>
      <c r="B277" t="s">
        <v>20</v>
      </c>
      <c r="C277">
        <v>1</v>
      </c>
      <c r="D277">
        <v>22878206</v>
      </c>
      <c r="E277">
        <v>2</v>
      </c>
      <c r="F277">
        <v>13</v>
      </c>
      <c r="G277">
        <v>756</v>
      </c>
      <c r="H277">
        <v>50783509</v>
      </c>
      <c r="I277">
        <v>921881</v>
      </c>
      <c r="J277" t="s">
        <v>17</v>
      </c>
      <c r="K277" t="s">
        <v>30</v>
      </c>
      <c r="L277">
        <v>6</v>
      </c>
      <c r="M277">
        <v>46.88</v>
      </c>
      <c r="N277">
        <v>60913</v>
      </c>
      <c r="O277">
        <v>1</v>
      </c>
    </row>
    <row r="278" spans="1:15">
      <c r="A278" t="s">
        <v>304</v>
      </c>
      <c r="B278" t="s">
        <v>29</v>
      </c>
      <c r="C278">
        <v>3</v>
      </c>
      <c r="D278">
        <v>41951430</v>
      </c>
      <c r="E278">
        <v>2</v>
      </c>
      <c r="F278">
        <v>1</v>
      </c>
      <c r="G278">
        <v>722</v>
      </c>
      <c r="H278">
        <v>64173610</v>
      </c>
      <c r="I278">
        <v>714558</v>
      </c>
      <c r="J278" t="s">
        <v>21</v>
      </c>
      <c r="K278" t="s">
        <v>18</v>
      </c>
      <c r="L278">
        <v>1</v>
      </c>
      <c r="M278">
        <v>40.07</v>
      </c>
      <c r="N278">
        <v>647595</v>
      </c>
      <c r="O278">
        <v>1</v>
      </c>
    </row>
    <row r="279" spans="1:15">
      <c r="A279" t="s">
        <v>305</v>
      </c>
      <c r="B279" t="s">
        <v>27</v>
      </c>
      <c r="C279">
        <v>1</v>
      </c>
      <c r="D279">
        <v>9362528</v>
      </c>
      <c r="E279">
        <v>1</v>
      </c>
      <c r="F279">
        <v>8</v>
      </c>
      <c r="G279">
        <v>666</v>
      </c>
      <c r="H279">
        <v>76511048</v>
      </c>
      <c r="I279">
        <v>194631</v>
      </c>
      <c r="J279" t="s">
        <v>17</v>
      </c>
      <c r="K279" t="s">
        <v>30</v>
      </c>
      <c r="L279">
        <v>9</v>
      </c>
      <c r="M279">
        <v>47.43</v>
      </c>
      <c r="N279">
        <v>302597</v>
      </c>
      <c r="O279">
        <v>1</v>
      </c>
    </row>
    <row r="280" spans="1:15">
      <c r="A280" t="s">
        <v>306</v>
      </c>
      <c r="B280" t="s">
        <v>24</v>
      </c>
      <c r="C280">
        <v>6</v>
      </c>
      <c r="D280">
        <v>17297456</v>
      </c>
      <c r="E280">
        <v>3</v>
      </c>
      <c r="F280">
        <v>24</v>
      </c>
      <c r="G280">
        <v>146</v>
      </c>
      <c r="H280">
        <v>10335285</v>
      </c>
      <c r="I280">
        <v>515646</v>
      </c>
      <c r="J280" t="s">
        <v>21</v>
      </c>
      <c r="K280" t="s">
        <v>18</v>
      </c>
      <c r="L280">
        <v>3</v>
      </c>
      <c r="M280">
        <v>73.540000000000006</v>
      </c>
      <c r="N280">
        <v>130107</v>
      </c>
      <c r="O280">
        <v>1</v>
      </c>
    </row>
    <row r="281" spans="1:15">
      <c r="A281" t="s">
        <v>307</v>
      </c>
      <c r="B281" t="s">
        <v>20</v>
      </c>
      <c r="C281">
        <v>6</v>
      </c>
      <c r="D281">
        <v>5300564</v>
      </c>
      <c r="E281">
        <v>4</v>
      </c>
      <c r="F281">
        <v>1</v>
      </c>
      <c r="G281">
        <v>459</v>
      </c>
      <c r="H281">
        <v>61679231</v>
      </c>
      <c r="I281">
        <v>701360</v>
      </c>
      <c r="J281" t="s">
        <v>21</v>
      </c>
      <c r="K281" t="s">
        <v>30</v>
      </c>
      <c r="L281">
        <v>5</v>
      </c>
      <c r="M281">
        <v>44.53</v>
      </c>
      <c r="N281">
        <v>562017</v>
      </c>
      <c r="O281">
        <v>1</v>
      </c>
    </row>
    <row r="282" spans="1:15">
      <c r="A282" t="s">
        <v>308</v>
      </c>
      <c r="B282" t="s">
        <v>20</v>
      </c>
      <c r="C282">
        <v>0</v>
      </c>
      <c r="D282">
        <v>49245562</v>
      </c>
      <c r="E282">
        <v>3</v>
      </c>
      <c r="F282">
        <v>0</v>
      </c>
      <c r="G282">
        <v>867</v>
      </c>
      <c r="H282">
        <v>44855861</v>
      </c>
      <c r="I282">
        <v>236021</v>
      </c>
      <c r="J282" t="s">
        <v>17</v>
      </c>
      <c r="K282" t="s">
        <v>30</v>
      </c>
      <c r="L282">
        <v>6</v>
      </c>
      <c r="M282">
        <v>34.86</v>
      </c>
      <c r="N282">
        <v>868336</v>
      </c>
      <c r="O282">
        <v>1</v>
      </c>
    </row>
    <row r="283" spans="1:15">
      <c r="A283" t="s">
        <v>309</v>
      </c>
      <c r="B283" t="s">
        <v>24</v>
      </c>
      <c r="C283">
        <v>3</v>
      </c>
      <c r="D283">
        <v>27754407</v>
      </c>
      <c r="E283">
        <v>1</v>
      </c>
      <c r="F283">
        <v>24</v>
      </c>
      <c r="G283">
        <v>471</v>
      </c>
      <c r="H283">
        <v>92343884</v>
      </c>
      <c r="I283">
        <v>937064</v>
      </c>
      <c r="J283" t="s">
        <v>17</v>
      </c>
      <c r="K283" t="s">
        <v>22</v>
      </c>
      <c r="L283">
        <v>5</v>
      </c>
      <c r="M283">
        <v>84.53</v>
      </c>
      <c r="N283">
        <v>964918</v>
      </c>
      <c r="O283">
        <v>1</v>
      </c>
    </row>
    <row r="284" spans="1:15">
      <c r="A284" t="s">
        <v>310</v>
      </c>
      <c r="B284" t="s">
        <v>16</v>
      </c>
      <c r="C284">
        <v>11</v>
      </c>
      <c r="D284">
        <v>441456</v>
      </c>
      <c r="E284">
        <v>3</v>
      </c>
      <c r="F284">
        <v>23</v>
      </c>
      <c r="G284">
        <v>569</v>
      </c>
      <c r="H284">
        <v>71805815</v>
      </c>
      <c r="I284">
        <v>684436</v>
      </c>
      <c r="J284" t="s">
        <v>25</v>
      </c>
      <c r="K284" t="s">
        <v>30</v>
      </c>
      <c r="L284">
        <v>8</v>
      </c>
      <c r="M284">
        <v>43.09</v>
      </c>
      <c r="N284">
        <v>375463</v>
      </c>
      <c r="O284">
        <v>1</v>
      </c>
    </row>
    <row r="285" spans="1:15">
      <c r="A285" t="s">
        <v>311</v>
      </c>
      <c r="B285" t="s">
        <v>38</v>
      </c>
      <c r="C285">
        <v>0</v>
      </c>
      <c r="D285">
        <v>44331498</v>
      </c>
      <c r="E285">
        <v>1</v>
      </c>
      <c r="F285">
        <v>7</v>
      </c>
      <c r="G285">
        <v>183</v>
      </c>
      <c r="H285">
        <v>32931755</v>
      </c>
      <c r="I285">
        <v>49877</v>
      </c>
      <c r="J285" t="s">
        <v>17</v>
      </c>
      <c r="K285" t="s">
        <v>30</v>
      </c>
      <c r="L285">
        <v>4</v>
      </c>
      <c r="M285">
        <v>83.79</v>
      </c>
      <c r="N285">
        <v>470762</v>
      </c>
      <c r="O285">
        <v>1</v>
      </c>
    </row>
    <row r="286" spans="1:15">
      <c r="A286" t="s">
        <v>312</v>
      </c>
      <c r="B286" t="s">
        <v>16</v>
      </c>
      <c r="C286">
        <v>4</v>
      </c>
      <c r="D286">
        <v>45140956</v>
      </c>
      <c r="E286">
        <v>4</v>
      </c>
      <c r="F286">
        <v>7</v>
      </c>
      <c r="G286">
        <v>659</v>
      </c>
      <c r="H286">
        <v>89570877</v>
      </c>
      <c r="I286">
        <v>874728</v>
      </c>
      <c r="J286" t="s">
        <v>21</v>
      </c>
      <c r="K286" t="s">
        <v>18</v>
      </c>
      <c r="L286">
        <v>2</v>
      </c>
      <c r="M286">
        <v>10.050000000000001</v>
      </c>
      <c r="N286">
        <v>252582</v>
      </c>
      <c r="O286">
        <v>1</v>
      </c>
    </row>
    <row r="287" spans="1:15">
      <c r="A287" t="s">
        <v>313</v>
      </c>
      <c r="B287" t="s">
        <v>38</v>
      </c>
      <c r="C287">
        <v>4</v>
      </c>
      <c r="D287">
        <v>42349515</v>
      </c>
      <c r="E287">
        <v>4</v>
      </c>
      <c r="F287">
        <v>15</v>
      </c>
      <c r="G287">
        <v>317</v>
      </c>
      <c r="H287">
        <v>88346782</v>
      </c>
      <c r="I287">
        <v>861526</v>
      </c>
      <c r="J287" t="s">
        <v>17</v>
      </c>
      <c r="K287" t="s">
        <v>30</v>
      </c>
      <c r="L287">
        <v>2</v>
      </c>
      <c r="M287">
        <v>78.55</v>
      </c>
      <c r="N287">
        <v>546081</v>
      </c>
      <c r="O287">
        <v>1</v>
      </c>
    </row>
    <row r="288" spans="1:15">
      <c r="A288" t="s">
        <v>314</v>
      </c>
      <c r="B288" t="s">
        <v>27</v>
      </c>
      <c r="C288">
        <v>6</v>
      </c>
      <c r="D288">
        <v>10196160</v>
      </c>
      <c r="E288">
        <v>3</v>
      </c>
      <c r="F288">
        <v>22</v>
      </c>
      <c r="G288">
        <v>858</v>
      </c>
      <c r="H288">
        <v>376547</v>
      </c>
      <c r="I288">
        <v>849945</v>
      </c>
      <c r="J288" t="s">
        <v>17</v>
      </c>
      <c r="K288" t="s">
        <v>18</v>
      </c>
      <c r="L288">
        <v>1</v>
      </c>
      <c r="M288">
        <v>25.09</v>
      </c>
      <c r="N288">
        <v>530735</v>
      </c>
      <c r="O288">
        <v>1</v>
      </c>
    </row>
    <row r="289" spans="1:15">
      <c r="A289" t="s">
        <v>315</v>
      </c>
      <c r="B289" t="s">
        <v>16</v>
      </c>
      <c r="C289">
        <v>1</v>
      </c>
      <c r="D289">
        <v>35747751</v>
      </c>
      <c r="E289">
        <v>2</v>
      </c>
      <c r="F289">
        <v>17</v>
      </c>
      <c r="G289">
        <v>791</v>
      </c>
      <c r="H289">
        <v>63548169</v>
      </c>
      <c r="I289">
        <v>661719</v>
      </c>
      <c r="J289" t="s">
        <v>25</v>
      </c>
      <c r="K289" t="s">
        <v>30</v>
      </c>
      <c r="L289">
        <v>7</v>
      </c>
      <c r="M289">
        <v>33.14</v>
      </c>
      <c r="N289">
        <v>123482</v>
      </c>
      <c r="O289">
        <v>1</v>
      </c>
    </row>
    <row r="290" spans="1:15">
      <c r="A290" t="s">
        <v>316</v>
      </c>
      <c r="B290" t="s">
        <v>20</v>
      </c>
      <c r="C290">
        <v>12</v>
      </c>
      <c r="D290">
        <v>15717429</v>
      </c>
      <c r="E290">
        <v>1</v>
      </c>
      <c r="F290">
        <v>6</v>
      </c>
      <c r="G290">
        <v>738</v>
      </c>
      <c r="H290">
        <v>23492530</v>
      </c>
      <c r="I290">
        <v>444834</v>
      </c>
      <c r="J290" t="s">
        <v>21</v>
      </c>
      <c r="K290" t="s">
        <v>18</v>
      </c>
      <c r="L290">
        <v>9</v>
      </c>
      <c r="M290">
        <v>73.489999999999995</v>
      </c>
      <c r="N290">
        <v>244875</v>
      </c>
      <c r="O290">
        <v>1</v>
      </c>
    </row>
    <row r="291" spans="1:15">
      <c r="A291" t="s">
        <v>317</v>
      </c>
      <c r="B291" t="s">
        <v>29</v>
      </c>
      <c r="C291">
        <v>10</v>
      </c>
      <c r="D291">
        <v>45433600</v>
      </c>
      <c r="E291">
        <v>3</v>
      </c>
      <c r="F291">
        <v>13</v>
      </c>
      <c r="G291">
        <v>837</v>
      </c>
      <c r="H291">
        <v>78781621</v>
      </c>
      <c r="I291">
        <v>212414</v>
      </c>
      <c r="J291" t="s">
        <v>21</v>
      </c>
      <c r="K291" t="s">
        <v>30</v>
      </c>
      <c r="L291">
        <v>1</v>
      </c>
      <c r="M291">
        <v>94.3</v>
      </c>
      <c r="N291">
        <v>398053</v>
      </c>
      <c r="O291">
        <v>1</v>
      </c>
    </row>
    <row r="292" spans="1:15">
      <c r="A292" t="s">
        <v>318</v>
      </c>
      <c r="B292" t="s">
        <v>27</v>
      </c>
      <c r="C292">
        <v>3</v>
      </c>
      <c r="D292">
        <v>9663119</v>
      </c>
      <c r="E292">
        <v>3</v>
      </c>
      <c r="F292">
        <v>10</v>
      </c>
      <c r="G292">
        <v>895</v>
      </c>
      <c r="H292">
        <v>44023049</v>
      </c>
      <c r="I292">
        <v>384981</v>
      </c>
      <c r="J292" t="s">
        <v>21</v>
      </c>
      <c r="K292" t="s">
        <v>30</v>
      </c>
      <c r="L292">
        <v>9</v>
      </c>
      <c r="M292">
        <v>31.26</v>
      </c>
      <c r="N292">
        <v>992813</v>
      </c>
      <c r="O292">
        <v>1</v>
      </c>
    </row>
    <row r="293" spans="1:15">
      <c r="A293" t="s">
        <v>319</v>
      </c>
      <c r="B293" t="s">
        <v>24</v>
      </c>
      <c r="C293">
        <v>0</v>
      </c>
      <c r="D293">
        <v>23354187</v>
      </c>
      <c r="E293">
        <v>1</v>
      </c>
      <c r="F293">
        <v>16</v>
      </c>
      <c r="G293">
        <v>687</v>
      </c>
      <c r="H293">
        <v>25924721</v>
      </c>
      <c r="I293">
        <v>232908</v>
      </c>
      <c r="J293" t="s">
        <v>17</v>
      </c>
      <c r="K293" t="s">
        <v>22</v>
      </c>
      <c r="L293">
        <v>2</v>
      </c>
      <c r="M293">
        <v>5.82</v>
      </c>
      <c r="N293">
        <v>830846</v>
      </c>
      <c r="O293">
        <v>1</v>
      </c>
    </row>
    <row r="294" spans="1:15">
      <c r="A294" t="s">
        <v>320</v>
      </c>
      <c r="B294" t="s">
        <v>32</v>
      </c>
      <c r="C294">
        <v>10</v>
      </c>
      <c r="D294">
        <v>46702361</v>
      </c>
      <c r="E294">
        <v>1</v>
      </c>
      <c r="F294">
        <v>29</v>
      </c>
      <c r="G294">
        <v>452</v>
      </c>
      <c r="H294">
        <v>37548023</v>
      </c>
      <c r="I294">
        <v>674325</v>
      </c>
      <c r="J294" t="s">
        <v>17</v>
      </c>
      <c r="K294" t="s">
        <v>30</v>
      </c>
      <c r="L294">
        <v>9</v>
      </c>
      <c r="M294">
        <v>30.84</v>
      </c>
      <c r="N294">
        <v>380692</v>
      </c>
      <c r="O294">
        <v>1</v>
      </c>
    </row>
    <row r="295" spans="1:15">
      <c r="A295" t="s">
        <v>321</v>
      </c>
      <c r="B295" t="s">
        <v>16</v>
      </c>
      <c r="C295">
        <v>2</v>
      </c>
      <c r="D295">
        <v>43211296</v>
      </c>
      <c r="E295">
        <v>1</v>
      </c>
      <c r="F295">
        <v>10</v>
      </c>
      <c r="G295">
        <v>978</v>
      </c>
      <c r="H295">
        <v>95649600</v>
      </c>
      <c r="I295">
        <v>74961</v>
      </c>
      <c r="J295" t="s">
        <v>25</v>
      </c>
      <c r="K295" t="s">
        <v>22</v>
      </c>
      <c r="L295">
        <v>2</v>
      </c>
      <c r="M295">
        <v>29.72</v>
      </c>
      <c r="N295">
        <v>684287</v>
      </c>
      <c r="O295">
        <v>1</v>
      </c>
    </row>
    <row r="296" spans="1:15">
      <c r="A296" t="s">
        <v>322</v>
      </c>
      <c r="B296" t="s">
        <v>27</v>
      </c>
      <c r="C296">
        <v>6</v>
      </c>
      <c r="D296">
        <v>14516435</v>
      </c>
      <c r="E296">
        <v>4</v>
      </c>
      <c r="F296">
        <v>3</v>
      </c>
      <c r="G296">
        <v>666</v>
      </c>
      <c r="H296">
        <v>77433254</v>
      </c>
      <c r="I296">
        <v>139431</v>
      </c>
      <c r="J296" t="s">
        <v>17</v>
      </c>
      <c r="K296" t="s">
        <v>30</v>
      </c>
      <c r="L296">
        <v>7</v>
      </c>
      <c r="M296">
        <v>7.08</v>
      </c>
      <c r="N296">
        <v>346715</v>
      </c>
      <c r="O296">
        <v>1</v>
      </c>
    </row>
    <row r="297" spans="1:15">
      <c r="A297" t="s">
        <v>323</v>
      </c>
      <c r="B297" t="s">
        <v>20</v>
      </c>
      <c r="C297">
        <v>6</v>
      </c>
      <c r="D297">
        <v>48574640</v>
      </c>
      <c r="E297">
        <v>2</v>
      </c>
      <c r="F297">
        <v>10</v>
      </c>
      <c r="G297">
        <v>134</v>
      </c>
      <c r="H297">
        <v>83877827</v>
      </c>
      <c r="I297">
        <v>979099</v>
      </c>
      <c r="J297" t="s">
        <v>17</v>
      </c>
      <c r="K297" t="s">
        <v>22</v>
      </c>
      <c r="L297">
        <v>5</v>
      </c>
      <c r="M297">
        <v>48.13</v>
      </c>
      <c r="N297">
        <v>181170</v>
      </c>
      <c r="O297">
        <v>1</v>
      </c>
    </row>
    <row r="298" spans="1:15">
      <c r="A298" t="s">
        <v>324</v>
      </c>
      <c r="B298" t="s">
        <v>27</v>
      </c>
      <c r="C298">
        <v>3</v>
      </c>
      <c r="D298">
        <v>22918684</v>
      </c>
      <c r="E298">
        <v>1</v>
      </c>
      <c r="F298">
        <v>2</v>
      </c>
      <c r="G298">
        <v>333</v>
      </c>
      <c r="H298">
        <v>78298918</v>
      </c>
      <c r="I298">
        <v>456164</v>
      </c>
      <c r="J298" t="s">
        <v>25</v>
      </c>
      <c r="K298" t="s">
        <v>18</v>
      </c>
      <c r="L298">
        <v>6</v>
      </c>
      <c r="M298">
        <v>38.67</v>
      </c>
      <c r="N298">
        <v>916796</v>
      </c>
      <c r="O298">
        <v>1</v>
      </c>
    </row>
    <row r="299" spans="1:15">
      <c r="A299" t="s">
        <v>325</v>
      </c>
      <c r="B299" t="s">
        <v>38</v>
      </c>
      <c r="C299">
        <v>7</v>
      </c>
      <c r="D299">
        <v>47520877</v>
      </c>
      <c r="E299">
        <v>2</v>
      </c>
      <c r="F299">
        <v>4</v>
      </c>
      <c r="G299">
        <v>876</v>
      </c>
      <c r="H299">
        <v>75327655</v>
      </c>
      <c r="I299">
        <v>583754</v>
      </c>
      <c r="J299" t="s">
        <v>17</v>
      </c>
      <c r="K299" t="s">
        <v>30</v>
      </c>
      <c r="L299">
        <v>9</v>
      </c>
      <c r="M299">
        <v>25.19</v>
      </c>
      <c r="N299">
        <v>799209</v>
      </c>
      <c r="O299">
        <v>1</v>
      </c>
    </row>
    <row r="300" spans="1:15">
      <c r="A300" t="s">
        <v>326</v>
      </c>
      <c r="B300" t="s">
        <v>24</v>
      </c>
      <c r="C300">
        <v>0</v>
      </c>
      <c r="D300">
        <v>575240</v>
      </c>
      <c r="E300">
        <v>1</v>
      </c>
      <c r="F300">
        <v>4</v>
      </c>
      <c r="G300">
        <v>873</v>
      </c>
      <c r="H300">
        <v>32826085</v>
      </c>
      <c r="I300">
        <v>274754</v>
      </c>
      <c r="J300" t="s">
        <v>25</v>
      </c>
      <c r="K300" t="s">
        <v>30</v>
      </c>
      <c r="L300">
        <v>3</v>
      </c>
      <c r="M300">
        <v>30.57</v>
      </c>
      <c r="N300">
        <v>394252</v>
      </c>
      <c r="O300">
        <v>1</v>
      </c>
    </row>
    <row r="301" spans="1:15">
      <c r="A301" t="s">
        <v>327</v>
      </c>
      <c r="B301" t="s">
        <v>20</v>
      </c>
      <c r="C301">
        <v>3</v>
      </c>
      <c r="D301">
        <v>26517619</v>
      </c>
      <c r="E301">
        <v>1</v>
      </c>
      <c r="F301">
        <v>8</v>
      </c>
      <c r="G301">
        <v>985</v>
      </c>
      <c r="H301">
        <v>80357552</v>
      </c>
      <c r="I301">
        <v>343590</v>
      </c>
      <c r="J301" t="s">
        <v>25</v>
      </c>
      <c r="K301" t="s">
        <v>18</v>
      </c>
      <c r="L301">
        <v>8</v>
      </c>
      <c r="M301">
        <v>66.17</v>
      </c>
      <c r="N301">
        <v>44691</v>
      </c>
      <c r="O301">
        <v>1</v>
      </c>
    </row>
    <row r="302" spans="1:15">
      <c r="A302" t="s">
        <v>328</v>
      </c>
      <c r="B302" t="s">
        <v>29</v>
      </c>
      <c r="C302">
        <v>0</v>
      </c>
      <c r="D302">
        <v>30742040</v>
      </c>
      <c r="E302">
        <v>1</v>
      </c>
      <c r="F302">
        <v>6</v>
      </c>
      <c r="G302">
        <v>831</v>
      </c>
      <c r="H302">
        <v>91886186</v>
      </c>
      <c r="I302">
        <v>400733</v>
      </c>
      <c r="J302" t="s">
        <v>17</v>
      </c>
      <c r="K302" t="s">
        <v>30</v>
      </c>
      <c r="L302">
        <v>2</v>
      </c>
      <c r="M302">
        <v>94.84</v>
      </c>
      <c r="N302">
        <v>691818</v>
      </c>
      <c r="O302">
        <v>1</v>
      </c>
    </row>
    <row r="303" spans="1:15">
      <c r="A303" t="s">
        <v>329</v>
      </c>
      <c r="B303" t="s">
        <v>27</v>
      </c>
      <c r="C303">
        <v>14</v>
      </c>
      <c r="D303">
        <v>47070384</v>
      </c>
      <c r="E303">
        <v>1</v>
      </c>
      <c r="F303">
        <v>28</v>
      </c>
      <c r="G303">
        <v>277</v>
      </c>
      <c r="H303">
        <v>86182193</v>
      </c>
      <c r="I303">
        <v>475281</v>
      </c>
      <c r="J303" t="s">
        <v>17</v>
      </c>
      <c r="K303" t="s">
        <v>22</v>
      </c>
      <c r="L303">
        <v>7</v>
      </c>
      <c r="M303">
        <v>54.74</v>
      </c>
      <c r="N303">
        <v>262300</v>
      </c>
      <c r="O303">
        <v>1</v>
      </c>
    </row>
    <row r="304" spans="1:15">
      <c r="A304" t="s">
        <v>330</v>
      </c>
      <c r="B304" t="s">
        <v>24</v>
      </c>
      <c r="C304">
        <v>5</v>
      </c>
      <c r="D304">
        <v>20713128</v>
      </c>
      <c r="E304">
        <v>3</v>
      </c>
      <c r="F304">
        <v>6</v>
      </c>
      <c r="G304">
        <v>618</v>
      </c>
      <c r="H304">
        <v>30422033</v>
      </c>
      <c r="I304">
        <v>350847</v>
      </c>
      <c r="J304" t="s">
        <v>25</v>
      </c>
      <c r="K304" t="s">
        <v>22</v>
      </c>
      <c r="L304">
        <v>3</v>
      </c>
      <c r="M304">
        <v>48.81</v>
      </c>
      <c r="N304">
        <v>519616</v>
      </c>
      <c r="O304">
        <v>1</v>
      </c>
    </row>
    <row r="305" spans="1:15">
      <c r="A305" t="s">
        <v>331</v>
      </c>
      <c r="B305" t="s">
        <v>38</v>
      </c>
      <c r="C305">
        <v>3</v>
      </c>
      <c r="D305">
        <v>38122703</v>
      </c>
      <c r="E305">
        <v>1</v>
      </c>
      <c r="F305">
        <v>16</v>
      </c>
      <c r="G305">
        <v>554</v>
      </c>
      <c r="H305">
        <v>93859454</v>
      </c>
      <c r="I305">
        <v>576937</v>
      </c>
      <c r="J305" t="s">
        <v>17</v>
      </c>
      <c r="K305" t="s">
        <v>30</v>
      </c>
      <c r="L305">
        <v>5</v>
      </c>
      <c r="M305">
        <v>99.34</v>
      </c>
      <c r="N305">
        <v>347490</v>
      </c>
      <c r="O305">
        <v>1</v>
      </c>
    </row>
    <row r="306" spans="1:15">
      <c r="A306" t="s">
        <v>332</v>
      </c>
      <c r="B306" t="s">
        <v>24</v>
      </c>
      <c r="C306">
        <v>9</v>
      </c>
      <c r="D306">
        <v>16756129</v>
      </c>
      <c r="E306">
        <v>4</v>
      </c>
      <c r="F306">
        <v>2</v>
      </c>
      <c r="G306">
        <v>179</v>
      </c>
      <c r="H306">
        <v>73979275</v>
      </c>
      <c r="I306">
        <v>823648</v>
      </c>
      <c r="J306" t="s">
        <v>25</v>
      </c>
      <c r="K306" t="s">
        <v>30</v>
      </c>
      <c r="L306">
        <v>4</v>
      </c>
      <c r="M306">
        <v>64.8</v>
      </c>
      <c r="N306">
        <v>736536</v>
      </c>
      <c r="O306">
        <v>1</v>
      </c>
    </row>
    <row r="307" spans="1:15">
      <c r="A307" t="s">
        <v>333</v>
      </c>
      <c r="B307" t="s">
        <v>16</v>
      </c>
      <c r="C307">
        <v>11</v>
      </c>
      <c r="D307">
        <v>13768303</v>
      </c>
      <c r="E307">
        <v>4</v>
      </c>
      <c r="F307">
        <v>11</v>
      </c>
      <c r="G307">
        <v>688</v>
      </c>
      <c r="H307">
        <v>625424</v>
      </c>
      <c r="I307">
        <v>236590</v>
      </c>
      <c r="J307" t="s">
        <v>21</v>
      </c>
      <c r="K307" t="s">
        <v>22</v>
      </c>
      <c r="L307">
        <v>2</v>
      </c>
      <c r="M307">
        <v>50.3</v>
      </c>
      <c r="N307">
        <v>613774</v>
      </c>
      <c r="O307">
        <v>1</v>
      </c>
    </row>
    <row r="308" spans="1:15">
      <c r="A308" t="s">
        <v>334</v>
      </c>
      <c r="B308" t="s">
        <v>38</v>
      </c>
      <c r="C308">
        <v>0</v>
      </c>
      <c r="D308">
        <v>31110510</v>
      </c>
      <c r="E308">
        <v>4</v>
      </c>
      <c r="F308">
        <v>22</v>
      </c>
      <c r="G308">
        <v>464</v>
      </c>
      <c r="H308">
        <v>93918199</v>
      </c>
      <c r="I308">
        <v>584296</v>
      </c>
      <c r="J308" t="s">
        <v>25</v>
      </c>
      <c r="K308" t="s">
        <v>18</v>
      </c>
      <c r="L308">
        <v>2</v>
      </c>
      <c r="M308">
        <v>76.64</v>
      </c>
      <c r="N308">
        <v>974226</v>
      </c>
      <c r="O308">
        <v>1</v>
      </c>
    </row>
    <row r="309" spans="1:15">
      <c r="A309" t="s">
        <v>335</v>
      </c>
      <c r="B309" t="s">
        <v>20</v>
      </c>
      <c r="C309">
        <v>4</v>
      </c>
      <c r="D309">
        <v>47626871</v>
      </c>
      <c r="E309">
        <v>3</v>
      </c>
      <c r="F309">
        <v>18</v>
      </c>
      <c r="G309">
        <v>99</v>
      </c>
      <c r="H309">
        <v>30049182</v>
      </c>
      <c r="I309">
        <v>282502</v>
      </c>
      <c r="J309" t="s">
        <v>25</v>
      </c>
      <c r="K309" t="s">
        <v>30</v>
      </c>
      <c r="L309">
        <v>1</v>
      </c>
      <c r="M309">
        <v>77.22</v>
      </c>
      <c r="N309">
        <v>253409</v>
      </c>
      <c r="O309">
        <v>1</v>
      </c>
    </row>
    <row r="310" spans="1:15">
      <c r="A310" t="s">
        <v>336</v>
      </c>
      <c r="B310" t="s">
        <v>29</v>
      </c>
      <c r="C310">
        <v>4</v>
      </c>
      <c r="D310">
        <v>13570275</v>
      </c>
      <c r="E310">
        <v>1</v>
      </c>
      <c r="F310">
        <v>8</v>
      </c>
      <c r="G310">
        <v>800</v>
      </c>
      <c r="H310">
        <v>51827599</v>
      </c>
      <c r="I310">
        <v>966207</v>
      </c>
      <c r="J310" t="s">
        <v>21</v>
      </c>
      <c r="K310" t="s">
        <v>30</v>
      </c>
      <c r="L310">
        <v>5</v>
      </c>
      <c r="M310">
        <v>20.66</v>
      </c>
      <c r="N310">
        <v>530846</v>
      </c>
      <c r="O310">
        <v>1</v>
      </c>
    </row>
    <row r="311" spans="1:15">
      <c r="A311" t="s">
        <v>337</v>
      </c>
      <c r="B311" t="s">
        <v>27</v>
      </c>
      <c r="C311">
        <v>2</v>
      </c>
      <c r="D311">
        <v>47774010</v>
      </c>
      <c r="E311">
        <v>2</v>
      </c>
      <c r="F311">
        <v>27</v>
      </c>
      <c r="G311">
        <v>70</v>
      </c>
      <c r="H311">
        <v>42642637</v>
      </c>
      <c r="I311">
        <v>56177</v>
      </c>
      <c r="J311" t="s">
        <v>25</v>
      </c>
      <c r="K311" t="s">
        <v>18</v>
      </c>
      <c r="L311">
        <v>6</v>
      </c>
      <c r="M311">
        <v>30.63</v>
      </c>
      <c r="N311">
        <v>359495</v>
      </c>
      <c r="O311">
        <v>1</v>
      </c>
    </row>
    <row r="312" spans="1:15">
      <c r="A312" t="s">
        <v>338</v>
      </c>
      <c r="B312" t="s">
        <v>24</v>
      </c>
      <c r="C312">
        <v>6</v>
      </c>
      <c r="D312">
        <v>13022679</v>
      </c>
      <c r="E312">
        <v>1</v>
      </c>
      <c r="F312">
        <v>12</v>
      </c>
      <c r="G312">
        <v>877</v>
      </c>
      <c r="H312">
        <v>26341935</v>
      </c>
      <c r="I312">
        <v>14356</v>
      </c>
      <c r="J312" t="s">
        <v>21</v>
      </c>
      <c r="K312" t="s">
        <v>30</v>
      </c>
      <c r="L312">
        <v>8</v>
      </c>
      <c r="M312">
        <v>15.11</v>
      </c>
      <c r="N312">
        <v>883307</v>
      </c>
      <c r="O312">
        <v>1</v>
      </c>
    </row>
    <row r="313" spans="1:15">
      <c r="A313" t="s">
        <v>339</v>
      </c>
      <c r="B313" t="s">
        <v>29</v>
      </c>
      <c r="C313">
        <v>8</v>
      </c>
      <c r="D313">
        <v>17129387</v>
      </c>
      <c r="E313">
        <v>3</v>
      </c>
      <c r="F313">
        <v>25</v>
      </c>
      <c r="G313">
        <v>905</v>
      </c>
      <c r="H313">
        <v>99620096</v>
      </c>
      <c r="I313">
        <v>906502</v>
      </c>
      <c r="J313" t="s">
        <v>17</v>
      </c>
      <c r="K313" t="s">
        <v>22</v>
      </c>
      <c r="L313">
        <v>4</v>
      </c>
      <c r="M313">
        <v>20.58</v>
      </c>
      <c r="N313">
        <v>112443</v>
      </c>
      <c r="O313">
        <v>1</v>
      </c>
    </row>
    <row r="314" spans="1:15">
      <c r="A314" t="s">
        <v>340</v>
      </c>
      <c r="B314" t="s">
        <v>29</v>
      </c>
      <c r="C314">
        <v>10</v>
      </c>
      <c r="D314">
        <v>2935267</v>
      </c>
      <c r="E314">
        <v>3</v>
      </c>
      <c r="F314">
        <v>14</v>
      </c>
      <c r="G314">
        <v>896</v>
      </c>
      <c r="H314">
        <v>74264262</v>
      </c>
      <c r="I314">
        <v>972275</v>
      </c>
      <c r="J314" t="s">
        <v>17</v>
      </c>
      <c r="K314" t="s">
        <v>22</v>
      </c>
      <c r="L314">
        <v>4</v>
      </c>
      <c r="M314">
        <v>15.25</v>
      </c>
      <c r="N314">
        <v>784073</v>
      </c>
      <c r="O314">
        <v>1</v>
      </c>
    </row>
    <row r="315" spans="1:15">
      <c r="A315" t="s">
        <v>341</v>
      </c>
      <c r="B315" t="s">
        <v>20</v>
      </c>
      <c r="C315">
        <v>7</v>
      </c>
      <c r="D315">
        <v>46514644</v>
      </c>
      <c r="E315">
        <v>4</v>
      </c>
      <c r="F315">
        <v>19</v>
      </c>
      <c r="G315">
        <v>955</v>
      </c>
      <c r="H315">
        <v>74784799</v>
      </c>
      <c r="I315">
        <v>971282</v>
      </c>
      <c r="J315" t="s">
        <v>21</v>
      </c>
      <c r="K315" t="s">
        <v>18</v>
      </c>
      <c r="L315">
        <v>3</v>
      </c>
      <c r="M315">
        <v>66.97</v>
      </c>
      <c r="N315">
        <v>304169</v>
      </c>
      <c r="O315">
        <v>1</v>
      </c>
    </row>
    <row r="316" spans="1:15">
      <c r="A316" t="s">
        <v>342</v>
      </c>
      <c r="B316" t="s">
        <v>16</v>
      </c>
      <c r="C316">
        <v>6</v>
      </c>
      <c r="D316">
        <v>29792125</v>
      </c>
      <c r="E316">
        <v>3</v>
      </c>
      <c r="F316">
        <v>12</v>
      </c>
      <c r="G316">
        <v>259</v>
      </c>
      <c r="H316">
        <v>11555331</v>
      </c>
      <c r="I316">
        <v>757915</v>
      </c>
      <c r="J316" t="s">
        <v>21</v>
      </c>
      <c r="K316" t="s">
        <v>30</v>
      </c>
      <c r="L316">
        <v>9</v>
      </c>
      <c r="M316">
        <v>88.73</v>
      </c>
      <c r="N316">
        <v>390592</v>
      </c>
      <c r="O316">
        <v>1</v>
      </c>
    </row>
    <row r="317" spans="1:15">
      <c r="A317" t="s">
        <v>343</v>
      </c>
      <c r="B317" t="s">
        <v>24</v>
      </c>
      <c r="C317">
        <v>13</v>
      </c>
      <c r="D317">
        <v>15478785</v>
      </c>
      <c r="E317">
        <v>3</v>
      </c>
      <c r="F317">
        <v>24</v>
      </c>
      <c r="G317">
        <v>321</v>
      </c>
      <c r="H317">
        <v>43960490</v>
      </c>
      <c r="I317">
        <v>894908</v>
      </c>
      <c r="J317" t="s">
        <v>17</v>
      </c>
      <c r="K317" t="s">
        <v>30</v>
      </c>
      <c r="L317">
        <v>1</v>
      </c>
      <c r="M317">
        <v>18.95</v>
      </c>
      <c r="N317">
        <v>935750</v>
      </c>
      <c r="O317">
        <v>1</v>
      </c>
    </row>
    <row r="318" spans="1:15">
      <c r="A318" t="s">
        <v>344</v>
      </c>
      <c r="B318" t="s">
        <v>20</v>
      </c>
      <c r="C318">
        <v>7</v>
      </c>
      <c r="D318">
        <v>34536149</v>
      </c>
      <c r="E318">
        <v>1</v>
      </c>
      <c r="F318">
        <v>4</v>
      </c>
      <c r="G318">
        <v>18</v>
      </c>
      <c r="H318">
        <v>31567059</v>
      </c>
      <c r="I318">
        <v>658833</v>
      </c>
      <c r="J318" t="s">
        <v>21</v>
      </c>
      <c r="K318" t="s">
        <v>30</v>
      </c>
      <c r="L318">
        <v>6</v>
      </c>
      <c r="M318">
        <v>36.31</v>
      </c>
      <c r="N318">
        <v>989448</v>
      </c>
      <c r="O318">
        <v>1</v>
      </c>
    </row>
    <row r="319" spans="1:15">
      <c r="A319" t="s">
        <v>345</v>
      </c>
      <c r="B319" t="s">
        <v>32</v>
      </c>
      <c r="C319">
        <v>6</v>
      </c>
      <c r="D319">
        <v>21847919</v>
      </c>
      <c r="E319">
        <v>4</v>
      </c>
      <c r="F319">
        <v>24</v>
      </c>
      <c r="G319">
        <v>140</v>
      </c>
      <c r="H319">
        <v>20053905</v>
      </c>
      <c r="I319">
        <v>165236</v>
      </c>
      <c r="J319" t="s">
        <v>25</v>
      </c>
      <c r="K319" t="s">
        <v>18</v>
      </c>
      <c r="L319">
        <v>1</v>
      </c>
      <c r="M319">
        <v>25.31</v>
      </c>
      <c r="N319">
        <v>80809</v>
      </c>
      <c r="O319">
        <v>1</v>
      </c>
    </row>
    <row r="320" spans="1:15">
      <c r="A320" t="s">
        <v>346</v>
      </c>
      <c r="B320" t="s">
        <v>32</v>
      </c>
      <c r="C320">
        <v>7</v>
      </c>
      <c r="D320">
        <v>37057980</v>
      </c>
      <c r="E320">
        <v>4</v>
      </c>
      <c r="F320">
        <v>9</v>
      </c>
      <c r="G320">
        <v>89</v>
      </c>
      <c r="H320">
        <v>8860821</v>
      </c>
      <c r="I320">
        <v>937117</v>
      </c>
      <c r="J320" t="s">
        <v>17</v>
      </c>
      <c r="K320" t="s">
        <v>30</v>
      </c>
      <c r="L320">
        <v>3</v>
      </c>
      <c r="M320">
        <v>31.03</v>
      </c>
      <c r="N320">
        <v>923272</v>
      </c>
      <c r="O320">
        <v>1</v>
      </c>
    </row>
    <row r="321" spans="1:15">
      <c r="A321" t="s">
        <v>347</v>
      </c>
      <c r="B321" t="s">
        <v>32</v>
      </c>
      <c r="C321">
        <v>8</v>
      </c>
      <c r="D321">
        <v>14590782</v>
      </c>
      <c r="E321">
        <v>3</v>
      </c>
      <c r="F321">
        <v>11</v>
      </c>
      <c r="G321">
        <v>51</v>
      </c>
      <c r="H321">
        <v>17712932</v>
      </c>
      <c r="I321">
        <v>177027</v>
      </c>
      <c r="J321" t="s">
        <v>25</v>
      </c>
      <c r="K321" t="s">
        <v>30</v>
      </c>
      <c r="L321">
        <v>3</v>
      </c>
      <c r="M321">
        <v>60.9</v>
      </c>
      <c r="N321">
        <v>384890</v>
      </c>
      <c r="O321">
        <v>1</v>
      </c>
    </row>
    <row r="322" spans="1:15">
      <c r="A322" t="s">
        <v>348</v>
      </c>
      <c r="B322" t="s">
        <v>32</v>
      </c>
      <c r="C322">
        <v>1</v>
      </c>
      <c r="D322">
        <v>12547233</v>
      </c>
      <c r="E322">
        <v>4</v>
      </c>
      <c r="F322">
        <v>24</v>
      </c>
      <c r="G322">
        <v>17</v>
      </c>
      <c r="H322">
        <v>38232023</v>
      </c>
      <c r="I322">
        <v>531787</v>
      </c>
      <c r="J322" t="s">
        <v>25</v>
      </c>
      <c r="K322" t="s">
        <v>30</v>
      </c>
      <c r="L322">
        <v>6</v>
      </c>
      <c r="M322">
        <v>46.88</v>
      </c>
      <c r="N322">
        <v>18009</v>
      </c>
      <c r="O322">
        <v>1</v>
      </c>
    </row>
    <row r="323" spans="1:15">
      <c r="A323" t="s">
        <v>349</v>
      </c>
      <c r="B323" t="s">
        <v>20</v>
      </c>
      <c r="C323">
        <v>3</v>
      </c>
      <c r="D323">
        <v>33620032</v>
      </c>
      <c r="E323">
        <v>1</v>
      </c>
      <c r="F323">
        <v>15</v>
      </c>
      <c r="G323">
        <v>865</v>
      </c>
      <c r="H323">
        <v>56845481</v>
      </c>
      <c r="I323">
        <v>874682</v>
      </c>
      <c r="J323" t="s">
        <v>25</v>
      </c>
      <c r="K323" t="s">
        <v>18</v>
      </c>
      <c r="L323">
        <v>6</v>
      </c>
      <c r="M323">
        <v>53.16</v>
      </c>
      <c r="N323">
        <v>823158</v>
      </c>
      <c r="O323">
        <v>1</v>
      </c>
    </row>
    <row r="324" spans="1:15">
      <c r="A324" t="s">
        <v>350</v>
      </c>
      <c r="B324" t="s">
        <v>16</v>
      </c>
      <c r="C324">
        <v>9</v>
      </c>
      <c r="D324">
        <v>40314355</v>
      </c>
      <c r="E324">
        <v>4</v>
      </c>
      <c r="F324">
        <v>11</v>
      </c>
      <c r="G324">
        <v>482</v>
      </c>
      <c r="H324">
        <v>5907224</v>
      </c>
      <c r="I324">
        <v>590891</v>
      </c>
      <c r="J324" t="s">
        <v>21</v>
      </c>
      <c r="K324" t="s">
        <v>18</v>
      </c>
      <c r="L324">
        <v>5</v>
      </c>
      <c r="M324">
        <v>33.47</v>
      </c>
      <c r="N324">
        <v>77042</v>
      </c>
      <c r="O324">
        <v>1</v>
      </c>
    </row>
    <row r="325" spans="1:15">
      <c r="A325" t="s">
        <v>351</v>
      </c>
      <c r="B325" t="s">
        <v>24</v>
      </c>
      <c r="C325">
        <v>9</v>
      </c>
      <c r="D325">
        <v>48075736</v>
      </c>
      <c r="E325">
        <v>2</v>
      </c>
      <c r="F325">
        <v>0</v>
      </c>
      <c r="G325">
        <v>672</v>
      </c>
      <c r="H325">
        <v>25309352</v>
      </c>
      <c r="I325">
        <v>438528</v>
      </c>
      <c r="J325" t="s">
        <v>21</v>
      </c>
      <c r="K325" t="s">
        <v>18</v>
      </c>
      <c r="L325">
        <v>5</v>
      </c>
      <c r="M325">
        <v>55.71</v>
      </c>
      <c r="N325">
        <v>853564</v>
      </c>
      <c r="O325">
        <v>1</v>
      </c>
    </row>
    <row r="326" spans="1:15">
      <c r="A326" t="s">
        <v>352</v>
      </c>
      <c r="B326" t="s">
        <v>38</v>
      </c>
      <c r="C326">
        <v>6</v>
      </c>
      <c r="D326">
        <v>18892744</v>
      </c>
      <c r="E326">
        <v>3</v>
      </c>
      <c r="F326">
        <v>0</v>
      </c>
      <c r="G326">
        <v>767</v>
      </c>
      <c r="H326">
        <v>59241755</v>
      </c>
      <c r="I326">
        <v>836450</v>
      </c>
      <c r="J326" t="s">
        <v>21</v>
      </c>
      <c r="K326" t="s">
        <v>18</v>
      </c>
      <c r="L326">
        <v>3</v>
      </c>
      <c r="M326">
        <v>53.96</v>
      </c>
      <c r="N326">
        <v>832625</v>
      </c>
      <c r="O326">
        <v>1</v>
      </c>
    </row>
    <row r="327" spans="1:15">
      <c r="A327" t="s">
        <v>353</v>
      </c>
      <c r="B327" t="s">
        <v>27</v>
      </c>
      <c r="C327">
        <v>7</v>
      </c>
      <c r="D327">
        <v>23916533</v>
      </c>
      <c r="E327">
        <v>3</v>
      </c>
      <c r="F327">
        <v>2</v>
      </c>
      <c r="G327">
        <v>349</v>
      </c>
      <c r="H327">
        <v>8393807</v>
      </c>
      <c r="I327">
        <v>327362</v>
      </c>
      <c r="J327" t="s">
        <v>21</v>
      </c>
      <c r="K327" t="s">
        <v>18</v>
      </c>
      <c r="L327">
        <v>8</v>
      </c>
      <c r="M327">
        <v>35.369999999999997</v>
      </c>
      <c r="N327">
        <v>303575</v>
      </c>
      <c r="O327">
        <v>1</v>
      </c>
    </row>
    <row r="328" spans="1:15">
      <c r="A328" t="s">
        <v>354</v>
      </c>
      <c r="B328" t="s">
        <v>20</v>
      </c>
      <c r="C328">
        <v>13</v>
      </c>
      <c r="D328">
        <v>48600841</v>
      </c>
      <c r="E328">
        <v>3</v>
      </c>
      <c r="F328">
        <v>16</v>
      </c>
      <c r="G328">
        <v>306</v>
      </c>
      <c r="H328">
        <v>27692992</v>
      </c>
      <c r="I328">
        <v>358589</v>
      </c>
      <c r="J328" t="s">
        <v>17</v>
      </c>
      <c r="K328" t="s">
        <v>18</v>
      </c>
      <c r="L328">
        <v>3</v>
      </c>
      <c r="M328">
        <v>31.24</v>
      </c>
      <c r="N328">
        <v>419920</v>
      </c>
      <c r="O328">
        <v>1</v>
      </c>
    </row>
    <row r="329" spans="1:15">
      <c r="A329" t="s">
        <v>355</v>
      </c>
      <c r="B329" t="s">
        <v>27</v>
      </c>
      <c r="C329">
        <v>12</v>
      </c>
      <c r="D329">
        <v>49642222</v>
      </c>
      <c r="E329">
        <v>3</v>
      </c>
      <c r="F329">
        <v>17</v>
      </c>
      <c r="G329">
        <v>90</v>
      </c>
      <c r="H329">
        <v>13617313</v>
      </c>
      <c r="I329">
        <v>948138</v>
      </c>
      <c r="J329" t="s">
        <v>17</v>
      </c>
      <c r="K329" t="s">
        <v>18</v>
      </c>
      <c r="L329">
        <v>3</v>
      </c>
      <c r="M329">
        <v>84.6</v>
      </c>
      <c r="N329">
        <v>551355</v>
      </c>
      <c r="O329">
        <v>1</v>
      </c>
    </row>
    <row r="330" spans="1:15">
      <c r="A330" t="s">
        <v>356</v>
      </c>
      <c r="B330" t="s">
        <v>32</v>
      </c>
      <c r="C330">
        <v>10</v>
      </c>
      <c r="D330">
        <v>34703567</v>
      </c>
      <c r="E330">
        <v>4</v>
      </c>
      <c r="F330">
        <v>8</v>
      </c>
      <c r="G330">
        <v>318</v>
      </c>
      <c r="H330">
        <v>79319183</v>
      </c>
      <c r="I330">
        <v>306971</v>
      </c>
      <c r="J330" t="s">
        <v>21</v>
      </c>
      <c r="K330" t="s">
        <v>22</v>
      </c>
      <c r="L330">
        <v>7</v>
      </c>
      <c r="M330">
        <v>92.51</v>
      </c>
      <c r="N330">
        <v>878960</v>
      </c>
      <c r="O330">
        <v>1</v>
      </c>
    </row>
    <row r="331" spans="1:15">
      <c r="A331" t="s">
        <v>357</v>
      </c>
      <c r="B331" t="s">
        <v>32</v>
      </c>
      <c r="C331">
        <v>5</v>
      </c>
      <c r="D331">
        <v>40815661</v>
      </c>
      <c r="E331">
        <v>4</v>
      </c>
      <c r="F331">
        <v>26</v>
      </c>
      <c r="G331">
        <v>357</v>
      </c>
      <c r="H331">
        <v>37220802</v>
      </c>
      <c r="I331">
        <v>78193</v>
      </c>
      <c r="J331" t="s">
        <v>25</v>
      </c>
      <c r="K331" t="s">
        <v>18</v>
      </c>
      <c r="L331">
        <v>5</v>
      </c>
      <c r="M331">
        <v>81</v>
      </c>
      <c r="N331">
        <v>539710</v>
      </c>
      <c r="O331">
        <v>1</v>
      </c>
    </row>
    <row r="332" spans="1:15">
      <c r="A332" t="s">
        <v>358</v>
      </c>
      <c r="B332" t="s">
        <v>38</v>
      </c>
      <c r="C332">
        <v>2</v>
      </c>
      <c r="D332">
        <v>33009161</v>
      </c>
      <c r="E332">
        <v>1</v>
      </c>
      <c r="F332">
        <v>18</v>
      </c>
      <c r="G332">
        <v>353</v>
      </c>
      <c r="H332">
        <v>75615762</v>
      </c>
      <c r="I332">
        <v>6447</v>
      </c>
      <c r="J332" t="s">
        <v>25</v>
      </c>
      <c r="K332" t="s">
        <v>18</v>
      </c>
      <c r="L332">
        <v>6</v>
      </c>
      <c r="M332">
        <v>22.7</v>
      </c>
      <c r="N332">
        <v>159625</v>
      </c>
      <c r="O332">
        <v>1</v>
      </c>
    </row>
    <row r="333" spans="1:15">
      <c r="A333" t="s">
        <v>359</v>
      </c>
      <c r="B333" t="s">
        <v>38</v>
      </c>
      <c r="C333">
        <v>2</v>
      </c>
      <c r="D333">
        <v>10209910</v>
      </c>
      <c r="E333">
        <v>3</v>
      </c>
      <c r="F333">
        <v>29</v>
      </c>
      <c r="G333">
        <v>280</v>
      </c>
      <c r="H333">
        <v>36610520</v>
      </c>
      <c r="I333">
        <v>149460</v>
      </c>
      <c r="J333" t="s">
        <v>17</v>
      </c>
      <c r="K333" t="s">
        <v>30</v>
      </c>
      <c r="L333">
        <v>2</v>
      </c>
      <c r="M333">
        <v>60.42</v>
      </c>
      <c r="N333">
        <v>478391</v>
      </c>
      <c r="O333">
        <v>1</v>
      </c>
    </row>
    <row r="334" spans="1:15">
      <c r="A334" t="s">
        <v>360</v>
      </c>
      <c r="B334" t="s">
        <v>20</v>
      </c>
      <c r="C334">
        <v>13</v>
      </c>
      <c r="D334">
        <v>23878105</v>
      </c>
      <c r="E334">
        <v>3</v>
      </c>
      <c r="F334">
        <v>26</v>
      </c>
      <c r="G334">
        <v>833</v>
      </c>
      <c r="H334">
        <v>22512986</v>
      </c>
      <c r="I334">
        <v>665480</v>
      </c>
      <c r="J334" t="s">
        <v>21</v>
      </c>
      <c r="K334" t="s">
        <v>30</v>
      </c>
      <c r="L334">
        <v>1</v>
      </c>
      <c r="M334">
        <v>43.45</v>
      </c>
      <c r="N334">
        <v>811288</v>
      </c>
      <c r="O334">
        <v>1</v>
      </c>
    </row>
    <row r="335" spans="1:15">
      <c r="A335" t="s">
        <v>361</v>
      </c>
      <c r="B335" t="s">
        <v>27</v>
      </c>
      <c r="C335">
        <v>0</v>
      </c>
      <c r="D335">
        <v>31604581</v>
      </c>
      <c r="E335">
        <v>3</v>
      </c>
      <c r="F335">
        <v>23</v>
      </c>
      <c r="G335">
        <v>707</v>
      </c>
      <c r="H335">
        <v>58932360</v>
      </c>
      <c r="I335">
        <v>743060</v>
      </c>
      <c r="J335" t="s">
        <v>21</v>
      </c>
      <c r="K335" t="s">
        <v>30</v>
      </c>
      <c r="L335">
        <v>3</v>
      </c>
      <c r="M335">
        <v>57.02</v>
      </c>
      <c r="N335">
        <v>557129</v>
      </c>
      <c r="O335">
        <v>1</v>
      </c>
    </row>
    <row r="336" spans="1:15">
      <c r="A336" t="s">
        <v>362</v>
      </c>
      <c r="B336" t="s">
        <v>16</v>
      </c>
      <c r="C336">
        <v>9</v>
      </c>
      <c r="D336">
        <v>38245336</v>
      </c>
      <c r="E336">
        <v>1</v>
      </c>
      <c r="F336">
        <v>6</v>
      </c>
      <c r="G336">
        <v>754</v>
      </c>
      <c r="H336">
        <v>39147925</v>
      </c>
      <c r="I336">
        <v>310399</v>
      </c>
      <c r="J336" t="s">
        <v>21</v>
      </c>
      <c r="K336" t="s">
        <v>22</v>
      </c>
      <c r="L336">
        <v>4</v>
      </c>
      <c r="M336">
        <v>20.57</v>
      </c>
      <c r="N336">
        <v>361132</v>
      </c>
      <c r="O336">
        <v>1</v>
      </c>
    </row>
    <row r="337" spans="1:15">
      <c r="A337" t="s">
        <v>363</v>
      </c>
      <c r="B337" t="s">
        <v>27</v>
      </c>
      <c r="C337">
        <v>5</v>
      </c>
      <c r="D337">
        <v>37386617</v>
      </c>
      <c r="E337">
        <v>3</v>
      </c>
      <c r="F337">
        <v>10</v>
      </c>
      <c r="G337">
        <v>392</v>
      </c>
      <c r="H337">
        <v>7365766</v>
      </c>
      <c r="I337">
        <v>375240</v>
      </c>
      <c r="J337" t="s">
        <v>21</v>
      </c>
      <c r="K337" t="s">
        <v>30</v>
      </c>
      <c r="L337">
        <v>8</v>
      </c>
      <c r="M337">
        <v>20.78</v>
      </c>
      <c r="N337">
        <v>758515</v>
      </c>
      <c r="O337">
        <v>1</v>
      </c>
    </row>
    <row r="338" spans="1:15">
      <c r="A338" t="s">
        <v>364</v>
      </c>
      <c r="B338" t="s">
        <v>27</v>
      </c>
      <c r="C338">
        <v>2</v>
      </c>
      <c r="D338">
        <v>27137690</v>
      </c>
      <c r="E338">
        <v>2</v>
      </c>
      <c r="F338">
        <v>28</v>
      </c>
      <c r="G338">
        <v>890</v>
      </c>
      <c r="H338">
        <v>20902573</v>
      </c>
      <c r="I338">
        <v>790819</v>
      </c>
      <c r="J338" t="s">
        <v>21</v>
      </c>
      <c r="K338" t="s">
        <v>30</v>
      </c>
      <c r="L338">
        <v>8</v>
      </c>
      <c r="M338">
        <v>23.3</v>
      </c>
      <c r="N338">
        <v>523051</v>
      </c>
      <c r="O338">
        <v>1</v>
      </c>
    </row>
    <row r="339" spans="1:15">
      <c r="A339" t="s">
        <v>365</v>
      </c>
      <c r="B339" t="s">
        <v>24</v>
      </c>
      <c r="C339">
        <v>2</v>
      </c>
      <c r="D339">
        <v>6881261</v>
      </c>
      <c r="E339">
        <v>3</v>
      </c>
      <c r="F339">
        <v>2</v>
      </c>
      <c r="G339">
        <v>757</v>
      </c>
      <c r="H339">
        <v>27303688</v>
      </c>
      <c r="I339">
        <v>895303</v>
      </c>
      <c r="J339" t="s">
        <v>21</v>
      </c>
      <c r="K339" t="s">
        <v>18</v>
      </c>
      <c r="L339">
        <v>5</v>
      </c>
      <c r="M339">
        <v>73.92</v>
      </c>
      <c r="N339">
        <v>344193</v>
      </c>
      <c r="O339">
        <v>1</v>
      </c>
    </row>
    <row r="340" spans="1:15">
      <c r="A340" t="s">
        <v>366</v>
      </c>
      <c r="B340" t="s">
        <v>32</v>
      </c>
      <c r="C340">
        <v>8</v>
      </c>
      <c r="D340">
        <v>28015152</v>
      </c>
      <c r="E340">
        <v>1</v>
      </c>
      <c r="F340">
        <v>9</v>
      </c>
      <c r="G340">
        <v>586</v>
      </c>
      <c r="H340">
        <v>48155549</v>
      </c>
      <c r="I340">
        <v>328807</v>
      </c>
      <c r="J340" t="s">
        <v>17</v>
      </c>
      <c r="K340" t="s">
        <v>30</v>
      </c>
      <c r="L340">
        <v>8</v>
      </c>
      <c r="M340">
        <v>64.099999999999994</v>
      </c>
      <c r="N340">
        <v>376939</v>
      </c>
      <c r="O340">
        <v>1</v>
      </c>
    </row>
    <row r="341" spans="1:15">
      <c r="A341" t="s">
        <v>367</v>
      </c>
      <c r="B341" t="s">
        <v>38</v>
      </c>
      <c r="C341">
        <v>3</v>
      </c>
      <c r="D341">
        <v>11108096</v>
      </c>
      <c r="E341">
        <v>4</v>
      </c>
      <c r="F341">
        <v>11</v>
      </c>
      <c r="G341">
        <v>685</v>
      </c>
      <c r="H341">
        <v>46866449</v>
      </c>
      <c r="I341">
        <v>538644</v>
      </c>
      <c r="J341" t="s">
        <v>17</v>
      </c>
      <c r="K341" t="s">
        <v>18</v>
      </c>
      <c r="L341">
        <v>3</v>
      </c>
      <c r="M341">
        <v>90.46</v>
      </c>
      <c r="N341">
        <v>703254</v>
      </c>
      <c r="O341">
        <v>1</v>
      </c>
    </row>
    <row r="342" spans="1:15">
      <c r="A342" t="s">
        <v>368</v>
      </c>
      <c r="B342" t="s">
        <v>20</v>
      </c>
      <c r="C342">
        <v>4</v>
      </c>
      <c r="D342">
        <v>12617757</v>
      </c>
      <c r="E342">
        <v>4</v>
      </c>
      <c r="F342">
        <v>0</v>
      </c>
      <c r="G342">
        <v>561</v>
      </c>
      <c r="H342">
        <v>85228052</v>
      </c>
      <c r="I342">
        <v>78853</v>
      </c>
      <c r="J342" t="s">
        <v>25</v>
      </c>
      <c r="K342" t="s">
        <v>30</v>
      </c>
      <c r="L342">
        <v>3</v>
      </c>
      <c r="M342">
        <v>32.96</v>
      </c>
      <c r="N342">
        <v>785768</v>
      </c>
      <c r="O342">
        <v>1</v>
      </c>
    </row>
    <row r="343" spans="1:15">
      <c r="A343" t="s">
        <v>369</v>
      </c>
      <c r="B343" t="s">
        <v>32</v>
      </c>
      <c r="C343">
        <v>2</v>
      </c>
      <c r="D343">
        <v>3603042</v>
      </c>
      <c r="E343">
        <v>4</v>
      </c>
      <c r="F343">
        <v>7</v>
      </c>
      <c r="G343">
        <v>650</v>
      </c>
      <c r="H343">
        <v>6572954</v>
      </c>
      <c r="I343">
        <v>248043</v>
      </c>
      <c r="J343" t="s">
        <v>21</v>
      </c>
      <c r="K343" t="s">
        <v>22</v>
      </c>
      <c r="L343">
        <v>9</v>
      </c>
      <c r="M343">
        <v>19.77</v>
      </c>
      <c r="N343">
        <v>411287</v>
      </c>
      <c r="O343">
        <v>1</v>
      </c>
    </row>
    <row r="344" spans="1:15">
      <c r="A344" t="s">
        <v>370</v>
      </c>
      <c r="B344" t="s">
        <v>27</v>
      </c>
      <c r="C344">
        <v>10</v>
      </c>
      <c r="D344">
        <v>30947011</v>
      </c>
      <c r="E344">
        <v>1</v>
      </c>
      <c r="F344">
        <v>29</v>
      </c>
      <c r="G344">
        <v>182</v>
      </c>
      <c r="H344">
        <v>83107384</v>
      </c>
      <c r="I344">
        <v>94468</v>
      </c>
      <c r="J344" t="s">
        <v>17</v>
      </c>
      <c r="K344" t="s">
        <v>30</v>
      </c>
      <c r="L344">
        <v>6</v>
      </c>
      <c r="M344">
        <v>71.25</v>
      </c>
      <c r="N344">
        <v>967460</v>
      </c>
      <c r="O344">
        <v>1</v>
      </c>
    </row>
    <row r="345" spans="1:15">
      <c r="A345" t="s">
        <v>371</v>
      </c>
      <c r="B345" t="s">
        <v>24</v>
      </c>
      <c r="C345">
        <v>14</v>
      </c>
      <c r="D345">
        <v>26962491</v>
      </c>
      <c r="E345">
        <v>4</v>
      </c>
      <c r="F345">
        <v>15</v>
      </c>
      <c r="G345">
        <v>414</v>
      </c>
      <c r="H345">
        <v>7212754</v>
      </c>
      <c r="I345">
        <v>80158</v>
      </c>
      <c r="J345" t="s">
        <v>25</v>
      </c>
      <c r="K345" t="s">
        <v>30</v>
      </c>
      <c r="L345">
        <v>6</v>
      </c>
      <c r="M345">
        <v>20.14</v>
      </c>
      <c r="N345">
        <v>104275</v>
      </c>
      <c r="O345">
        <v>1</v>
      </c>
    </row>
    <row r="346" spans="1:15">
      <c r="A346" t="s">
        <v>372</v>
      </c>
      <c r="B346" t="s">
        <v>29</v>
      </c>
      <c r="C346">
        <v>7</v>
      </c>
      <c r="D346">
        <v>4228455</v>
      </c>
      <c r="E346">
        <v>3</v>
      </c>
      <c r="F346">
        <v>14</v>
      </c>
      <c r="G346">
        <v>638</v>
      </c>
      <c r="H346">
        <v>38507265</v>
      </c>
      <c r="I346">
        <v>851861</v>
      </c>
      <c r="J346" t="s">
        <v>21</v>
      </c>
      <c r="K346" t="s">
        <v>22</v>
      </c>
      <c r="L346">
        <v>2</v>
      </c>
      <c r="M346">
        <v>62.28</v>
      </c>
      <c r="N346">
        <v>466838</v>
      </c>
      <c r="O346">
        <v>1</v>
      </c>
    </row>
    <row r="347" spans="1:15">
      <c r="A347" t="s">
        <v>373</v>
      </c>
      <c r="B347" t="s">
        <v>20</v>
      </c>
      <c r="C347">
        <v>12</v>
      </c>
      <c r="D347">
        <v>27304821</v>
      </c>
      <c r="E347">
        <v>2</v>
      </c>
      <c r="F347">
        <v>0</v>
      </c>
      <c r="G347">
        <v>678</v>
      </c>
      <c r="H347">
        <v>38381571</v>
      </c>
      <c r="I347">
        <v>688508</v>
      </c>
      <c r="J347" t="s">
        <v>25</v>
      </c>
      <c r="K347" t="s">
        <v>22</v>
      </c>
      <c r="L347">
        <v>8</v>
      </c>
      <c r="M347">
        <v>4.92</v>
      </c>
      <c r="N347">
        <v>696111</v>
      </c>
      <c r="O347">
        <v>1</v>
      </c>
    </row>
    <row r="348" spans="1:15">
      <c r="A348" t="s">
        <v>374</v>
      </c>
      <c r="B348" t="s">
        <v>16</v>
      </c>
      <c r="C348">
        <v>6</v>
      </c>
      <c r="D348">
        <v>40034081</v>
      </c>
      <c r="E348">
        <v>1</v>
      </c>
      <c r="F348">
        <v>23</v>
      </c>
      <c r="G348">
        <v>112</v>
      </c>
      <c r="H348">
        <v>78110360</v>
      </c>
      <c r="I348">
        <v>637398</v>
      </c>
      <c r="J348" t="s">
        <v>25</v>
      </c>
      <c r="K348" t="s">
        <v>22</v>
      </c>
      <c r="L348">
        <v>3</v>
      </c>
      <c r="M348">
        <v>26.1</v>
      </c>
      <c r="N348">
        <v>904667</v>
      </c>
      <c r="O348">
        <v>1</v>
      </c>
    </row>
    <row r="349" spans="1:15">
      <c r="A349" t="s">
        <v>375</v>
      </c>
      <c r="B349" t="s">
        <v>32</v>
      </c>
      <c r="C349">
        <v>4</v>
      </c>
      <c r="D349">
        <v>28740723</v>
      </c>
      <c r="E349">
        <v>2</v>
      </c>
      <c r="F349">
        <v>11</v>
      </c>
      <c r="G349">
        <v>582</v>
      </c>
      <c r="H349">
        <v>51246695</v>
      </c>
      <c r="I349">
        <v>607029</v>
      </c>
      <c r="J349" t="s">
        <v>25</v>
      </c>
      <c r="K349" t="s">
        <v>30</v>
      </c>
      <c r="L349">
        <v>2</v>
      </c>
      <c r="M349">
        <v>90.81</v>
      </c>
      <c r="N349">
        <v>343778</v>
      </c>
      <c r="O349">
        <v>1</v>
      </c>
    </row>
    <row r="350" spans="1:15">
      <c r="A350" t="s">
        <v>376</v>
      </c>
      <c r="B350" t="s">
        <v>38</v>
      </c>
      <c r="C350">
        <v>13</v>
      </c>
      <c r="D350">
        <v>37733431</v>
      </c>
      <c r="E350">
        <v>3</v>
      </c>
      <c r="F350">
        <v>25</v>
      </c>
      <c r="G350">
        <v>564</v>
      </c>
      <c r="H350">
        <v>31165326</v>
      </c>
      <c r="I350">
        <v>404125</v>
      </c>
      <c r="J350" t="s">
        <v>21</v>
      </c>
      <c r="K350" t="s">
        <v>22</v>
      </c>
      <c r="L350">
        <v>4</v>
      </c>
      <c r="M350">
        <v>83.01</v>
      </c>
      <c r="N350">
        <v>382261</v>
      </c>
      <c r="O350">
        <v>1</v>
      </c>
    </row>
    <row r="351" spans="1:15">
      <c r="A351" t="s">
        <v>377</v>
      </c>
      <c r="B351" t="s">
        <v>16</v>
      </c>
      <c r="C351">
        <v>8</v>
      </c>
      <c r="D351">
        <v>41994750</v>
      </c>
      <c r="E351">
        <v>3</v>
      </c>
      <c r="F351">
        <v>18</v>
      </c>
      <c r="G351">
        <v>561</v>
      </c>
      <c r="H351">
        <v>49816652</v>
      </c>
      <c r="I351">
        <v>478148</v>
      </c>
      <c r="J351" t="s">
        <v>21</v>
      </c>
      <c r="K351" t="s">
        <v>30</v>
      </c>
      <c r="L351">
        <v>4</v>
      </c>
      <c r="M351">
        <v>14.37</v>
      </c>
      <c r="N351">
        <v>187533</v>
      </c>
      <c r="O351">
        <v>1</v>
      </c>
    </row>
    <row r="352" spans="1:15">
      <c r="A352" t="s">
        <v>378</v>
      </c>
      <c r="B352" t="s">
        <v>29</v>
      </c>
      <c r="C352">
        <v>5</v>
      </c>
      <c r="D352">
        <v>7936610</v>
      </c>
      <c r="E352">
        <v>3</v>
      </c>
      <c r="F352">
        <v>4</v>
      </c>
      <c r="G352">
        <v>404</v>
      </c>
      <c r="H352">
        <v>93208447</v>
      </c>
      <c r="I352">
        <v>757172</v>
      </c>
      <c r="J352" t="s">
        <v>25</v>
      </c>
      <c r="K352" t="s">
        <v>22</v>
      </c>
      <c r="L352">
        <v>9</v>
      </c>
      <c r="M352">
        <v>14.4</v>
      </c>
      <c r="N352">
        <v>337007</v>
      </c>
      <c r="O352">
        <v>1</v>
      </c>
    </row>
    <row r="353" spans="1:15">
      <c r="A353" t="s">
        <v>379</v>
      </c>
      <c r="B353" t="s">
        <v>29</v>
      </c>
      <c r="C353">
        <v>12</v>
      </c>
      <c r="D353">
        <v>2725750</v>
      </c>
      <c r="E353">
        <v>4</v>
      </c>
      <c r="F353">
        <v>13</v>
      </c>
      <c r="G353">
        <v>98</v>
      </c>
      <c r="H353">
        <v>65047110</v>
      </c>
      <c r="I353">
        <v>782931</v>
      </c>
      <c r="J353" t="s">
        <v>21</v>
      </c>
      <c r="K353" t="s">
        <v>30</v>
      </c>
      <c r="L353">
        <v>2</v>
      </c>
      <c r="M353">
        <v>50.07</v>
      </c>
      <c r="N353">
        <v>823234</v>
      </c>
      <c r="O353">
        <v>1</v>
      </c>
    </row>
    <row r="354" spans="1:15">
      <c r="A354" t="s">
        <v>380</v>
      </c>
      <c r="B354" t="s">
        <v>32</v>
      </c>
      <c r="C354">
        <v>1</v>
      </c>
      <c r="D354">
        <v>21977571</v>
      </c>
      <c r="E354">
        <v>3</v>
      </c>
      <c r="F354">
        <v>6</v>
      </c>
      <c r="G354">
        <v>558</v>
      </c>
      <c r="H354">
        <v>5349429</v>
      </c>
      <c r="I354">
        <v>59740</v>
      </c>
      <c r="J354" t="s">
        <v>21</v>
      </c>
      <c r="K354" t="s">
        <v>22</v>
      </c>
      <c r="L354">
        <v>5</v>
      </c>
      <c r="M354">
        <v>89.46</v>
      </c>
      <c r="N354">
        <v>635803</v>
      </c>
      <c r="O354">
        <v>1</v>
      </c>
    </row>
    <row r="355" spans="1:15">
      <c r="A355" t="s">
        <v>381</v>
      </c>
      <c r="B355" t="s">
        <v>27</v>
      </c>
      <c r="C355">
        <v>4</v>
      </c>
      <c r="D355">
        <v>35129729</v>
      </c>
      <c r="E355">
        <v>3</v>
      </c>
      <c r="F355">
        <v>3</v>
      </c>
      <c r="G355">
        <v>194</v>
      </c>
      <c r="H355">
        <v>11864114</v>
      </c>
      <c r="I355">
        <v>213527</v>
      </c>
      <c r="J355" t="s">
        <v>21</v>
      </c>
      <c r="K355" t="s">
        <v>22</v>
      </c>
      <c r="L355">
        <v>2</v>
      </c>
      <c r="M355">
        <v>18.600000000000001</v>
      </c>
      <c r="N355">
        <v>306261</v>
      </c>
      <c r="O355">
        <v>1</v>
      </c>
    </row>
    <row r="356" spans="1:15">
      <c r="A356" t="s">
        <v>382</v>
      </c>
      <c r="B356" t="s">
        <v>16</v>
      </c>
      <c r="C356">
        <v>14</v>
      </c>
      <c r="D356">
        <v>12836216</v>
      </c>
      <c r="E356">
        <v>2</v>
      </c>
      <c r="F356">
        <v>15</v>
      </c>
      <c r="G356">
        <v>271</v>
      </c>
      <c r="H356">
        <v>19907008</v>
      </c>
      <c r="I356">
        <v>606241</v>
      </c>
      <c r="J356" t="s">
        <v>21</v>
      </c>
      <c r="K356" t="s">
        <v>30</v>
      </c>
      <c r="L356">
        <v>3</v>
      </c>
      <c r="M356">
        <v>77.09</v>
      </c>
      <c r="N356">
        <v>424616</v>
      </c>
      <c r="O356">
        <v>1</v>
      </c>
    </row>
    <row r="357" spans="1:15">
      <c r="A357" t="s">
        <v>383</v>
      </c>
      <c r="B357" t="s">
        <v>16</v>
      </c>
      <c r="C357">
        <v>14</v>
      </c>
      <c r="D357">
        <v>34960572</v>
      </c>
      <c r="E357">
        <v>3</v>
      </c>
      <c r="F357">
        <v>24</v>
      </c>
      <c r="G357">
        <v>327</v>
      </c>
      <c r="H357">
        <v>5042950</v>
      </c>
      <c r="I357">
        <v>480825</v>
      </c>
      <c r="J357" t="s">
        <v>17</v>
      </c>
      <c r="K357" t="s">
        <v>22</v>
      </c>
      <c r="L357">
        <v>4</v>
      </c>
      <c r="M357">
        <v>93.62</v>
      </c>
      <c r="N357">
        <v>33493</v>
      </c>
      <c r="O357">
        <v>1</v>
      </c>
    </row>
    <row r="358" spans="1:15">
      <c r="A358" t="s">
        <v>384</v>
      </c>
      <c r="B358" t="s">
        <v>20</v>
      </c>
      <c r="C358">
        <v>0</v>
      </c>
      <c r="D358">
        <v>2999574</v>
      </c>
      <c r="E358">
        <v>1</v>
      </c>
      <c r="F358">
        <v>5</v>
      </c>
      <c r="G358">
        <v>387</v>
      </c>
      <c r="H358">
        <v>67690912</v>
      </c>
      <c r="I358">
        <v>489099</v>
      </c>
      <c r="J358" t="s">
        <v>21</v>
      </c>
      <c r="K358" t="s">
        <v>22</v>
      </c>
      <c r="L358">
        <v>6</v>
      </c>
      <c r="M358">
        <v>33.130000000000003</v>
      </c>
      <c r="N358">
        <v>179042</v>
      </c>
      <c r="O358">
        <v>1</v>
      </c>
    </row>
    <row r="359" spans="1:15">
      <c r="A359" t="s">
        <v>385</v>
      </c>
      <c r="B359" t="s">
        <v>29</v>
      </c>
      <c r="C359">
        <v>2</v>
      </c>
      <c r="D359">
        <v>21027042</v>
      </c>
      <c r="E359">
        <v>4</v>
      </c>
      <c r="F359">
        <v>16</v>
      </c>
      <c r="G359">
        <v>265</v>
      </c>
      <c r="H359">
        <v>53065066</v>
      </c>
      <c r="I359">
        <v>393291</v>
      </c>
      <c r="J359" t="s">
        <v>17</v>
      </c>
      <c r="K359" t="s">
        <v>30</v>
      </c>
      <c r="L359">
        <v>8</v>
      </c>
      <c r="M359">
        <v>37.450000000000003</v>
      </c>
      <c r="N359">
        <v>359743</v>
      </c>
      <c r="O359">
        <v>1</v>
      </c>
    </row>
    <row r="360" spans="1:15">
      <c r="A360" t="s">
        <v>386</v>
      </c>
      <c r="B360" t="s">
        <v>32</v>
      </c>
      <c r="C360">
        <v>0</v>
      </c>
      <c r="D360">
        <v>14822484</v>
      </c>
      <c r="E360">
        <v>1</v>
      </c>
      <c r="F360">
        <v>23</v>
      </c>
      <c r="G360">
        <v>97</v>
      </c>
      <c r="H360">
        <v>11879773</v>
      </c>
      <c r="I360">
        <v>993617</v>
      </c>
      <c r="J360" t="s">
        <v>17</v>
      </c>
      <c r="K360" t="s">
        <v>22</v>
      </c>
      <c r="L360">
        <v>9</v>
      </c>
      <c r="M360">
        <v>9.52</v>
      </c>
      <c r="N360">
        <v>421025</v>
      </c>
      <c r="O360">
        <v>1</v>
      </c>
    </row>
    <row r="361" spans="1:15">
      <c r="A361" t="s">
        <v>387</v>
      </c>
      <c r="B361" t="s">
        <v>29</v>
      </c>
      <c r="C361">
        <v>8</v>
      </c>
      <c r="D361">
        <v>194088</v>
      </c>
      <c r="E361">
        <v>1</v>
      </c>
      <c r="F361">
        <v>0</v>
      </c>
      <c r="G361">
        <v>113</v>
      </c>
      <c r="H361">
        <v>2663521</v>
      </c>
      <c r="I361">
        <v>166819</v>
      </c>
      <c r="J361" t="s">
        <v>25</v>
      </c>
      <c r="K361" t="s">
        <v>18</v>
      </c>
      <c r="L361">
        <v>5</v>
      </c>
      <c r="M361">
        <v>47.85</v>
      </c>
      <c r="N361">
        <v>656248</v>
      </c>
      <c r="O361">
        <v>1</v>
      </c>
    </row>
    <row r="362" spans="1:15">
      <c r="A362" t="s">
        <v>388</v>
      </c>
      <c r="B362" t="s">
        <v>16</v>
      </c>
      <c r="C362">
        <v>9</v>
      </c>
      <c r="D362">
        <v>17236689</v>
      </c>
      <c r="E362">
        <v>1</v>
      </c>
      <c r="F362">
        <v>22</v>
      </c>
      <c r="G362">
        <v>315</v>
      </c>
      <c r="H362">
        <v>31056966</v>
      </c>
      <c r="I362">
        <v>734132</v>
      </c>
      <c r="J362" t="s">
        <v>17</v>
      </c>
      <c r="K362" t="s">
        <v>18</v>
      </c>
      <c r="L362">
        <v>1</v>
      </c>
      <c r="M362">
        <v>94.15</v>
      </c>
      <c r="N362">
        <v>804262</v>
      </c>
      <c r="O362">
        <v>1</v>
      </c>
    </row>
    <row r="363" spans="1:15">
      <c r="A363" t="s">
        <v>389</v>
      </c>
      <c r="B363" t="s">
        <v>24</v>
      </c>
      <c r="C363">
        <v>9</v>
      </c>
      <c r="D363">
        <v>39217356</v>
      </c>
      <c r="E363">
        <v>1</v>
      </c>
      <c r="F363">
        <v>13</v>
      </c>
      <c r="G363">
        <v>822</v>
      </c>
      <c r="H363">
        <v>84985345</v>
      </c>
      <c r="I363">
        <v>758966</v>
      </c>
      <c r="J363" t="s">
        <v>17</v>
      </c>
      <c r="K363" t="s">
        <v>22</v>
      </c>
      <c r="L363">
        <v>7</v>
      </c>
      <c r="M363">
        <v>75.599999999999994</v>
      </c>
      <c r="N363">
        <v>786836</v>
      </c>
      <c r="O363">
        <v>1</v>
      </c>
    </row>
    <row r="364" spans="1:15">
      <c r="A364" t="s">
        <v>390</v>
      </c>
      <c r="B364" t="s">
        <v>32</v>
      </c>
      <c r="C364">
        <v>4</v>
      </c>
      <c r="D364">
        <v>2087323</v>
      </c>
      <c r="E364">
        <v>3</v>
      </c>
      <c r="F364">
        <v>12</v>
      </c>
      <c r="G364">
        <v>544</v>
      </c>
      <c r="H364">
        <v>25331190</v>
      </c>
      <c r="I364">
        <v>894555</v>
      </c>
      <c r="J364" t="s">
        <v>17</v>
      </c>
      <c r="K364" t="s">
        <v>22</v>
      </c>
      <c r="L364">
        <v>7</v>
      </c>
      <c r="M364">
        <v>2.78</v>
      </c>
      <c r="N364">
        <v>523161</v>
      </c>
      <c r="O364">
        <v>1</v>
      </c>
    </row>
    <row r="365" spans="1:15">
      <c r="A365" t="s">
        <v>391</v>
      </c>
      <c r="B365" t="s">
        <v>32</v>
      </c>
      <c r="C365">
        <v>14</v>
      </c>
      <c r="D365">
        <v>47086683</v>
      </c>
      <c r="E365">
        <v>2</v>
      </c>
      <c r="F365">
        <v>21</v>
      </c>
      <c r="G365">
        <v>330</v>
      </c>
      <c r="H365">
        <v>51959700</v>
      </c>
      <c r="I365">
        <v>667038</v>
      </c>
      <c r="J365" t="s">
        <v>17</v>
      </c>
      <c r="K365" t="s">
        <v>30</v>
      </c>
      <c r="L365">
        <v>8</v>
      </c>
      <c r="M365">
        <v>9.67</v>
      </c>
      <c r="N365">
        <v>157704</v>
      </c>
      <c r="O365">
        <v>1</v>
      </c>
    </row>
    <row r="366" spans="1:15">
      <c r="A366" t="s">
        <v>392</v>
      </c>
      <c r="B366" t="s">
        <v>32</v>
      </c>
      <c r="C366">
        <v>11</v>
      </c>
      <c r="D366">
        <v>45635334</v>
      </c>
      <c r="E366">
        <v>4</v>
      </c>
      <c r="F366">
        <v>16</v>
      </c>
      <c r="G366">
        <v>744</v>
      </c>
      <c r="H366">
        <v>29797660</v>
      </c>
      <c r="I366">
        <v>815760</v>
      </c>
      <c r="J366" t="s">
        <v>21</v>
      </c>
      <c r="K366" t="s">
        <v>18</v>
      </c>
      <c r="L366">
        <v>8</v>
      </c>
      <c r="M366">
        <v>51.42</v>
      </c>
      <c r="N366">
        <v>657366</v>
      </c>
      <c r="O366">
        <v>1</v>
      </c>
    </row>
    <row r="367" spans="1:15">
      <c r="A367" t="s">
        <v>393</v>
      </c>
      <c r="B367" t="s">
        <v>20</v>
      </c>
      <c r="C367">
        <v>1</v>
      </c>
      <c r="D367">
        <v>26593156</v>
      </c>
      <c r="E367">
        <v>3</v>
      </c>
      <c r="F367">
        <v>29</v>
      </c>
      <c r="G367">
        <v>954</v>
      </c>
      <c r="H367">
        <v>99598002</v>
      </c>
      <c r="I367">
        <v>249093</v>
      </c>
      <c r="J367" t="s">
        <v>17</v>
      </c>
      <c r="K367" t="s">
        <v>18</v>
      </c>
      <c r="L367">
        <v>4</v>
      </c>
      <c r="M367">
        <v>79.23</v>
      </c>
      <c r="N367">
        <v>918761</v>
      </c>
      <c r="O367">
        <v>1</v>
      </c>
    </row>
    <row r="368" spans="1:15">
      <c r="A368" t="s">
        <v>394</v>
      </c>
      <c r="B368" t="s">
        <v>29</v>
      </c>
      <c r="C368">
        <v>13</v>
      </c>
      <c r="D368">
        <v>43369395</v>
      </c>
      <c r="E368">
        <v>4</v>
      </c>
      <c r="F368">
        <v>4</v>
      </c>
      <c r="G368">
        <v>667</v>
      </c>
      <c r="H368">
        <v>39682730</v>
      </c>
      <c r="I368">
        <v>664820</v>
      </c>
      <c r="J368" t="s">
        <v>25</v>
      </c>
      <c r="K368" t="s">
        <v>22</v>
      </c>
      <c r="L368">
        <v>2</v>
      </c>
      <c r="M368">
        <v>49.48</v>
      </c>
      <c r="N368">
        <v>439724</v>
      </c>
      <c r="O368">
        <v>1</v>
      </c>
    </row>
    <row r="369" spans="1:15">
      <c r="A369" t="s">
        <v>395</v>
      </c>
      <c r="B369" t="s">
        <v>20</v>
      </c>
      <c r="C369">
        <v>2</v>
      </c>
      <c r="D369">
        <v>43211269</v>
      </c>
      <c r="E369">
        <v>3</v>
      </c>
      <c r="F369">
        <v>10</v>
      </c>
      <c r="G369">
        <v>293</v>
      </c>
      <c r="H369">
        <v>93275300</v>
      </c>
      <c r="I369">
        <v>898101</v>
      </c>
      <c r="J369" t="s">
        <v>17</v>
      </c>
      <c r="K369" t="s">
        <v>30</v>
      </c>
      <c r="L369">
        <v>3</v>
      </c>
      <c r="M369">
        <v>6.81</v>
      </c>
      <c r="N369">
        <v>803894</v>
      </c>
      <c r="O369">
        <v>1</v>
      </c>
    </row>
    <row r="370" spans="1:15">
      <c r="A370" t="s">
        <v>396</v>
      </c>
      <c r="B370" t="s">
        <v>24</v>
      </c>
      <c r="C370">
        <v>3</v>
      </c>
      <c r="D370">
        <v>10790878</v>
      </c>
      <c r="E370">
        <v>4</v>
      </c>
      <c r="F370">
        <v>29</v>
      </c>
      <c r="G370">
        <v>428</v>
      </c>
      <c r="H370">
        <v>45540167</v>
      </c>
      <c r="I370">
        <v>610515</v>
      </c>
      <c r="J370" t="s">
        <v>21</v>
      </c>
      <c r="K370" t="s">
        <v>18</v>
      </c>
      <c r="L370">
        <v>1</v>
      </c>
      <c r="M370">
        <v>43.36</v>
      </c>
      <c r="N370">
        <v>188662</v>
      </c>
      <c r="O370">
        <v>1</v>
      </c>
    </row>
    <row r="371" spans="1:15">
      <c r="A371" t="s">
        <v>397</v>
      </c>
      <c r="B371" t="s">
        <v>20</v>
      </c>
      <c r="C371">
        <v>13</v>
      </c>
      <c r="D371">
        <v>29473344</v>
      </c>
      <c r="E371">
        <v>2</v>
      </c>
      <c r="F371">
        <v>4</v>
      </c>
      <c r="G371">
        <v>201</v>
      </c>
      <c r="H371">
        <v>55753939</v>
      </c>
      <c r="I371">
        <v>879851</v>
      </c>
      <c r="J371" t="s">
        <v>21</v>
      </c>
      <c r="K371" t="s">
        <v>30</v>
      </c>
      <c r="L371">
        <v>2</v>
      </c>
      <c r="M371">
        <v>56.11</v>
      </c>
      <c r="N371">
        <v>444409</v>
      </c>
      <c r="O371">
        <v>1</v>
      </c>
    </row>
    <row r="372" spans="1:15">
      <c r="A372" t="s">
        <v>398</v>
      </c>
      <c r="B372" t="s">
        <v>20</v>
      </c>
      <c r="C372">
        <v>10</v>
      </c>
      <c r="D372">
        <v>48202325</v>
      </c>
      <c r="E372">
        <v>4</v>
      </c>
      <c r="F372">
        <v>4</v>
      </c>
      <c r="G372">
        <v>805</v>
      </c>
      <c r="H372">
        <v>57797008</v>
      </c>
      <c r="I372">
        <v>499293</v>
      </c>
      <c r="J372" t="s">
        <v>25</v>
      </c>
      <c r="K372" t="s">
        <v>22</v>
      </c>
      <c r="L372">
        <v>2</v>
      </c>
      <c r="M372">
        <v>24.6</v>
      </c>
      <c r="N372">
        <v>707428</v>
      </c>
      <c r="O372">
        <v>1</v>
      </c>
    </row>
    <row r="373" spans="1:15">
      <c r="A373" t="s">
        <v>399</v>
      </c>
      <c r="B373" t="s">
        <v>24</v>
      </c>
      <c r="C373">
        <v>13</v>
      </c>
      <c r="D373">
        <v>4031657</v>
      </c>
      <c r="E373">
        <v>3</v>
      </c>
      <c r="F373">
        <v>22</v>
      </c>
      <c r="G373">
        <v>318</v>
      </c>
      <c r="H373">
        <v>37691447</v>
      </c>
      <c r="I373">
        <v>790045</v>
      </c>
      <c r="J373" t="s">
        <v>21</v>
      </c>
      <c r="K373" t="s">
        <v>30</v>
      </c>
      <c r="L373">
        <v>6</v>
      </c>
      <c r="M373">
        <v>46.27</v>
      </c>
      <c r="N373">
        <v>302860</v>
      </c>
      <c r="O373">
        <v>1</v>
      </c>
    </row>
    <row r="374" spans="1:15">
      <c r="A374" t="s">
        <v>400</v>
      </c>
      <c r="B374" t="s">
        <v>20</v>
      </c>
      <c r="C374">
        <v>12</v>
      </c>
      <c r="D374">
        <v>31842739</v>
      </c>
      <c r="E374">
        <v>1</v>
      </c>
      <c r="F374">
        <v>5</v>
      </c>
      <c r="G374">
        <v>107</v>
      </c>
      <c r="H374">
        <v>2755138</v>
      </c>
      <c r="I374">
        <v>135252</v>
      </c>
      <c r="J374" t="s">
        <v>21</v>
      </c>
      <c r="K374" t="s">
        <v>30</v>
      </c>
      <c r="L374">
        <v>4</v>
      </c>
      <c r="M374">
        <v>97.2</v>
      </c>
      <c r="N374">
        <v>176043</v>
      </c>
      <c r="O374">
        <v>1</v>
      </c>
    </row>
    <row r="375" spans="1:15">
      <c r="A375" t="s">
        <v>401</v>
      </c>
      <c r="B375" t="s">
        <v>16</v>
      </c>
      <c r="C375">
        <v>5</v>
      </c>
      <c r="D375">
        <v>18287223</v>
      </c>
      <c r="E375">
        <v>3</v>
      </c>
      <c r="F375">
        <v>2</v>
      </c>
      <c r="G375">
        <v>587</v>
      </c>
      <c r="H375">
        <v>13866493</v>
      </c>
      <c r="I375">
        <v>389527</v>
      </c>
      <c r="J375" t="s">
        <v>21</v>
      </c>
      <c r="K375" t="s">
        <v>18</v>
      </c>
      <c r="L375">
        <v>4</v>
      </c>
      <c r="M375">
        <v>26.8</v>
      </c>
      <c r="N375">
        <v>435411</v>
      </c>
      <c r="O375">
        <v>1</v>
      </c>
    </row>
    <row r="376" spans="1:15">
      <c r="A376" t="s">
        <v>402</v>
      </c>
      <c r="B376" t="s">
        <v>20</v>
      </c>
      <c r="C376">
        <v>3</v>
      </c>
      <c r="D376">
        <v>26952139</v>
      </c>
      <c r="E376">
        <v>1</v>
      </c>
      <c r="F376">
        <v>1</v>
      </c>
      <c r="G376">
        <v>931</v>
      </c>
      <c r="H376">
        <v>92818952</v>
      </c>
      <c r="I376">
        <v>753740</v>
      </c>
      <c r="J376" t="s">
        <v>21</v>
      </c>
      <c r="K376" t="s">
        <v>22</v>
      </c>
      <c r="L376">
        <v>1</v>
      </c>
      <c r="M376">
        <v>52.46</v>
      </c>
      <c r="N376">
        <v>14575</v>
      </c>
      <c r="O376">
        <v>1</v>
      </c>
    </row>
    <row r="377" spans="1:15">
      <c r="A377" t="s">
        <v>403</v>
      </c>
      <c r="B377" t="s">
        <v>20</v>
      </c>
      <c r="C377">
        <v>6</v>
      </c>
      <c r="D377">
        <v>30621611</v>
      </c>
      <c r="E377">
        <v>4</v>
      </c>
      <c r="F377">
        <v>5</v>
      </c>
      <c r="G377">
        <v>601</v>
      </c>
      <c r="H377">
        <v>63892672</v>
      </c>
      <c r="I377">
        <v>294572</v>
      </c>
      <c r="J377" t="s">
        <v>17</v>
      </c>
      <c r="K377" t="s">
        <v>18</v>
      </c>
      <c r="L377">
        <v>6</v>
      </c>
      <c r="M377">
        <v>20.18</v>
      </c>
      <c r="N377">
        <v>971963</v>
      </c>
      <c r="O377">
        <v>1</v>
      </c>
    </row>
    <row r="378" spans="1:15">
      <c r="A378" t="s">
        <v>404</v>
      </c>
      <c r="B378" t="s">
        <v>24</v>
      </c>
      <c r="C378">
        <v>13</v>
      </c>
      <c r="D378">
        <v>17028671</v>
      </c>
      <c r="E378">
        <v>4</v>
      </c>
      <c r="F378">
        <v>7</v>
      </c>
      <c r="G378">
        <v>581</v>
      </c>
      <c r="H378">
        <v>86885130</v>
      </c>
      <c r="I378">
        <v>863777</v>
      </c>
      <c r="J378" t="s">
        <v>17</v>
      </c>
      <c r="K378" t="s">
        <v>30</v>
      </c>
      <c r="L378">
        <v>4</v>
      </c>
      <c r="M378">
        <v>94.02</v>
      </c>
      <c r="N378">
        <v>244071</v>
      </c>
      <c r="O378">
        <v>1</v>
      </c>
    </row>
    <row r="379" spans="1:15">
      <c r="A379" t="s">
        <v>405</v>
      </c>
      <c r="B379" t="s">
        <v>20</v>
      </c>
      <c r="C379">
        <v>4</v>
      </c>
      <c r="D379">
        <v>26443199</v>
      </c>
      <c r="E379">
        <v>4</v>
      </c>
      <c r="F379">
        <v>26</v>
      </c>
      <c r="G379">
        <v>979</v>
      </c>
      <c r="H379">
        <v>33725502</v>
      </c>
      <c r="I379">
        <v>608810</v>
      </c>
      <c r="J379" t="s">
        <v>25</v>
      </c>
      <c r="K379" t="s">
        <v>22</v>
      </c>
      <c r="L379">
        <v>1</v>
      </c>
      <c r="M379">
        <v>2.83</v>
      </c>
      <c r="N379">
        <v>41853</v>
      </c>
      <c r="O379">
        <v>1</v>
      </c>
    </row>
    <row r="380" spans="1:15">
      <c r="A380" t="s">
        <v>406</v>
      </c>
      <c r="B380" t="s">
        <v>38</v>
      </c>
      <c r="C380">
        <v>11</v>
      </c>
      <c r="D380">
        <v>27721226</v>
      </c>
      <c r="E380">
        <v>1</v>
      </c>
      <c r="F380">
        <v>22</v>
      </c>
      <c r="G380">
        <v>134</v>
      </c>
      <c r="H380">
        <v>59603427</v>
      </c>
      <c r="I380">
        <v>160645</v>
      </c>
      <c r="J380" t="s">
        <v>21</v>
      </c>
      <c r="K380" t="s">
        <v>30</v>
      </c>
      <c r="L380">
        <v>1</v>
      </c>
      <c r="M380">
        <v>82.46</v>
      </c>
      <c r="N380">
        <v>428430</v>
      </c>
      <c r="O380">
        <v>1</v>
      </c>
    </row>
    <row r="381" spans="1:15">
      <c r="A381" t="s">
        <v>407</v>
      </c>
      <c r="B381" t="s">
        <v>16</v>
      </c>
      <c r="C381">
        <v>8</v>
      </c>
      <c r="D381">
        <v>23456280</v>
      </c>
      <c r="E381">
        <v>3</v>
      </c>
      <c r="F381">
        <v>16</v>
      </c>
      <c r="G381">
        <v>883</v>
      </c>
      <c r="H381">
        <v>65401812</v>
      </c>
      <c r="I381">
        <v>35620</v>
      </c>
      <c r="J381" t="s">
        <v>25</v>
      </c>
      <c r="K381" t="s">
        <v>18</v>
      </c>
      <c r="L381">
        <v>8</v>
      </c>
      <c r="M381">
        <v>9.83</v>
      </c>
      <c r="N381">
        <v>982446</v>
      </c>
      <c r="O381">
        <v>1</v>
      </c>
    </row>
    <row r="382" spans="1:15">
      <c r="A382" t="s">
        <v>408</v>
      </c>
      <c r="B382" t="s">
        <v>20</v>
      </c>
      <c r="C382">
        <v>11</v>
      </c>
      <c r="D382">
        <v>6106969</v>
      </c>
      <c r="E382">
        <v>2</v>
      </c>
      <c r="F382">
        <v>4</v>
      </c>
      <c r="G382">
        <v>899</v>
      </c>
      <c r="H382">
        <v>8845162</v>
      </c>
      <c r="I382">
        <v>697980</v>
      </c>
      <c r="J382" t="s">
        <v>25</v>
      </c>
      <c r="K382" t="s">
        <v>30</v>
      </c>
      <c r="L382">
        <v>8</v>
      </c>
      <c r="M382">
        <v>5.42</v>
      </c>
      <c r="N382">
        <v>637970</v>
      </c>
      <c r="O382">
        <v>1</v>
      </c>
    </row>
    <row r="383" spans="1:15">
      <c r="A383" t="s">
        <v>409</v>
      </c>
      <c r="B383" t="s">
        <v>27</v>
      </c>
      <c r="C383">
        <v>4</v>
      </c>
      <c r="D383">
        <v>20297055</v>
      </c>
      <c r="E383">
        <v>2</v>
      </c>
      <c r="F383">
        <v>7</v>
      </c>
      <c r="G383">
        <v>597</v>
      </c>
      <c r="H383">
        <v>50163380</v>
      </c>
      <c r="I383">
        <v>986685</v>
      </c>
      <c r="J383" t="s">
        <v>21</v>
      </c>
      <c r="K383" t="s">
        <v>18</v>
      </c>
      <c r="L383">
        <v>5</v>
      </c>
      <c r="M383">
        <v>80.08</v>
      </c>
      <c r="N383">
        <v>978365</v>
      </c>
      <c r="O383">
        <v>1</v>
      </c>
    </row>
    <row r="384" spans="1:15">
      <c r="A384" t="s">
        <v>410</v>
      </c>
      <c r="B384" t="s">
        <v>38</v>
      </c>
      <c r="C384">
        <v>4</v>
      </c>
      <c r="D384">
        <v>29194652</v>
      </c>
      <c r="E384">
        <v>4</v>
      </c>
      <c r="F384">
        <v>26</v>
      </c>
      <c r="G384">
        <v>613</v>
      </c>
      <c r="H384">
        <v>62263752</v>
      </c>
      <c r="I384">
        <v>667970</v>
      </c>
      <c r="J384" t="s">
        <v>25</v>
      </c>
      <c r="K384" t="s">
        <v>18</v>
      </c>
      <c r="L384">
        <v>2</v>
      </c>
      <c r="M384">
        <v>56.97</v>
      </c>
      <c r="N384">
        <v>347550</v>
      </c>
      <c r="O384">
        <v>1</v>
      </c>
    </row>
    <row r="385" spans="1:15">
      <c r="A385" t="s">
        <v>411</v>
      </c>
      <c r="B385" t="s">
        <v>20</v>
      </c>
      <c r="C385">
        <v>9</v>
      </c>
      <c r="D385">
        <v>32398780</v>
      </c>
      <c r="E385">
        <v>3</v>
      </c>
      <c r="F385">
        <v>9</v>
      </c>
      <c r="G385">
        <v>889</v>
      </c>
      <c r="H385">
        <v>10993235</v>
      </c>
      <c r="I385">
        <v>670792</v>
      </c>
      <c r="J385" t="s">
        <v>17</v>
      </c>
      <c r="K385" t="s">
        <v>18</v>
      </c>
      <c r="L385">
        <v>9</v>
      </c>
      <c r="M385">
        <v>58.63</v>
      </c>
      <c r="N385">
        <v>927009</v>
      </c>
      <c r="O385">
        <v>1</v>
      </c>
    </row>
    <row r="386" spans="1:15">
      <c r="A386" t="s">
        <v>412</v>
      </c>
      <c r="B386" t="s">
        <v>20</v>
      </c>
      <c r="C386">
        <v>6</v>
      </c>
      <c r="D386">
        <v>36507168</v>
      </c>
      <c r="E386">
        <v>2</v>
      </c>
      <c r="F386">
        <v>25</v>
      </c>
      <c r="G386">
        <v>886</v>
      </c>
      <c r="H386">
        <v>15026232</v>
      </c>
      <c r="I386">
        <v>525938</v>
      </c>
      <c r="J386" t="s">
        <v>17</v>
      </c>
      <c r="K386" t="s">
        <v>30</v>
      </c>
      <c r="L386">
        <v>9</v>
      </c>
      <c r="M386">
        <v>31.77</v>
      </c>
      <c r="N386">
        <v>536729</v>
      </c>
      <c r="O386">
        <v>1</v>
      </c>
    </row>
    <row r="387" spans="1:15">
      <c r="A387" t="s">
        <v>413</v>
      </c>
      <c r="B387" t="s">
        <v>27</v>
      </c>
      <c r="C387">
        <v>4</v>
      </c>
      <c r="D387">
        <v>10383920</v>
      </c>
      <c r="E387">
        <v>3</v>
      </c>
      <c r="F387">
        <v>15</v>
      </c>
      <c r="G387">
        <v>731</v>
      </c>
      <c r="H387">
        <v>15686634</v>
      </c>
      <c r="I387">
        <v>925319</v>
      </c>
      <c r="J387" t="s">
        <v>21</v>
      </c>
      <c r="K387" t="s">
        <v>18</v>
      </c>
      <c r="L387">
        <v>2</v>
      </c>
      <c r="M387">
        <v>70.2</v>
      </c>
      <c r="N387">
        <v>298637</v>
      </c>
      <c r="O387">
        <v>1</v>
      </c>
    </row>
    <row r="388" spans="1:15">
      <c r="A388" t="s">
        <v>414</v>
      </c>
      <c r="B388" t="s">
        <v>16</v>
      </c>
      <c r="C388">
        <v>12</v>
      </c>
      <c r="D388">
        <v>27074473</v>
      </c>
      <c r="E388">
        <v>4</v>
      </c>
      <c r="F388">
        <v>26</v>
      </c>
      <c r="G388">
        <v>584</v>
      </c>
      <c r="H388">
        <v>72989140</v>
      </c>
      <c r="I388">
        <v>106295</v>
      </c>
      <c r="J388" t="s">
        <v>25</v>
      </c>
      <c r="K388" t="s">
        <v>22</v>
      </c>
      <c r="L388">
        <v>5</v>
      </c>
      <c r="M388">
        <v>46.29</v>
      </c>
      <c r="N388">
        <v>45085</v>
      </c>
      <c r="O388">
        <v>1</v>
      </c>
    </row>
    <row r="389" spans="1:15">
      <c r="A389" t="s">
        <v>415</v>
      </c>
      <c r="B389" t="s">
        <v>24</v>
      </c>
      <c r="C389">
        <v>14</v>
      </c>
      <c r="D389">
        <v>43922039</v>
      </c>
      <c r="E389">
        <v>3</v>
      </c>
      <c r="F389">
        <v>22</v>
      </c>
      <c r="G389">
        <v>654</v>
      </c>
      <c r="H389">
        <v>15542479</v>
      </c>
      <c r="I389">
        <v>375642</v>
      </c>
      <c r="J389" t="s">
        <v>21</v>
      </c>
      <c r="K389" t="s">
        <v>18</v>
      </c>
      <c r="L389">
        <v>6</v>
      </c>
      <c r="M389">
        <v>79.09</v>
      </c>
      <c r="N389">
        <v>775742</v>
      </c>
      <c r="O389">
        <v>1</v>
      </c>
    </row>
    <row r="390" spans="1:15">
      <c r="A390" t="s">
        <v>416</v>
      </c>
      <c r="B390" t="s">
        <v>32</v>
      </c>
      <c r="C390">
        <v>5</v>
      </c>
      <c r="D390">
        <v>17148207</v>
      </c>
      <c r="E390">
        <v>3</v>
      </c>
      <c r="F390">
        <v>2</v>
      </c>
      <c r="G390">
        <v>667</v>
      </c>
      <c r="H390">
        <v>44620869</v>
      </c>
      <c r="I390">
        <v>462523</v>
      </c>
      <c r="J390" t="s">
        <v>17</v>
      </c>
      <c r="K390" t="s">
        <v>22</v>
      </c>
      <c r="L390">
        <v>5</v>
      </c>
      <c r="M390">
        <v>22.59</v>
      </c>
      <c r="N390">
        <v>887541</v>
      </c>
      <c r="O390">
        <v>1</v>
      </c>
    </row>
    <row r="391" spans="1:15">
      <c r="A391" t="s">
        <v>417</v>
      </c>
      <c r="B391" t="s">
        <v>38</v>
      </c>
      <c r="C391">
        <v>0</v>
      </c>
      <c r="D391">
        <v>4591239</v>
      </c>
      <c r="E391">
        <v>4</v>
      </c>
      <c r="F391">
        <v>22</v>
      </c>
      <c r="G391">
        <v>582</v>
      </c>
      <c r="H391">
        <v>10180346</v>
      </c>
      <c r="I391">
        <v>100406</v>
      </c>
      <c r="J391" t="s">
        <v>21</v>
      </c>
      <c r="K391" t="s">
        <v>18</v>
      </c>
      <c r="L391">
        <v>2</v>
      </c>
      <c r="M391">
        <v>72.59</v>
      </c>
      <c r="N391">
        <v>134608</v>
      </c>
      <c r="O391">
        <v>1</v>
      </c>
    </row>
    <row r="392" spans="1:15">
      <c r="A392" t="s">
        <v>418</v>
      </c>
      <c r="B392" t="s">
        <v>32</v>
      </c>
      <c r="C392">
        <v>6</v>
      </c>
      <c r="D392">
        <v>33916472</v>
      </c>
      <c r="E392">
        <v>4</v>
      </c>
      <c r="F392">
        <v>21</v>
      </c>
      <c r="G392">
        <v>178</v>
      </c>
      <c r="H392">
        <v>12200071</v>
      </c>
      <c r="I392">
        <v>28643</v>
      </c>
      <c r="J392" t="s">
        <v>25</v>
      </c>
      <c r="K392" t="s">
        <v>30</v>
      </c>
      <c r="L392">
        <v>9</v>
      </c>
      <c r="M392">
        <v>80.36</v>
      </c>
      <c r="N392">
        <v>515181</v>
      </c>
      <c r="O392">
        <v>1</v>
      </c>
    </row>
    <row r="393" spans="1:15">
      <c r="A393" t="s">
        <v>419</v>
      </c>
      <c r="B393" t="s">
        <v>27</v>
      </c>
      <c r="C393">
        <v>14</v>
      </c>
      <c r="D393">
        <v>18932021</v>
      </c>
      <c r="E393">
        <v>3</v>
      </c>
      <c r="F393">
        <v>25</v>
      </c>
      <c r="G393">
        <v>52</v>
      </c>
      <c r="H393">
        <v>21426274</v>
      </c>
      <c r="I393">
        <v>618720</v>
      </c>
      <c r="J393" t="s">
        <v>21</v>
      </c>
      <c r="K393" t="s">
        <v>18</v>
      </c>
      <c r="L393">
        <v>7</v>
      </c>
      <c r="M393">
        <v>22.8</v>
      </c>
      <c r="N393">
        <v>851292</v>
      </c>
      <c r="O393">
        <v>1</v>
      </c>
    </row>
    <row r="394" spans="1:15">
      <c r="A394" t="s">
        <v>420</v>
      </c>
      <c r="B394" t="s">
        <v>20</v>
      </c>
      <c r="C394">
        <v>13</v>
      </c>
      <c r="D394">
        <v>20777457</v>
      </c>
      <c r="E394">
        <v>2</v>
      </c>
      <c r="F394">
        <v>1</v>
      </c>
      <c r="G394">
        <v>208</v>
      </c>
      <c r="H394">
        <v>68958706</v>
      </c>
      <c r="I394">
        <v>8797</v>
      </c>
      <c r="J394" t="s">
        <v>21</v>
      </c>
      <c r="K394" t="s">
        <v>30</v>
      </c>
      <c r="L394">
        <v>7</v>
      </c>
      <c r="M394">
        <v>57.28</v>
      </c>
      <c r="N394">
        <v>487863</v>
      </c>
      <c r="O394">
        <v>1</v>
      </c>
    </row>
    <row r="395" spans="1:15">
      <c r="A395" t="s">
        <v>421</v>
      </c>
      <c r="B395" t="s">
        <v>29</v>
      </c>
      <c r="C395">
        <v>6</v>
      </c>
      <c r="D395">
        <v>15375000</v>
      </c>
      <c r="E395">
        <v>2</v>
      </c>
      <c r="F395">
        <v>25</v>
      </c>
      <c r="G395">
        <v>225</v>
      </c>
      <c r="H395">
        <v>21394930</v>
      </c>
      <c r="I395">
        <v>852678</v>
      </c>
      <c r="J395" t="s">
        <v>21</v>
      </c>
      <c r="K395" t="s">
        <v>18</v>
      </c>
      <c r="L395">
        <v>7</v>
      </c>
      <c r="M395">
        <v>67.540000000000006</v>
      </c>
      <c r="N395">
        <v>381446</v>
      </c>
      <c r="O395">
        <v>1</v>
      </c>
    </row>
    <row r="396" spans="1:15">
      <c r="A396" t="s">
        <v>422</v>
      </c>
      <c r="B396" t="s">
        <v>32</v>
      </c>
      <c r="C396">
        <v>7</v>
      </c>
      <c r="D396">
        <v>6738842</v>
      </c>
      <c r="E396">
        <v>3</v>
      </c>
      <c r="F396">
        <v>11</v>
      </c>
      <c r="G396">
        <v>263</v>
      </c>
      <c r="H396">
        <v>26615249</v>
      </c>
      <c r="I396">
        <v>228635</v>
      </c>
      <c r="J396" t="s">
        <v>17</v>
      </c>
      <c r="K396" t="s">
        <v>18</v>
      </c>
      <c r="L396">
        <v>9</v>
      </c>
      <c r="M396">
        <v>19.23</v>
      </c>
      <c r="N396">
        <v>708827</v>
      </c>
      <c r="O396">
        <v>1</v>
      </c>
    </row>
    <row r="397" spans="1:15">
      <c r="A397" t="s">
        <v>423</v>
      </c>
      <c r="B397" t="s">
        <v>16</v>
      </c>
      <c r="C397">
        <v>7</v>
      </c>
      <c r="D397">
        <v>26357488</v>
      </c>
      <c r="E397">
        <v>2</v>
      </c>
      <c r="F397">
        <v>19</v>
      </c>
      <c r="G397">
        <v>371</v>
      </c>
      <c r="H397">
        <v>54724878</v>
      </c>
      <c r="I397">
        <v>558198</v>
      </c>
      <c r="J397" t="s">
        <v>21</v>
      </c>
      <c r="K397" t="s">
        <v>30</v>
      </c>
      <c r="L397">
        <v>6</v>
      </c>
      <c r="M397">
        <v>50.63</v>
      </c>
      <c r="N397">
        <v>751609</v>
      </c>
      <c r="O397">
        <v>1</v>
      </c>
    </row>
    <row r="398" spans="1:15">
      <c r="A398" t="s">
        <v>424</v>
      </c>
      <c r="B398" t="s">
        <v>24</v>
      </c>
      <c r="C398">
        <v>11</v>
      </c>
      <c r="D398">
        <v>7204820</v>
      </c>
      <c r="E398">
        <v>3</v>
      </c>
      <c r="F398">
        <v>17</v>
      </c>
      <c r="G398">
        <v>924</v>
      </c>
      <c r="H398">
        <v>59083451</v>
      </c>
      <c r="I398">
        <v>873854</v>
      </c>
      <c r="J398" t="s">
        <v>25</v>
      </c>
      <c r="K398" t="s">
        <v>18</v>
      </c>
      <c r="L398">
        <v>9</v>
      </c>
      <c r="M398">
        <v>95.28</v>
      </c>
      <c r="N398">
        <v>753933</v>
      </c>
      <c r="O398">
        <v>1</v>
      </c>
    </row>
    <row r="399" spans="1:15">
      <c r="A399" t="s">
        <v>425</v>
      </c>
      <c r="B399" t="s">
        <v>24</v>
      </c>
      <c r="C399">
        <v>3</v>
      </c>
      <c r="D399">
        <v>28235730</v>
      </c>
      <c r="E399">
        <v>3</v>
      </c>
      <c r="F399">
        <v>21</v>
      </c>
      <c r="G399">
        <v>82</v>
      </c>
      <c r="H399">
        <v>55815902</v>
      </c>
      <c r="I399">
        <v>836036</v>
      </c>
      <c r="J399" t="s">
        <v>25</v>
      </c>
      <c r="K399" t="s">
        <v>18</v>
      </c>
      <c r="L399">
        <v>6</v>
      </c>
      <c r="M399">
        <v>55.45</v>
      </c>
      <c r="N399">
        <v>381874</v>
      </c>
      <c r="O399">
        <v>1</v>
      </c>
    </row>
    <row r="400" spans="1:15">
      <c r="A400" t="s">
        <v>426</v>
      </c>
      <c r="B400" t="s">
        <v>38</v>
      </c>
      <c r="C400">
        <v>1</v>
      </c>
      <c r="D400">
        <v>27126623</v>
      </c>
      <c r="E400">
        <v>1</v>
      </c>
      <c r="F400">
        <v>21</v>
      </c>
      <c r="G400">
        <v>435</v>
      </c>
      <c r="H400">
        <v>69456877</v>
      </c>
      <c r="I400">
        <v>294207</v>
      </c>
      <c r="J400" t="s">
        <v>21</v>
      </c>
      <c r="K400" t="s">
        <v>22</v>
      </c>
      <c r="L400">
        <v>8</v>
      </c>
      <c r="M400">
        <v>50.68</v>
      </c>
      <c r="N400">
        <v>165949</v>
      </c>
      <c r="O400">
        <v>1</v>
      </c>
    </row>
    <row r="401" spans="1:15">
      <c r="A401" t="s">
        <v>427</v>
      </c>
      <c r="B401" t="s">
        <v>29</v>
      </c>
      <c r="C401">
        <v>14</v>
      </c>
      <c r="D401">
        <v>29290667</v>
      </c>
      <c r="E401">
        <v>2</v>
      </c>
      <c r="F401">
        <v>0</v>
      </c>
      <c r="G401">
        <v>283</v>
      </c>
      <c r="H401">
        <v>42919437</v>
      </c>
      <c r="I401">
        <v>552434</v>
      </c>
      <c r="J401" t="s">
        <v>21</v>
      </c>
      <c r="K401" t="s">
        <v>18</v>
      </c>
      <c r="L401">
        <v>2</v>
      </c>
      <c r="M401">
        <v>88.13</v>
      </c>
      <c r="N401">
        <v>261285</v>
      </c>
      <c r="O401">
        <v>1</v>
      </c>
    </row>
    <row r="402" spans="1:15">
      <c r="A402" t="s">
        <v>428</v>
      </c>
      <c r="B402" t="s">
        <v>24</v>
      </c>
      <c r="C402">
        <v>6</v>
      </c>
      <c r="D402">
        <v>3108073</v>
      </c>
      <c r="E402">
        <v>4</v>
      </c>
      <c r="F402">
        <v>11</v>
      </c>
      <c r="G402">
        <v>607</v>
      </c>
      <c r="H402">
        <v>69715255</v>
      </c>
      <c r="I402">
        <v>274931</v>
      </c>
      <c r="J402" t="s">
        <v>21</v>
      </c>
      <c r="K402" t="s">
        <v>18</v>
      </c>
      <c r="L402">
        <v>8</v>
      </c>
      <c r="M402">
        <v>98.84</v>
      </c>
      <c r="N402">
        <v>83286</v>
      </c>
      <c r="O402">
        <v>1</v>
      </c>
    </row>
    <row r="403" spans="1:15">
      <c r="A403" t="s">
        <v>429</v>
      </c>
      <c r="B403" t="s">
        <v>16</v>
      </c>
      <c r="C403">
        <v>6</v>
      </c>
      <c r="D403">
        <v>42765395</v>
      </c>
      <c r="E403">
        <v>1</v>
      </c>
      <c r="F403">
        <v>27</v>
      </c>
      <c r="G403">
        <v>720</v>
      </c>
      <c r="H403">
        <v>60883894</v>
      </c>
      <c r="I403">
        <v>891778</v>
      </c>
      <c r="J403" t="s">
        <v>21</v>
      </c>
      <c r="K403" t="s">
        <v>22</v>
      </c>
      <c r="L403">
        <v>3</v>
      </c>
      <c r="M403">
        <v>92.2</v>
      </c>
      <c r="N403">
        <v>417394</v>
      </c>
      <c r="O403">
        <v>1</v>
      </c>
    </row>
    <row r="404" spans="1:15">
      <c r="A404" t="s">
        <v>430</v>
      </c>
      <c r="B404" t="s">
        <v>38</v>
      </c>
      <c r="C404">
        <v>8</v>
      </c>
      <c r="D404">
        <v>3224212</v>
      </c>
      <c r="E404">
        <v>3</v>
      </c>
      <c r="F404">
        <v>12</v>
      </c>
      <c r="G404">
        <v>379</v>
      </c>
      <c r="H404">
        <v>70714507</v>
      </c>
      <c r="I404">
        <v>16867</v>
      </c>
      <c r="J404" t="s">
        <v>21</v>
      </c>
      <c r="K404" t="s">
        <v>18</v>
      </c>
      <c r="L404">
        <v>1</v>
      </c>
      <c r="M404">
        <v>38.06</v>
      </c>
      <c r="N404">
        <v>249838</v>
      </c>
      <c r="O404">
        <v>1</v>
      </c>
    </row>
    <row r="405" spans="1:15">
      <c r="A405" t="s">
        <v>431</v>
      </c>
      <c r="B405" t="s">
        <v>20</v>
      </c>
      <c r="C405">
        <v>2</v>
      </c>
      <c r="D405">
        <v>36045615</v>
      </c>
      <c r="E405">
        <v>2</v>
      </c>
      <c r="F405">
        <v>18</v>
      </c>
      <c r="G405">
        <v>717</v>
      </c>
      <c r="H405">
        <v>5256308</v>
      </c>
      <c r="I405">
        <v>142063</v>
      </c>
      <c r="J405" t="s">
        <v>17</v>
      </c>
      <c r="K405" t="s">
        <v>22</v>
      </c>
      <c r="L405">
        <v>4</v>
      </c>
      <c r="M405">
        <v>5.72</v>
      </c>
      <c r="N405">
        <v>519806</v>
      </c>
      <c r="O405">
        <v>1</v>
      </c>
    </row>
    <row r="406" spans="1:15">
      <c r="A406" t="s">
        <v>432</v>
      </c>
      <c r="B406" t="s">
        <v>24</v>
      </c>
      <c r="C406">
        <v>1</v>
      </c>
      <c r="D406">
        <v>24333753</v>
      </c>
      <c r="E406">
        <v>1</v>
      </c>
      <c r="F406">
        <v>2</v>
      </c>
      <c r="G406">
        <v>244</v>
      </c>
      <c r="H406">
        <v>56930755</v>
      </c>
      <c r="I406">
        <v>509634</v>
      </c>
      <c r="J406" t="s">
        <v>17</v>
      </c>
      <c r="K406" t="s">
        <v>30</v>
      </c>
      <c r="L406">
        <v>3</v>
      </c>
      <c r="M406">
        <v>69.7</v>
      </c>
      <c r="N406">
        <v>628615</v>
      </c>
      <c r="O406">
        <v>1</v>
      </c>
    </row>
    <row r="407" spans="1:15">
      <c r="A407" t="s">
        <v>433</v>
      </c>
      <c r="B407" t="s">
        <v>20</v>
      </c>
      <c r="C407">
        <v>5</v>
      </c>
      <c r="D407">
        <v>17871256</v>
      </c>
      <c r="E407">
        <v>1</v>
      </c>
      <c r="F407">
        <v>26</v>
      </c>
      <c r="G407">
        <v>669</v>
      </c>
      <c r="H407">
        <v>73449585</v>
      </c>
      <c r="I407">
        <v>412477</v>
      </c>
      <c r="J407" t="s">
        <v>21</v>
      </c>
      <c r="K407" t="s">
        <v>22</v>
      </c>
      <c r="L407">
        <v>2</v>
      </c>
      <c r="M407">
        <v>59.81</v>
      </c>
      <c r="N407">
        <v>680263</v>
      </c>
      <c r="O407">
        <v>1</v>
      </c>
    </row>
    <row r="408" spans="1:15">
      <c r="A408" t="s">
        <v>434</v>
      </c>
      <c r="B408" t="s">
        <v>16</v>
      </c>
      <c r="C408">
        <v>3</v>
      </c>
      <c r="D408">
        <v>17864516</v>
      </c>
      <c r="E408">
        <v>3</v>
      </c>
      <c r="F408">
        <v>4</v>
      </c>
      <c r="G408">
        <v>310</v>
      </c>
      <c r="H408">
        <v>83589293</v>
      </c>
      <c r="I408">
        <v>868808</v>
      </c>
      <c r="J408" t="s">
        <v>21</v>
      </c>
      <c r="K408" t="s">
        <v>22</v>
      </c>
      <c r="L408">
        <v>8</v>
      </c>
      <c r="M408">
        <v>71.33</v>
      </c>
      <c r="N408">
        <v>561393</v>
      </c>
      <c r="O408">
        <v>1</v>
      </c>
    </row>
    <row r="409" spans="1:15">
      <c r="A409" t="s">
        <v>435</v>
      </c>
      <c r="B409" t="s">
        <v>24</v>
      </c>
      <c r="C409">
        <v>6</v>
      </c>
      <c r="D409">
        <v>22502157</v>
      </c>
      <c r="E409">
        <v>2</v>
      </c>
      <c r="F409">
        <v>1</v>
      </c>
      <c r="G409">
        <v>815</v>
      </c>
      <c r="H409">
        <v>65065098</v>
      </c>
      <c r="I409">
        <v>463800</v>
      </c>
      <c r="J409" t="s">
        <v>21</v>
      </c>
      <c r="K409" t="s">
        <v>18</v>
      </c>
      <c r="L409">
        <v>2</v>
      </c>
      <c r="M409">
        <v>47.78</v>
      </c>
      <c r="N409">
        <v>545468</v>
      </c>
      <c r="O409">
        <v>1</v>
      </c>
    </row>
    <row r="410" spans="1:15">
      <c r="A410" t="s">
        <v>436</v>
      </c>
      <c r="B410" t="s">
        <v>20</v>
      </c>
      <c r="C410">
        <v>10</v>
      </c>
      <c r="D410">
        <v>9159580</v>
      </c>
      <c r="E410">
        <v>4</v>
      </c>
      <c r="F410">
        <v>11</v>
      </c>
      <c r="G410">
        <v>707</v>
      </c>
      <c r="H410">
        <v>65140718</v>
      </c>
      <c r="I410">
        <v>602705</v>
      </c>
      <c r="J410" t="s">
        <v>21</v>
      </c>
      <c r="K410" t="s">
        <v>18</v>
      </c>
      <c r="L410">
        <v>4</v>
      </c>
      <c r="M410">
        <v>25.54</v>
      </c>
      <c r="N410">
        <v>856149</v>
      </c>
      <c r="O410">
        <v>1</v>
      </c>
    </row>
    <row r="411" spans="1:15">
      <c r="A411" t="s">
        <v>437</v>
      </c>
      <c r="B411" t="s">
        <v>16</v>
      </c>
      <c r="C411">
        <v>9</v>
      </c>
      <c r="D411">
        <v>19892734</v>
      </c>
      <c r="E411">
        <v>3</v>
      </c>
      <c r="F411">
        <v>13</v>
      </c>
      <c r="G411">
        <v>299</v>
      </c>
      <c r="H411">
        <v>42710691</v>
      </c>
      <c r="I411">
        <v>468948</v>
      </c>
      <c r="J411" t="s">
        <v>21</v>
      </c>
      <c r="K411" t="s">
        <v>30</v>
      </c>
      <c r="L411">
        <v>3</v>
      </c>
      <c r="M411">
        <v>94.72</v>
      </c>
      <c r="N411">
        <v>928449</v>
      </c>
      <c r="O411">
        <v>1</v>
      </c>
    </row>
    <row r="412" spans="1:15">
      <c r="A412" t="s">
        <v>438</v>
      </c>
      <c r="B412" t="s">
        <v>38</v>
      </c>
      <c r="C412">
        <v>6</v>
      </c>
      <c r="D412">
        <v>9336444</v>
      </c>
      <c r="E412">
        <v>3</v>
      </c>
      <c r="F412">
        <v>26</v>
      </c>
      <c r="G412">
        <v>768</v>
      </c>
      <c r="H412">
        <v>64468649</v>
      </c>
      <c r="I412">
        <v>220613</v>
      </c>
      <c r="J412" t="s">
        <v>21</v>
      </c>
      <c r="K412" t="s">
        <v>18</v>
      </c>
      <c r="L412">
        <v>2</v>
      </c>
      <c r="M412">
        <v>35.049999999999997</v>
      </c>
      <c r="N412">
        <v>909833</v>
      </c>
      <c r="O412">
        <v>1</v>
      </c>
    </row>
    <row r="413" spans="1:15">
      <c r="A413" t="s">
        <v>439</v>
      </c>
      <c r="B413" t="s">
        <v>16</v>
      </c>
      <c r="C413">
        <v>7</v>
      </c>
      <c r="D413">
        <v>286950</v>
      </c>
      <c r="E413">
        <v>2</v>
      </c>
      <c r="F413">
        <v>16</v>
      </c>
      <c r="G413">
        <v>64</v>
      </c>
      <c r="H413">
        <v>24028228</v>
      </c>
      <c r="I413">
        <v>699862</v>
      </c>
      <c r="J413" t="s">
        <v>21</v>
      </c>
      <c r="K413" t="s">
        <v>22</v>
      </c>
      <c r="L413">
        <v>9</v>
      </c>
      <c r="M413">
        <v>26.43</v>
      </c>
      <c r="N413">
        <v>321082</v>
      </c>
      <c r="O413">
        <v>1</v>
      </c>
    </row>
    <row r="414" spans="1:15">
      <c r="A414" t="s">
        <v>440</v>
      </c>
      <c r="B414" t="s">
        <v>27</v>
      </c>
      <c r="C414">
        <v>0</v>
      </c>
      <c r="D414">
        <v>15138462</v>
      </c>
      <c r="E414">
        <v>2</v>
      </c>
      <c r="F414">
        <v>27</v>
      </c>
      <c r="G414">
        <v>608</v>
      </c>
      <c r="H414">
        <v>54897589</v>
      </c>
      <c r="I414">
        <v>676420</v>
      </c>
      <c r="J414" t="s">
        <v>17</v>
      </c>
      <c r="K414" t="s">
        <v>30</v>
      </c>
      <c r="L414">
        <v>7</v>
      </c>
      <c r="M414">
        <v>19.62</v>
      </c>
      <c r="N414">
        <v>426043</v>
      </c>
      <c r="O414">
        <v>1</v>
      </c>
    </row>
    <row r="415" spans="1:15">
      <c r="A415" t="s">
        <v>441</v>
      </c>
      <c r="B415" t="s">
        <v>27</v>
      </c>
      <c r="C415">
        <v>1</v>
      </c>
      <c r="D415">
        <v>49511592</v>
      </c>
      <c r="E415">
        <v>4</v>
      </c>
      <c r="F415">
        <v>1</v>
      </c>
      <c r="G415">
        <v>26</v>
      </c>
      <c r="H415">
        <v>34398534</v>
      </c>
      <c r="I415">
        <v>726006</v>
      </c>
      <c r="J415" t="s">
        <v>25</v>
      </c>
      <c r="K415" t="s">
        <v>22</v>
      </c>
      <c r="L415">
        <v>7</v>
      </c>
      <c r="M415">
        <v>78.150000000000006</v>
      </c>
      <c r="N415">
        <v>256930</v>
      </c>
      <c r="O415">
        <v>1</v>
      </c>
    </row>
    <row r="416" spans="1:15">
      <c r="A416" t="s">
        <v>442</v>
      </c>
      <c r="B416" t="s">
        <v>27</v>
      </c>
      <c r="C416">
        <v>1</v>
      </c>
      <c r="D416">
        <v>34077147</v>
      </c>
      <c r="E416">
        <v>4</v>
      </c>
      <c r="F416">
        <v>19</v>
      </c>
      <c r="G416">
        <v>907</v>
      </c>
      <c r="H416">
        <v>97479315</v>
      </c>
      <c r="I416">
        <v>916223</v>
      </c>
      <c r="J416" t="s">
        <v>21</v>
      </c>
      <c r="K416" t="s">
        <v>18</v>
      </c>
      <c r="L416">
        <v>3</v>
      </c>
      <c r="M416">
        <v>2.91</v>
      </c>
      <c r="N416">
        <v>923293</v>
      </c>
      <c r="O416">
        <v>1</v>
      </c>
    </row>
    <row r="417" spans="1:15">
      <c r="A417" t="s">
        <v>443</v>
      </c>
      <c r="B417" t="s">
        <v>16</v>
      </c>
      <c r="C417">
        <v>11</v>
      </c>
      <c r="D417">
        <v>2883220</v>
      </c>
      <c r="E417">
        <v>1</v>
      </c>
      <c r="F417">
        <v>14</v>
      </c>
      <c r="G417">
        <v>533</v>
      </c>
      <c r="H417">
        <v>47231126</v>
      </c>
      <c r="I417">
        <v>665307</v>
      </c>
      <c r="J417" t="s">
        <v>21</v>
      </c>
      <c r="K417" t="s">
        <v>30</v>
      </c>
      <c r="L417">
        <v>4</v>
      </c>
      <c r="M417">
        <v>55.64</v>
      </c>
      <c r="N417">
        <v>416516</v>
      </c>
      <c r="O417">
        <v>1</v>
      </c>
    </row>
    <row r="418" spans="1:15">
      <c r="A418" t="s">
        <v>444</v>
      </c>
      <c r="B418" t="s">
        <v>24</v>
      </c>
      <c r="C418">
        <v>10</v>
      </c>
      <c r="D418">
        <v>39813558</v>
      </c>
      <c r="E418">
        <v>4</v>
      </c>
      <c r="F418">
        <v>8</v>
      </c>
      <c r="G418">
        <v>593</v>
      </c>
      <c r="H418">
        <v>17862623</v>
      </c>
      <c r="I418">
        <v>320001</v>
      </c>
      <c r="J418" t="s">
        <v>25</v>
      </c>
      <c r="K418" t="s">
        <v>18</v>
      </c>
      <c r="L418">
        <v>3</v>
      </c>
      <c r="M418">
        <v>29.98</v>
      </c>
      <c r="N418">
        <v>998333</v>
      </c>
      <c r="O418">
        <v>1</v>
      </c>
    </row>
    <row r="419" spans="1:15">
      <c r="A419" t="s">
        <v>445</v>
      </c>
      <c r="B419" t="s">
        <v>27</v>
      </c>
      <c r="C419">
        <v>4</v>
      </c>
      <c r="D419">
        <v>39679362</v>
      </c>
      <c r="E419">
        <v>2</v>
      </c>
      <c r="F419">
        <v>24</v>
      </c>
      <c r="G419">
        <v>399</v>
      </c>
      <c r="H419">
        <v>42037873</v>
      </c>
      <c r="I419">
        <v>324670</v>
      </c>
      <c r="J419" t="s">
        <v>25</v>
      </c>
      <c r="K419" t="s">
        <v>18</v>
      </c>
      <c r="L419">
        <v>3</v>
      </c>
      <c r="M419">
        <v>41.33</v>
      </c>
      <c r="N419">
        <v>210313</v>
      </c>
      <c r="O419">
        <v>1</v>
      </c>
    </row>
    <row r="420" spans="1:15">
      <c r="A420" t="s">
        <v>446</v>
      </c>
      <c r="B420" t="s">
        <v>38</v>
      </c>
      <c r="C420">
        <v>14</v>
      </c>
      <c r="D420">
        <v>15886509</v>
      </c>
      <c r="E420">
        <v>3</v>
      </c>
      <c r="F420">
        <v>26</v>
      </c>
      <c r="G420">
        <v>198</v>
      </c>
      <c r="H420">
        <v>60724690</v>
      </c>
      <c r="I420">
        <v>454938</v>
      </c>
      <c r="J420" t="s">
        <v>17</v>
      </c>
      <c r="K420" t="s">
        <v>30</v>
      </c>
      <c r="L420">
        <v>1</v>
      </c>
      <c r="M420">
        <v>16.02</v>
      </c>
      <c r="N420">
        <v>805761</v>
      </c>
      <c r="O420">
        <v>1</v>
      </c>
    </row>
    <row r="421" spans="1:15">
      <c r="A421" t="s">
        <v>447</v>
      </c>
      <c r="B421" t="s">
        <v>20</v>
      </c>
      <c r="C421">
        <v>9</v>
      </c>
      <c r="D421">
        <v>12922988</v>
      </c>
      <c r="E421">
        <v>3</v>
      </c>
      <c r="F421">
        <v>4</v>
      </c>
      <c r="G421">
        <v>132</v>
      </c>
      <c r="H421">
        <v>41689714</v>
      </c>
      <c r="I421">
        <v>179615</v>
      </c>
      <c r="J421" t="s">
        <v>21</v>
      </c>
      <c r="K421" t="s">
        <v>22</v>
      </c>
      <c r="L421">
        <v>5</v>
      </c>
      <c r="M421">
        <v>60.33</v>
      </c>
      <c r="N421">
        <v>523083</v>
      </c>
      <c r="O421">
        <v>1</v>
      </c>
    </row>
    <row r="422" spans="1:15">
      <c r="A422" t="s">
        <v>448</v>
      </c>
      <c r="B422" t="s">
        <v>16</v>
      </c>
      <c r="C422">
        <v>8</v>
      </c>
      <c r="D422">
        <v>16780480</v>
      </c>
      <c r="E422">
        <v>1</v>
      </c>
      <c r="F422">
        <v>16</v>
      </c>
      <c r="G422">
        <v>362</v>
      </c>
      <c r="H422">
        <v>29428664</v>
      </c>
      <c r="I422">
        <v>362230</v>
      </c>
      <c r="J422" t="s">
        <v>25</v>
      </c>
      <c r="K422" t="s">
        <v>18</v>
      </c>
      <c r="L422">
        <v>3</v>
      </c>
      <c r="M422">
        <v>83.82</v>
      </c>
      <c r="N422">
        <v>279090</v>
      </c>
      <c r="O422">
        <v>1</v>
      </c>
    </row>
    <row r="423" spans="1:15">
      <c r="A423" t="s">
        <v>449</v>
      </c>
      <c r="B423" t="s">
        <v>20</v>
      </c>
      <c r="C423">
        <v>4</v>
      </c>
      <c r="D423">
        <v>22176235</v>
      </c>
      <c r="E423">
        <v>2</v>
      </c>
      <c r="F423">
        <v>15</v>
      </c>
      <c r="G423">
        <v>923</v>
      </c>
      <c r="H423">
        <v>40804853</v>
      </c>
      <c r="I423">
        <v>679906</v>
      </c>
      <c r="J423" t="s">
        <v>17</v>
      </c>
      <c r="K423" t="s">
        <v>30</v>
      </c>
      <c r="L423">
        <v>9</v>
      </c>
      <c r="M423">
        <v>62.21</v>
      </c>
      <c r="N423">
        <v>100696</v>
      </c>
      <c r="O423">
        <v>1</v>
      </c>
    </row>
    <row r="424" spans="1:15">
      <c r="A424" t="s">
        <v>450</v>
      </c>
      <c r="B424" t="s">
        <v>20</v>
      </c>
      <c r="C424">
        <v>7</v>
      </c>
      <c r="D424">
        <v>36099585</v>
      </c>
      <c r="E424">
        <v>1</v>
      </c>
      <c r="F424">
        <v>6</v>
      </c>
      <c r="G424">
        <v>970</v>
      </c>
      <c r="H424">
        <v>36159641</v>
      </c>
      <c r="I424">
        <v>802284</v>
      </c>
      <c r="J424" t="s">
        <v>17</v>
      </c>
      <c r="K424" t="s">
        <v>18</v>
      </c>
      <c r="L424">
        <v>3</v>
      </c>
      <c r="M424">
        <v>32.33</v>
      </c>
      <c r="N424">
        <v>657726</v>
      </c>
      <c r="O424">
        <v>1</v>
      </c>
    </row>
    <row r="425" spans="1:15">
      <c r="A425" t="s">
        <v>451</v>
      </c>
      <c r="B425" t="s">
        <v>32</v>
      </c>
      <c r="C425">
        <v>7</v>
      </c>
      <c r="D425">
        <v>18783143</v>
      </c>
      <c r="E425">
        <v>2</v>
      </c>
      <c r="F425">
        <v>23</v>
      </c>
      <c r="G425">
        <v>180</v>
      </c>
      <c r="H425">
        <v>71405015</v>
      </c>
      <c r="I425">
        <v>335359</v>
      </c>
      <c r="J425" t="s">
        <v>17</v>
      </c>
      <c r="K425" t="s">
        <v>18</v>
      </c>
      <c r="L425">
        <v>6</v>
      </c>
      <c r="M425">
        <v>98.03</v>
      </c>
      <c r="N425">
        <v>742251</v>
      </c>
      <c r="O425">
        <v>1</v>
      </c>
    </row>
    <row r="426" spans="1:15">
      <c r="A426" t="s">
        <v>452</v>
      </c>
      <c r="B426" t="s">
        <v>20</v>
      </c>
      <c r="C426">
        <v>13</v>
      </c>
      <c r="D426">
        <v>40980373</v>
      </c>
      <c r="E426">
        <v>2</v>
      </c>
      <c r="F426">
        <v>21</v>
      </c>
      <c r="G426">
        <v>69</v>
      </c>
      <c r="H426">
        <v>49257650</v>
      </c>
      <c r="I426">
        <v>981632</v>
      </c>
      <c r="J426" t="s">
        <v>21</v>
      </c>
      <c r="K426" t="s">
        <v>22</v>
      </c>
      <c r="L426">
        <v>8</v>
      </c>
      <c r="M426">
        <v>20.03</v>
      </c>
      <c r="N426">
        <v>657448</v>
      </c>
      <c r="O426">
        <v>1</v>
      </c>
    </row>
    <row r="427" spans="1:15">
      <c r="A427" t="s">
        <v>453</v>
      </c>
      <c r="B427" t="s">
        <v>27</v>
      </c>
      <c r="C427">
        <v>8</v>
      </c>
      <c r="D427">
        <v>6954238</v>
      </c>
      <c r="E427">
        <v>4</v>
      </c>
      <c r="F427">
        <v>3</v>
      </c>
      <c r="G427">
        <v>95</v>
      </c>
      <c r="H427">
        <v>92974587</v>
      </c>
      <c r="I427">
        <v>543858</v>
      </c>
      <c r="J427" t="s">
        <v>17</v>
      </c>
      <c r="K427" t="s">
        <v>30</v>
      </c>
      <c r="L427">
        <v>8</v>
      </c>
      <c r="M427">
        <v>98.95</v>
      </c>
      <c r="N427">
        <v>942218</v>
      </c>
      <c r="O427">
        <v>1</v>
      </c>
    </row>
    <row r="428" spans="1:15">
      <c r="A428" t="s">
        <v>454</v>
      </c>
      <c r="B428" t="s">
        <v>24</v>
      </c>
      <c r="C428">
        <v>0</v>
      </c>
      <c r="D428">
        <v>21878024</v>
      </c>
      <c r="E428">
        <v>1</v>
      </c>
      <c r="F428">
        <v>11</v>
      </c>
      <c r="G428">
        <v>363</v>
      </c>
      <c r="H428">
        <v>10333987</v>
      </c>
      <c r="I428">
        <v>685939</v>
      </c>
      <c r="J428" t="s">
        <v>21</v>
      </c>
      <c r="K428" t="s">
        <v>30</v>
      </c>
      <c r="L428">
        <v>4</v>
      </c>
      <c r="M428">
        <v>18.41</v>
      </c>
      <c r="N428">
        <v>142247</v>
      </c>
      <c r="O428">
        <v>1</v>
      </c>
    </row>
    <row r="429" spans="1:15">
      <c r="A429" t="s">
        <v>455</v>
      </c>
      <c r="B429" t="s">
        <v>16</v>
      </c>
      <c r="C429">
        <v>0</v>
      </c>
      <c r="D429">
        <v>2374444</v>
      </c>
      <c r="E429">
        <v>4</v>
      </c>
      <c r="F429">
        <v>23</v>
      </c>
      <c r="G429">
        <v>53</v>
      </c>
      <c r="H429">
        <v>97246770</v>
      </c>
      <c r="I429">
        <v>50145</v>
      </c>
      <c r="J429" t="s">
        <v>25</v>
      </c>
      <c r="K429" t="s">
        <v>30</v>
      </c>
      <c r="L429">
        <v>2</v>
      </c>
      <c r="M429">
        <v>59.52</v>
      </c>
      <c r="N429">
        <v>30525</v>
      </c>
      <c r="O429">
        <v>1</v>
      </c>
    </row>
    <row r="430" spans="1:15">
      <c r="A430" t="s">
        <v>456</v>
      </c>
      <c r="B430" t="s">
        <v>38</v>
      </c>
      <c r="C430">
        <v>6</v>
      </c>
      <c r="D430">
        <v>19779817</v>
      </c>
      <c r="E430">
        <v>2</v>
      </c>
      <c r="F430">
        <v>23</v>
      </c>
      <c r="G430">
        <v>419</v>
      </c>
      <c r="H430">
        <v>4637038</v>
      </c>
      <c r="I430">
        <v>986842</v>
      </c>
      <c r="J430" t="s">
        <v>25</v>
      </c>
      <c r="K430" t="s">
        <v>22</v>
      </c>
      <c r="L430">
        <v>5</v>
      </c>
      <c r="M430">
        <v>26.3</v>
      </c>
      <c r="N430">
        <v>497430</v>
      </c>
      <c r="O430">
        <v>1</v>
      </c>
    </row>
    <row r="431" spans="1:15">
      <c r="A431" t="s">
        <v>457</v>
      </c>
      <c r="B431" t="s">
        <v>29</v>
      </c>
      <c r="C431">
        <v>6</v>
      </c>
      <c r="D431">
        <v>32283723</v>
      </c>
      <c r="E431">
        <v>1</v>
      </c>
      <c r="F431">
        <v>28</v>
      </c>
      <c r="G431">
        <v>515</v>
      </c>
      <c r="H431">
        <v>44762976</v>
      </c>
      <c r="I431">
        <v>78664</v>
      </c>
      <c r="J431" t="s">
        <v>17</v>
      </c>
      <c r="K431" t="s">
        <v>30</v>
      </c>
      <c r="L431">
        <v>9</v>
      </c>
      <c r="M431">
        <v>82.62</v>
      </c>
      <c r="N431">
        <v>809771</v>
      </c>
      <c r="O431">
        <v>1</v>
      </c>
    </row>
    <row r="432" spans="1:15">
      <c r="A432" t="s">
        <v>458</v>
      </c>
      <c r="B432" t="s">
        <v>20</v>
      </c>
      <c r="C432">
        <v>9</v>
      </c>
      <c r="D432">
        <v>28174248</v>
      </c>
      <c r="E432">
        <v>3</v>
      </c>
      <c r="F432">
        <v>20</v>
      </c>
      <c r="G432">
        <v>778</v>
      </c>
      <c r="H432">
        <v>44676055</v>
      </c>
      <c r="I432">
        <v>111927</v>
      </c>
      <c r="J432" t="s">
        <v>25</v>
      </c>
      <c r="K432" t="s">
        <v>18</v>
      </c>
      <c r="L432">
        <v>8</v>
      </c>
      <c r="M432">
        <v>95.51</v>
      </c>
      <c r="N432">
        <v>274072</v>
      </c>
      <c r="O432">
        <v>1</v>
      </c>
    </row>
    <row r="433" spans="1:15">
      <c r="A433" t="s">
        <v>459</v>
      </c>
      <c r="B433" t="s">
        <v>29</v>
      </c>
      <c r="C433">
        <v>1</v>
      </c>
      <c r="D433">
        <v>28178112</v>
      </c>
      <c r="E433">
        <v>2</v>
      </c>
      <c r="F433">
        <v>7</v>
      </c>
      <c r="G433">
        <v>191</v>
      </c>
      <c r="H433">
        <v>5606839</v>
      </c>
      <c r="I433">
        <v>465249</v>
      </c>
      <c r="J433" t="s">
        <v>21</v>
      </c>
      <c r="K433" t="s">
        <v>22</v>
      </c>
      <c r="L433">
        <v>5</v>
      </c>
      <c r="M433">
        <v>79.59</v>
      </c>
      <c r="N433">
        <v>147616</v>
      </c>
      <c r="O433">
        <v>1</v>
      </c>
    </row>
    <row r="434" spans="1:15">
      <c r="A434" t="s">
        <v>460</v>
      </c>
      <c r="B434" t="s">
        <v>38</v>
      </c>
      <c r="C434">
        <v>9</v>
      </c>
      <c r="D434">
        <v>23766362</v>
      </c>
      <c r="E434">
        <v>4</v>
      </c>
      <c r="F434">
        <v>18</v>
      </c>
      <c r="G434">
        <v>544</v>
      </c>
      <c r="H434">
        <v>28962423</v>
      </c>
      <c r="I434">
        <v>462164</v>
      </c>
      <c r="J434" t="s">
        <v>21</v>
      </c>
      <c r="K434" t="s">
        <v>22</v>
      </c>
      <c r="L434">
        <v>6</v>
      </c>
      <c r="M434">
        <v>57.39</v>
      </c>
      <c r="N434">
        <v>547857</v>
      </c>
      <c r="O434">
        <v>1</v>
      </c>
    </row>
    <row r="435" spans="1:15">
      <c r="A435" t="s">
        <v>461</v>
      </c>
      <c r="B435" t="s">
        <v>24</v>
      </c>
      <c r="C435">
        <v>0</v>
      </c>
      <c r="D435">
        <v>217627</v>
      </c>
      <c r="E435">
        <v>3</v>
      </c>
      <c r="F435">
        <v>29</v>
      </c>
      <c r="G435">
        <v>927</v>
      </c>
      <c r="H435">
        <v>6320469</v>
      </c>
      <c r="I435">
        <v>590741</v>
      </c>
      <c r="J435" t="s">
        <v>25</v>
      </c>
      <c r="K435" t="s">
        <v>22</v>
      </c>
      <c r="L435">
        <v>3</v>
      </c>
      <c r="M435">
        <v>8.5500000000000007</v>
      </c>
      <c r="N435">
        <v>989944</v>
      </c>
      <c r="O435">
        <v>1</v>
      </c>
    </row>
    <row r="436" spans="1:15">
      <c r="A436" t="s">
        <v>462</v>
      </c>
      <c r="B436" t="s">
        <v>20</v>
      </c>
      <c r="C436">
        <v>1</v>
      </c>
      <c r="D436">
        <v>12873724</v>
      </c>
      <c r="E436">
        <v>3</v>
      </c>
      <c r="F436">
        <v>25</v>
      </c>
      <c r="G436">
        <v>319</v>
      </c>
      <c r="H436">
        <v>12015025</v>
      </c>
      <c r="I436">
        <v>852784</v>
      </c>
      <c r="J436" t="s">
        <v>25</v>
      </c>
      <c r="K436" t="s">
        <v>18</v>
      </c>
      <c r="L436">
        <v>3</v>
      </c>
      <c r="M436">
        <v>4.47</v>
      </c>
      <c r="N436">
        <v>106052</v>
      </c>
      <c r="O436">
        <v>1</v>
      </c>
    </row>
    <row r="437" spans="1:15">
      <c r="A437" t="s">
        <v>463</v>
      </c>
      <c r="B437" t="s">
        <v>16</v>
      </c>
      <c r="C437">
        <v>12</v>
      </c>
      <c r="D437">
        <v>14125031</v>
      </c>
      <c r="E437">
        <v>4</v>
      </c>
      <c r="F437">
        <v>20</v>
      </c>
      <c r="G437">
        <v>362</v>
      </c>
      <c r="H437">
        <v>81349291</v>
      </c>
      <c r="I437">
        <v>489910</v>
      </c>
      <c r="J437" t="s">
        <v>17</v>
      </c>
      <c r="K437" t="s">
        <v>30</v>
      </c>
      <c r="L437">
        <v>9</v>
      </c>
      <c r="M437">
        <v>57.95</v>
      </c>
      <c r="N437">
        <v>735069</v>
      </c>
      <c r="O437">
        <v>1</v>
      </c>
    </row>
    <row r="438" spans="1:15">
      <c r="A438" t="s">
        <v>464</v>
      </c>
      <c r="B438" t="s">
        <v>38</v>
      </c>
      <c r="C438">
        <v>3</v>
      </c>
      <c r="D438">
        <v>32505036</v>
      </c>
      <c r="E438">
        <v>2</v>
      </c>
      <c r="F438">
        <v>0</v>
      </c>
      <c r="G438">
        <v>929</v>
      </c>
      <c r="H438">
        <v>16262472</v>
      </c>
      <c r="I438">
        <v>128879</v>
      </c>
      <c r="J438" t="s">
        <v>21</v>
      </c>
      <c r="K438" t="s">
        <v>30</v>
      </c>
      <c r="L438">
        <v>4</v>
      </c>
      <c r="M438">
        <v>26.77</v>
      </c>
      <c r="N438">
        <v>347853</v>
      </c>
      <c r="O438">
        <v>1</v>
      </c>
    </row>
    <row r="439" spans="1:15">
      <c r="A439" t="s">
        <v>465</v>
      </c>
      <c r="B439" t="s">
        <v>16</v>
      </c>
      <c r="C439">
        <v>5</v>
      </c>
      <c r="D439">
        <v>17067439</v>
      </c>
      <c r="E439">
        <v>1</v>
      </c>
      <c r="F439">
        <v>20</v>
      </c>
      <c r="G439">
        <v>411</v>
      </c>
      <c r="H439">
        <v>4149782</v>
      </c>
      <c r="I439">
        <v>616604</v>
      </c>
      <c r="J439" t="s">
        <v>21</v>
      </c>
      <c r="K439" t="s">
        <v>30</v>
      </c>
      <c r="L439">
        <v>2</v>
      </c>
      <c r="M439">
        <v>19.23</v>
      </c>
      <c r="N439">
        <v>76804</v>
      </c>
      <c r="O439">
        <v>1</v>
      </c>
    </row>
    <row r="440" spans="1:15">
      <c r="A440" t="s">
        <v>466</v>
      </c>
      <c r="B440" t="s">
        <v>20</v>
      </c>
      <c r="C440">
        <v>2</v>
      </c>
      <c r="D440">
        <v>37295747</v>
      </c>
      <c r="E440">
        <v>3</v>
      </c>
      <c r="F440">
        <v>5</v>
      </c>
      <c r="G440">
        <v>95</v>
      </c>
      <c r="H440">
        <v>29513783</v>
      </c>
      <c r="I440">
        <v>825674</v>
      </c>
      <c r="J440" t="s">
        <v>17</v>
      </c>
      <c r="K440" t="s">
        <v>22</v>
      </c>
      <c r="L440">
        <v>6</v>
      </c>
      <c r="M440">
        <v>87.59</v>
      </c>
      <c r="N440">
        <v>710285</v>
      </c>
      <c r="O440">
        <v>1</v>
      </c>
    </row>
    <row r="441" spans="1:15">
      <c r="A441" t="s">
        <v>467</v>
      </c>
      <c r="B441" t="s">
        <v>38</v>
      </c>
      <c r="C441">
        <v>9</v>
      </c>
      <c r="D441">
        <v>14807253</v>
      </c>
      <c r="E441">
        <v>2</v>
      </c>
      <c r="F441">
        <v>22</v>
      </c>
      <c r="G441">
        <v>85</v>
      </c>
      <c r="H441">
        <v>3160864</v>
      </c>
      <c r="I441">
        <v>890775</v>
      </c>
      <c r="J441" t="s">
        <v>25</v>
      </c>
      <c r="K441" t="s">
        <v>18</v>
      </c>
      <c r="L441">
        <v>8</v>
      </c>
      <c r="M441">
        <v>25.98</v>
      </c>
      <c r="N441">
        <v>774903</v>
      </c>
      <c r="O441">
        <v>1</v>
      </c>
    </row>
    <row r="442" spans="1:15">
      <c r="A442" t="s">
        <v>468</v>
      </c>
      <c r="B442" t="s">
        <v>38</v>
      </c>
      <c r="C442">
        <v>14</v>
      </c>
      <c r="D442">
        <v>16264605</v>
      </c>
      <c r="E442">
        <v>4</v>
      </c>
      <c r="F442">
        <v>20</v>
      </c>
      <c r="G442">
        <v>523</v>
      </c>
      <c r="H442">
        <v>20518479</v>
      </c>
      <c r="I442">
        <v>923312</v>
      </c>
      <c r="J442" t="s">
        <v>25</v>
      </c>
      <c r="K442" t="s">
        <v>18</v>
      </c>
      <c r="L442">
        <v>6</v>
      </c>
      <c r="M442">
        <v>23.06</v>
      </c>
      <c r="N442">
        <v>840839</v>
      </c>
      <c r="O442">
        <v>1</v>
      </c>
    </row>
    <row r="443" spans="1:15">
      <c r="A443" t="s">
        <v>469</v>
      </c>
      <c r="B443" t="s">
        <v>24</v>
      </c>
      <c r="C443">
        <v>3</v>
      </c>
      <c r="D443">
        <v>12505963</v>
      </c>
      <c r="E443">
        <v>1</v>
      </c>
      <c r="F443">
        <v>18</v>
      </c>
      <c r="G443">
        <v>20</v>
      </c>
      <c r="H443">
        <v>95423012</v>
      </c>
      <c r="I443">
        <v>628076</v>
      </c>
      <c r="J443" t="s">
        <v>21</v>
      </c>
      <c r="K443" t="s">
        <v>18</v>
      </c>
      <c r="L443">
        <v>6</v>
      </c>
      <c r="M443">
        <v>81.88</v>
      </c>
      <c r="N443">
        <v>423209</v>
      </c>
      <c r="O443">
        <v>1</v>
      </c>
    </row>
    <row r="444" spans="1:15">
      <c r="A444" t="s">
        <v>470</v>
      </c>
      <c r="B444" t="s">
        <v>32</v>
      </c>
      <c r="C444">
        <v>12</v>
      </c>
      <c r="D444">
        <v>12226377</v>
      </c>
      <c r="E444">
        <v>1</v>
      </c>
      <c r="F444">
        <v>13</v>
      </c>
      <c r="G444">
        <v>519</v>
      </c>
      <c r="H444">
        <v>64202900</v>
      </c>
      <c r="I444">
        <v>202238</v>
      </c>
      <c r="J444" t="s">
        <v>21</v>
      </c>
      <c r="K444" t="s">
        <v>18</v>
      </c>
      <c r="L444">
        <v>7</v>
      </c>
      <c r="M444">
        <v>73.41</v>
      </c>
      <c r="N444">
        <v>377994</v>
      </c>
      <c r="O444">
        <v>1</v>
      </c>
    </row>
    <row r="445" spans="1:15">
      <c r="A445" t="s">
        <v>471</v>
      </c>
      <c r="B445" t="s">
        <v>20</v>
      </c>
      <c r="C445">
        <v>5</v>
      </c>
      <c r="D445">
        <v>779406</v>
      </c>
      <c r="E445">
        <v>4</v>
      </c>
      <c r="F445">
        <v>11</v>
      </c>
      <c r="G445">
        <v>507</v>
      </c>
      <c r="H445">
        <v>10930954</v>
      </c>
      <c r="I445">
        <v>230033</v>
      </c>
      <c r="J445" t="s">
        <v>25</v>
      </c>
      <c r="K445" t="s">
        <v>30</v>
      </c>
      <c r="L445">
        <v>5</v>
      </c>
      <c r="M445">
        <v>83.3</v>
      </c>
      <c r="N445">
        <v>15958</v>
      </c>
      <c r="O445">
        <v>1</v>
      </c>
    </row>
    <row r="446" spans="1:15">
      <c r="A446" t="s">
        <v>472</v>
      </c>
      <c r="B446" t="s">
        <v>27</v>
      </c>
      <c r="C446">
        <v>10</v>
      </c>
      <c r="D446">
        <v>1725818</v>
      </c>
      <c r="E446">
        <v>1</v>
      </c>
      <c r="F446">
        <v>12</v>
      </c>
      <c r="G446">
        <v>679</v>
      </c>
      <c r="H446">
        <v>37903752</v>
      </c>
      <c r="I446">
        <v>736672</v>
      </c>
      <c r="J446" t="s">
        <v>21</v>
      </c>
      <c r="K446" t="s">
        <v>30</v>
      </c>
      <c r="L446">
        <v>3</v>
      </c>
      <c r="M446">
        <v>93.7</v>
      </c>
      <c r="N446">
        <v>442229</v>
      </c>
      <c r="O446">
        <v>1</v>
      </c>
    </row>
    <row r="447" spans="1:15">
      <c r="A447" t="s">
        <v>473</v>
      </c>
      <c r="B447" t="s">
        <v>38</v>
      </c>
      <c r="C447">
        <v>12</v>
      </c>
      <c r="D447">
        <v>6372091</v>
      </c>
      <c r="E447">
        <v>2</v>
      </c>
      <c r="F447">
        <v>4</v>
      </c>
      <c r="G447">
        <v>205</v>
      </c>
      <c r="H447">
        <v>29383839</v>
      </c>
      <c r="I447">
        <v>884912</v>
      </c>
      <c r="J447" t="s">
        <v>25</v>
      </c>
      <c r="K447" t="s">
        <v>22</v>
      </c>
      <c r="L447">
        <v>8</v>
      </c>
      <c r="M447">
        <v>34.6</v>
      </c>
      <c r="N447">
        <v>276446</v>
      </c>
      <c r="O447">
        <v>1</v>
      </c>
    </row>
    <row r="448" spans="1:15">
      <c r="A448" t="s">
        <v>474</v>
      </c>
      <c r="B448" t="s">
        <v>38</v>
      </c>
      <c r="C448">
        <v>3</v>
      </c>
      <c r="D448">
        <v>36756768</v>
      </c>
      <c r="E448">
        <v>3</v>
      </c>
      <c r="F448">
        <v>19</v>
      </c>
      <c r="G448">
        <v>55</v>
      </c>
      <c r="H448">
        <v>40242676</v>
      </c>
      <c r="I448">
        <v>151942</v>
      </c>
      <c r="J448" t="s">
        <v>17</v>
      </c>
      <c r="K448" t="s">
        <v>30</v>
      </c>
      <c r="L448">
        <v>2</v>
      </c>
      <c r="M448">
        <v>72.959999999999994</v>
      </c>
      <c r="N448">
        <v>578786</v>
      </c>
      <c r="O448">
        <v>1</v>
      </c>
    </row>
    <row r="449" spans="1:15">
      <c r="A449" t="s">
        <v>475</v>
      </c>
      <c r="B449" t="s">
        <v>29</v>
      </c>
      <c r="C449">
        <v>5</v>
      </c>
      <c r="D449">
        <v>34306359</v>
      </c>
      <c r="E449">
        <v>3</v>
      </c>
      <c r="F449">
        <v>21</v>
      </c>
      <c r="G449">
        <v>254</v>
      </c>
      <c r="H449">
        <v>95117725</v>
      </c>
      <c r="I449">
        <v>11215</v>
      </c>
      <c r="J449" t="s">
        <v>21</v>
      </c>
      <c r="K449" t="s">
        <v>30</v>
      </c>
      <c r="L449">
        <v>1</v>
      </c>
      <c r="M449">
        <v>73.14</v>
      </c>
      <c r="N449">
        <v>675112</v>
      </c>
      <c r="O449">
        <v>1</v>
      </c>
    </row>
    <row r="450" spans="1:15">
      <c r="A450" t="s">
        <v>476</v>
      </c>
      <c r="B450" t="s">
        <v>38</v>
      </c>
      <c r="C450">
        <v>4</v>
      </c>
      <c r="D450">
        <v>21526299</v>
      </c>
      <c r="E450">
        <v>3</v>
      </c>
      <c r="F450">
        <v>12</v>
      </c>
      <c r="G450">
        <v>157</v>
      </c>
      <c r="H450">
        <v>8458412</v>
      </c>
      <c r="I450">
        <v>135016</v>
      </c>
      <c r="J450" t="s">
        <v>17</v>
      </c>
      <c r="K450" t="s">
        <v>30</v>
      </c>
      <c r="L450">
        <v>6</v>
      </c>
      <c r="M450">
        <v>64.13</v>
      </c>
      <c r="N450">
        <v>51164</v>
      </c>
      <c r="O450">
        <v>1</v>
      </c>
    </row>
    <row r="451" spans="1:15">
      <c r="A451" t="s">
        <v>477</v>
      </c>
      <c r="B451" t="s">
        <v>29</v>
      </c>
      <c r="C451">
        <v>1</v>
      </c>
      <c r="D451">
        <v>30426285</v>
      </c>
      <c r="E451">
        <v>3</v>
      </c>
      <c r="F451">
        <v>16</v>
      </c>
      <c r="G451">
        <v>551</v>
      </c>
      <c r="H451">
        <v>38438332</v>
      </c>
      <c r="I451">
        <v>786690</v>
      </c>
      <c r="J451" t="s">
        <v>25</v>
      </c>
      <c r="K451" t="s">
        <v>22</v>
      </c>
      <c r="L451">
        <v>4</v>
      </c>
      <c r="M451">
        <v>49.77</v>
      </c>
      <c r="N451">
        <v>384573</v>
      </c>
      <c r="O451">
        <v>1</v>
      </c>
    </row>
    <row r="452" spans="1:15">
      <c r="A452" t="s">
        <v>478</v>
      </c>
      <c r="B452" t="s">
        <v>27</v>
      </c>
      <c r="C452">
        <v>2</v>
      </c>
      <c r="D452">
        <v>40128786</v>
      </c>
      <c r="E452">
        <v>3</v>
      </c>
      <c r="F452">
        <v>4</v>
      </c>
      <c r="G452">
        <v>531</v>
      </c>
      <c r="H452">
        <v>31821402</v>
      </c>
      <c r="I452">
        <v>6412</v>
      </c>
      <c r="J452" t="s">
        <v>21</v>
      </c>
      <c r="K452" t="s">
        <v>30</v>
      </c>
      <c r="L452">
        <v>6</v>
      </c>
      <c r="M452">
        <v>1.9</v>
      </c>
      <c r="N452">
        <v>887764</v>
      </c>
      <c r="O452">
        <v>1</v>
      </c>
    </row>
    <row r="453" spans="1:15">
      <c r="A453" t="s">
        <v>479</v>
      </c>
      <c r="B453" t="s">
        <v>20</v>
      </c>
      <c r="C453">
        <v>14</v>
      </c>
      <c r="D453">
        <v>227269</v>
      </c>
      <c r="E453">
        <v>3</v>
      </c>
      <c r="F453">
        <v>12</v>
      </c>
      <c r="G453">
        <v>313</v>
      </c>
      <c r="H453">
        <v>38045222</v>
      </c>
      <c r="I453">
        <v>34097</v>
      </c>
      <c r="J453" t="s">
        <v>17</v>
      </c>
      <c r="K453" t="s">
        <v>22</v>
      </c>
      <c r="L453">
        <v>8</v>
      </c>
      <c r="M453">
        <v>46.44</v>
      </c>
      <c r="N453">
        <v>842773</v>
      </c>
      <c r="O453">
        <v>1</v>
      </c>
    </row>
    <row r="454" spans="1:15">
      <c r="A454" t="s">
        <v>480</v>
      </c>
      <c r="B454" t="s">
        <v>32</v>
      </c>
      <c r="C454">
        <v>6</v>
      </c>
      <c r="D454">
        <v>19539351</v>
      </c>
      <c r="E454">
        <v>4</v>
      </c>
      <c r="F454">
        <v>10</v>
      </c>
      <c r="G454">
        <v>929</v>
      </c>
      <c r="H454">
        <v>63356423</v>
      </c>
      <c r="I454">
        <v>452171</v>
      </c>
      <c r="J454" t="s">
        <v>21</v>
      </c>
      <c r="K454" t="s">
        <v>22</v>
      </c>
      <c r="L454">
        <v>5</v>
      </c>
      <c r="M454">
        <v>57.97</v>
      </c>
      <c r="N454">
        <v>129810</v>
      </c>
      <c r="O454">
        <v>1</v>
      </c>
    </row>
    <row r="455" spans="1:15">
      <c r="A455" t="s">
        <v>481</v>
      </c>
      <c r="B455" t="s">
        <v>24</v>
      </c>
      <c r="C455">
        <v>0</v>
      </c>
      <c r="D455">
        <v>12288007</v>
      </c>
      <c r="E455">
        <v>3</v>
      </c>
      <c r="F455">
        <v>23</v>
      </c>
      <c r="G455">
        <v>249</v>
      </c>
      <c r="H455">
        <v>40857281</v>
      </c>
      <c r="I455">
        <v>37340</v>
      </c>
      <c r="J455" t="s">
        <v>17</v>
      </c>
      <c r="K455" t="s">
        <v>22</v>
      </c>
      <c r="L455">
        <v>8</v>
      </c>
      <c r="M455">
        <v>67.099999999999994</v>
      </c>
      <c r="N455">
        <v>211417</v>
      </c>
      <c r="O455">
        <v>1</v>
      </c>
    </row>
    <row r="456" spans="1:15">
      <c r="A456" t="s">
        <v>482</v>
      </c>
      <c r="B456" t="s">
        <v>32</v>
      </c>
      <c r="C456">
        <v>3</v>
      </c>
      <c r="D456">
        <v>47766293</v>
      </c>
      <c r="E456">
        <v>3</v>
      </c>
      <c r="F456">
        <v>23</v>
      </c>
      <c r="G456">
        <v>884</v>
      </c>
      <c r="H456">
        <v>65460226</v>
      </c>
      <c r="I456">
        <v>567995</v>
      </c>
      <c r="J456" t="s">
        <v>25</v>
      </c>
      <c r="K456" t="s">
        <v>18</v>
      </c>
      <c r="L456">
        <v>7</v>
      </c>
      <c r="M456">
        <v>22.13</v>
      </c>
      <c r="N456">
        <v>791066</v>
      </c>
      <c r="O456">
        <v>1</v>
      </c>
    </row>
    <row r="457" spans="1:15">
      <c r="A457" t="s">
        <v>483</v>
      </c>
      <c r="B457" t="s">
        <v>20</v>
      </c>
      <c r="C457">
        <v>7</v>
      </c>
      <c r="D457">
        <v>25038219</v>
      </c>
      <c r="E457">
        <v>3</v>
      </c>
      <c r="F457">
        <v>10</v>
      </c>
      <c r="G457">
        <v>963</v>
      </c>
      <c r="H457">
        <v>31850013</v>
      </c>
      <c r="I457">
        <v>12121</v>
      </c>
      <c r="J457" t="s">
        <v>21</v>
      </c>
      <c r="K457" t="s">
        <v>22</v>
      </c>
      <c r="L457">
        <v>8</v>
      </c>
      <c r="M457">
        <v>30.85</v>
      </c>
      <c r="N457">
        <v>94282</v>
      </c>
      <c r="O457">
        <v>1</v>
      </c>
    </row>
    <row r="458" spans="1:15">
      <c r="A458" t="s">
        <v>484</v>
      </c>
      <c r="B458" t="s">
        <v>29</v>
      </c>
      <c r="C458">
        <v>8</v>
      </c>
      <c r="D458">
        <v>7688507</v>
      </c>
      <c r="E458">
        <v>4</v>
      </c>
      <c r="F458">
        <v>15</v>
      </c>
      <c r="G458">
        <v>714</v>
      </c>
      <c r="H458">
        <v>1358072</v>
      </c>
      <c r="I458">
        <v>662216</v>
      </c>
      <c r="J458" t="s">
        <v>17</v>
      </c>
      <c r="K458" t="s">
        <v>18</v>
      </c>
      <c r="L458">
        <v>4</v>
      </c>
      <c r="M458">
        <v>82.1</v>
      </c>
      <c r="N458">
        <v>495419</v>
      </c>
      <c r="O458">
        <v>1</v>
      </c>
    </row>
    <row r="459" spans="1:15">
      <c r="A459" t="s">
        <v>485</v>
      </c>
      <c r="B459" t="s">
        <v>20</v>
      </c>
      <c r="C459">
        <v>4</v>
      </c>
      <c r="D459">
        <v>36494702</v>
      </c>
      <c r="E459">
        <v>4</v>
      </c>
      <c r="F459">
        <v>14</v>
      </c>
      <c r="G459">
        <v>141</v>
      </c>
      <c r="H459">
        <v>37742303</v>
      </c>
      <c r="I459">
        <v>303629</v>
      </c>
      <c r="J459" t="s">
        <v>21</v>
      </c>
      <c r="K459" t="s">
        <v>18</v>
      </c>
      <c r="L459">
        <v>4</v>
      </c>
      <c r="M459">
        <v>94.95</v>
      </c>
      <c r="N459">
        <v>142238</v>
      </c>
      <c r="O459">
        <v>1</v>
      </c>
    </row>
    <row r="460" spans="1:15">
      <c r="A460" t="s">
        <v>486</v>
      </c>
      <c r="B460" t="s">
        <v>27</v>
      </c>
      <c r="C460">
        <v>1</v>
      </c>
      <c r="D460">
        <v>37386372</v>
      </c>
      <c r="E460">
        <v>3</v>
      </c>
      <c r="F460">
        <v>6</v>
      </c>
      <c r="G460">
        <v>623</v>
      </c>
      <c r="H460">
        <v>57725563</v>
      </c>
      <c r="I460">
        <v>180670</v>
      </c>
      <c r="J460" t="s">
        <v>25</v>
      </c>
      <c r="K460" t="s">
        <v>30</v>
      </c>
      <c r="L460">
        <v>3</v>
      </c>
      <c r="M460">
        <v>89.09</v>
      </c>
      <c r="N460">
        <v>16521</v>
      </c>
      <c r="O460">
        <v>1</v>
      </c>
    </row>
    <row r="461" spans="1:15">
      <c r="A461" t="s">
        <v>487</v>
      </c>
      <c r="B461" t="s">
        <v>16</v>
      </c>
      <c r="C461">
        <v>9</v>
      </c>
      <c r="D461">
        <v>2303295</v>
      </c>
      <c r="E461">
        <v>1</v>
      </c>
      <c r="F461">
        <v>25</v>
      </c>
      <c r="G461">
        <v>775</v>
      </c>
      <c r="H461">
        <v>22813573</v>
      </c>
      <c r="I461">
        <v>252378</v>
      </c>
      <c r="J461" t="s">
        <v>17</v>
      </c>
      <c r="K461" t="s">
        <v>18</v>
      </c>
      <c r="L461">
        <v>7</v>
      </c>
      <c r="M461">
        <v>63.91</v>
      </c>
      <c r="N461">
        <v>917307</v>
      </c>
      <c r="O461">
        <v>1</v>
      </c>
    </row>
    <row r="462" spans="1:15">
      <c r="A462" t="s">
        <v>488</v>
      </c>
      <c r="B462" t="s">
        <v>32</v>
      </c>
      <c r="C462">
        <v>2</v>
      </c>
      <c r="D462">
        <v>48041843</v>
      </c>
      <c r="E462">
        <v>2</v>
      </c>
      <c r="F462">
        <v>15</v>
      </c>
      <c r="G462">
        <v>97</v>
      </c>
      <c r="H462">
        <v>82129689</v>
      </c>
      <c r="I462">
        <v>699851</v>
      </c>
      <c r="J462" t="s">
        <v>17</v>
      </c>
      <c r="K462" t="s">
        <v>18</v>
      </c>
      <c r="L462">
        <v>2</v>
      </c>
      <c r="M462">
        <v>78.88</v>
      </c>
      <c r="N462">
        <v>304198</v>
      </c>
      <c r="O462">
        <v>1</v>
      </c>
    </row>
    <row r="463" spans="1:15">
      <c r="A463" t="s">
        <v>489</v>
      </c>
      <c r="B463" t="s">
        <v>20</v>
      </c>
      <c r="C463">
        <v>13</v>
      </c>
      <c r="D463">
        <v>31903715</v>
      </c>
      <c r="E463">
        <v>2</v>
      </c>
      <c r="F463">
        <v>10</v>
      </c>
      <c r="G463">
        <v>156</v>
      </c>
      <c r="H463">
        <v>49660005</v>
      </c>
      <c r="I463">
        <v>344532</v>
      </c>
      <c r="J463" t="s">
        <v>17</v>
      </c>
      <c r="K463" t="s">
        <v>18</v>
      </c>
      <c r="L463">
        <v>4</v>
      </c>
      <c r="M463">
        <v>86.52</v>
      </c>
      <c r="N463">
        <v>416446</v>
      </c>
      <c r="O463">
        <v>1</v>
      </c>
    </row>
    <row r="464" spans="1:15">
      <c r="A464" t="s">
        <v>490</v>
      </c>
      <c r="B464" t="s">
        <v>20</v>
      </c>
      <c r="C464">
        <v>14</v>
      </c>
      <c r="D464">
        <v>1495644</v>
      </c>
      <c r="E464">
        <v>1</v>
      </c>
      <c r="F464">
        <v>27</v>
      </c>
      <c r="G464">
        <v>583</v>
      </c>
      <c r="H464">
        <v>59871426</v>
      </c>
      <c r="I464">
        <v>411608</v>
      </c>
      <c r="J464" t="s">
        <v>17</v>
      </c>
      <c r="K464" t="s">
        <v>18</v>
      </c>
      <c r="L464">
        <v>6</v>
      </c>
      <c r="M464">
        <v>60.83</v>
      </c>
      <c r="N464">
        <v>196931</v>
      </c>
      <c r="O464">
        <v>1</v>
      </c>
    </row>
    <row r="465" spans="1:15">
      <c r="A465" t="s">
        <v>491</v>
      </c>
      <c r="B465" t="s">
        <v>32</v>
      </c>
      <c r="C465">
        <v>5</v>
      </c>
      <c r="D465">
        <v>34955865</v>
      </c>
      <c r="E465">
        <v>1</v>
      </c>
      <c r="F465">
        <v>28</v>
      </c>
      <c r="G465">
        <v>444</v>
      </c>
      <c r="H465">
        <v>100342</v>
      </c>
      <c r="I465">
        <v>197230</v>
      </c>
      <c r="J465" t="s">
        <v>21</v>
      </c>
      <c r="K465" t="s">
        <v>22</v>
      </c>
      <c r="L465">
        <v>9</v>
      </c>
      <c r="M465">
        <v>94.76</v>
      </c>
      <c r="N465">
        <v>980611</v>
      </c>
      <c r="O465">
        <v>1</v>
      </c>
    </row>
    <row r="466" spans="1:15">
      <c r="A466" t="s">
        <v>492</v>
      </c>
      <c r="B466" t="s">
        <v>38</v>
      </c>
      <c r="C466">
        <v>13</v>
      </c>
      <c r="D466">
        <v>27946420</v>
      </c>
      <c r="E466">
        <v>4</v>
      </c>
      <c r="F466">
        <v>15</v>
      </c>
      <c r="G466">
        <v>240</v>
      </c>
      <c r="H466">
        <v>24303392</v>
      </c>
      <c r="I466">
        <v>708551</v>
      </c>
      <c r="J466" t="s">
        <v>21</v>
      </c>
      <c r="K466" t="s">
        <v>18</v>
      </c>
      <c r="L466">
        <v>2</v>
      </c>
      <c r="M466">
        <v>66.03</v>
      </c>
      <c r="N466">
        <v>489999</v>
      </c>
      <c r="O466">
        <v>1</v>
      </c>
    </row>
    <row r="467" spans="1:15">
      <c r="A467" t="s">
        <v>493</v>
      </c>
      <c r="B467" t="s">
        <v>16</v>
      </c>
      <c r="C467">
        <v>4</v>
      </c>
      <c r="D467">
        <v>45535034</v>
      </c>
      <c r="E467">
        <v>2</v>
      </c>
      <c r="F467">
        <v>0</v>
      </c>
      <c r="G467">
        <v>731</v>
      </c>
      <c r="H467">
        <v>56393920</v>
      </c>
      <c r="I467">
        <v>943051</v>
      </c>
      <c r="J467" t="s">
        <v>17</v>
      </c>
      <c r="K467" t="s">
        <v>30</v>
      </c>
      <c r="L467">
        <v>9</v>
      </c>
      <c r="M467">
        <v>62.33</v>
      </c>
      <c r="N467">
        <v>781385</v>
      </c>
      <c r="O467">
        <v>1</v>
      </c>
    </row>
    <row r="468" spans="1:15">
      <c r="A468" t="s">
        <v>494</v>
      </c>
      <c r="B468" t="s">
        <v>29</v>
      </c>
      <c r="C468">
        <v>14</v>
      </c>
      <c r="D468">
        <v>14016220</v>
      </c>
      <c r="E468">
        <v>3</v>
      </c>
      <c r="F468">
        <v>15</v>
      </c>
      <c r="G468">
        <v>686</v>
      </c>
      <c r="H468">
        <v>84042269</v>
      </c>
      <c r="I468">
        <v>496383</v>
      </c>
      <c r="J468" t="s">
        <v>25</v>
      </c>
      <c r="K468" t="s">
        <v>30</v>
      </c>
      <c r="L468">
        <v>2</v>
      </c>
      <c r="M468">
        <v>22.33</v>
      </c>
      <c r="N468">
        <v>324647</v>
      </c>
      <c r="O468">
        <v>1</v>
      </c>
    </row>
    <row r="469" spans="1:15">
      <c r="A469" t="s">
        <v>495</v>
      </c>
      <c r="B469" t="s">
        <v>38</v>
      </c>
      <c r="C469">
        <v>11</v>
      </c>
      <c r="D469">
        <v>5718820</v>
      </c>
      <c r="E469">
        <v>2</v>
      </c>
      <c r="F469">
        <v>4</v>
      </c>
      <c r="G469">
        <v>273</v>
      </c>
      <c r="H469">
        <v>28251327</v>
      </c>
      <c r="I469">
        <v>14676</v>
      </c>
      <c r="J469" t="s">
        <v>25</v>
      </c>
      <c r="K469" t="s">
        <v>18</v>
      </c>
      <c r="L469">
        <v>9</v>
      </c>
      <c r="M469">
        <v>40.04</v>
      </c>
      <c r="N469">
        <v>71067</v>
      </c>
      <c r="O469">
        <v>1</v>
      </c>
    </row>
    <row r="470" spans="1:15">
      <c r="A470" t="s">
        <v>496</v>
      </c>
      <c r="B470" t="s">
        <v>16</v>
      </c>
      <c r="C470">
        <v>2</v>
      </c>
      <c r="D470">
        <v>46171973</v>
      </c>
      <c r="E470">
        <v>1</v>
      </c>
      <c r="F470">
        <v>13</v>
      </c>
      <c r="G470">
        <v>282</v>
      </c>
      <c r="H470">
        <v>75211969</v>
      </c>
      <c r="I470">
        <v>334965</v>
      </c>
      <c r="J470" t="s">
        <v>25</v>
      </c>
      <c r="K470" t="s">
        <v>22</v>
      </c>
      <c r="L470">
        <v>5</v>
      </c>
      <c r="M470">
        <v>37.86</v>
      </c>
      <c r="N470">
        <v>365111</v>
      </c>
      <c r="O470">
        <v>1</v>
      </c>
    </row>
    <row r="471" spans="1:15">
      <c r="A471" t="s">
        <v>497</v>
      </c>
      <c r="B471" t="s">
        <v>16</v>
      </c>
      <c r="C471">
        <v>1</v>
      </c>
      <c r="D471">
        <v>8190369</v>
      </c>
      <c r="E471">
        <v>2</v>
      </c>
      <c r="F471">
        <v>21</v>
      </c>
      <c r="G471">
        <v>969</v>
      </c>
      <c r="H471">
        <v>64005975</v>
      </c>
      <c r="I471">
        <v>194589</v>
      </c>
      <c r="J471" t="s">
        <v>25</v>
      </c>
      <c r="K471" t="s">
        <v>22</v>
      </c>
      <c r="L471">
        <v>2</v>
      </c>
      <c r="M471">
        <v>4.79</v>
      </c>
      <c r="N471">
        <v>356243</v>
      </c>
      <c r="O471">
        <v>1</v>
      </c>
    </row>
    <row r="472" spans="1:15">
      <c r="A472" t="s">
        <v>498</v>
      </c>
      <c r="B472" t="s">
        <v>32</v>
      </c>
      <c r="C472">
        <v>0</v>
      </c>
      <c r="D472">
        <v>15355432</v>
      </c>
      <c r="E472">
        <v>4</v>
      </c>
      <c r="F472">
        <v>21</v>
      </c>
      <c r="G472">
        <v>820</v>
      </c>
      <c r="H472">
        <v>42936879</v>
      </c>
      <c r="I472">
        <v>959087</v>
      </c>
      <c r="J472" t="s">
        <v>21</v>
      </c>
      <c r="K472" t="s">
        <v>30</v>
      </c>
      <c r="L472">
        <v>4</v>
      </c>
      <c r="M472">
        <v>44.21</v>
      </c>
      <c r="N472">
        <v>614557</v>
      </c>
      <c r="O472">
        <v>1</v>
      </c>
    </row>
    <row r="473" spans="1:15">
      <c r="A473" t="s">
        <v>499</v>
      </c>
      <c r="B473" t="s">
        <v>24</v>
      </c>
      <c r="C473">
        <v>12</v>
      </c>
      <c r="D473">
        <v>38310064</v>
      </c>
      <c r="E473">
        <v>2</v>
      </c>
      <c r="F473">
        <v>13</v>
      </c>
      <c r="G473">
        <v>23</v>
      </c>
      <c r="H473">
        <v>2063252</v>
      </c>
      <c r="I473">
        <v>103626</v>
      </c>
      <c r="J473" t="s">
        <v>21</v>
      </c>
      <c r="K473" t="s">
        <v>22</v>
      </c>
      <c r="L473">
        <v>5</v>
      </c>
      <c r="M473">
        <v>46.33</v>
      </c>
      <c r="N473">
        <v>145955</v>
      </c>
      <c r="O473">
        <v>1</v>
      </c>
    </row>
    <row r="474" spans="1:15">
      <c r="A474" t="s">
        <v>500</v>
      </c>
      <c r="B474" t="s">
        <v>29</v>
      </c>
      <c r="C474">
        <v>12</v>
      </c>
      <c r="D474">
        <v>5440175</v>
      </c>
      <c r="E474">
        <v>4</v>
      </c>
      <c r="F474">
        <v>12</v>
      </c>
      <c r="G474">
        <v>278</v>
      </c>
      <c r="H474">
        <v>39030027</v>
      </c>
      <c r="I474">
        <v>851890</v>
      </c>
      <c r="J474" t="s">
        <v>25</v>
      </c>
      <c r="K474" t="s">
        <v>18</v>
      </c>
      <c r="L474">
        <v>1</v>
      </c>
      <c r="M474">
        <v>66.59</v>
      </c>
      <c r="N474">
        <v>164378</v>
      </c>
      <c r="O474">
        <v>1</v>
      </c>
    </row>
    <row r="475" spans="1:15">
      <c r="A475" t="s">
        <v>501</v>
      </c>
      <c r="B475" t="s">
        <v>20</v>
      </c>
      <c r="C475">
        <v>2</v>
      </c>
      <c r="D475">
        <v>41034640</v>
      </c>
      <c r="E475">
        <v>2</v>
      </c>
      <c r="F475">
        <v>8</v>
      </c>
      <c r="G475">
        <v>473</v>
      </c>
      <c r="H475">
        <v>90377338</v>
      </c>
      <c r="I475">
        <v>251934</v>
      </c>
      <c r="J475" t="s">
        <v>17</v>
      </c>
      <c r="K475" t="s">
        <v>30</v>
      </c>
      <c r="L475">
        <v>4</v>
      </c>
      <c r="M475">
        <v>37.96</v>
      </c>
      <c r="N475">
        <v>57533</v>
      </c>
      <c r="O475">
        <v>1</v>
      </c>
    </row>
    <row r="476" spans="1:15">
      <c r="A476" t="s">
        <v>502</v>
      </c>
      <c r="B476" t="s">
        <v>20</v>
      </c>
      <c r="C476">
        <v>5</v>
      </c>
      <c r="D476">
        <v>39131396</v>
      </c>
      <c r="E476">
        <v>1</v>
      </c>
      <c r="F476">
        <v>26</v>
      </c>
      <c r="G476">
        <v>210</v>
      </c>
      <c r="H476">
        <v>3096558</v>
      </c>
      <c r="I476">
        <v>129459</v>
      </c>
      <c r="J476" t="s">
        <v>25</v>
      </c>
      <c r="K476" t="s">
        <v>18</v>
      </c>
      <c r="L476">
        <v>9</v>
      </c>
      <c r="M476">
        <v>66.680000000000007</v>
      </c>
      <c r="N476">
        <v>657313</v>
      </c>
      <c r="O476">
        <v>1</v>
      </c>
    </row>
    <row r="477" spans="1:15">
      <c r="A477" t="s">
        <v>503</v>
      </c>
      <c r="B477" t="s">
        <v>20</v>
      </c>
      <c r="C477">
        <v>11</v>
      </c>
      <c r="D477">
        <v>15942322</v>
      </c>
      <c r="E477">
        <v>4</v>
      </c>
      <c r="F477">
        <v>10</v>
      </c>
      <c r="G477">
        <v>61</v>
      </c>
      <c r="H477">
        <v>4556617</v>
      </c>
      <c r="I477">
        <v>222808</v>
      </c>
      <c r="J477" t="s">
        <v>17</v>
      </c>
      <c r="K477" t="s">
        <v>18</v>
      </c>
      <c r="L477">
        <v>9</v>
      </c>
      <c r="M477">
        <v>18.54</v>
      </c>
      <c r="N477">
        <v>765932</v>
      </c>
      <c r="O477">
        <v>1</v>
      </c>
    </row>
    <row r="478" spans="1:15">
      <c r="A478" t="s">
        <v>504</v>
      </c>
      <c r="B478" t="s">
        <v>32</v>
      </c>
      <c r="C478">
        <v>6</v>
      </c>
      <c r="D478">
        <v>15775211</v>
      </c>
      <c r="E478">
        <v>2</v>
      </c>
      <c r="F478">
        <v>11</v>
      </c>
      <c r="G478">
        <v>601</v>
      </c>
      <c r="H478">
        <v>52832920</v>
      </c>
      <c r="I478">
        <v>942193</v>
      </c>
      <c r="J478" t="s">
        <v>21</v>
      </c>
      <c r="K478" t="s">
        <v>30</v>
      </c>
      <c r="L478">
        <v>7</v>
      </c>
      <c r="M478">
        <v>3.02</v>
      </c>
      <c r="N478">
        <v>734652</v>
      </c>
      <c r="O478">
        <v>1</v>
      </c>
    </row>
    <row r="479" spans="1:15">
      <c r="A479" t="s">
        <v>505</v>
      </c>
      <c r="B479" t="s">
        <v>24</v>
      </c>
      <c r="C479">
        <v>3</v>
      </c>
      <c r="D479">
        <v>27346785</v>
      </c>
      <c r="E479">
        <v>4</v>
      </c>
      <c r="F479">
        <v>0</v>
      </c>
      <c r="G479">
        <v>119</v>
      </c>
      <c r="H479">
        <v>50894440</v>
      </c>
      <c r="I479">
        <v>299337</v>
      </c>
      <c r="J479" t="s">
        <v>25</v>
      </c>
      <c r="K479" t="s">
        <v>22</v>
      </c>
      <c r="L479">
        <v>7</v>
      </c>
      <c r="M479">
        <v>55.64</v>
      </c>
      <c r="N479">
        <v>856540</v>
      </c>
      <c r="O479">
        <v>1</v>
      </c>
    </row>
    <row r="480" spans="1:15">
      <c r="A480" t="s">
        <v>506</v>
      </c>
      <c r="B480" t="s">
        <v>20</v>
      </c>
      <c r="C480">
        <v>13</v>
      </c>
      <c r="D480">
        <v>14528761</v>
      </c>
      <c r="E480">
        <v>2</v>
      </c>
      <c r="F480">
        <v>8</v>
      </c>
      <c r="G480">
        <v>484</v>
      </c>
      <c r="H480">
        <v>11838616</v>
      </c>
      <c r="I480">
        <v>864649</v>
      </c>
      <c r="J480" t="s">
        <v>21</v>
      </c>
      <c r="K480" t="s">
        <v>18</v>
      </c>
      <c r="L480">
        <v>2</v>
      </c>
      <c r="M480">
        <v>26.32</v>
      </c>
      <c r="N480">
        <v>852802</v>
      </c>
      <c r="O480">
        <v>1</v>
      </c>
    </row>
    <row r="481" spans="1:15">
      <c r="A481" t="s">
        <v>507</v>
      </c>
      <c r="B481" t="s">
        <v>16</v>
      </c>
      <c r="C481">
        <v>0</v>
      </c>
      <c r="D481">
        <v>40984556</v>
      </c>
      <c r="E481">
        <v>4</v>
      </c>
      <c r="F481">
        <v>24</v>
      </c>
      <c r="G481">
        <v>944</v>
      </c>
      <c r="H481">
        <v>15916057</v>
      </c>
      <c r="I481">
        <v>50940</v>
      </c>
      <c r="J481" t="s">
        <v>17</v>
      </c>
      <c r="K481" t="s">
        <v>22</v>
      </c>
      <c r="L481">
        <v>5</v>
      </c>
      <c r="M481">
        <v>16.100000000000001</v>
      </c>
      <c r="N481">
        <v>329782</v>
      </c>
      <c r="O481">
        <v>1</v>
      </c>
    </row>
    <row r="482" spans="1:15">
      <c r="A482" t="s">
        <v>508</v>
      </c>
      <c r="B482" t="s">
        <v>16</v>
      </c>
      <c r="C482">
        <v>7</v>
      </c>
      <c r="D482">
        <v>46876195</v>
      </c>
      <c r="E482">
        <v>1</v>
      </c>
      <c r="F482">
        <v>17</v>
      </c>
      <c r="G482">
        <v>551</v>
      </c>
      <c r="H482">
        <v>39037198</v>
      </c>
      <c r="I482">
        <v>995214</v>
      </c>
      <c r="J482" t="s">
        <v>25</v>
      </c>
      <c r="K482" t="s">
        <v>22</v>
      </c>
      <c r="L482">
        <v>7</v>
      </c>
      <c r="M482">
        <v>71.31</v>
      </c>
      <c r="N482">
        <v>177322</v>
      </c>
      <c r="O482">
        <v>1</v>
      </c>
    </row>
    <row r="483" spans="1:15">
      <c r="A483" t="s">
        <v>509</v>
      </c>
      <c r="B483" t="s">
        <v>32</v>
      </c>
      <c r="C483">
        <v>3</v>
      </c>
      <c r="D483">
        <v>39452297</v>
      </c>
      <c r="E483">
        <v>2</v>
      </c>
      <c r="F483">
        <v>12</v>
      </c>
      <c r="G483">
        <v>448</v>
      </c>
      <c r="H483">
        <v>90102646</v>
      </c>
      <c r="I483">
        <v>607237</v>
      </c>
      <c r="J483" t="s">
        <v>17</v>
      </c>
      <c r="K483" t="s">
        <v>18</v>
      </c>
      <c r="L483">
        <v>7</v>
      </c>
      <c r="M483">
        <v>94.85</v>
      </c>
      <c r="N483">
        <v>778454</v>
      </c>
      <c r="O483">
        <v>1</v>
      </c>
    </row>
    <row r="484" spans="1:15">
      <c r="A484" t="s">
        <v>510</v>
      </c>
      <c r="B484" t="s">
        <v>16</v>
      </c>
      <c r="C484">
        <v>4</v>
      </c>
      <c r="D484">
        <v>47385846</v>
      </c>
      <c r="E484">
        <v>4</v>
      </c>
      <c r="F484">
        <v>14</v>
      </c>
      <c r="G484">
        <v>29</v>
      </c>
      <c r="H484">
        <v>80358377</v>
      </c>
      <c r="I484">
        <v>300903</v>
      </c>
      <c r="J484" t="s">
        <v>25</v>
      </c>
      <c r="K484" t="s">
        <v>30</v>
      </c>
      <c r="L484">
        <v>1</v>
      </c>
      <c r="M484">
        <v>68.69</v>
      </c>
      <c r="N484">
        <v>694122</v>
      </c>
      <c r="O484">
        <v>1</v>
      </c>
    </row>
    <row r="485" spans="1:15">
      <c r="A485" t="s">
        <v>511</v>
      </c>
      <c r="B485" t="s">
        <v>27</v>
      </c>
      <c r="C485">
        <v>4</v>
      </c>
      <c r="D485">
        <v>41250851</v>
      </c>
      <c r="E485">
        <v>3</v>
      </c>
      <c r="F485">
        <v>1</v>
      </c>
      <c r="G485">
        <v>732</v>
      </c>
      <c r="H485">
        <v>18300794</v>
      </c>
      <c r="I485">
        <v>764347</v>
      </c>
      <c r="J485" t="s">
        <v>17</v>
      </c>
      <c r="K485" t="s">
        <v>22</v>
      </c>
      <c r="L485">
        <v>8</v>
      </c>
      <c r="M485">
        <v>83.46</v>
      </c>
      <c r="N485">
        <v>9178</v>
      </c>
      <c r="O485">
        <v>1</v>
      </c>
    </row>
    <row r="486" spans="1:15">
      <c r="A486" t="s">
        <v>512</v>
      </c>
      <c r="B486" t="s">
        <v>29</v>
      </c>
      <c r="C486">
        <v>6</v>
      </c>
      <c r="D486">
        <v>15072059</v>
      </c>
      <c r="E486">
        <v>4</v>
      </c>
      <c r="F486">
        <v>28</v>
      </c>
      <c r="G486">
        <v>834</v>
      </c>
      <c r="H486">
        <v>13807379</v>
      </c>
      <c r="I486">
        <v>970001</v>
      </c>
      <c r="J486" t="s">
        <v>21</v>
      </c>
      <c r="K486" t="s">
        <v>22</v>
      </c>
      <c r="L486">
        <v>1</v>
      </c>
      <c r="M486">
        <v>98.78</v>
      </c>
      <c r="N486">
        <v>185825</v>
      </c>
      <c r="O486">
        <v>1</v>
      </c>
    </row>
    <row r="487" spans="1:15">
      <c r="A487" t="s">
        <v>513</v>
      </c>
      <c r="B487" t="s">
        <v>38</v>
      </c>
      <c r="C487">
        <v>3</v>
      </c>
      <c r="D487">
        <v>33337858</v>
      </c>
      <c r="E487">
        <v>3</v>
      </c>
      <c r="F487">
        <v>28</v>
      </c>
      <c r="G487">
        <v>539</v>
      </c>
      <c r="H487">
        <v>22091463</v>
      </c>
      <c r="I487">
        <v>882003</v>
      </c>
      <c r="J487" t="s">
        <v>21</v>
      </c>
      <c r="K487" t="s">
        <v>18</v>
      </c>
      <c r="L487">
        <v>9</v>
      </c>
      <c r="M487">
        <v>49.82</v>
      </c>
      <c r="N487">
        <v>212520</v>
      </c>
      <c r="O487">
        <v>1</v>
      </c>
    </row>
    <row r="488" spans="1:15">
      <c r="A488" t="s">
        <v>514</v>
      </c>
      <c r="B488" t="s">
        <v>27</v>
      </c>
      <c r="C488">
        <v>12</v>
      </c>
      <c r="D488">
        <v>925047</v>
      </c>
      <c r="E488">
        <v>2</v>
      </c>
      <c r="F488">
        <v>26</v>
      </c>
      <c r="G488">
        <v>468</v>
      </c>
      <c r="H488">
        <v>75037699</v>
      </c>
      <c r="I488">
        <v>893496</v>
      </c>
      <c r="J488" t="s">
        <v>21</v>
      </c>
      <c r="K488" t="s">
        <v>18</v>
      </c>
      <c r="L488">
        <v>7</v>
      </c>
      <c r="M488">
        <v>51.87</v>
      </c>
      <c r="N488">
        <v>753178</v>
      </c>
      <c r="O488">
        <v>1</v>
      </c>
    </row>
    <row r="489" spans="1:15">
      <c r="A489" t="s">
        <v>515</v>
      </c>
      <c r="B489" t="s">
        <v>16</v>
      </c>
      <c r="C489">
        <v>12</v>
      </c>
      <c r="D489">
        <v>15356016</v>
      </c>
      <c r="E489">
        <v>4</v>
      </c>
      <c r="F489">
        <v>16</v>
      </c>
      <c r="G489">
        <v>686</v>
      </c>
      <c r="H489">
        <v>2515346</v>
      </c>
      <c r="I489">
        <v>824699</v>
      </c>
      <c r="J489" t="s">
        <v>17</v>
      </c>
      <c r="K489" t="s">
        <v>30</v>
      </c>
      <c r="L489">
        <v>8</v>
      </c>
      <c r="M489">
        <v>25.39</v>
      </c>
      <c r="N489">
        <v>802391</v>
      </c>
      <c r="O489">
        <v>1</v>
      </c>
    </row>
    <row r="490" spans="1:15">
      <c r="A490" t="s">
        <v>516</v>
      </c>
      <c r="B490" t="s">
        <v>20</v>
      </c>
      <c r="C490">
        <v>12</v>
      </c>
      <c r="D490">
        <v>33351772</v>
      </c>
      <c r="E490">
        <v>4</v>
      </c>
      <c r="F490">
        <v>0</v>
      </c>
      <c r="G490">
        <v>142</v>
      </c>
      <c r="H490">
        <v>9978107</v>
      </c>
      <c r="I490">
        <v>864214</v>
      </c>
      <c r="J490" t="s">
        <v>21</v>
      </c>
      <c r="K490" t="s">
        <v>22</v>
      </c>
      <c r="L490">
        <v>7</v>
      </c>
      <c r="M490">
        <v>61.06</v>
      </c>
      <c r="N490">
        <v>375183</v>
      </c>
      <c r="O490">
        <v>1</v>
      </c>
    </row>
    <row r="491" spans="1:15">
      <c r="A491" t="s">
        <v>517</v>
      </c>
      <c r="B491" t="s">
        <v>38</v>
      </c>
      <c r="C491">
        <v>0</v>
      </c>
      <c r="D491">
        <v>8360449</v>
      </c>
      <c r="E491">
        <v>2</v>
      </c>
      <c r="F491">
        <v>5</v>
      </c>
      <c r="G491">
        <v>338</v>
      </c>
      <c r="H491">
        <v>96264683</v>
      </c>
      <c r="I491">
        <v>751018</v>
      </c>
      <c r="J491" t="s">
        <v>25</v>
      </c>
      <c r="K491" t="s">
        <v>18</v>
      </c>
      <c r="L491">
        <v>1</v>
      </c>
      <c r="M491">
        <v>78.599999999999994</v>
      </c>
      <c r="N491">
        <v>575392</v>
      </c>
      <c r="O491">
        <v>1</v>
      </c>
    </row>
    <row r="492" spans="1:15">
      <c r="A492" t="s">
        <v>518</v>
      </c>
      <c r="B492" t="s">
        <v>20</v>
      </c>
      <c r="C492">
        <v>8</v>
      </c>
      <c r="D492">
        <v>30251016</v>
      </c>
      <c r="E492">
        <v>1</v>
      </c>
      <c r="F492">
        <v>8</v>
      </c>
      <c r="G492">
        <v>191</v>
      </c>
      <c r="H492">
        <v>6528942</v>
      </c>
      <c r="I492">
        <v>157988</v>
      </c>
      <c r="J492" t="s">
        <v>21</v>
      </c>
      <c r="K492" t="s">
        <v>22</v>
      </c>
      <c r="L492">
        <v>1</v>
      </c>
      <c r="M492">
        <v>29.73</v>
      </c>
      <c r="N492">
        <v>664048</v>
      </c>
      <c r="O492">
        <v>1</v>
      </c>
    </row>
    <row r="493" spans="1:15">
      <c r="A493" t="s">
        <v>519</v>
      </c>
      <c r="B493" t="s">
        <v>24</v>
      </c>
      <c r="C493">
        <v>14</v>
      </c>
      <c r="D493">
        <v>11893394</v>
      </c>
      <c r="E493">
        <v>2</v>
      </c>
      <c r="F493">
        <v>7</v>
      </c>
      <c r="G493">
        <v>38</v>
      </c>
      <c r="H493">
        <v>26301385</v>
      </c>
      <c r="I493">
        <v>628938</v>
      </c>
      <c r="J493" t="s">
        <v>25</v>
      </c>
      <c r="K493" t="s">
        <v>18</v>
      </c>
      <c r="L493">
        <v>9</v>
      </c>
      <c r="M493">
        <v>30.66</v>
      </c>
      <c r="N493">
        <v>285510</v>
      </c>
      <c r="O493">
        <v>1</v>
      </c>
    </row>
    <row r="494" spans="1:15">
      <c r="A494" t="s">
        <v>520</v>
      </c>
      <c r="B494" t="s">
        <v>38</v>
      </c>
      <c r="C494">
        <v>0</v>
      </c>
      <c r="D494">
        <v>7588160</v>
      </c>
      <c r="E494">
        <v>3</v>
      </c>
      <c r="F494">
        <v>22</v>
      </c>
      <c r="G494">
        <v>125</v>
      </c>
      <c r="H494">
        <v>78289363</v>
      </c>
      <c r="I494">
        <v>760409</v>
      </c>
      <c r="J494" t="s">
        <v>25</v>
      </c>
      <c r="K494" t="s">
        <v>30</v>
      </c>
      <c r="L494">
        <v>8</v>
      </c>
      <c r="M494">
        <v>68.31</v>
      </c>
      <c r="N494">
        <v>82638</v>
      </c>
      <c r="O494">
        <v>1</v>
      </c>
    </row>
    <row r="495" spans="1:15">
      <c r="A495" t="s">
        <v>521</v>
      </c>
      <c r="B495" t="s">
        <v>20</v>
      </c>
      <c r="C495">
        <v>2</v>
      </c>
      <c r="D495">
        <v>34815743</v>
      </c>
      <c r="E495">
        <v>1</v>
      </c>
      <c r="F495">
        <v>26</v>
      </c>
      <c r="G495">
        <v>720</v>
      </c>
      <c r="H495">
        <v>85807067</v>
      </c>
      <c r="I495">
        <v>549114</v>
      </c>
      <c r="J495" t="s">
        <v>25</v>
      </c>
      <c r="K495" t="s">
        <v>18</v>
      </c>
      <c r="L495">
        <v>3</v>
      </c>
      <c r="M495">
        <v>93.23</v>
      </c>
      <c r="N495">
        <v>222056</v>
      </c>
      <c r="O495">
        <v>1</v>
      </c>
    </row>
    <row r="496" spans="1:15">
      <c r="A496" t="s">
        <v>522</v>
      </c>
      <c r="B496" t="s">
        <v>32</v>
      </c>
      <c r="C496">
        <v>6</v>
      </c>
      <c r="D496">
        <v>19250469</v>
      </c>
      <c r="E496">
        <v>1</v>
      </c>
      <c r="F496">
        <v>15</v>
      </c>
      <c r="G496">
        <v>939</v>
      </c>
      <c r="H496">
        <v>61465094</v>
      </c>
      <c r="I496">
        <v>778847</v>
      </c>
      <c r="J496" t="s">
        <v>21</v>
      </c>
      <c r="K496" t="s">
        <v>30</v>
      </c>
      <c r="L496">
        <v>8</v>
      </c>
      <c r="M496">
        <v>77.290000000000006</v>
      </c>
      <c r="N496">
        <v>436836</v>
      </c>
      <c r="O496">
        <v>1</v>
      </c>
    </row>
    <row r="497" spans="1:15">
      <c r="A497" t="s">
        <v>523</v>
      </c>
      <c r="B497" t="s">
        <v>24</v>
      </c>
      <c r="C497">
        <v>0</v>
      </c>
      <c r="D497">
        <v>7165114</v>
      </c>
      <c r="E497">
        <v>4</v>
      </c>
      <c r="F497">
        <v>0</v>
      </c>
      <c r="G497">
        <v>184</v>
      </c>
      <c r="H497">
        <v>68895381</v>
      </c>
      <c r="I497">
        <v>410595</v>
      </c>
      <c r="J497" t="s">
        <v>17</v>
      </c>
      <c r="K497" t="s">
        <v>18</v>
      </c>
      <c r="L497">
        <v>5</v>
      </c>
      <c r="M497">
        <v>96.32</v>
      </c>
      <c r="N497">
        <v>363920</v>
      </c>
      <c r="O497">
        <v>1</v>
      </c>
    </row>
    <row r="498" spans="1:15">
      <c r="A498" t="s">
        <v>524</v>
      </c>
      <c r="B498" t="s">
        <v>27</v>
      </c>
      <c r="C498">
        <v>2</v>
      </c>
      <c r="D498">
        <v>6364465</v>
      </c>
      <c r="E498">
        <v>1</v>
      </c>
      <c r="F498">
        <v>22</v>
      </c>
      <c r="G498">
        <v>481</v>
      </c>
      <c r="H498">
        <v>72219720</v>
      </c>
      <c r="I498">
        <v>235658</v>
      </c>
      <c r="J498" t="s">
        <v>17</v>
      </c>
      <c r="K498" t="s">
        <v>18</v>
      </c>
      <c r="L498">
        <v>7</v>
      </c>
      <c r="M498">
        <v>49.43</v>
      </c>
      <c r="N498">
        <v>464880</v>
      </c>
      <c r="O498">
        <v>1</v>
      </c>
    </row>
    <row r="499" spans="1:15">
      <c r="A499" t="s">
        <v>525</v>
      </c>
      <c r="B499" t="s">
        <v>24</v>
      </c>
      <c r="C499">
        <v>11</v>
      </c>
      <c r="D499">
        <v>19781697</v>
      </c>
      <c r="E499">
        <v>2</v>
      </c>
      <c r="F499">
        <v>19</v>
      </c>
      <c r="G499">
        <v>326</v>
      </c>
      <c r="H499">
        <v>14747247</v>
      </c>
      <c r="I499">
        <v>491856</v>
      </c>
      <c r="J499" t="s">
        <v>17</v>
      </c>
      <c r="K499" t="s">
        <v>22</v>
      </c>
      <c r="L499">
        <v>8</v>
      </c>
      <c r="M499">
        <v>27.23</v>
      </c>
      <c r="N499">
        <v>699396</v>
      </c>
      <c r="O499">
        <v>1</v>
      </c>
    </row>
    <row r="500" spans="1:15">
      <c r="A500" t="s">
        <v>526</v>
      </c>
      <c r="B500" t="s">
        <v>38</v>
      </c>
      <c r="C500">
        <v>0</v>
      </c>
      <c r="D500">
        <v>12169952</v>
      </c>
      <c r="E500">
        <v>3</v>
      </c>
      <c r="F500">
        <v>29</v>
      </c>
      <c r="G500">
        <v>44</v>
      </c>
      <c r="H500">
        <v>66503815</v>
      </c>
      <c r="I500">
        <v>562742</v>
      </c>
      <c r="J500" t="s">
        <v>25</v>
      </c>
      <c r="K500" t="s">
        <v>22</v>
      </c>
      <c r="L500">
        <v>1</v>
      </c>
      <c r="M500">
        <v>59.56</v>
      </c>
      <c r="N500">
        <v>172649</v>
      </c>
      <c r="O500">
        <v>1</v>
      </c>
    </row>
    <row r="501" spans="1:15">
      <c r="A501" t="s">
        <v>527</v>
      </c>
      <c r="B501" t="s">
        <v>38</v>
      </c>
      <c r="C501">
        <v>10</v>
      </c>
      <c r="D501">
        <v>16029770</v>
      </c>
      <c r="E501">
        <v>4</v>
      </c>
      <c r="F501">
        <v>5</v>
      </c>
      <c r="G501">
        <v>761</v>
      </c>
      <c r="H501">
        <v>46657047</v>
      </c>
      <c r="I501">
        <v>637955</v>
      </c>
      <c r="J501" t="s">
        <v>21</v>
      </c>
      <c r="K501" t="s">
        <v>22</v>
      </c>
      <c r="L501">
        <v>7</v>
      </c>
      <c r="M501">
        <v>99.07</v>
      </c>
      <c r="N501">
        <v>470470</v>
      </c>
      <c r="O501">
        <v>1</v>
      </c>
    </row>
    <row r="502" spans="1:15">
      <c r="A502" t="s">
        <v>528</v>
      </c>
      <c r="B502" t="s">
        <v>24</v>
      </c>
      <c r="C502">
        <v>0</v>
      </c>
      <c r="D502">
        <v>16617913</v>
      </c>
      <c r="E502">
        <v>1</v>
      </c>
      <c r="F502">
        <v>0</v>
      </c>
      <c r="G502">
        <v>103</v>
      </c>
      <c r="H502">
        <v>39463810</v>
      </c>
      <c r="I502">
        <v>664410</v>
      </c>
      <c r="J502" t="s">
        <v>21</v>
      </c>
      <c r="K502" t="s">
        <v>30</v>
      </c>
      <c r="L502">
        <v>1</v>
      </c>
      <c r="M502">
        <v>82.74</v>
      </c>
      <c r="N502">
        <v>792742</v>
      </c>
      <c r="O502">
        <v>1</v>
      </c>
    </row>
    <row r="503" spans="1:15">
      <c r="A503" t="s">
        <v>529</v>
      </c>
      <c r="B503" t="s">
        <v>20</v>
      </c>
      <c r="C503">
        <v>13</v>
      </c>
      <c r="D503">
        <v>30872857</v>
      </c>
      <c r="E503">
        <v>1</v>
      </c>
      <c r="F503">
        <v>11</v>
      </c>
      <c r="G503">
        <v>280</v>
      </c>
      <c r="H503">
        <v>52331659</v>
      </c>
      <c r="I503">
        <v>121630</v>
      </c>
      <c r="J503" t="s">
        <v>21</v>
      </c>
      <c r="K503" t="s">
        <v>18</v>
      </c>
      <c r="L503">
        <v>6</v>
      </c>
      <c r="M503">
        <v>54.47</v>
      </c>
      <c r="N503">
        <v>518780</v>
      </c>
      <c r="O503">
        <v>1</v>
      </c>
    </row>
    <row r="504" spans="1:15">
      <c r="A504" t="s">
        <v>530</v>
      </c>
      <c r="B504" t="s">
        <v>29</v>
      </c>
      <c r="C504">
        <v>11</v>
      </c>
      <c r="D504">
        <v>46303372</v>
      </c>
      <c r="E504">
        <v>3</v>
      </c>
      <c r="F504">
        <v>8</v>
      </c>
      <c r="G504">
        <v>715</v>
      </c>
      <c r="H504">
        <v>99222813</v>
      </c>
      <c r="I504">
        <v>920927</v>
      </c>
      <c r="J504" t="s">
        <v>25</v>
      </c>
      <c r="K504" t="s">
        <v>18</v>
      </c>
      <c r="L504">
        <v>3</v>
      </c>
      <c r="M504">
        <v>94.91</v>
      </c>
      <c r="N504">
        <v>278854</v>
      </c>
      <c r="O504">
        <v>1</v>
      </c>
    </row>
    <row r="505" spans="1:15">
      <c r="A505" t="s">
        <v>531</v>
      </c>
      <c r="B505" t="s">
        <v>24</v>
      </c>
      <c r="C505">
        <v>2</v>
      </c>
      <c r="D505">
        <v>9964373</v>
      </c>
      <c r="E505">
        <v>1</v>
      </c>
      <c r="F505">
        <v>11</v>
      </c>
      <c r="G505">
        <v>403</v>
      </c>
      <c r="H505">
        <v>45373949</v>
      </c>
      <c r="I505">
        <v>348265</v>
      </c>
      <c r="J505" t="s">
        <v>21</v>
      </c>
      <c r="K505" t="s">
        <v>18</v>
      </c>
      <c r="L505">
        <v>8</v>
      </c>
      <c r="M505">
        <v>23.75</v>
      </c>
      <c r="N505">
        <v>81601</v>
      </c>
      <c r="O505">
        <v>1</v>
      </c>
    </row>
    <row r="506" spans="1:15">
      <c r="A506" t="s">
        <v>532</v>
      </c>
      <c r="B506" t="s">
        <v>20</v>
      </c>
      <c r="C506">
        <v>2</v>
      </c>
      <c r="D506">
        <v>21709176</v>
      </c>
      <c r="E506">
        <v>4</v>
      </c>
      <c r="F506">
        <v>23</v>
      </c>
      <c r="G506">
        <v>982</v>
      </c>
      <c r="H506">
        <v>81241330</v>
      </c>
      <c r="I506">
        <v>531385</v>
      </c>
      <c r="J506" t="s">
        <v>25</v>
      </c>
      <c r="K506" t="s">
        <v>18</v>
      </c>
      <c r="L506">
        <v>4</v>
      </c>
      <c r="M506">
        <v>80.37</v>
      </c>
      <c r="N506">
        <v>976961</v>
      </c>
      <c r="O506">
        <v>1</v>
      </c>
    </row>
    <row r="507" spans="1:15">
      <c r="A507" t="s">
        <v>533</v>
      </c>
      <c r="B507" t="s">
        <v>20</v>
      </c>
      <c r="C507">
        <v>13</v>
      </c>
      <c r="D507">
        <v>47257584</v>
      </c>
      <c r="E507">
        <v>1</v>
      </c>
      <c r="F507">
        <v>26</v>
      </c>
      <c r="G507">
        <v>472</v>
      </c>
      <c r="H507">
        <v>17690091</v>
      </c>
      <c r="I507">
        <v>186601</v>
      </c>
      <c r="J507" t="s">
        <v>21</v>
      </c>
      <c r="K507" t="s">
        <v>22</v>
      </c>
      <c r="L507">
        <v>7</v>
      </c>
      <c r="M507">
        <v>45.16</v>
      </c>
      <c r="N507">
        <v>63391</v>
      </c>
      <c r="O507">
        <v>1</v>
      </c>
    </row>
    <row r="508" spans="1:15">
      <c r="A508" t="s">
        <v>534</v>
      </c>
      <c r="B508" t="s">
        <v>29</v>
      </c>
      <c r="C508">
        <v>9</v>
      </c>
      <c r="D508">
        <v>46816578</v>
      </c>
      <c r="E508">
        <v>4</v>
      </c>
      <c r="F508">
        <v>6</v>
      </c>
      <c r="G508">
        <v>142</v>
      </c>
      <c r="H508">
        <v>35524976</v>
      </c>
      <c r="I508">
        <v>538750</v>
      </c>
      <c r="J508" t="s">
        <v>25</v>
      </c>
      <c r="K508" t="s">
        <v>18</v>
      </c>
      <c r="L508">
        <v>7</v>
      </c>
      <c r="M508">
        <v>95.67</v>
      </c>
      <c r="N508">
        <v>130377</v>
      </c>
      <c r="O508">
        <v>1</v>
      </c>
    </row>
    <row r="509" spans="1:15">
      <c r="A509" t="s">
        <v>535</v>
      </c>
      <c r="B509" t="s">
        <v>38</v>
      </c>
      <c r="C509">
        <v>3</v>
      </c>
      <c r="D509">
        <v>8230900</v>
      </c>
      <c r="E509">
        <v>3</v>
      </c>
      <c r="F509">
        <v>2</v>
      </c>
      <c r="G509">
        <v>823</v>
      </c>
      <c r="H509">
        <v>8146548</v>
      </c>
      <c r="I509">
        <v>628108</v>
      </c>
      <c r="J509" t="s">
        <v>21</v>
      </c>
      <c r="K509" t="s">
        <v>18</v>
      </c>
      <c r="L509">
        <v>8</v>
      </c>
      <c r="M509">
        <v>8.8699999999999992</v>
      </c>
      <c r="N509">
        <v>920123</v>
      </c>
      <c r="O509">
        <v>1</v>
      </c>
    </row>
    <row r="510" spans="1:15">
      <c r="A510" t="s">
        <v>536</v>
      </c>
      <c r="B510" t="s">
        <v>16</v>
      </c>
      <c r="C510">
        <v>2</v>
      </c>
      <c r="D510">
        <v>18159290</v>
      </c>
      <c r="E510">
        <v>1</v>
      </c>
      <c r="F510">
        <v>11</v>
      </c>
      <c r="G510">
        <v>412</v>
      </c>
      <c r="H510">
        <v>99908534</v>
      </c>
      <c r="I510">
        <v>425912</v>
      </c>
      <c r="J510" t="s">
        <v>25</v>
      </c>
      <c r="K510" t="s">
        <v>18</v>
      </c>
      <c r="L510">
        <v>2</v>
      </c>
      <c r="M510">
        <v>77.06</v>
      </c>
      <c r="N510">
        <v>237168</v>
      </c>
      <c r="O510">
        <v>1</v>
      </c>
    </row>
    <row r="511" spans="1:15">
      <c r="A511" t="s">
        <v>537</v>
      </c>
      <c r="B511" t="s">
        <v>16</v>
      </c>
      <c r="C511">
        <v>1</v>
      </c>
      <c r="D511">
        <v>24111761</v>
      </c>
      <c r="E511">
        <v>1</v>
      </c>
      <c r="F511">
        <v>8</v>
      </c>
      <c r="G511">
        <v>359</v>
      </c>
      <c r="H511">
        <v>45223695</v>
      </c>
      <c r="I511">
        <v>845195</v>
      </c>
      <c r="J511" t="s">
        <v>21</v>
      </c>
      <c r="K511" t="s">
        <v>22</v>
      </c>
      <c r="L511">
        <v>5</v>
      </c>
      <c r="M511">
        <v>97.48</v>
      </c>
      <c r="N511">
        <v>685133</v>
      </c>
      <c r="O511">
        <v>1</v>
      </c>
    </row>
    <row r="512" spans="1:15">
      <c r="A512" t="s">
        <v>538</v>
      </c>
      <c r="B512" t="s">
        <v>29</v>
      </c>
      <c r="C512">
        <v>13</v>
      </c>
      <c r="D512">
        <v>26985881</v>
      </c>
      <c r="E512">
        <v>2</v>
      </c>
      <c r="F512">
        <v>20</v>
      </c>
      <c r="G512">
        <v>950</v>
      </c>
      <c r="H512">
        <v>64031592</v>
      </c>
      <c r="I512">
        <v>634803</v>
      </c>
      <c r="J512" t="s">
        <v>21</v>
      </c>
      <c r="K512" t="s">
        <v>18</v>
      </c>
      <c r="L512">
        <v>6</v>
      </c>
      <c r="M512">
        <v>12.69</v>
      </c>
      <c r="N512">
        <v>548978</v>
      </c>
      <c r="O512">
        <v>1</v>
      </c>
    </row>
    <row r="513" spans="1:15">
      <c r="A513" t="s">
        <v>539</v>
      </c>
      <c r="B513" t="s">
        <v>27</v>
      </c>
      <c r="C513">
        <v>12</v>
      </c>
      <c r="D513">
        <v>42713409</v>
      </c>
      <c r="E513">
        <v>4</v>
      </c>
      <c r="F513">
        <v>4</v>
      </c>
      <c r="G513">
        <v>945</v>
      </c>
      <c r="H513">
        <v>52786767</v>
      </c>
      <c r="I513">
        <v>480418</v>
      </c>
      <c r="J513" t="s">
        <v>17</v>
      </c>
      <c r="K513" t="s">
        <v>30</v>
      </c>
      <c r="L513">
        <v>1</v>
      </c>
      <c r="M513">
        <v>91.63</v>
      </c>
      <c r="N513">
        <v>645633</v>
      </c>
      <c r="O513">
        <v>1</v>
      </c>
    </row>
    <row r="514" spans="1:15">
      <c r="A514" t="s">
        <v>540</v>
      </c>
      <c r="B514" t="s">
        <v>38</v>
      </c>
      <c r="C514">
        <v>6</v>
      </c>
      <c r="D514">
        <v>41648428</v>
      </c>
      <c r="E514">
        <v>1</v>
      </c>
      <c r="F514">
        <v>29</v>
      </c>
      <c r="G514">
        <v>283</v>
      </c>
      <c r="H514">
        <v>21518790</v>
      </c>
      <c r="I514">
        <v>453262</v>
      </c>
      <c r="J514" t="s">
        <v>25</v>
      </c>
      <c r="K514" t="s">
        <v>30</v>
      </c>
      <c r="L514">
        <v>1</v>
      </c>
      <c r="M514">
        <v>11.08</v>
      </c>
      <c r="N514">
        <v>419426</v>
      </c>
      <c r="O514">
        <v>1</v>
      </c>
    </row>
    <row r="515" spans="1:15">
      <c r="A515" t="s">
        <v>541</v>
      </c>
      <c r="B515" t="s">
        <v>20</v>
      </c>
      <c r="C515">
        <v>5</v>
      </c>
      <c r="D515">
        <v>1348494</v>
      </c>
      <c r="E515">
        <v>1</v>
      </c>
      <c r="F515">
        <v>20</v>
      </c>
      <c r="G515">
        <v>5</v>
      </c>
      <c r="H515">
        <v>47289080</v>
      </c>
      <c r="I515">
        <v>983838</v>
      </c>
      <c r="J515" t="s">
        <v>17</v>
      </c>
      <c r="K515" t="s">
        <v>18</v>
      </c>
      <c r="L515">
        <v>8</v>
      </c>
      <c r="M515">
        <v>39.33</v>
      </c>
      <c r="N515">
        <v>974688</v>
      </c>
      <c r="O515">
        <v>1</v>
      </c>
    </row>
    <row r="516" spans="1:15">
      <c r="A516" t="s">
        <v>542</v>
      </c>
      <c r="B516" t="s">
        <v>20</v>
      </c>
      <c r="C516">
        <v>10</v>
      </c>
      <c r="D516">
        <v>18191937</v>
      </c>
      <c r="E516">
        <v>1</v>
      </c>
      <c r="F516">
        <v>11</v>
      </c>
      <c r="G516">
        <v>757</v>
      </c>
      <c r="H516">
        <v>36849222</v>
      </c>
      <c r="I516">
        <v>999116</v>
      </c>
      <c r="J516" t="s">
        <v>25</v>
      </c>
      <c r="K516" t="s">
        <v>22</v>
      </c>
      <c r="L516">
        <v>9</v>
      </c>
      <c r="M516">
        <v>58.04</v>
      </c>
      <c r="N516">
        <v>679949</v>
      </c>
      <c r="O516">
        <v>1</v>
      </c>
    </row>
    <row r="517" spans="1:15">
      <c r="A517" t="s">
        <v>543</v>
      </c>
      <c r="B517" t="s">
        <v>29</v>
      </c>
      <c r="C517">
        <v>5</v>
      </c>
      <c r="D517">
        <v>20482139</v>
      </c>
      <c r="E517">
        <v>1</v>
      </c>
      <c r="F517">
        <v>9</v>
      </c>
      <c r="G517">
        <v>563</v>
      </c>
      <c r="H517">
        <v>82223831</v>
      </c>
      <c r="I517">
        <v>187774</v>
      </c>
      <c r="J517" t="s">
        <v>21</v>
      </c>
      <c r="K517" t="s">
        <v>18</v>
      </c>
      <c r="L517">
        <v>4</v>
      </c>
      <c r="M517">
        <v>24.74</v>
      </c>
      <c r="N517">
        <v>879455</v>
      </c>
      <c r="O517">
        <v>1</v>
      </c>
    </row>
    <row r="518" spans="1:15">
      <c r="A518" t="s">
        <v>544</v>
      </c>
      <c r="B518" t="s">
        <v>27</v>
      </c>
      <c r="C518">
        <v>11</v>
      </c>
      <c r="D518">
        <v>10811641</v>
      </c>
      <c r="E518">
        <v>3</v>
      </c>
      <c r="F518">
        <v>19</v>
      </c>
      <c r="G518">
        <v>363</v>
      </c>
      <c r="H518">
        <v>20808535</v>
      </c>
      <c r="I518">
        <v>900809</v>
      </c>
      <c r="J518" t="s">
        <v>17</v>
      </c>
      <c r="K518" t="s">
        <v>18</v>
      </c>
      <c r="L518">
        <v>5</v>
      </c>
      <c r="M518">
        <v>85.52</v>
      </c>
      <c r="N518">
        <v>135745</v>
      </c>
      <c r="O518">
        <v>1</v>
      </c>
    </row>
    <row r="519" spans="1:15">
      <c r="A519" t="s">
        <v>545</v>
      </c>
      <c r="B519" t="s">
        <v>27</v>
      </c>
      <c r="C519">
        <v>3</v>
      </c>
      <c r="D519">
        <v>46340289</v>
      </c>
      <c r="E519">
        <v>1</v>
      </c>
      <c r="F519">
        <v>21</v>
      </c>
      <c r="G519">
        <v>848</v>
      </c>
      <c r="H519">
        <v>20965939</v>
      </c>
      <c r="I519">
        <v>573803</v>
      </c>
      <c r="J519" t="s">
        <v>17</v>
      </c>
      <c r="K519" t="s">
        <v>18</v>
      </c>
      <c r="L519">
        <v>3</v>
      </c>
      <c r="M519">
        <v>46.28</v>
      </c>
      <c r="N519">
        <v>24157</v>
      </c>
      <c r="O519">
        <v>1</v>
      </c>
    </row>
    <row r="520" spans="1:15">
      <c r="A520" t="s">
        <v>546</v>
      </c>
      <c r="B520" t="s">
        <v>29</v>
      </c>
      <c r="C520">
        <v>2</v>
      </c>
      <c r="D520">
        <v>25657106</v>
      </c>
      <c r="E520">
        <v>1</v>
      </c>
      <c r="F520">
        <v>2</v>
      </c>
      <c r="G520">
        <v>341</v>
      </c>
      <c r="H520">
        <v>38638994</v>
      </c>
      <c r="I520">
        <v>313652</v>
      </c>
      <c r="J520" t="s">
        <v>25</v>
      </c>
      <c r="K520" t="s">
        <v>30</v>
      </c>
      <c r="L520">
        <v>7</v>
      </c>
      <c r="M520">
        <v>66.58</v>
      </c>
      <c r="N520">
        <v>677641</v>
      </c>
      <c r="O520">
        <v>1</v>
      </c>
    </row>
    <row r="521" spans="1:15">
      <c r="A521" t="s">
        <v>547</v>
      </c>
      <c r="B521" t="s">
        <v>24</v>
      </c>
      <c r="C521">
        <v>10</v>
      </c>
      <c r="D521">
        <v>8116777</v>
      </c>
      <c r="E521">
        <v>1</v>
      </c>
      <c r="F521">
        <v>24</v>
      </c>
      <c r="G521">
        <v>604</v>
      </c>
      <c r="H521">
        <v>34750422</v>
      </c>
      <c r="I521">
        <v>809545</v>
      </c>
      <c r="J521" t="s">
        <v>21</v>
      </c>
      <c r="K521" t="s">
        <v>18</v>
      </c>
      <c r="L521">
        <v>7</v>
      </c>
      <c r="M521">
        <v>33.71</v>
      </c>
      <c r="N521">
        <v>747017</v>
      </c>
      <c r="O521">
        <v>1</v>
      </c>
    </row>
    <row r="522" spans="1:15">
      <c r="A522" t="s">
        <v>548</v>
      </c>
      <c r="B522" t="s">
        <v>38</v>
      </c>
      <c r="C522">
        <v>14</v>
      </c>
      <c r="D522">
        <v>48276994</v>
      </c>
      <c r="E522">
        <v>2</v>
      </c>
      <c r="F522">
        <v>3</v>
      </c>
      <c r="G522">
        <v>470</v>
      </c>
      <c r="H522">
        <v>38205819</v>
      </c>
      <c r="I522">
        <v>128303</v>
      </c>
      <c r="J522" t="s">
        <v>17</v>
      </c>
      <c r="K522" t="s">
        <v>22</v>
      </c>
      <c r="L522">
        <v>4</v>
      </c>
      <c r="M522">
        <v>2.69</v>
      </c>
      <c r="N522">
        <v>209824</v>
      </c>
      <c r="O522">
        <v>1</v>
      </c>
    </row>
    <row r="523" spans="1:15">
      <c r="A523" t="s">
        <v>549</v>
      </c>
      <c r="B523" t="s">
        <v>24</v>
      </c>
      <c r="C523">
        <v>3</v>
      </c>
      <c r="D523">
        <v>33840621</v>
      </c>
      <c r="E523">
        <v>1</v>
      </c>
      <c r="F523">
        <v>27</v>
      </c>
      <c r="G523">
        <v>69</v>
      </c>
      <c r="H523">
        <v>96357041</v>
      </c>
      <c r="I523">
        <v>463118</v>
      </c>
      <c r="J523" t="s">
        <v>25</v>
      </c>
      <c r="K523" t="s">
        <v>30</v>
      </c>
      <c r="L523">
        <v>8</v>
      </c>
      <c r="M523">
        <v>21.81</v>
      </c>
      <c r="N523">
        <v>147917</v>
      </c>
      <c r="O523">
        <v>1</v>
      </c>
    </row>
    <row r="524" spans="1:15">
      <c r="A524" t="s">
        <v>550</v>
      </c>
      <c r="B524" t="s">
        <v>20</v>
      </c>
      <c r="C524">
        <v>9</v>
      </c>
      <c r="D524">
        <v>23862481</v>
      </c>
      <c r="E524">
        <v>1</v>
      </c>
      <c r="F524">
        <v>11</v>
      </c>
      <c r="G524">
        <v>199</v>
      </c>
      <c r="H524">
        <v>28249296</v>
      </c>
      <c r="I524">
        <v>274253</v>
      </c>
      <c r="J524" t="s">
        <v>21</v>
      </c>
      <c r="K524" t="s">
        <v>18</v>
      </c>
      <c r="L524">
        <v>9</v>
      </c>
      <c r="M524">
        <v>80.709999999999994</v>
      </c>
      <c r="N524">
        <v>561196</v>
      </c>
      <c r="O524">
        <v>1</v>
      </c>
    </row>
    <row r="525" spans="1:15">
      <c r="A525" t="s">
        <v>551</v>
      </c>
      <c r="B525" t="s">
        <v>27</v>
      </c>
      <c r="C525">
        <v>1</v>
      </c>
      <c r="D525">
        <v>45373955</v>
      </c>
      <c r="E525">
        <v>1</v>
      </c>
      <c r="F525">
        <v>6</v>
      </c>
      <c r="G525">
        <v>981</v>
      </c>
      <c r="H525">
        <v>80590686</v>
      </c>
      <c r="I525">
        <v>543676</v>
      </c>
      <c r="J525" t="s">
        <v>21</v>
      </c>
      <c r="K525" t="s">
        <v>18</v>
      </c>
      <c r="L525">
        <v>8</v>
      </c>
      <c r="M525">
        <v>66.25</v>
      </c>
      <c r="N525">
        <v>803085</v>
      </c>
      <c r="O525">
        <v>1</v>
      </c>
    </row>
    <row r="526" spans="1:15">
      <c r="A526" t="s">
        <v>552</v>
      </c>
      <c r="B526" t="s">
        <v>20</v>
      </c>
      <c r="C526">
        <v>7</v>
      </c>
      <c r="D526">
        <v>39632662</v>
      </c>
      <c r="E526">
        <v>2</v>
      </c>
      <c r="F526">
        <v>6</v>
      </c>
      <c r="G526">
        <v>261</v>
      </c>
      <c r="H526">
        <v>71546465</v>
      </c>
      <c r="I526">
        <v>748566</v>
      </c>
      <c r="J526" t="s">
        <v>17</v>
      </c>
      <c r="K526" t="s">
        <v>18</v>
      </c>
      <c r="L526">
        <v>7</v>
      </c>
      <c r="M526">
        <v>45.75</v>
      </c>
      <c r="N526">
        <v>173353</v>
      </c>
      <c r="O526">
        <v>1</v>
      </c>
    </row>
    <row r="527" spans="1:15">
      <c r="A527" t="s">
        <v>553</v>
      </c>
      <c r="B527" t="s">
        <v>27</v>
      </c>
      <c r="C527">
        <v>13</v>
      </c>
      <c r="D527">
        <v>10750806</v>
      </c>
      <c r="E527">
        <v>4</v>
      </c>
      <c r="F527">
        <v>15</v>
      </c>
      <c r="G527">
        <v>700</v>
      </c>
      <c r="H527">
        <v>30836823</v>
      </c>
      <c r="I527">
        <v>498834</v>
      </c>
      <c r="J527" t="s">
        <v>17</v>
      </c>
      <c r="K527" t="s">
        <v>18</v>
      </c>
      <c r="L527">
        <v>2</v>
      </c>
      <c r="M527">
        <v>91.44</v>
      </c>
      <c r="N527">
        <v>182693</v>
      </c>
      <c r="O527">
        <v>1</v>
      </c>
    </row>
    <row r="528" spans="1:15">
      <c r="A528" t="s">
        <v>554</v>
      </c>
      <c r="B528" t="s">
        <v>38</v>
      </c>
      <c r="C528">
        <v>14</v>
      </c>
      <c r="D528">
        <v>5185329</v>
      </c>
      <c r="E528">
        <v>4</v>
      </c>
      <c r="F528">
        <v>25</v>
      </c>
      <c r="G528">
        <v>593</v>
      </c>
      <c r="H528">
        <v>50562508</v>
      </c>
      <c r="I528">
        <v>929905</v>
      </c>
      <c r="J528" t="s">
        <v>21</v>
      </c>
      <c r="K528" t="s">
        <v>18</v>
      </c>
      <c r="L528">
        <v>9</v>
      </c>
      <c r="M528">
        <v>33.61</v>
      </c>
      <c r="N528">
        <v>850874</v>
      </c>
      <c r="O528">
        <v>1</v>
      </c>
    </row>
    <row r="529" spans="1:15">
      <c r="A529" t="s">
        <v>555</v>
      </c>
      <c r="B529" t="s">
        <v>32</v>
      </c>
      <c r="C529">
        <v>13</v>
      </c>
      <c r="D529">
        <v>347686</v>
      </c>
      <c r="E529">
        <v>2</v>
      </c>
      <c r="F529">
        <v>27</v>
      </c>
      <c r="G529">
        <v>636</v>
      </c>
      <c r="H529">
        <v>61857007</v>
      </c>
      <c r="I529">
        <v>625465</v>
      </c>
      <c r="J529" t="s">
        <v>25</v>
      </c>
      <c r="K529" t="s">
        <v>30</v>
      </c>
      <c r="L529">
        <v>1</v>
      </c>
      <c r="M529">
        <v>65.66</v>
      </c>
      <c r="N529">
        <v>181826</v>
      </c>
      <c r="O529">
        <v>1</v>
      </c>
    </row>
    <row r="530" spans="1:15">
      <c r="A530" t="s">
        <v>556</v>
      </c>
      <c r="B530" t="s">
        <v>38</v>
      </c>
      <c r="C530">
        <v>0</v>
      </c>
      <c r="D530">
        <v>10315970</v>
      </c>
      <c r="E530">
        <v>2</v>
      </c>
      <c r="F530">
        <v>24</v>
      </c>
      <c r="G530">
        <v>649</v>
      </c>
      <c r="H530">
        <v>11727769</v>
      </c>
      <c r="I530">
        <v>265854</v>
      </c>
      <c r="J530" t="s">
        <v>25</v>
      </c>
      <c r="K530" t="s">
        <v>30</v>
      </c>
      <c r="L530">
        <v>5</v>
      </c>
      <c r="M530">
        <v>39.979999999999997</v>
      </c>
      <c r="N530">
        <v>245464</v>
      </c>
      <c r="O530">
        <v>1</v>
      </c>
    </row>
    <row r="531" spans="1:15">
      <c r="A531" t="s">
        <v>557</v>
      </c>
      <c r="B531" t="s">
        <v>27</v>
      </c>
      <c r="C531">
        <v>13</v>
      </c>
      <c r="D531">
        <v>38676385</v>
      </c>
      <c r="E531">
        <v>3</v>
      </c>
      <c r="F531">
        <v>0</v>
      </c>
      <c r="G531">
        <v>543</v>
      </c>
      <c r="H531">
        <v>34749034</v>
      </c>
      <c r="I531">
        <v>421553</v>
      </c>
      <c r="J531" t="s">
        <v>21</v>
      </c>
      <c r="K531" t="s">
        <v>22</v>
      </c>
      <c r="L531">
        <v>3</v>
      </c>
      <c r="M531">
        <v>54.92</v>
      </c>
      <c r="N531">
        <v>522018</v>
      </c>
      <c r="O531">
        <v>1</v>
      </c>
    </row>
    <row r="532" spans="1:15">
      <c r="A532" t="s">
        <v>558</v>
      </c>
      <c r="B532" t="s">
        <v>27</v>
      </c>
      <c r="C532">
        <v>14</v>
      </c>
      <c r="D532">
        <v>42788660</v>
      </c>
      <c r="E532">
        <v>2</v>
      </c>
      <c r="F532">
        <v>26</v>
      </c>
      <c r="G532">
        <v>15</v>
      </c>
      <c r="H532">
        <v>78293880</v>
      </c>
      <c r="I532">
        <v>256631</v>
      </c>
      <c r="J532" t="s">
        <v>21</v>
      </c>
      <c r="K532" t="s">
        <v>18</v>
      </c>
      <c r="L532">
        <v>6</v>
      </c>
      <c r="M532">
        <v>0.2</v>
      </c>
      <c r="N532">
        <v>623396</v>
      </c>
      <c r="O532">
        <v>1</v>
      </c>
    </row>
    <row r="533" spans="1:15">
      <c r="A533" t="s">
        <v>559</v>
      </c>
      <c r="B533" t="s">
        <v>29</v>
      </c>
      <c r="C533">
        <v>8</v>
      </c>
      <c r="D533">
        <v>5450131</v>
      </c>
      <c r="E533">
        <v>2</v>
      </c>
      <c r="F533">
        <v>16</v>
      </c>
      <c r="G533">
        <v>322</v>
      </c>
      <c r="H533">
        <v>83128040</v>
      </c>
      <c r="I533">
        <v>351445</v>
      </c>
      <c r="J533" t="s">
        <v>21</v>
      </c>
      <c r="K533" t="s">
        <v>22</v>
      </c>
      <c r="L533">
        <v>3</v>
      </c>
      <c r="M533">
        <v>19.760000000000002</v>
      </c>
      <c r="N533">
        <v>894130</v>
      </c>
      <c r="O533">
        <v>1</v>
      </c>
    </row>
    <row r="534" spans="1:15">
      <c r="A534" t="s">
        <v>560</v>
      </c>
      <c r="B534" t="s">
        <v>27</v>
      </c>
      <c r="C534">
        <v>10</v>
      </c>
      <c r="D534">
        <v>5080069</v>
      </c>
      <c r="E534">
        <v>1</v>
      </c>
      <c r="F534">
        <v>24</v>
      </c>
      <c r="G534">
        <v>739</v>
      </c>
      <c r="H534">
        <v>81009685</v>
      </c>
      <c r="I534">
        <v>493412</v>
      </c>
      <c r="J534" t="s">
        <v>17</v>
      </c>
      <c r="K534" t="s">
        <v>22</v>
      </c>
      <c r="L534">
        <v>7</v>
      </c>
      <c r="M534">
        <v>32.869999999999997</v>
      </c>
      <c r="N534">
        <v>535084</v>
      </c>
      <c r="O534">
        <v>1</v>
      </c>
    </row>
    <row r="535" spans="1:15">
      <c r="A535" t="s">
        <v>561</v>
      </c>
      <c r="B535" t="s">
        <v>32</v>
      </c>
      <c r="C535">
        <v>6</v>
      </c>
      <c r="D535">
        <v>34811310</v>
      </c>
      <c r="E535">
        <v>1</v>
      </c>
      <c r="F535">
        <v>8</v>
      </c>
      <c r="G535">
        <v>426</v>
      </c>
      <c r="H535">
        <v>30692371</v>
      </c>
      <c r="I535">
        <v>473713</v>
      </c>
      <c r="J535" t="s">
        <v>25</v>
      </c>
      <c r="K535" t="s">
        <v>30</v>
      </c>
      <c r="L535">
        <v>2</v>
      </c>
      <c r="M535">
        <v>58.12</v>
      </c>
      <c r="N535">
        <v>257436</v>
      </c>
      <c r="O535">
        <v>1</v>
      </c>
    </row>
    <row r="536" spans="1:15">
      <c r="A536" t="s">
        <v>562</v>
      </c>
      <c r="B536" t="s">
        <v>27</v>
      </c>
      <c r="C536">
        <v>2</v>
      </c>
      <c r="D536">
        <v>6066679</v>
      </c>
      <c r="E536">
        <v>2</v>
      </c>
      <c r="F536">
        <v>19</v>
      </c>
      <c r="G536">
        <v>653</v>
      </c>
      <c r="H536">
        <v>87286197</v>
      </c>
      <c r="I536">
        <v>977287</v>
      </c>
      <c r="J536" t="s">
        <v>25</v>
      </c>
      <c r="K536" t="s">
        <v>30</v>
      </c>
      <c r="L536">
        <v>1</v>
      </c>
      <c r="M536">
        <v>31.5</v>
      </c>
      <c r="N536">
        <v>132255</v>
      </c>
      <c r="O536">
        <v>1</v>
      </c>
    </row>
    <row r="537" spans="1:15">
      <c r="A537" t="s">
        <v>563</v>
      </c>
      <c r="B537" t="s">
        <v>32</v>
      </c>
      <c r="C537">
        <v>12</v>
      </c>
      <c r="D537">
        <v>25436602</v>
      </c>
      <c r="E537">
        <v>2</v>
      </c>
      <c r="F537">
        <v>20</v>
      </c>
      <c r="G537">
        <v>447</v>
      </c>
      <c r="H537">
        <v>52790364</v>
      </c>
      <c r="I537">
        <v>328386</v>
      </c>
      <c r="J537" t="s">
        <v>25</v>
      </c>
      <c r="K537" t="s">
        <v>22</v>
      </c>
      <c r="L537">
        <v>7</v>
      </c>
      <c r="M537">
        <v>7.42</v>
      </c>
      <c r="N537">
        <v>796968</v>
      </c>
      <c r="O537">
        <v>1</v>
      </c>
    </row>
    <row r="538" spans="1:15">
      <c r="A538" t="s">
        <v>564</v>
      </c>
      <c r="B538" t="s">
        <v>16</v>
      </c>
      <c r="C538">
        <v>4</v>
      </c>
      <c r="D538">
        <v>27055291</v>
      </c>
      <c r="E538">
        <v>2</v>
      </c>
      <c r="F538">
        <v>8</v>
      </c>
      <c r="G538">
        <v>312</v>
      </c>
      <c r="H538">
        <v>78742496</v>
      </c>
      <c r="I538">
        <v>989470</v>
      </c>
      <c r="J538" t="s">
        <v>25</v>
      </c>
      <c r="K538" t="s">
        <v>18</v>
      </c>
      <c r="L538">
        <v>3</v>
      </c>
      <c r="M538">
        <v>88.59</v>
      </c>
      <c r="N538">
        <v>390321</v>
      </c>
      <c r="O538">
        <v>1</v>
      </c>
    </row>
    <row r="539" spans="1:15">
      <c r="A539" t="s">
        <v>565</v>
      </c>
      <c r="B539" t="s">
        <v>24</v>
      </c>
      <c r="C539">
        <v>0</v>
      </c>
      <c r="D539">
        <v>17213484</v>
      </c>
      <c r="E539">
        <v>3</v>
      </c>
      <c r="F539">
        <v>28</v>
      </c>
      <c r="G539">
        <v>979</v>
      </c>
      <c r="H539">
        <v>9684327</v>
      </c>
      <c r="I539">
        <v>547594</v>
      </c>
      <c r="J539" t="s">
        <v>25</v>
      </c>
      <c r="K539" t="s">
        <v>18</v>
      </c>
      <c r="L539">
        <v>2</v>
      </c>
      <c r="M539">
        <v>51.33</v>
      </c>
      <c r="N539">
        <v>625380</v>
      </c>
      <c r="O539">
        <v>1</v>
      </c>
    </row>
    <row r="540" spans="1:15">
      <c r="A540" t="s">
        <v>566</v>
      </c>
      <c r="B540" t="s">
        <v>20</v>
      </c>
      <c r="C540">
        <v>8</v>
      </c>
      <c r="D540">
        <v>5259672</v>
      </c>
      <c r="E540">
        <v>1</v>
      </c>
      <c r="F540">
        <v>7</v>
      </c>
      <c r="G540">
        <v>154</v>
      </c>
      <c r="H540">
        <v>20013324</v>
      </c>
      <c r="I540">
        <v>860979</v>
      </c>
      <c r="J540" t="s">
        <v>17</v>
      </c>
      <c r="K540" t="s">
        <v>18</v>
      </c>
      <c r="L540">
        <v>1</v>
      </c>
      <c r="M540">
        <v>67.55</v>
      </c>
      <c r="N540">
        <v>855304</v>
      </c>
      <c r="O540">
        <v>1</v>
      </c>
    </row>
    <row r="541" spans="1:15">
      <c r="A541" t="s">
        <v>567</v>
      </c>
      <c r="B541" t="s">
        <v>24</v>
      </c>
      <c r="C541">
        <v>13</v>
      </c>
      <c r="D541">
        <v>17977269</v>
      </c>
      <c r="E541">
        <v>1</v>
      </c>
      <c r="F541">
        <v>13</v>
      </c>
      <c r="G541">
        <v>920</v>
      </c>
      <c r="H541">
        <v>45977792</v>
      </c>
      <c r="I541">
        <v>471568</v>
      </c>
      <c r="J541" t="s">
        <v>21</v>
      </c>
      <c r="K541" t="s">
        <v>18</v>
      </c>
      <c r="L541">
        <v>1</v>
      </c>
      <c r="M541">
        <v>83.96</v>
      </c>
      <c r="N541">
        <v>412222</v>
      </c>
      <c r="O541">
        <v>1</v>
      </c>
    </row>
    <row r="542" spans="1:15">
      <c r="A542" t="s">
        <v>568</v>
      </c>
      <c r="B542" t="s">
        <v>29</v>
      </c>
      <c r="C542">
        <v>2</v>
      </c>
      <c r="D542">
        <v>1768583</v>
      </c>
      <c r="E542">
        <v>2</v>
      </c>
      <c r="F542">
        <v>8</v>
      </c>
      <c r="G542">
        <v>35</v>
      </c>
      <c r="H542">
        <v>45415159</v>
      </c>
      <c r="I542">
        <v>189787</v>
      </c>
      <c r="J542" t="s">
        <v>25</v>
      </c>
      <c r="K542" t="s">
        <v>22</v>
      </c>
      <c r="L542">
        <v>2</v>
      </c>
      <c r="M542">
        <v>46.1</v>
      </c>
      <c r="N542">
        <v>727998</v>
      </c>
      <c r="O542">
        <v>1</v>
      </c>
    </row>
    <row r="543" spans="1:15">
      <c r="A543" t="s">
        <v>569</v>
      </c>
      <c r="B543" t="s">
        <v>29</v>
      </c>
      <c r="C543">
        <v>13</v>
      </c>
      <c r="D543">
        <v>20651325</v>
      </c>
      <c r="E543">
        <v>1</v>
      </c>
      <c r="F543">
        <v>25</v>
      </c>
      <c r="G543">
        <v>484</v>
      </c>
      <c r="H543">
        <v>93825125</v>
      </c>
      <c r="I543">
        <v>644747</v>
      </c>
      <c r="J543" t="s">
        <v>21</v>
      </c>
      <c r="K543" t="s">
        <v>18</v>
      </c>
      <c r="L543">
        <v>3</v>
      </c>
      <c r="M543">
        <v>72.569999999999993</v>
      </c>
      <c r="N543">
        <v>146022</v>
      </c>
      <c r="O543">
        <v>1</v>
      </c>
    </row>
    <row r="544" spans="1:15">
      <c r="A544" t="s">
        <v>570</v>
      </c>
      <c r="B544" t="s">
        <v>38</v>
      </c>
      <c r="C544">
        <v>14</v>
      </c>
      <c r="D544">
        <v>12607499</v>
      </c>
      <c r="E544">
        <v>4</v>
      </c>
      <c r="F544">
        <v>12</v>
      </c>
      <c r="G544">
        <v>472</v>
      </c>
      <c r="H544">
        <v>72246673</v>
      </c>
      <c r="I544">
        <v>900839</v>
      </c>
      <c r="J544" t="s">
        <v>17</v>
      </c>
      <c r="K544" t="s">
        <v>30</v>
      </c>
      <c r="L544">
        <v>1</v>
      </c>
      <c r="M544">
        <v>34.36</v>
      </c>
      <c r="N544">
        <v>410313</v>
      </c>
      <c r="O544">
        <v>1</v>
      </c>
    </row>
    <row r="545" spans="1:15">
      <c r="A545" t="s">
        <v>571</v>
      </c>
      <c r="B545" t="s">
        <v>29</v>
      </c>
      <c r="C545">
        <v>1</v>
      </c>
      <c r="D545">
        <v>370164</v>
      </c>
      <c r="E545">
        <v>3</v>
      </c>
      <c r="F545">
        <v>3</v>
      </c>
      <c r="G545">
        <v>817</v>
      </c>
      <c r="H545">
        <v>81199896</v>
      </c>
      <c r="I545">
        <v>987081</v>
      </c>
      <c r="J545" t="s">
        <v>25</v>
      </c>
      <c r="K545" t="s">
        <v>18</v>
      </c>
      <c r="L545">
        <v>2</v>
      </c>
      <c r="M545">
        <v>20.43</v>
      </c>
      <c r="N545">
        <v>169281</v>
      </c>
      <c r="O545">
        <v>1</v>
      </c>
    </row>
    <row r="546" spans="1:15">
      <c r="A546" t="s">
        <v>572</v>
      </c>
      <c r="B546" t="s">
        <v>20</v>
      </c>
      <c r="C546">
        <v>13</v>
      </c>
      <c r="D546">
        <v>29430971</v>
      </c>
      <c r="E546">
        <v>4</v>
      </c>
      <c r="F546">
        <v>25</v>
      </c>
      <c r="G546">
        <v>412</v>
      </c>
      <c r="H546">
        <v>78273321</v>
      </c>
      <c r="I546">
        <v>871572</v>
      </c>
      <c r="J546" t="s">
        <v>25</v>
      </c>
      <c r="K546" t="s">
        <v>30</v>
      </c>
      <c r="L546">
        <v>3</v>
      </c>
      <c r="M546">
        <v>98.39</v>
      </c>
      <c r="N546">
        <v>928843</v>
      </c>
      <c r="O546">
        <v>1</v>
      </c>
    </row>
    <row r="547" spans="1:15">
      <c r="A547" t="s">
        <v>573</v>
      </c>
      <c r="B547" t="s">
        <v>24</v>
      </c>
      <c r="C547">
        <v>1</v>
      </c>
      <c r="D547">
        <v>47667002</v>
      </c>
      <c r="E547">
        <v>1</v>
      </c>
      <c r="F547">
        <v>23</v>
      </c>
      <c r="G547">
        <v>457</v>
      </c>
      <c r="H547">
        <v>75624652</v>
      </c>
      <c r="I547">
        <v>83782</v>
      </c>
      <c r="J547" t="s">
        <v>25</v>
      </c>
      <c r="K547" t="s">
        <v>18</v>
      </c>
      <c r="L547">
        <v>3</v>
      </c>
      <c r="M547">
        <v>61.25</v>
      </c>
      <c r="N547">
        <v>789656</v>
      </c>
      <c r="O547">
        <v>1</v>
      </c>
    </row>
    <row r="548" spans="1:15">
      <c r="A548" t="s">
        <v>574</v>
      </c>
      <c r="B548" t="s">
        <v>32</v>
      </c>
      <c r="C548">
        <v>12</v>
      </c>
      <c r="D548">
        <v>31054538</v>
      </c>
      <c r="E548">
        <v>2</v>
      </c>
      <c r="F548">
        <v>1</v>
      </c>
      <c r="G548">
        <v>717</v>
      </c>
      <c r="H548">
        <v>13983555</v>
      </c>
      <c r="I548">
        <v>635046</v>
      </c>
      <c r="J548" t="s">
        <v>17</v>
      </c>
      <c r="K548" t="s">
        <v>30</v>
      </c>
      <c r="L548">
        <v>2</v>
      </c>
      <c r="M548">
        <v>29.16</v>
      </c>
      <c r="N548">
        <v>163710</v>
      </c>
      <c r="O548">
        <v>1</v>
      </c>
    </row>
    <row r="549" spans="1:15">
      <c r="A549" t="s">
        <v>575</v>
      </c>
      <c r="B549" t="s">
        <v>20</v>
      </c>
      <c r="C549">
        <v>9</v>
      </c>
      <c r="D549">
        <v>15523896</v>
      </c>
      <c r="E549">
        <v>2</v>
      </c>
      <c r="F549">
        <v>22</v>
      </c>
      <c r="G549">
        <v>29</v>
      </c>
      <c r="H549">
        <v>45995518</v>
      </c>
      <c r="I549">
        <v>973378</v>
      </c>
      <c r="J549" t="s">
        <v>21</v>
      </c>
      <c r="K549" t="s">
        <v>22</v>
      </c>
      <c r="L549">
        <v>3</v>
      </c>
      <c r="M549">
        <v>67.099999999999994</v>
      </c>
      <c r="N549">
        <v>975995</v>
      </c>
      <c r="O549">
        <v>1</v>
      </c>
    </row>
    <row r="550" spans="1:15">
      <c r="A550" t="s">
        <v>576</v>
      </c>
      <c r="B550" t="s">
        <v>27</v>
      </c>
      <c r="C550">
        <v>1</v>
      </c>
      <c r="D550">
        <v>2697010</v>
      </c>
      <c r="E550">
        <v>4</v>
      </c>
      <c r="F550">
        <v>3</v>
      </c>
      <c r="G550">
        <v>658</v>
      </c>
      <c r="H550">
        <v>17999078</v>
      </c>
      <c r="I550">
        <v>835824</v>
      </c>
      <c r="J550" t="s">
        <v>21</v>
      </c>
      <c r="K550" t="s">
        <v>30</v>
      </c>
      <c r="L550">
        <v>4</v>
      </c>
      <c r="M550">
        <v>29.24</v>
      </c>
      <c r="N550">
        <v>349836</v>
      </c>
      <c r="O550">
        <v>1</v>
      </c>
    </row>
    <row r="551" spans="1:15">
      <c r="A551" t="s">
        <v>577</v>
      </c>
      <c r="B551" t="s">
        <v>20</v>
      </c>
      <c r="C551">
        <v>12</v>
      </c>
      <c r="D551">
        <v>12044473</v>
      </c>
      <c r="E551">
        <v>1</v>
      </c>
      <c r="F551">
        <v>1</v>
      </c>
      <c r="G551">
        <v>926</v>
      </c>
      <c r="H551">
        <v>86259569</v>
      </c>
      <c r="I551">
        <v>996969</v>
      </c>
      <c r="J551" t="s">
        <v>17</v>
      </c>
      <c r="K551" t="s">
        <v>30</v>
      </c>
      <c r="L551">
        <v>9</v>
      </c>
      <c r="M551">
        <v>99.31</v>
      </c>
      <c r="N551">
        <v>568390</v>
      </c>
      <c r="O551">
        <v>1</v>
      </c>
    </row>
    <row r="552" spans="1:15">
      <c r="A552" t="s">
        <v>578</v>
      </c>
      <c r="B552" t="s">
        <v>29</v>
      </c>
      <c r="C552">
        <v>0</v>
      </c>
      <c r="D552">
        <v>39342908</v>
      </c>
      <c r="E552">
        <v>4</v>
      </c>
      <c r="F552">
        <v>1</v>
      </c>
      <c r="G552">
        <v>903</v>
      </c>
      <c r="H552">
        <v>49945869</v>
      </c>
      <c r="I552">
        <v>740818</v>
      </c>
      <c r="J552" t="s">
        <v>17</v>
      </c>
      <c r="K552" t="s">
        <v>22</v>
      </c>
      <c r="L552">
        <v>9</v>
      </c>
      <c r="M552">
        <v>51.58</v>
      </c>
      <c r="N552">
        <v>664796</v>
      </c>
      <c r="O552">
        <v>1</v>
      </c>
    </row>
    <row r="553" spans="1:15">
      <c r="A553" t="s">
        <v>579</v>
      </c>
      <c r="B553" t="s">
        <v>24</v>
      </c>
      <c r="C553">
        <v>5</v>
      </c>
      <c r="D553">
        <v>47990142</v>
      </c>
      <c r="E553">
        <v>2</v>
      </c>
      <c r="F553">
        <v>9</v>
      </c>
      <c r="G553">
        <v>992</v>
      </c>
      <c r="H553">
        <v>94235825</v>
      </c>
      <c r="I553">
        <v>313628</v>
      </c>
      <c r="J553" t="s">
        <v>21</v>
      </c>
      <c r="K553" t="s">
        <v>18</v>
      </c>
      <c r="L553">
        <v>9</v>
      </c>
      <c r="M553">
        <v>62.91</v>
      </c>
      <c r="N553">
        <v>79884</v>
      </c>
      <c r="O553">
        <v>1</v>
      </c>
    </row>
    <row r="554" spans="1:15">
      <c r="A554" t="s">
        <v>580</v>
      </c>
      <c r="B554" t="s">
        <v>38</v>
      </c>
      <c r="C554">
        <v>7</v>
      </c>
      <c r="D554">
        <v>23565586</v>
      </c>
      <c r="E554">
        <v>3</v>
      </c>
      <c r="F554">
        <v>23</v>
      </c>
      <c r="G554">
        <v>765</v>
      </c>
      <c r="H554">
        <v>15661906</v>
      </c>
      <c r="I554">
        <v>812081</v>
      </c>
      <c r="J554" t="s">
        <v>17</v>
      </c>
      <c r="K554" t="s">
        <v>30</v>
      </c>
      <c r="L554">
        <v>7</v>
      </c>
      <c r="M554">
        <v>64.58</v>
      </c>
      <c r="N554">
        <v>903013</v>
      </c>
      <c r="O554">
        <v>1</v>
      </c>
    </row>
    <row r="555" spans="1:15">
      <c r="A555" t="s">
        <v>581</v>
      </c>
      <c r="B555" t="s">
        <v>32</v>
      </c>
      <c r="C555">
        <v>11</v>
      </c>
      <c r="D555">
        <v>23233021</v>
      </c>
      <c r="E555">
        <v>2</v>
      </c>
      <c r="F555">
        <v>6</v>
      </c>
      <c r="G555">
        <v>329</v>
      </c>
      <c r="H555">
        <v>20075930</v>
      </c>
      <c r="I555">
        <v>100958</v>
      </c>
      <c r="J555" t="s">
        <v>25</v>
      </c>
      <c r="K555" t="s">
        <v>22</v>
      </c>
      <c r="L555">
        <v>9</v>
      </c>
      <c r="M555">
        <v>98.52</v>
      </c>
      <c r="N555">
        <v>951496</v>
      </c>
      <c r="O555">
        <v>1</v>
      </c>
    </row>
    <row r="556" spans="1:15">
      <c r="A556" t="s">
        <v>582</v>
      </c>
      <c r="B556" t="s">
        <v>16</v>
      </c>
      <c r="C556">
        <v>11</v>
      </c>
      <c r="D556">
        <v>17907341</v>
      </c>
      <c r="E556">
        <v>3</v>
      </c>
      <c r="F556">
        <v>22</v>
      </c>
      <c r="G556">
        <v>318</v>
      </c>
      <c r="H556">
        <v>97221093</v>
      </c>
      <c r="I556">
        <v>673272</v>
      </c>
      <c r="J556" t="s">
        <v>21</v>
      </c>
      <c r="K556" t="s">
        <v>18</v>
      </c>
      <c r="L556">
        <v>1</v>
      </c>
      <c r="M556">
        <v>57.98</v>
      </c>
      <c r="N556">
        <v>133362</v>
      </c>
      <c r="O556">
        <v>1</v>
      </c>
    </row>
    <row r="557" spans="1:15">
      <c r="A557" t="s">
        <v>583</v>
      </c>
      <c r="B557" t="s">
        <v>20</v>
      </c>
      <c r="C557">
        <v>7</v>
      </c>
      <c r="D557">
        <v>15992631</v>
      </c>
      <c r="E557">
        <v>4</v>
      </c>
      <c r="F557">
        <v>14</v>
      </c>
      <c r="G557">
        <v>905</v>
      </c>
      <c r="H557">
        <v>88393636</v>
      </c>
      <c r="I557">
        <v>545890</v>
      </c>
      <c r="J557" t="s">
        <v>17</v>
      </c>
      <c r="K557" t="s">
        <v>30</v>
      </c>
      <c r="L557">
        <v>6</v>
      </c>
      <c r="M557">
        <v>83.3</v>
      </c>
      <c r="N557">
        <v>547536</v>
      </c>
      <c r="O557">
        <v>1</v>
      </c>
    </row>
    <row r="558" spans="1:15">
      <c r="A558" t="s">
        <v>584</v>
      </c>
      <c r="B558" t="s">
        <v>27</v>
      </c>
      <c r="C558">
        <v>8</v>
      </c>
      <c r="D558">
        <v>18781425</v>
      </c>
      <c r="E558">
        <v>2</v>
      </c>
      <c r="F558">
        <v>19</v>
      </c>
      <c r="G558">
        <v>164</v>
      </c>
      <c r="H558">
        <v>99036437</v>
      </c>
      <c r="I558">
        <v>360924</v>
      </c>
      <c r="J558" t="s">
        <v>21</v>
      </c>
      <c r="K558" t="s">
        <v>22</v>
      </c>
      <c r="L558">
        <v>6</v>
      </c>
      <c r="M558">
        <v>39.49</v>
      </c>
      <c r="N558">
        <v>448500</v>
      </c>
      <c r="O558">
        <v>1</v>
      </c>
    </row>
    <row r="559" spans="1:15">
      <c r="A559" t="s">
        <v>585</v>
      </c>
      <c r="B559" t="s">
        <v>24</v>
      </c>
      <c r="C559">
        <v>7</v>
      </c>
      <c r="D559">
        <v>36213088</v>
      </c>
      <c r="E559">
        <v>3</v>
      </c>
      <c r="F559">
        <v>13</v>
      </c>
      <c r="G559">
        <v>777</v>
      </c>
      <c r="H559">
        <v>76647048</v>
      </c>
      <c r="I559">
        <v>493304</v>
      </c>
      <c r="J559" t="s">
        <v>25</v>
      </c>
      <c r="K559" t="s">
        <v>22</v>
      </c>
      <c r="L559">
        <v>5</v>
      </c>
      <c r="M559">
        <v>45.61</v>
      </c>
      <c r="N559">
        <v>835114</v>
      </c>
      <c r="O559">
        <v>1</v>
      </c>
    </row>
    <row r="560" spans="1:15">
      <c r="A560" t="s">
        <v>586</v>
      </c>
      <c r="B560" t="s">
        <v>24</v>
      </c>
      <c r="C560">
        <v>10</v>
      </c>
      <c r="D560">
        <v>22605194</v>
      </c>
      <c r="E560">
        <v>1</v>
      </c>
      <c r="F560">
        <v>10</v>
      </c>
      <c r="G560">
        <v>174</v>
      </c>
      <c r="H560">
        <v>82669868</v>
      </c>
      <c r="I560">
        <v>521793</v>
      </c>
      <c r="J560" t="s">
        <v>21</v>
      </c>
      <c r="K560" t="s">
        <v>22</v>
      </c>
      <c r="L560">
        <v>8</v>
      </c>
      <c r="M560">
        <v>62.15</v>
      </c>
      <c r="N560">
        <v>258191</v>
      </c>
      <c r="O560">
        <v>1</v>
      </c>
    </row>
    <row r="561" spans="1:15">
      <c r="A561" t="s">
        <v>587</v>
      </c>
      <c r="B561" t="s">
        <v>32</v>
      </c>
      <c r="C561">
        <v>11</v>
      </c>
      <c r="D561">
        <v>11343351</v>
      </c>
      <c r="E561">
        <v>3</v>
      </c>
      <c r="F561">
        <v>4</v>
      </c>
      <c r="G561">
        <v>343</v>
      </c>
      <c r="H561">
        <v>23853725</v>
      </c>
      <c r="I561">
        <v>414512</v>
      </c>
      <c r="J561" t="s">
        <v>17</v>
      </c>
      <c r="K561" t="s">
        <v>18</v>
      </c>
      <c r="L561">
        <v>5</v>
      </c>
      <c r="M561">
        <v>1.27</v>
      </c>
      <c r="N561">
        <v>582372</v>
      </c>
      <c r="O561">
        <v>1</v>
      </c>
    </row>
    <row r="562" spans="1:15">
      <c r="A562" t="s">
        <v>588</v>
      </c>
      <c r="B562" t="s">
        <v>29</v>
      </c>
      <c r="C562">
        <v>10</v>
      </c>
      <c r="D562">
        <v>32986105</v>
      </c>
      <c r="E562">
        <v>2</v>
      </c>
      <c r="F562">
        <v>8</v>
      </c>
      <c r="G562">
        <v>71</v>
      </c>
      <c r="H562">
        <v>49175010</v>
      </c>
      <c r="I562">
        <v>509924</v>
      </c>
      <c r="J562" t="s">
        <v>25</v>
      </c>
      <c r="K562" t="s">
        <v>30</v>
      </c>
      <c r="L562">
        <v>2</v>
      </c>
      <c r="M562">
        <v>27.08</v>
      </c>
      <c r="N562">
        <v>788805</v>
      </c>
      <c r="O562">
        <v>1</v>
      </c>
    </row>
    <row r="563" spans="1:15">
      <c r="A563" t="s">
        <v>589</v>
      </c>
      <c r="B563" t="s">
        <v>20</v>
      </c>
      <c r="C563">
        <v>14</v>
      </c>
      <c r="D563">
        <v>45581814</v>
      </c>
      <c r="E563">
        <v>2</v>
      </c>
      <c r="F563">
        <v>22</v>
      </c>
      <c r="G563">
        <v>288</v>
      </c>
      <c r="H563">
        <v>81259324</v>
      </c>
      <c r="I563">
        <v>713509</v>
      </c>
      <c r="J563" t="s">
        <v>21</v>
      </c>
      <c r="K563" t="s">
        <v>30</v>
      </c>
      <c r="L563">
        <v>4</v>
      </c>
      <c r="M563">
        <v>29.27</v>
      </c>
      <c r="N563">
        <v>739468</v>
      </c>
      <c r="O563">
        <v>1</v>
      </c>
    </row>
    <row r="564" spans="1:15">
      <c r="A564" t="s">
        <v>590</v>
      </c>
      <c r="B564" t="s">
        <v>20</v>
      </c>
      <c r="C564">
        <v>8</v>
      </c>
      <c r="D564">
        <v>10034318</v>
      </c>
      <c r="E564">
        <v>2</v>
      </c>
      <c r="F564">
        <v>27</v>
      </c>
      <c r="G564">
        <v>835</v>
      </c>
      <c r="H564">
        <v>30864191</v>
      </c>
      <c r="I564">
        <v>863992</v>
      </c>
      <c r="J564" t="s">
        <v>17</v>
      </c>
      <c r="K564" t="s">
        <v>30</v>
      </c>
      <c r="L564">
        <v>3</v>
      </c>
      <c r="M564">
        <v>36.67</v>
      </c>
      <c r="N564">
        <v>476797</v>
      </c>
      <c r="O564">
        <v>1</v>
      </c>
    </row>
    <row r="565" spans="1:15">
      <c r="A565" t="s">
        <v>591</v>
      </c>
      <c r="B565" t="s">
        <v>16</v>
      </c>
      <c r="C565">
        <v>12</v>
      </c>
      <c r="D565">
        <v>16159485</v>
      </c>
      <c r="E565">
        <v>2</v>
      </c>
      <c r="F565">
        <v>25</v>
      </c>
      <c r="G565">
        <v>65</v>
      </c>
      <c r="H565">
        <v>79648486</v>
      </c>
      <c r="I565">
        <v>35117</v>
      </c>
      <c r="J565" t="s">
        <v>17</v>
      </c>
      <c r="K565" t="s">
        <v>30</v>
      </c>
      <c r="L565">
        <v>8</v>
      </c>
      <c r="M565">
        <v>70.27</v>
      </c>
      <c r="N565">
        <v>779807</v>
      </c>
      <c r="O565">
        <v>1</v>
      </c>
    </row>
    <row r="566" spans="1:15">
      <c r="A566" t="s">
        <v>592</v>
      </c>
      <c r="B566" t="s">
        <v>29</v>
      </c>
      <c r="C566">
        <v>5</v>
      </c>
      <c r="D566">
        <v>18754239</v>
      </c>
      <c r="E566">
        <v>4</v>
      </c>
      <c r="F566">
        <v>0</v>
      </c>
      <c r="G566">
        <v>986</v>
      </c>
      <c r="H566">
        <v>40397138</v>
      </c>
      <c r="I566">
        <v>619845</v>
      </c>
      <c r="J566" t="s">
        <v>25</v>
      </c>
      <c r="K566" t="s">
        <v>22</v>
      </c>
      <c r="L566">
        <v>9</v>
      </c>
      <c r="M566">
        <v>35.4</v>
      </c>
      <c r="N566">
        <v>932075</v>
      </c>
      <c r="O566">
        <v>1</v>
      </c>
    </row>
    <row r="567" spans="1:15">
      <c r="A567" t="s">
        <v>593</v>
      </c>
      <c r="B567" t="s">
        <v>20</v>
      </c>
      <c r="C567">
        <v>8</v>
      </c>
      <c r="D567">
        <v>14566300</v>
      </c>
      <c r="E567">
        <v>1</v>
      </c>
      <c r="F567">
        <v>18</v>
      </c>
      <c r="G567">
        <v>715</v>
      </c>
      <c r="H567">
        <v>75555799</v>
      </c>
      <c r="I567">
        <v>944958</v>
      </c>
      <c r="J567" t="s">
        <v>17</v>
      </c>
      <c r="K567" t="s">
        <v>30</v>
      </c>
      <c r="L567">
        <v>3</v>
      </c>
      <c r="M567">
        <v>36.89</v>
      </c>
      <c r="N567">
        <v>394592</v>
      </c>
      <c r="O567">
        <v>1</v>
      </c>
    </row>
    <row r="568" spans="1:15">
      <c r="A568" t="s">
        <v>594</v>
      </c>
      <c r="B568" t="s">
        <v>27</v>
      </c>
      <c r="C568">
        <v>11</v>
      </c>
      <c r="D568">
        <v>31990656</v>
      </c>
      <c r="E568">
        <v>2</v>
      </c>
      <c r="F568">
        <v>29</v>
      </c>
      <c r="G568">
        <v>166</v>
      </c>
      <c r="H568">
        <v>74155867</v>
      </c>
      <c r="I568">
        <v>179975</v>
      </c>
      <c r="J568" t="s">
        <v>17</v>
      </c>
      <c r="K568" t="s">
        <v>30</v>
      </c>
      <c r="L568">
        <v>2</v>
      </c>
      <c r="M568">
        <v>9.02</v>
      </c>
      <c r="N568">
        <v>140748</v>
      </c>
      <c r="O568">
        <v>1</v>
      </c>
    </row>
    <row r="569" spans="1:15">
      <c r="A569" t="s">
        <v>595</v>
      </c>
      <c r="B569" t="s">
        <v>29</v>
      </c>
      <c r="C569">
        <v>14</v>
      </c>
      <c r="D569">
        <v>15182694</v>
      </c>
      <c r="E569">
        <v>4</v>
      </c>
      <c r="F569">
        <v>21</v>
      </c>
      <c r="G569">
        <v>891</v>
      </c>
      <c r="H569">
        <v>78260469</v>
      </c>
      <c r="I569">
        <v>324592</v>
      </c>
      <c r="J569" t="s">
        <v>21</v>
      </c>
      <c r="K569" t="s">
        <v>30</v>
      </c>
      <c r="L569">
        <v>3</v>
      </c>
      <c r="M569">
        <v>68.73</v>
      </c>
      <c r="N569">
        <v>564019</v>
      </c>
      <c r="O569">
        <v>1</v>
      </c>
    </row>
    <row r="570" spans="1:15">
      <c r="A570" t="s">
        <v>596</v>
      </c>
      <c r="B570" t="s">
        <v>27</v>
      </c>
      <c r="C570">
        <v>10</v>
      </c>
      <c r="D570">
        <v>10412028</v>
      </c>
      <c r="E570">
        <v>2</v>
      </c>
      <c r="F570">
        <v>22</v>
      </c>
      <c r="G570">
        <v>379</v>
      </c>
      <c r="H570">
        <v>3924508</v>
      </c>
      <c r="I570">
        <v>499208</v>
      </c>
      <c r="J570" t="s">
        <v>25</v>
      </c>
      <c r="K570" t="s">
        <v>30</v>
      </c>
      <c r="L570">
        <v>1</v>
      </c>
      <c r="M570">
        <v>88.37</v>
      </c>
      <c r="N570">
        <v>315115</v>
      </c>
      <c r="O570">
        <v>1</v>
      </c>
    </row>
    <row r="571" spans="1:15">
      <c r="A571" t="s">
        <v>597</v>
      </c>
      <c r="B571" t="s">
        <v>38</v>
      </c>
      <c r="C571">
        <v>8</v>
      </c>
      <c r="D571">
        <v>9423255</v>
      </c>
      <c r="E571">
        <v>2</v>
      </c>
      <c r="F571">
        <v>2</v>
      </c>
      <c r="G571">
        <v>712</v>
      </c>
      <c r="H571">
        <v>10361607</v>
      </c>
      <c r="I571">
        <v>880013</v>
      </c>
      <c r="J571" t="s">
        <v>25</v>
      </c>
      <c r="K571" t="s">
        <v>30</v>
      </c>
      <c r="L571">
        <v>5</v>
      </c>
      <c r="M571">
        <v>45.36</v>
      </c>
      <c r="N571">
        <v>983933</v>
      </c>
      <c r="O571">
        <v>1</v>
      </c>
    </row>
    <row r="572" spans="1:15">
      <c r="A572" t="s">
        <v>598</v>
      </c>
      <c r="B572" t="s">
        <v>32</v>
      </c>
      <c r="C572">
        <v>1</v>
      </c>
      <c r="D572">
        <v>47562969</v>
      </c>
      <c r="E572">
        <v>3</v>
      </c>
      <c r="F572">
        <v>2</v>
      </c>
      <c r="G572">
        <v>457</v>
      </c>
      <c r="H572">
        <v>57625151</v>
      </c>
      <c r="I572">
        <v>216080</v>
      </c>
      <c r="J572" t="s">
        <v>17</v>
      </c>
      <c r="K572" t="s">
        <v>22</v>
      </c>
      <c r="L572">
        <v>5</v>
      </c>
      <c r="M572">
        <v>73.25</v>
      </c>
      <c r="N572">
        <v>199933</v>
      </c>
      <c r="O572">
        <v>1</v>
      </c>
    </row>
    <row r="573" spans="1:15">
      <c r="A573" t="s">
        <v>599</v>
      </c>
      <c r="B573" t="s">
        <v>38</v>
      </c>
      <c r="C573">
        <v>8</v>
      </c>
      <c r="D573">
        <v>1519308</v>
      </c>
      <c r="E573">
        <v>1</v>
      </c>
      <c r="F573">
        <v>3</v>
      </c>
      <c r="G573">
        <v>85</v>
      </c>
      <c r="H573">
        <v>79734629</v>
      </c>
      <c r="I573">
        <v>539968</v>
      </c>
      <c r="J573" t="s">
        <v>17</v>
      </c>
      <c r="K573" t="s">
        <v>30</v>
      </c>
      <c r="L573">
        <v>1</v>
      </c>
      <c r="M573">
        <v>1.6</v>
      </c>
      <c r="N573">
        <v>929118</v>
      </c>
      <c r="O573">
        <v>1</v>
      </c>
    </row>
    <row r="574" spans="1:15">
      <c r="A574" t="s">
        <v>600</v>
      </c>
      <c r="B574" t="s">
        <v>24</v>
      </c>
      <c r="C574">
        <v>6</v>
      </c>
      <c r="D574">
        <v>7578887</v>
      </c>
      <c r="E574">
        <v>1</v>
      </c>
      <c r="F574">
        <v>24</v>
      </c>
      <c r="G574">
        <v>376</v>
      </c>
      <c r="H574">
        <v>73717285</v>
      </c>
      <c r="I574">
        <v>247263</v>
      </c>
      <c r="J574" t="s">
        <v>17</v>
      </c>
      <c r="K574" t="s">
        <v>18</v>
      </c>
      <c r="L574">
        <v>1</v>
      </c>
      <c r="M574">
        <v>50.69</v>
      </c>
      <c r="N574">
        <v>982048</v>
      </c>
      <c r="O574">
        <v>1</v>
      </c>
    </row>
    <row r="575" spans="1:15">
      <c r="A575" t="s">
        <v>601</v>
      </c>
      <c r="B575" t="s">
        <v>24</v>
      </c>
      <c r="C575">
        <v>0</v>
      </c>
      <c r="D575">
        <v>7544102</v>
      </c>
      <c r="E575">
        <v>4</v>
      </c>
      <c r="F575">
        <v>15</v>
      </c>
      <c r="G575">
        <v>976</v>
      </c>
      <c r="H575">
        <v>15103596</v>
      </c>
      <c r="I575">
        <v>304158</v>
      </c>
      <c r="J575" t="s">
        <v>21</v>
      </c>
      <c r="K575" t="s">
        <v>18</v>
      </c>
      <c r="L575">
        <v>5</v>
      </c>
      <c r="M575">
        <v>70.41</v>
      </c>
      <c r="N575">
        <v>505781</v>
      </c>
      <c r="O575">
        <v>1</v>
      </c>
    </row>
    <row r="576" spans="1:15">
      <c r="A576" t="s">
        <v>602</v>
      </c>
      <c r="B576" t="s">
        <v>27</v>
      </c>
      <c r="C576">
        <v>3</v>
      </c>
      <c r="D576">
        <v>37732666</v>
      </c>
      <c r="E576">
        <v>3</v>
      </c>
      <c r="F576">
        <v>18</v>
      </c>
      <c r="G576">
        <v>833</v>
      </c>
      <c r="H576">
        <v>23665028</v>
      </c>
      <c r="I576">
        <v>642914</v>
      </c>
      <c r="J576" t="s">
        <v>17</v>
      </c>
      <c r="K576" t="s">
        <v>22</v>
      </c>
      <c r="L576">
        <v>7</v>
      </c>
      <c r="M576">
        <v>84.37</v>
      </c>
      <c r="N576">
        <v>425068</v>
      </c>
      <c r="O576">
        <v>1</v>
      </c>
    </row>
    <row r="577" spans="1:15">
      <c r="A577" t="s">
        <v>603</v>
      </c>
      <c r="B577" t="s">
        <v>32</v>
      </c>
      <c r="C577">
        <v>14</v>
      </c>
      <c r="D577">
        <v>35030586</v>
      </c>
      <c r="E577">
        <v>4</v>
      </c>
      <c r="F577">
        <v>7</v>
      </c>
      <c r="G577">
        <v>669</v>
      </c>
      <c r="H577">
        <v>31299758</v>
      </c>
      <c r="I577">
        <v>901592</v>
      </c>
      <c r="J577" t="s">
        <v>21</v>
      </c>
      <c r="K577" t="s">
        <v>22</v>
      </c>
      <c r="L577">
        <v>3</v>
      </c>
      <c r="M577">
        <v>46.35</v>
      </c>
      <c r="N577">
        <v>373037</v>
      </c>
      <c r="O577">
        <v>1</v>
      </c>
    </row>
    <row r="578" spans="1:15">
      <c r="A578" t="s">
        <v>604</v>
      </c>
      <c r="B578" t="s">
        <v>24</v>
      </c>
      <c r="C578">
        <v>9</v>
      </c>
      <c r="D578">
        <v>6267630</v>
      </c>
      <c r="E578">
        <v>2</v>
      </c>
      <c r="F578">
        <v>17</v>
      </c>
      <c r="G578">
        <v>692</v>
      </c>
      <c r="H578">
        <v>46916358</v>
      </c>
      <c r="I578">
        <v>319443</v>
      </c>
      <c r="J578" t="s">
        <v>25</v>
      </c>
      <c r="K578" t="s">
        <v>18</v>
      </c>
      <c r="L578">
        <v>2</v>
      </c>
      <c r="M578">
        <v>49.36</v>
      </c>
      <c r="N578">
        <v>222147</v>
      </c>
      <c r="O578">
        <v>1</v>
      </c>
    </row>
    <row r="579" spans="1:15">
      <c r="A579" t="s">
        <v>605</v>
      </c>
      <c r="B579" t="s">
        <v>27</v>
      </c>
      <c r="C579">
        <v>10</v>
      </c>
      <c r="D579">
        <v>28303933</v>
      </c>
      <c r="E579">
        <v>4</v>
      </c>
      <c r="F579">
        <v>24</v>
      </c>
      <c r="G579">
        <v>799</v>
      </c>
      <c r="H579">
        <v>83304556</v>
      </c>
      <c r="I579">
        <v>843847</v>
      </c>
      <c r="J579" t="s">
        <v>17</v>
      </c>
      <c r="K579" t="s">
        <v>30</v>
      </c>
      <c r="L579">
        <v>6</v>
      </c>
      <c r="M579">
        <v>5.99</v>
      </c>
      <c r="N579">
        <v>573304</v>
      </c>
      <c r="O579">
        <v>1</v>
      </c>
    </row>
    <row r="580" spans="1:15">
      <c r="A580" t="s">
        <v>606</v>
      </c>
      <c r="B580" t="s">
        <v>27</v>
      </c>
      <c r="C580">
        <v>9</v>
      </c>
      <c r="D580">
        <v>26202008</v>
      </c>
      <c r="E580">
        <v>1</v>
      </c>
      <c r="F580">
        <v>24</v>
      </c>
      <c r="G580">
        <v>603</v>
      </c>
      <c r="H580">
        <v>50129790</v>
      </c>
      <c r="I580">
        <v>446183</v>
      </c>
      <c r="J580" t="s">
        <v>17</v>
      </c>
      <c r="K580" t="s">
        <v>18</v>
      </c>
      <c r="L580">
        <v>4</v>
      </c>
      <c r="M580">
        <v>12.38</v>
      </c>
      <c r="N580">
        <v>378011</v>
      </c>
      <c r="O580">
        <v>1</v>
      </c>
    </row>
    <row r="581" spans="1:15">
      <c r="A581" t="s">
        <v>607</v>
      </c>
      <c r="B581" t="s">
        <v>38</v>
      </c>
      <c r="C581">
        <v>9</v>
      </c>
      <c r="D581">
        <v>23043632</v>
      </c>
      <c r="E581">
        <v>4</v>
      </c>
      <c r="F581">
        <v>22</v>
      </c>
      <c r="G581">
        <v>989</v>
      </c>
      <c r="H581">
        <v>38611914</v>
      </c>
      <c r="I581">
        <v>27009</v>
      </c>
      <c r="J581" t="s">
        <v>21</v>
      </c>
      <c r="K581" t="s">
        <v>30</v>
      </c>
      <c r="L581">
        <v>7</v>
      </c>
      <c r="M581">
        <v>6.12</v>
      </c>
      <c r="N581">
        <v>308794</v>
      </c>
      <c r="O581">
        <v>1</v>
      </c>
    </row>
    <row r="582" spans="1:15">
      <c r="A582" t="s">
        <v>608</v>
      </c>
      <c r="B582" t="s">
        <v>27</v>
      </c>
      <c r="C582">
        <v>14</v>
      </c>
      <c r="D582">
        <v>8732599</v>
      </c>
      <c r="E582">
        <v>4</v>
      </c>
      <c r="F582">
        <v>5</v>
      </c>
      <c r="G582">
        <v>730</v>
      </c>
      <c r="H582">
        <v>35449133</v>
      </c>
      <c r="I582">
        <v>642113</v>
      </c>
      <c r="J582" t="s">
        <v>21</v>
      </c>
      <c r="K582" t="s">
        <v>18</v>
      </c>
      <c r="L582">
        <v>9</v>
      </c>
      <c r="M582">
        <v>64.27</v>
      </c>
      <c r="N582">
        <v>674603</v>
      </c>
      <c r="O582">
        <v>1</v>
      </c>
    </row>
    <row r="583" spans="1:15">
      <c r="A583" t="s">
        <v>609</v>
      </c>
      <c r="B583" t="s">
        <v>16</v>
      </c>
      <c r="C583">
        <v>9</v>
      </c>
      <c r="D583">
        <v>39479718</v>
      </c>
      <c r="E583">
        <v>3</v>
      </c>
      <c r="F583">
        <v>20</v>
      </c>
      <c r="G583">
        <v>616</v>
      </c>
      <c r="H583">
        <v>30835454</v>
      </c>
      <c r="I583">
        <v>28592</v>
      </c>
      <c r="J583" t="s">
        <v>21</v>
      </c>
      <c r="K583" t="s">
        <v>18</v>
      </c>
      <c r="L583">
        <v>5</v>
      </c>
      <c r="M583">
        <v>19.61</v>
      </c>
      <c r="N583">
        <v>939079</v>
      </c>
      <c r="O583">
        <v>1</v>
      </c>
    </row>
    <row r="584" spans="1:15">
      <c r="A584" t="s">
        <v>610</v>
      </c>
      <c r="B584" t="s">
        <v>27</v>
      </c>
      <c r="C584">
        <v>9</v>
      </c>
      <c r="D584">
        <v>22111716</v>
      </c>
      <c r="E584">
        <v>3</v>
      </c>
      <c r="F584">
        <v>20</v>
      </c>
      <c r="G584">
        <v>934</v>
      </c>
      <c r="H584">
        <v>37346168</v>
      </c>
      <c r="I584">
        <v>455935</v>
      </c>
      <c r="J584" t="s">
        <v>25</v>
      </c>
      <c r="K584" t="s">
        <v>30</v>
      </c>
      <c r="L584">
        <v>2</v>
      </c>
      <c r="M584">
        <v>4.55</v>
      </c>
      <c r="N584">
        <v>252916</v>
      </c>
      <c r="O584">
        <v>1</v>
      </c>
    </row>
    <row r="585" spans="1:15">
      <c r="A585" t="s">
        <v>611</v>
      </c>
      <c r="B585" t="s">
        <v>32</v>
      </c>
      <c r="C585">
        <v>5</v>
      </c>
      <c r="D585">
        <v>16554017</v>
      </c>
      <c r="E585">
        <v>3</v>
      </c>
      <c r="F585">
        <v>1</v>
      </c>
      <c r="G585">
        <v>397</v>
      </c>
      <c r="H585">
        <v>48599450</v>
      </c>
      <c r="I585">
        <v>362323</v>
      </c>
      <c r="J585" t="s">
        <v>17</v>
      </c>
      <c r="K585" t="s">
        <v>30</v>
      </c>
      <c r="L585">
        <v>8</v>
      </c>
      <c r="M585">
        <v>20.39</v>
      </c>
      <c r="N585">
        <v>794493</v>
      </c>
      <c r="O585">
        <v>1</v>
      </c>
    </row>
    <row r="586" spans="1:15">
      <c r="A586" t="s">
        <v>612</v>
      </c>
      <c r="B586" t="s">
        <v>38</v>
      </c>
      <c r="C586">
        <v>4</v>
      </c>
      <c r="D586">
        <v>48109274</v>
      </c>
      <c r="E586">
        <v>1</v>
      </c>
      <c r="F586">
        <v>20</v>
      </c>
      <c r="G586">
        <v>684</v>
      </c>
      <c r="H586">
        <v>7579201</v>
      </c>
      <c r="I586">
        <v>153634</v>
      </c>
      <c r="J586" t="s">
        <v>17</v>
      </c>
      <c r="K586" t="s">
        <v>30</v>
      </c>
      <c r="L586">
        <v>7</v>
      </c>
      <c r="M586">
        <v>31.68</v>
      </c>
      <c r="N586">
        <v>524858</v>
      </c>
      <c r="O586">
        <v>1</v>
      </c>
    </row>
    <row r="587" spans="1:15">
      <c r="A587" t="s">
        <v>613</v>
      </c>
      <c r="B587" t="s">
        <v>27</v>
      </c>
      <c r="C587">
        <v>10</v>
      </c>
      <c r="D587">
        <v>42182339</v>
      </c>
      <c r="E587">
        <v>1</v>
      </c>
      <c r="F587">
        <v>3</v>
      </c>
      <c r="G587">
        <v>794</v>
      </c>
      <c r="H587">
        <v>26163992</v>
      </c>
      <c r="I587">
        <v>389147</v>
      </c>
      <c r="J587" t="s">
        <v>17</v>
      </c>
      <c r="K587" t="s">
        <v>18</v>
      </c>
      <c r="L587">
        <v>8</v>
      </c>
      <c r="M587">
        <v>9.76</v>
      </c>
      <c r="N587">
        <v>103407</v>
      </c>
      <c r="O587">
        <v>1</v>
      </c>
    </row>
    <row r="588" spans="1:15">
      <c r="A588" t="s">
        <v>614</v>
      </c>
      <c r="B588" t="s">
        <v>16</v>
      </c>
      <c r="C588">
        <v>5</v>
      </c>
      <c r="D588">
        <v>5563031</v>
      </c>
      <c r="E588">
        <v>1</v>
      </c>
      <c r="F588">
        <v>19</v>
      </c>
      <c r="G588">
        <v>894</v>
      </c>
      <c r="H588">
        <v>80708049</v>
      </c>
      <c r="I588">
        <v>978452</v>
      </c>
      <c r="J588" t="s">
        <v>25</v>
      </c>
      <c r="K588" t="s">
        <v>30</v>
      </c>
      <c r="L588">
        <v>4</v>
      </c>
      <c r="M588">
        <v>71.209999999999994</v>
      </c>
      <c r="N588">
        <v>24840</v>
      </c>
      <c r="O588">
        <v>1</v>
      </c>
    </row>
    <row r="589" spans="1:15">
      <c r="A589" t="s">
        <v>615</v>
      </c>
      <c r="B589" t="s">
        <v>16</v>
      </c>
      <c r="C589">
        <v>9</v>
      </c>
      <c r="D589">
        <v>23254012</v>
      </c>
      <c r="E589">
        <v>2</v>
      </c>
      <c r="F589">
        <v>16</v>
      </c>
      <c r="G589">
        <v>198</v>
      </c>
      <c r="H589">
        <v>74286154</v>
      </c>
      <c r="I589">
        <v>29145</v>
      </c>
      <c r="J589" t="s">
        <v>17</v>
      </c>
      <c r="K589" t="s">
        <v>18</v>
      </c>
      <c r="L589">
        <v>8</v>
      </c>
      <c r="M589">
        <v>93.25</v>
      </c>
      <c r="N589">
        <v>569086</v>
      </c>
      <c r="O589">
        <v>1</v>
      </c>
    </row>
    <row r="590" spans="1:15">
      <c r="A590" t="s">
        <v>616</v>
      </c>
      <c r="B590" t="s">
        <v>29</v>
      </c>
      <c r="C590">
        <v>14</v>
      </c>
      <c r="D590">
        <v>9663503</v>
      </c>
      <c r="E590">
        <v>2</v>
      </c>
      <c r="F590">
        <v>19</v>
      </c>
      <c r="G590">
        <v>839</v>
      </c>
      <c r="H590">
        <v>38119112</v>
      </c>
      <c r="I590">
        <v>74013</v>
      </c>
      <c r="J590" t="s">
        <v>17</v>
      </c>
      <c r="K590" t="s">
        <v>18</v>
      </c>
      <c r="L590">
        <v>5</v>
      </c>
      <c r="M590">
        <v>59.82</v>
      </c>
      <c r="N590">
        <v>256037</v>
      </c>
      <c r="O590">
        <v>1</v>
      </c>
    </row>
    <row r="591" spans="1:15">
      <c r="A591" t="s">
        <v>617</v>
      </c>
      <c r="B591" t="s">
        <v>24</v>
      </c>
      <c r="C591">
        <v>11</v>
      </c>
      <c r="D591">
        <v>31313096</v>
      </c>
      <c r="E591">
        <v>2</v>
      </c>
      <c r="F591">
        <v>29</v>
      </c>
      <c r="G591">
        <v>156</v>
      </c>
      <c r="H591">
        <v>97179056</v>
      </c>
      <c r="I591">
        <v>652745</v>
      </c>
      <c r="J591" t="s">
        <v>17</v>
      </c>
      <c r="K591" t="s">
        <v>22</v>
      </c>
      <c r="L591">
        <v>7</v>
      </c>
      <c r="M591">
        <v>78.61</v>
      </c>
      <c r="N591">
        <v>962282</v>
      </c>
      <c r="O591">
        <v>1</v>
      </c>
    </row>
    <row r="592" spans="1:15">
      <c r="A592" t="s">
        <v>618</v>
      </c>
      <c r="B592" t="s">
        <v>20</v>
      </c>
      <c r="C592">
        <v>3</v>
      </c>
      <c r="D592">
        <v>31178913</v>
      </c>
      <c r="E592">
        <v>2</v>
      </c>
      <c r="F592">
        <v>13</v>
      </c>
      <c r="G592">
        <v>989</v>
      </c>
      <c r="H592">
        <v>10418509</v>
      </c>
      <c r="I592">
        <v>589594</v>
      </c>
      <c r="J592" t="s">
        <v>17</v>
      </c>
      <c r="K592" t="s">
        <v>30</v>
      </c>
      <c r="L592">
        <v>5</v>
      </c>
      <c r="M592">
        <v>62.39</v>
      </c>
      <c r="N592">
        <v>987997</v>
      </c>
      <c r="O592">
        <v>1</v>
      </c>
    </row>
    <row r="593" spans="1:15">
      <c r="A593" t="s">
        <v>619</v>
      </c>
      <c r="B593" t="s">
        <v>16</v>
      </c>
      <c r="C593">
        <v>12</v>
      </c>
      <c r="D593">
        <v>23702055</v>
      </c>
      <c r="E593">
        <v>1</v>
      </c>
      <c r="F593">
        <v>8</v>
      </c>
      <c r="G593">
        <v>190</v>
      </c>
      <c r="H593">
        <v>81671136</v>
      </c>
      <c r="I593">
        <v>994720</v>
      </c>
      <c r="J593" t="s">
        <v>25</v>
      </c>
      <c r="K593" t="s">
        <v>30</v>
      </c>
      <c r="L593">
        <v>1</v>
      </c>
      <c r="M593">
        <v>42.76</v>
      </c>
      <c r="N593">
        <v>17405</v>
      </c>
      <c r="O593">
        <v>1</v>
      </c>
    </row>
    <row r="594" spans="1:15">
      <c r="A594" t="s">
        <v>620</v>
      </c>
      <c r="B594" t="s">
        <v>29</v>
      </c>
      <c r="C594">
        <v>12</v>
      </c>
      <c r="D594">
        <v>28519906</v>
      </c>
      <c r="E594">
        <v>1</v>
      </c>
      <c r="F594">
        <v>21</v>
      </c>
      <c r="G594">
        <v>638</v>
      </c>
      <c r="H594">
        <v>10966783</v>
      </c>
      <c r="I594">
        <v>698721</v>
      </c>
      <c r="J594" t="s">
        <v>17</v>
      </c>
      <c r="K594" t="s">
        <v>30</v>
      </c>
      <c r="L594">
        <v>9</v>
      </c>
      <c r="M594">
        <v>15.97</v>
      </c>
      <c r="N594">
        <v>558214</v>
      </c>
      <c r="O594">
        <v>1</v>
      </c>
    </row>
    <row r="595" spans="1:15">
      <c r="A595" t="s">
        <v>621</v>
      </c>
      <c r="B595" t="s">
        <v>16</v>
      </c>
      <c r="C595">
        <v>10</v>
      </c>
      <c r="D595">
        <v>46731106</v>
      </c>
      <c r="E595">
        <v>3</v>
      </c>
      <c r="F595">
        <v>21</v>
      </c>
      <c r="G595">
        <v>77</v>
      </c>
      <c r="H595">
        <v>80503560</v>
      </c>
      <c r="I595">
        <v>31575</v>
      </c>
      <c r="J595" t="s">
        <v>21</v>
      </c>
      <c r="K595" t="s">
        <v>30</v>
      </c>
      <c r="L595">
        <v>6</v>
      </c>
      <c r="M595">
        <v>0.85</v>
      </c>
      <c r="N595">
        <v>178344</v>
      </c>
      <c r="O595">
        <v>1</v>
      </c>
    </row>
    <row r="596" spans="1:15">
      <c r="A596" t="s">
        <v>622</v>
      </c>
      <c r="B596" t="s">
        <v>16</v>
      </c>
      <c r="C596">
        <v>8</v>
      </c>
      <c r="D596">
        <v>3067501</v>
      </c>
      <c r="E596">
        <v>4</v>
      </c>
      <c r="F596">
        <v>8</v>
      </c>
      <c r="G596">
        <v>208</v>
      </c>
      <c r="H596">
        <v>45192422</v>
      </c>
      <c r="I596">
        <v>674152</v>
      </c>
      <c r="J596" t="s">
        <v>17</v>
      </c>
      <c r="K596" t="s">
        <v>30</v>
      </c>
      <c r="L596">
        <v>7</v>
      </c>
      <c r="M596">
        <v>23.17</v>
      </c>
      <c r="N596">
        <v>824174</v>
      </c>
      <c r="O596">
        <v>1</v>
      </c>
    </row>
    <row r="597" spans="1:15">
      <c r="A597" t="s">
        <v>623</v>
      </c>
      <c r="B597" t="s">
        <v>38</v>
      </c>
      <c r="C597">
        <v>1</v>
      </c>
      <c r="D597">
        <v>37102894</v>
      </c>
      <c r="E597">
        <v>1</v>
      </c>
      <c r="F597">
        <v>26</v>
      </c>
      <c r="G597">
        <v>122</v>
      </c>
      <c r="H597">
        <v>22225366</v>
      </c>
      <c r="I597">
        <v>800668</v>
      </c>
      <c r="J597" t="s">
        <v>21</v>
      </c>
      <c r="K597" t="s">
        <v>18</v>
      </c>
      <c r="L597">
        <v>8</v>
      </c>
      <c r="M597">
        <v>53.12</v>
      </c>
      <c r="N597">
        <v>77208</v>
      </c>
      <c r="O597">
        <v>1</v>
      </c>
    </row>
    <row r="598" spans="1:15">
      <c r="A598" t="s">
        <v>624</v>
      </c>
      <c r="B598" t="s">
        <v>24</v>
      </c>
      <c r="C598">
        <v>14</v>
      </c>
      <c r="D598">
        <v>10131237</v>
      </c>
      <c r="E598">
        <v>4</v>
      </c>
      <c r="F598">
        <v>25</v>
      </c>
      <c r="G598">
        <v>179</v>
      </c>
      <c r="H598">
        <v>52018776</v>
      </c>
      <c r="I598">
        <v>540963</v>
      </c>
      <c r="J598" t="s">
        <v>17</v>
      </c>
      <c r="K598" t="s">
        <v>22</v>
      </c>
      <c r="L598">
        <v>8</v>
      </c>
      <c r="M598">
        <v>20.37</v>
      </c>
      <c r="N598">
        <v>95731</v>
      </c>
      <c r="O598">
        <v>1</v>
      </c>
    </row>
    <row r="599" spans="1:15">
      <c r="A599" t="s">
        <v>625</v>
      </c>
      <c r="B599" t="s">
        <v>29</v>
      </c>
      <c r="C599">
        <v>10</v>
      </c>
      <c r="D599">
        <v>34750643</v>
      </c>
      <c r="E599">
        <v>4</v>
      </c>
      <c r="F599">
        <v>22</v>
      </c>
      <c r="G599">
        <v>483</v>
      </c>
      <c r="H599">
        <v>34967620</v>
      </c>
      <c r="I599">
        <v>186773</v>
      </c>
      <c r="J599" t="s">
        <v>21</v>
      </c>
      <c r="K599" t="s">
        <v>30</v>
      </c>
      <c r="L599">
        <v>1</v>
      </c>
      <c r="M599">
        <v>27.4</v>
      </c>
      <c r="N599">
        <v>831499</v>
      </c>
      <c r="O599">
        <v>1</v>
      </c>
    </row>
    <row r="600" spans="1:15">
      <c r="A600" t="s">
        <v>626</v>
      </c>
      <c r="B600" t="s">
        <v>24</v>
      </c>
      <c r="C600">
        <v>6</v>
      </c>
      <c r="D600">
        <v>33261133</v>
      </c>
      <c r="E600">
        <v>4</v>
      </c>
      <c r="F600">
        <v>17</v>
      </c>
      <c r="G600">
        <v>738</v>
      </c>
      <c r="H600">
        <v>81675557</v>
      </c>
      <c r="I600">
        <v>570485</v>
      </c>
      <c r="J600" t="s">
        <v>21</v>
      </c>
      <c r="K600" t="s">
        <v>30</v>
      </c>
      <c r="L600">
        <v>9</v>
      </c>
      <c r="M600">
        <v>81</v>
      </c>
      <c r="N600">
        <v>176964</v>
      </c>
      <c r="O600">
        <v>1</v>
      </c>
    </row>
    <row r="601" spans="1:15">
      <c r="A601" t="s">
        <v>627</v>
      </c>
      <c r="B601" t="s">
        <v>16</v>
      </c>
      <c r="C601">
        <v>8</v>
      </c>
      <c r="D601">
        <v>46707000</v>
      </c>
      <c r="E601">
        <v>4</v>
      </c>
      <c r="F601">
        <v>12</v>
      </c>
      <c r="G601">
        <v>516</v>
      </c>
      <c r="H601">
        <v>6054049</v>
      </c>
      <c r="I601">
        <v>188285</v>
      </c>
      <c r="J601" t="s">
        <v>21</v>
      </c>
      <c r="K601" t="s">
        <v>18</v>
      </c>
      <c r="L601">
        <v>3</v>
      </c>
      <c r="M601">
        <v>99.45</v>
      </c>
      <c r="N601">
        <v>918540</v>
      </c>
      <c r="O601">
        <v>1</v>
      </c>
    </row>
    <row r="602" spans="1:15">
      <c r="A602" t="s">
        <v>628</v>
      </c>
      <c r="B602" t="s">
        <v>16</v>
      </c>
      <c r="C602">
        <v>13</v>
      </c>
      <c r="D602">
        <v>10841279</v>
      </c>
      <c r="E602">
        <v>4</v>
      </c>
      <c r="F602">
        <v>14</v>
      </c>
      <c r="G602">
        <v>144</v>
      </c>
      <c r="H602">
        <v>68983925</v>
      </c>
      <c r="I602">
        <v>601330</v>
      </c>
      <c r="J602" t="s">
        <v>17</v>
      </c>
      <c r="K602" t="s">
        <v>18</v>
      </c>
      <c r="L602">
        <v>7</v>
      </c>
      <c r="M602">
        <v>28.33</v>
      </c>
      <c r="N602">
        <v>683165</v>
      </c>
      <c r="O602">
        <v>1</v>
      </c>
    </row>
    <row r="603" spans="1:15">
      <c r="A603" t="s">
        <v>629</v>
      </c>
      <c r="B603" t="s">
        <v>24</v>
      </c>
      <c r="C603">
        <v>1</v>
      </c>
      <c r="D603">
        <v>33053939</v>
      </c>
      <c r="E603">
        <v>1</v>
      </c>
      <c r="F603">
        <v>9</v>
      </c>
      <c r="G603">
        <v>759</v>
      </c>
      <c r="H603">
        <v>36565425</v>
      </c>
      <c r="I603">
        <v>886481</v>
      </c>
      <c r="J603" t="s">
        <v>21</v>
      </c>
      <c r="K603" t="s">
        <v>30</v>
      </c>
      <c r="L603">
        <v>9</v>
      </c>
      <c r="M603">
        <v>29.25</v>
      </c>
      <c r="N603">
        <v>619316</v>
      </c>
      <c r="O603">
        <v>1</v>
      </c>
    </row>
    <row r="604" spans="1:15">
      <c r="A604" t="s">
        <v>630</v>
      </c>
      <c r="B604" t="s">
        <v>38</v>
      </c>
      <c r="C604">
        <v>12</v>
      </c>
      <c r="D604">
        <v>5673921</v>
      </c>
      <c r="E604">
        <v>2</v>
      </c>
      <c r="F604">
        <v>16</v>
      </c>
      <c r="G604">
        <v>81</v>
      </c>
      <c r="H604">
        <v>75335394</v>
      </c>
      <c r="I604">
        <v>476440</v>
      </c>
      <c r="J604" t="s">
        <v>17</v>
      </c>
      <c r="K604" t="s">
        <v>22</v>
      </c>
      <c r="L604">
        <v>8</v>
      </c>
      <c r="M604">
        <v>2.57</v>
      </c>
      <c r="N604">
        <v>299972</v>
      </c>
      <c r="O604">
        <v>1</v>
      </c>
    </row>
    <row r="605" spans="1:15">
      <c r="A605" t="s">
        <v>631</v>
      </c>
      <c r="B605" t="s">
        <v>27</v>
      </c>
      <c r="C605">
        <v>2</v>
      </c>
      <c r="D605">
        <v>37732010</v>
      </c>
      <c r="E605">
        <v>1</v>
      </c>
      <c r="F605">
        <v>13</v>
      </c>
      <c r="G605">
        <v>654</v>
      </c>
      <c r="H605">
        <v>63047877</v>
      </c>
      <c r="I605">
        <v>842906</v>
      </c>
      <c r="J605" t="s">
        <v>21</v>
      </c>
      <c r="K605" t="s">
        <v>22</v>
      </c>
      <c r="L605">
        <v>4</v>
      </c>
      <c r="M605">
        <v>60.72</v>
      </c>
      <c r="N605">
        <v>344648</v>
      </c>
      <c r="O605">
        <v>1</v>
      </c>
    </row>
    <row r="606" spans="1:15">
      <c r="A606" t="s">
        <v>632</v>
      </c>
      <c r="B606" t="s">
        <v>27</v>
      </c>
      <c r="C606">
        <v>8</v>
      </c>
      <c r="D606">
        <v>46960954</v>
      </c>
      <c r="E606">
        <v>4</v>
      </c>
      <c r="F606">
        <v>16</v>
      </c>
      <c r="G606">
        <v>580</v>
      </c>
      <c r="H606">
        <v>99238638</v>
      </c>
      <c r="I606">
        <v>641189</v>
      </c>
      <c r="J606" t="s">
        <v>25</v>
      </c>
      <c r="K606" t="s">
        <v>30</v>
      </c>
      <c r="L606">
        <v>7</v>
      </c>
      <c r="M606">
        <v>51.04</v>
      </c>
      <c r="N606">
        <v>753705</v>
      </c>
      <c r="O606">
        <v>1</v>
      </c>
    </row>
    <row r="607" spans="1:15">
      <c r="A607" t="s">
        <v>633</v>
      </c>
      <c r="B607" t="s">
        <v>16</v>
      </c>
      <c r="C607">
        <v>4</v>
      </c>
      <c r="D607">
        <v>10741106</v>
      </c>
      <c r="E607">
        <v>1</v>
      </c>
      <c r="F607">
        <v>18</v>
      </c>
      <c r="G607">
        <v>913</v>
      </c>
      <c r="H607">
        <v>36634859</v>
      </c>
      <c r="I607">
        <v>195886</v>
      </c>
      <c r="J607" t="s">
        <v>25</v>
      </c>
      <c r="K607" t="s">
        <v>18</v>
      </c>
      <c r="L607">
        <v>3</v>
      </c>
      <c r="M607">
        <v>49.76</v>
      </c>
      <c r="N607">
        <v>13539</v>
      </c>
      <c r="O607">
        <v>1</v>
      </c>
    </row>
    <row r="608" spans="1:15">
      <c r="A608" t="s">
        <v>634</v>
      </c>
      <c r="B608" t="s">
        <v>20</v>
      </c>
      <c r="C608">
        <v>11</v>
      </c>
      <c r="D608">
        <v>185258</v>
      </c>
      <c r="E608">
        <v>1</v>
      </c>
      <c r="F608">
        <v>11</v>
      </c>
      <c r="G608">
        <v>720</v>
      </c>
      <c r="H608">
        <v>79223308</v>
      </c>
      <c r="I608">
        <v>624152</v>
      </c>
      <c r="J608" t="s">
        <v>17</v>
      </c>
      <c r="K608" t="s">
        <v>18</v>
      </c>
      <c r="L608">
        <v>9</v>
      </c>
      <c r="M608">
        <v>5.07</v>
      </c>
      <c r="N608">
        <v>400588</v>
      </c>
      <c r="O608">
        <v>1</v>
      </c>
    </row>
    <row r="609" spans="1:15">
      <c r="A609" t="s">
        <v>635</v>
      </c>
      <c r="B609" t="s">
        <v>20</v>
      </c>
      <c r="C609">
        <v>11</v>
      </c>
      <c r="D609">
        <v>10828898</v>
      </c>
      <c r="E609">
        <v>2</v>
      </c>
      <c r="F609">
        <v>3</v>
      </c>
      <c r="G609">
        <v>684</v>
      </c>
      <c r="H609">
        <v>86282437</v>
      </c>
      <c r="I609">
        <v>767068</v>
      </c>
      <c r="J609" t="s">
        <v>21</v>
      </c>
      <c r="K609" t="s">
        <v>22</v>
      </c>
      <c r="L609">
        <v>2</v>
      </c>
      <c r="M609">
        <v>53.52</v>
      </c>
      <c r="N609">
        <v>824876</v>
      </c>
      <c r="O609">
        <v>1</v>
      </c>
    </row>
    <row r="610" spans="1:15">
      <c r="A610" t="s">
        <v>636</v>
      </c>
      <c r="B610" t="s">
        <v>16</v>
      </c>
      <c r="C610">
        <v>12</v>
      </c>
      <c r="D610">
        <v>5812600</v>
      </c>
      <c r="E610">
        <v>3</v>
      </c>
      <c r="F610">
        <v>24</v>
      </c>
      <c r="G610">
        <v>293</v>
      </c>
      <c r="H610">
        <v>63462465</v>
      </c>
      <c r="I610">
        <v>657524</v>
      </c>
      <c r="J610" t="s">
        <v>21</v>
      </c>
      <c r="K610" t="s">
        <v>18</v>
      </c>
      <c r="L610">
        <v>3</v>
      </c>
      <c r="M610">
        <v>34.46</v>
      </c>
      <c r="N610">
        <v>736503</v>
      </c>
      <c r="O610">
        <v>1</v>
      </c>
    </row>
    <row r="611" spans="1:15">
      <c r="A611" t="s">
        <v>637</v>
      </c>
      <c r="B611" t="s">
        <v>38</v>
      </c>
      <c r="C611">
        <v>11</v>
      </c>
      <c r="D611">
        <v>3313261</v>
      </c>
      <c r="E611">
        <v>2</v>
      </c>
      <c r="F611">
        <v>18</v>
      </c>
      <c r="G611">
        <v>374</v>
      </c>
      <c r="H611">
        <v>22016914</v>
      </c>
      <c r="I611">
        <v>868208</v>
      </c>
      <c r="J611" t="s">
        <v>17</v>
      </c>
      <c r="K611" t="s">
        <v>18</v>
      </c>
      <c r="L611">
        <v>3</v>
      </c>
      <c r="M611">
        <v>68.63</v>
      </c>
      <c r="N611">
        <v>16064</v>
      </c>
      <c r="O611">
        <v>1</v>
      </c>
    </row>
    <row r="612" spans="1:15">
      <c r="A612" t="s">
        <v>638</v>
      </c>
      <c r="B612" t="s">
        <v>32</v>
      </c>
      <c r="C612">
        <v>0</v>
      </c>
      <c r="D612">
        <v>39744471</v>
      </c>
      <c r="E612">
        <v>3</v>
      </c>
      <c r="F612">
        <v>15</v>
      </c>
      <c r="G612">
        <v>756</v>
      </c>
      <c r="H612">
        <v>96283019</v>
      </c>
      <c r="I612">
        <v>964759</v>
      </c>
      <c r="J612" t="s">
        <v>21</v>
      </c>
      <c r="K612" t="s">
        <v>22</v>
      </c>
      <c r="L612">
        <v>3</v>
      </c>
      <c r="M612">
        <v>13.22</v>
      </c>
      <c r="N612">
        <v>953879</v>
      </c>
      <c r="O612">
        <v>1</v>
      </c>
    </row>
    <row r="613" spans="1:15">
      <c r="A613" t="s">
        <v>639</v>
      </c>
      <c r="B613" t="s">
        <v>24</v>
      </c>
      <c r="C613">
        <v>11</v>
      </c>
      <c r="D613">
        <v>14673264</v>
      </c>
      <c r="E613">
        <v>1</v>
      </c>
      <c r="F613">
        <v>5</v>
      </c>
      <c r="G613">
        <v>855</v>
      </c>
      <c r="H613">
        <v>84182231</v>
      </c>
      <c r="I613">
        <v>327229</v>
      </c>
      <c r="J613" t="s">
        <v>21</v>
      </c>
      <c r="K613" t="s">
        <v>30</v>
      </c>
      <c r="L613">
        <v>4</v>
      </c>
      <c r="M613">
        <v>14.08</v>
      </c>
      <c r="N613">
        <v>308299</v>
      </c>
      <c r="O613">
        <v>1</v>
      </c>
    </row>
    <row r="614" spans="1:15">
      <c r="A614" t="s">
        <v>640</v>
      </c>
      <c r="B614" t="s">
        <v>24</v>
      </c>
      <c r="C614">
        <v>12</v>
      </c>
      <c r="D614">
        <v>46045785</v>
      </c>
      <c r="E614">
        <v>2</v>
      </c>
      <c r="F614">
        <v>22</v>
      </c>
      <c r="G614">
        <v>958</v>
      </c>
      <c r="H614">
        <v>58889158</v>
      </c>
      <c r="I614">
        <v>176687</v>
      </c>
      <c r="J614" t="s">
        <v>17</v>
      </c>
      <c r="K614" t="s">
        <v>22</v>
      </c>
      <c r="L614">
        <v>4</v>
      </c>
      <c r="M614">
        <v>56.8</v>
      </c>
      <c r="N614">
        <v>463594</v>
      </c>
      <c r="O614">
        <v>1</v>
      </c>
    </row>
    <row r="615" spans="1:15">
      <c r="A615" t="s">
        <v>641</v>
      </c>
      <c r="B615" t="s">
        <v>20</v>
      </c>
      <c r="C615">
        <v>14</v>
      </c>
      <c r="D615">
        <v>14634572</v>
      </c>
      <c r="E615">
        <v>3</v>
      </c>
      <c r="F615">
        <v>15</v>
      </c>
      <c r="G615">
        <v>985</v>
      </c>
      <c r="H615">
        <v>33568483</v>
      </c>
      <c r="I615">
        <v>194656</v>
      </c>
      <c r="J615" t="s">
        <v>17</v>
      </c>
      <c r="K615" t="s">
        <v>30</v>
      </c>
      <c r="L615">
        <v>9</v>
      </c>
      <c r="M615">
        <v>64.010000000000005</v>
      </c>
      <c r="N615">
        <v>583207</v>
      </c>
      <c r="O615">
        <v>1</v>
      </c>
    </row>
    <row r="616" spans="1:15">
      <c r="A616" t="s">
        <v>642</v>
      </c>
      <c r="B616" t="s">
        <v>32</v>
      </c>
      <c r="C616">
        <v>7</v>
      </c>
      <c r="D616">
        <v>19309372</v>
      </c>
      <c r="E616">
        <v>1</v>
      </c>
      <c r="F616">
        <v>19</v>
      </c>
      <c r="G616">
        <v>805</v>
      </c>
      <c r="H616">
        <v>3670836</v>
      </c>
      <c r="I616">
        <v>520960</v>
      </c>
      <c r="J616" t="s">
        <v>21</v>
      </c>
      <c r="K616" t="s">
        <v>22</v>
      </c>
      <c r="L616">
        <v>7</v>
      </c>
      <c r="M616">
        <v>59.34</v>
      </c>
      <c r="N616">
        <v>6801</v>
      </c>
      <c r="O616">
        <v>1</v>
      </c>
    </row>
    <row r="617" spans="1:15">
      <c r="A617" t="s">
        <v>643</v>
      </c>
      <c r="B617" t="s">
        <v>38</v>
      </c>
      <c r="C617">
        <v>5</v>
      </c>
      <c r="D617">
        <v>33371496</v>
      </c>
      <c r="E617">
        <v>3</v>
      </c>
      <c r="F617">
        <v>2</v>
      </c>
      <c r="G617">
        <v>350</v>
      </c>
      <c r="H617">
        <v>98726217</v>
      </c>
      <c r="I617">
        <v>783481</v>
      </c>
      <c r="J617" t="s">
        <v>17</v>
      </c>
      <c r="K617" t="s">
        <v>30</v>
      </c>
      <c r="L617">
        <v>6</v>
      </c>
      <c r="M617">
        <v>60.15</v>
      </c>
      <c r="N617">
        <v>296681</v>
      </c>
      <c r="O617">
        <v>1</v>
      </c>
    </row>
    <row r="618" spans="1:15">
      <c r="A618" t="s">
        <v>644</v>
      </c>
      <c r="B618" t="s">
        <v>32</v>
      </c>
      <c r="C618">
        <v>14</v>
      </c>
      <c r="D618">
        <v>30435417</v>
      </c>
      <c r="E618">
        <v>1</v>
      </c>
      <c r="F618">
        <v>2</v>
      </c>
      <c r="G618">
        <v>336</v>
      </c>
      <c r="H618">
        <v>71817044</v>
      </c>
      <c r="I618">
        <v>112617</v>
      </c>
      <c r="J618" t="s">
        <v>25</v>
      </c>
      <c r="K618" t="s">
        <v>18</v>
      </c>
      <c r="L618">
        <v>8</v>
      </c>
      <c r="M618">
        <v>98.98</v>
      </c>
      <c r="N618">
        <v>967320</v>
      </c>
      <c r="O618">
        <v>1</v>
      </c>
    </row>
    <row r="619" spans="1:15">
      <c r="A619" t="s">
        <v>645</v>
      </c>
      <c r="B619" t="s">
        <v>29</v>
      </c>
      <c r="C619">
        <v>13</v>
      </c>
      <c r="D619">
        <v>33045581</v>
      </c>
      <c r="E619">
        <v>3</v>
      </c>
      <c r="F619">
        <v>22</v>
      </c>
      <c r="G619">
        <v>720</v>
      </c>
      <c r="H619">
        <v>92292621</v>
      </c>
      <c r="I619">
        <v>594766</v>
      </c>
      <c r="J619" t="s">
        <v>17</v>
      </c>
      <c r="K619" t="s">
        <v>30</v>
      </c>
      <c r="L619">
        <v>8</v>
      </c>
      <c r="M619">
        <v>83.57</v>
      </c>
      <c r="N619">
        <v>923784</v>
      </c>
      <c r="O619">
        <v>1</v>
      </c>
    </row>
    <row r="620" spans="1:15">
      <c r="A620" t="s">
        <v>646</v>
      </c>
      <c r="B620" t="s">
        <v>20</v>
      </c>
      <c r="C620">
        <v>1</v>
      </c>
      <c r="D620">
        <v>22367538</v>
      </c>
      <c r="E620">
        <v>1</v>
      </c>
      <c r="F620">
        <v>17</v>
      </c>
      <c r="G620">
        <v>570</v>
      </c>
      <c r="H620">
        <v>25100631</v>
      </c>
      <c r="I620">
        <v>262785</v>
      </c>
      <c r="J620" t="s">
        <v>25</v>
      </c>
      <c r="K620" t="s">
        <v>22</v>
      </c>
      <c r="L620">
        <v>4</v>
      </c>
      <c r="M620">
        <v>59.17</v>
      </c>
      <c r="N620">
        <v>681886</v>
      </c>
      <c r="O620">
        <v>1</v>
      </c>
    </row>
    <row r="621" spans="1:15">
      <c r="A621" t="s">
        <v>647</v>
      </c>
      <c r="B621" t="s">
        <v>16</v>
      </c>
      <c r="C621">
        <v>3</v>
      </c>
      <c r="D621">
        <v>676748</v>
      </c>
      <c r="E621">
        <v>1</v>
      </c>
      <c r="F621">
        <v>3</v>
      </c>
      <c r="G621">
        <v>471</v>
      </c>
      <c r="H621">
        <v>79174188</v>
      </c>
      <c r="I621">
        <v>311250</v>
      </c>
      <c r="J621" t="s">
        <v>25</v>
      </c>
      <c r="K621" t="s">
        <v>30</v>
      </c>
      <c r="L621">
        <v>7</v>
      </c>
      <c r="M621">
        <v>6.49</v>
      </c>
      <c r="N621">
        <v>990896</v>
      </c>
      <c r="O621">
        <v>1</v>
      </c>
    </row>
    <row r="622" spans="1:15">
      <c r="A622" t="s">
        <v>648</v>
      </c>
      <c r="B622" t="s">
        <v>29</v>
      </c>
      <c r="C622">
        <v>0</v>
      </c>
      <c r="D622">
        <v>46079858</v>
      </c>
      <c r="E622">
        <v>2</v>
      </c>
      <c r="F622">
        <v>15</v>
      </c>
      <c r="G622">
        <v>687</v>
      </c>
      <c r="H622">
        <v>27903711</v>
      </c>
      <c r="I622">
        <v>137721</v>
      </c>
      <c r="J622" t="s">
        <v>21</v>
      </c>
      <c r="K622" t="s">
        <v>18</v>
      </c>
      <c r="L622">
        <v>9</v>
      </c>
      <c r="M622">
        <v>33.869999999999997</v>
      </c>
      <c r="N622">
        <v>93465</v>
      </c>
      <c r="O622">
        <v>1</v>
      </c>
    </row>
    <row r="623" spans="1:15">
      <c r="A623" t="s">
        <v>649</v>
      </c>
      <c r="B623" t="s">
        <v>32</v>
      </c>
      <c r="C623">
        <v>12</v>
      </c>
      <c r="D623">
        <v>5086924</v>
      </c>
      <c r="E623">
        <v>1</v>
      </c>
      <c r="F623">
        <v>25</v>
      </c>
      <c r="G623">
        <v>308</v>
      </c>
      <c r="H623">
        <v>13898212</v>
      </c>
      <c r="I623">
        <v>872593</v>
      </c>
      <c r="J623" t="s">
        <v>21</v>
      </c>
      <c r="K623" t="s">
        <v>30</v>
      </c>
      <c r="L623">
        <v>6</v>
      </c>
      <c r="M623">
        <v>41.75</v>
      </c>
      <c r="N623">
        <v>97670</v>
      </c>
      <c r="O623">
        <v>1</v>
      </c>
    </row>
    <row r="624" spans="1:15">
      <c r="A624" t="s">
        <v>650</v>
      </c>
      <c r="B624" t="s">
        <v>32</v>
      </c>
      <c r="C624">
        <v>12</v>
      </c>
      <c r="D624">
        <v>17161162</v>
      </c>
      <c r="E624">
        <v>3</v>
      </c>
      <c r="F624">
        <v>19</v>
      </c>
      <c r="G624">
        <v>588</v>
      </c>
      <c r="H624">
        <v>96125202</v>
      </c>
      <c r="I624">
        <v>985095</v>
      </c>
      <c r="J624" t="s">
        <v>17</v>
      </c>
      <c r="K624" t="s">
        <v>18</v>
      </c>
      <c r="L624">
        <v>5</v>
      </c>
      <c r="M624">
        <v>59.65</v>
      </c>
      <c r="N624">
        <v>426356</v>
      </c>
      <c r="O624">
        <v>1</v>
      </c>
    </row>
    <row r="625" spans="1:15">
      <c r="A625" t="s">
        <v>651</v>
      </c>
      <c r="B625" t="s">
        <v>16</v>
      </c>
      <c r="C625">
        <v>8</v>
      </c>
      <c r="D625">
        <v>7758305</v>
      </c>
      <c r="E625">
        <v>3</v>
      </c>
      <c r="F625">
        <v>24</v>
      </c>
      <c r="G625">
        <v>34</v>
      </c>
      <c r="H625">
        <v>36719786</v>
      </c>
      <c r="I625">
        <v>169775</v>
      </c>
      <c r="J625" t="s">
        <v>17</v>
      </c>
      <c r="K625" t="s">
        <v>22</v>
      </c>
      <c r="L625">
        <v>5</v>
      </c>
      <c r="M625">
        <v>93.77</v>
      </c>
      <c r="N625">
        <v>514898</v>
      </c>
      <c r="O625">
        <v>1</v>
      </c>
    </row>
    <row r="626" spans="1:15">
      <c r="A626" t="s">
        <v>652</v>
      </c>
      <c r="B626" t="s">
        <v>32</v>
      </c>
      <c r="C626">
        <v>12</v>
      </c>
      <c r="D626">
        <v>34023652</v>
      </c>
      <c r="E626">
        <v>4</v>
      </c>
      <c r="F626">
        <v>7</v>
      </c>
      <c r="G626">
        <v>37</v>
      </c>
      <c r="H626">
        <v>35067955</v>
      </c>
      <c r="I626">
        <v>623474</v>
      </c>
      <c r="J626" t="s">
        <v>21</v>
      </c>
      <c r="K626" t="s">
        <v>30</v>
      </c>
      <c r="L626">
        <v>8</v>
      </c>
      <c r="M626">
        <v>70.77</v>
      </c>
      <c r="N626">
        <v>738426</v>
      </c>
      <c r="O626">
        <v>1</v>
      </c>
    </row>
    <row r="627" spans="1:15">
      <c r="A627" t="s">
        <v>653</v>
      </c>
      <c r="B627" t="s">
        <v>29</v>
      </c>
      <c r="C627">
        <v>11</v>
      </c>
      <c r="D627">
        <v>44219317</v>
      </c>
      <c r="E627">
        <v>3</v>
      </c>
      <c r="F627">
        <v>26</v>
      </c>
      <c r="G627">
        <v>914</v>
      </c>
      <c r="H627">
        <v>47013648</v>
      </c>
      <c r="I627">
        <v>503829</v>
      </c>
      <c r="J627" t="s">
        <v>25</v>
      </c>
      <c r="K627" t="s">
        <v>22</v>
      </c>
      <c r="L627">
        <v>1</v>
      </c>
      <c r="M627">
        <v>65.62</v>
      </c>
      <c r="N627">
        <v>987178</v>
      </c>
      <c r="O627">
        <v>1</v>
      </c>
    </row>
    <row r="628" spans="1:15">
      <c r="A628" t="s">
        <v>654</v>
      </c>
      <c r="B628" t="s">
        <v>32</v>
      </c>
      <c r="C628">
        <v>12</v>
      </c>
      <c r="D628">
        <v>46698685</v>
      </c>
      <c r="E628">
        <v>2</v>
      </c>
      <c r="F628">
        <v>17</v>
      </c>
      <c r="G628">
        <v>75</v>
      </c>
      <c r="H628">
        <v>91295260</v>
      </c>
      <c r="I628">
        <v>590307</v>
      </c>
      <c r="J628" t="s">
        <v>17</v>
      </c>
      <c r="K628" t="s">
        <v>30</v>
      </c>
      <c r="L628">
        <v>9</v>
      </c>
      <c r="M628">
        <v>10.82</v>
      </c>
      <c r="N628">
        <v>835909</v>
      </c>
      <c r="O628">
        <v>1</v>
      </c>
    </row>
    <row r="629" spans="1:15">
      <c r="A629" t="s">
        <v>655</v>
      </c>
      <c r="B629" t="s">
        <v>16</v>
      </c>
      <c r="C629">
        <v>2</v>
      </c>
      <c r="D629">
        <v>17953576</v>
      </c>
      <c r="E629">
        <v>4</v>
      </c>
      <c r="F629">
        <v>5</v>
      </c>
      <c r="G629">
        <v>174</v>
      </c>
      <c r="H629">
        <v>49085132</v>
      </c>
      <c r="I629">
        <v>648339</v>
      </c>
      <c r="J629" t="s">
        <v>21</v>
      </c>
      <c r="K629" t="s">
        <v>22</v>
      </c>
      <c r="L629">
        <v>2</v>
      </c>
      <c r="M629">
        <v>48.91</v>
      </c>
      <c r="N629">
        <v>970698</v>
      </c>
      <c r="O629">
        <v>1</v>
      </c>
    </row>
    <row r="630" spans="1:15">
      <c r="A630" t="s">
        <v>656</v>
      </c>
      <c r="B630" t="s">
        <v>38</v>
      </c>
      <c r="C630">
        <v>13</v>
      </c>
      <c r="D630">
        <v>28781778</v>
      </c>
      <c r="E630">
        <v>2</v>
      </c>
      <c r="F630">
        <v>3</v>
      </c>
      <c r="G630">
        <v>977</v>
      </c>
      <c r="H630">
        <v>55921907</v>
      </c>
      <c r="I630">
        <v>114847</v>
      </c>
      <c r="J630" t="s">
        <v>17</v>
      </c>
      <c r="K630" t="s">
        <v>22</v>
      </c>
      <c r="L630">
        <v>8</v>
      </c>
      <c r="M630">
        <v>59.4</v>
      </c>
      <c r="N630">
        <v>314278</v>
      </c>
      <c r="O630">
        <v>1</v>
      </c>
    </row>
    <row r="631" spans="1:15">
      <c r="A631" t="s">
        <v>657</v>
      </c>
      <c r="B631" t="s">
        <v>32</v>
      </c>
      <c r="C631">
        <v>7</v>
      </c>
      <c r="D631">
        <v>15900770</v>
      </c>
      <c r="E631">
        <v>3</v>
      </c>
      <c r="F631">
        <v>19</v>
      </c>
      <c r="G631">
        <v>912</v>
      </c>
      <c r="H631">
        <v>53292051</v>
      </c>
      <c r="I631">
        <v>990931</v>
      </c>
      <c r="J631" t="s">
        <v>25</v>
      </c>
      <c r="K631" t="s">
        <v>22</v>
      </c>
      <c r="L631">
        <v>6</v>
      </c>
      <c r="M631">
        <v>85.71</v>
      </c>
      <c r="N631">
        <v>168065</v>
      </c>
      <c r="O631">
        <v>1</v>
      </c>
    </row>
    <row r="632" spans="1:15">
      <c r="A632" t="s">
        <v>658</v>
      </c>
      <c r="B632" t="s">
        <v>16</v>
      </c>
      <c r="C632">
        <v>11</v>
      </c>
      <c r="D632">
        <v>180617</v>
      </c>
      <c r="E632">
        <v>2</v>
      </c>
      <c r="F632">
        <v>18</v>
      </c>
      <c r="G632">
        <v>911</v>
      </c>
      <c r="H632">
        <v>99266128</v>
      </c>
      <c r="I632">
        <v>869700</v>
      </c>
      <c r="J632" t="s">
        <v>25</v>
      </c>
      <c r="K632" t="s">
        <v>22</v>
      </c>
      <c r="L632">
        <v>7</v>
      </c>
      <c r="M632">
        <v>89.95</v>
      </c>
      <c r="N632">
        <v>769850</v>
      </c>
      <c r="O632">
        <v>1</v>
      </c>
    </row>
    <row r="633" spans="1:15">
      <c r="A633" t="s">
        <v>659</v>
      </c>
      <c r="B633" t="s">
        <v>20</v>
      </c>
      <c r="C633">
        <v>9</v>
      </c>
      <c r="D633">
        <v>22941994</v>
      </c>
      <c r="E633">
        <v>2</v>
      </c>
      <c r="F633">
        <v>19</v>
      </c>
      <c r="G633">
        <v>644</v>
      </c>
      <c r="H633">
        <v>86808182</v>
      </c>
      <c r="I633">
        <v>61254</v>
      </c>
      <c r="J633" t="s">
        <v>25</v>
      </c>
      <c r="K633" t="s">
        <v>30</v>
      </c>
      <c r="L633">
        <v>9</v>
      </c>
      <c r="M633">
        <v>74.540000000000006</v>
      </c>
      <c r="N633">
        <v>345572</v>
      </c>
      <c r="O633">
        <v>1</v>
      </c>
    </row>
    <row r="634" spans="1:15">
      <c r="A634" t="s">
        <v>660</v>
      </c>
      <c r="B634" t="s">
        <v>27</v>
      </c>
      <c r="C634">
        <v>3</v>
      </c>
      <c r="D634">
        <v>37210752</v>
      </c>
      <c r="E634">
        <v>2</v>
      </c>
      <c r="F634">
        <v>8</v>
      </c>
      <c r="G634">
        <v>763</v>
      </c>
      <c r="H634">
        <v>89316340</v>
      </c>
      <c r="I634">
        <v>85142</v>
      </c>
      <c r="J634" t="s">
        <v>17</v>
      </c>
      <c r="K634" t="s">
        <v>22</v>
      </c>
      <c r="L634">
        <v>5</v>
      </c>
      <c r="M634">
        <v>39.57</v>
      </c>
      <c r="N634">
        <v>795559</v>
      </c>
      <c r="O634">
        <v>1</v>
      </c>
    </row>
    <row r="635" spans="1:15">
      <c r="A635" t="s">
        <v>661</v>
      </c>
      <c r="B635" t="s">
        <v>24</v>
      </c>
      <c r="C635">
        <v>5</v>
      </c>
      <c r="D635">
        <v>43744027</v>
      </c>
      <c r="E635">
        <v>3</v>
      </c>
      <c r="F635">
        <v>0</v>
      </c>
      <c r="G635">
        <v>120</v>
      </c>
      <c r="H635">
        <v>91276704</v>
      </c>
      <c r="I635">
        <v>907552</v>
      </c>
      <c r="J635" t="s">
        <v>21</v>
      </c>
      <c r="K635" t="s">
        <v>18</v>
      </c>
      <c r="L635">
        <v>9</v>
      </c>
      <c r="M635">
        <v>76.3</v>
      </c>
      <c r="N635">
        <v>960136</v>
      </c>
      <c r="O635">
        <v>1</v>
      </c>
    </row>
    <row r="636" spans="1:15">
      <c r="A636" t="s">
        <v>662</v>
      </c>
      <c r="B636" t="s">
        <v>16</v>
      </c>
      <c r="C636">
        <v>1</v>
      </c>
      <c r="D636">
        <v>6544482</v>
      </c>
      <c r="E636">
        <v>1</v>
      </c>
      <c r="F636">
        <v>20</v>
      </c>
      <c r="G636">
        <v>541</v>
      </c>
      <c r="H636">
        <v>2462732</v>
      </c>
      <c r="I636">
        <v>993653</v>
      </c>
      <c r="J636" t="s">
        <v>17</v>
      </c>
      <c r="K636" t="s">
        <v>22</v>
      </c>
      <c r="L636">
        <v>4</v>
      </c>
      <c r="M636">
        <v>71.12</v>
      </c>
      <c r="N636">
        <v>605485</v>
      </c>
      <c r="O636">
        <v>1</v>
      </c>
    </row>
    <row r="637" spans="1:15">
      <c r="A637" t="s">
        <v>663</v>
      </c>
      <c r="B637" t="s">
        <v>32</v>
      </c>
      <c r="C637">
        <v>8</v>
      </c>
      <c r="D637">
        <v>209456</v>
      </c>
      <c r="E637">
        <v>4</v>
      </c>
      <c r="F637">
        <v>6</v>
      </c>
      <c r="G637">
        <v>57</v>
      </c>
      <c r="H637">
        <v>64281484</v>
      </c>
      <c r="I637">
        <v>563110</v>
      </c>
      <c r="J637" t="s">
        <v>21</v>
      </c>
      <c r="K637" t="s">
        <v>18</v>
      </c>
      <c r="L637">
        <v>7</v>
      </c>
      <c r="M637">
        <v>49.13</v>
      </c>
      <c r="N637">
        <v>601405</v>
      </c>
      <c r="O637">
        <v>1</v>
      </c>
    </row>
    <row r="638" spans="1:15">
      <c r="A638" t="s">
        <v>664</v>
      </c>
      <c r="B638" t="s">
        <v>29</v>
      </c>
      <c r="C638">
        <v>1</v>
      </c>
      <c r="D638">
        <v>48916021</v>
      </c>
      <c r="E638">
        <v>3</v>
      </c>
      <c r="F638">
        <v>23</v>
      </c>
      <c r="G638">
        <v>242</v>
      </c>
      <c r="H638">
        <v>25937984</v>
      </c>
      <c r="I638">
        <v>560889</v>
      </c>
      <c r="J638" t="s">
        <v>21</v>
      </c>
      <c r="K638" t="s">
        <v>22</v>
      </c>
      <c r="L638">
        <v>1</v>
      </c>
      <c r="M638">
        <v>99.05</v>
      </c>
      <c r="N638">
        <v>351345</v>
      </c>
      <c r="O638">
        <v>1</v>
      </c>
    </row>
    <row r="639" spans="1:15">
      <c r="A639" t="s">
        <v>665</v>
      </c>
      <c r="B639" t="s">
        <v>29</v>
      </c>
      <c r="C639">
        <v>1</v>
      </c>
      <c r="D639">
        <v>731521</v>
      </c>
      <c r="E639">
        <v>3</v>
      </c>
      <c r="F639">
        <v>2</v>
      </c>
      <c r="G639">
        <v>850</v>
      </c>
      <c r="H639">
        <v>94055291</v>
      </c>
      <c r="I639">
        <v>99854</v>
      </c>
      <c r="J639" t="s">
        <v>17</v>
      </c>
      <c r="K639" t="s">
        <v>18</v>
      </c>
      <c r="L639">
        <v>5</v>
      </c>
      <c r="M639">
        <v>54.91</v>
      </c>
      <c r="N639">
        <v>594191</v>
      </c>
      <c r="O639">
        <v>1</v>
      </c>
    </row>
    <row r="640" spans="1:15">
      <c r="A640" t="s">
        <v>666</v>
      </c>
      <c r="B640" t="s">
        <v>24</v>
      </c>
      <c r="C640">
        <v>0</v>
      </c>
      <c r="D640">
        <v>32410758</v>
      </c>
      <c r="E640">
        <v>3</v>
      </c>
      <c r="F640">
        <v>17</v>
      </c>
      <c r="G640">
        <v>121</v>
      </c>
      <c r="H640">
        <v>51334713</v>
      </c>
      <c r="I640">
        <v>714288</v>
      </c>
      <c r="J640" t="s">
        <v>25</v>
      </c>
      <c r="K640" t="s">
        <v>22</v>
      </c>
      <c r="L640">
        <v>7</v>
      </c>
      <c r="M640">
        <v>2.79</v>
      </c>
      <c r="N640">
        <v>716903</v>
      </c>
      <c r="O640">
        <v>1</v>
      </c>
    </row>
    <row r="641" spans="1:15">
      <c r="A641" t="s">
        <v>667</v>
      </c>
      <c r="B641" t="s">
        <v>29</v>
      </c>
      <c r="C641">
        <v>14</v>
      </c>
      <c r="D641">
        <v>30856445</v>
      </c>
      <c r="E641">
        <v>3</v>
      </c>
      <c r="F641">
        <v>19</v>
      </c>
      <c r="G641">
        <v>734</v>
      </c>
      <c r="H641">
        <v>46622269</v>
      </c>
      <c r="I641">
        <v>42989</v>
      </c>
      <c r="J641" t="s">
        <v>17</v>
      </c>
      <c r="K641" t="s">
        <v>30</v>
      </c>
      <c r="L641">
        <v>3</v>
      </c>
      <c r="M641">
        <v>14.97</v>
      </c>
      <c r="N641">
        <v>684473</v>
      </c>
      <c r="O641">
        <v>1</v>
      </c>
    </row>
    <row r="642" spans="1:15">
      <c r="A642" t="s">
        <v>668</v>
      </c>
      <c r="B642" t="s">
        <v>38</v>
      </c>
      <c r="C642">
        <v>11</v>
      </c>
      <c r="D642">
        <v>39194155</v>
      </c>
      <c r="E642">
        <v>4</v>
      </c>
      <c r="F642">
        <v>14</v>
      </c>
      <c r="G642">
        <v>655</v>
      </c>
      <c r="H642">
        <v>81310715</v>
      </c>
      <c r="I642">
        <v>760403</v>
      </c>
      <c r="J642" t="s">
        <v>21</v>
      </c>
      <c r="K642" t="s">
        <v>30</v>
      </c>
      <c r="L642">
        <v>7</v>
      </c>
      <c r="M642">
        <v>23.53</v>
      </c>
      <c r="N642">
        <v>892632</v>
      </c>
      <c r="O642">
        <v>1</v>
      </c>
    </row>
    <row r="643" spans="1:15">
      <c r="A643" t="s">
        <v>669</v>
      </c>
      <c r="B643" t="s">
        <v>29</v>
      </c>
      <c r="C643">
        <v>4</v>
      </c>
      <c r="D643">
        <v>8342158</v>
      </c>
      <c r="E643">
        <v>1</v>
      </c>
      <c r="F643">
        <v>24</v>
      </c>
      <c r="G643">
        <v>926</v>
      </c>
      <c r="H643">
        <v>366741</v>
      </c>
      <c r="I643">
        <v>545777</v>
      </c>
      <c r="J643" t="s">
        <v>17</v>
      </c>
      <c r="K643" t="s">
        <v>30</v>
      </c>
      <c r="L643">
        <v>9</v>
      </c>
      <c r="M643">
        <v>77.569999999999993</v>
      </c>
      <c r="N643">
        <v>736823</v>
      </c>
      <c r="O643">
        <v>1</v>
      </c>
    </row>
    <row r="644" spans="1:15">
      <c r="A644" t="s">
        <v>670</v>
      </c>
      <c r="B644" t="s">
        <v>16</v>
      </c>
      <c r="C644">
        <v>5</v>
      </c>
      <c r="D644">
        <v>10030536</v>
      </c>
      <c r="E644">
        <v>2</v>
      </c>
      <c r="F644">
        <v>10</v>
      </c>
      <c r="G644">
        <v>452</v>
      </c>
      <c r="H644">
        <v>67653320</v>
      </c>
      <c r="I644">
        <v>63866</v>
      </c>
      <c r="J644" t="s">
        <v>25</v>
      </c>
      <c r="K644" t="s">
        <v>18</v>
      </c>
      <c r="L644">
        <v>9</v>
      </c>
      <c r="M644">
        <v>34.630000000000003</v>
      </c>
      <c r="N644">
        <v>645479</v>
      </c>
      <c r="O644">
        <v>1</v>
      </c>
    </row>
    <row r="645" spans="1:15">
      <c r="A645" t="s">
        <v>671</v>
      </c>
      <c r="B645" t="s">
        <v>20</v>
      </c>
      <c r="C645">
        <v>3</v>
      </c>
      <c r="D645">
        <v>15631034</v>
      </c>
      <c r="E645">
        <v>4</v>
      </c>
      <c r="F645">
        <v>22</v>
      </c>
      <c r="G645">
        <v>608</v>
      </c>
      <c r="H645">
        <v>433558</v>
      </c>
      <c r="I645">
        <v>823743</v>
      </c>
      <c r="J645" t="s">
        <v>25</v>
      </c>
      <c r="K645" t="s">
        <v>30</v>
      </c>
      <c r="L645">
        <v>3</v>
      </c>
      <c r="M645">
        <v>25.17</v>
      </c>
      <c r="N645">
        <v>232821</v>
      </c>
      <c r="O645">
        <v>1</v>
      </c>
    </row>
    <row r="646" spans="1:15">
      <c r="A646" t="s">
        <v>672</v>
      </c>
      <c r="B646" t="s">
        <v>29</v>
      </c>
      <c r="C646">
        <v>7</v>
      </c>
      <c r="D646">
        <v>5240413</v>
      </c>
      <c r="E646">
        <v>3</v>
      </c>
      <c r="F646">
        <v>1</v>
      </c>
      <c r="G646">
        <v>103</v>
      </c>
      <c r="H646">
        <v>21908893</v>
      </c>
      <c r="I646">
        <v>693732</v>
      </c>
      <c r="J646" t="s">
        <v>25</v>
      </c>
      <c r="K646" t="s">
        <v>18</v>
      </c>
      <c r="L646">
        <v>1</v>
      </c>
      <c r="M646">
        <v>33.57</v>
      </c>
      <c r="N646">
        <v>963306</v>
      </c>
      <c r="O646">
        <v>1</v>
      </c>
    </row>
    <row r="647" spans="1:15">
      <c r="A647" t="s">
        <v>673</v>
      </c>
      <c r="B647" t="s">
        <v>24</v>
      </c>
      <c r="C647">
        <v>14</v>
      </c>
      <c r="D647">
        <v>3698031</v>
      </c>
      <c r="E647">
        <v>2</v>
      </c>
      <c r="F647">
        <v>20</v>
      </c>
      <c r="G647">
        <v>784</v>
      </c>
      <c r="H647">
        <v>76451080</v>
      </c>
      <c r="I647">
        <v>407365</v>
      </c>
      <c r="J647" t="s">
        <v>21</v>
      </c>
      <c r="K647" t="s">
        <v>22</v>
      </c>
      <c r="L647">
        <v>8</v>
      </c>
      <c r="M647">
        <v>52.62</v>
      </c>
      <c r="N647">
        <v>884615</v>
      </c>
      <c r="O647">
        <v>1</v>
      </c>
    </row>
    <row r="648" spans="1:15">
      <c r="A648" t="s">
        <v>674</v>
      </c>
      <c r="B648" t="s">
        <v>29</v>
      </c>
      <c r="C648">
        <v>2</v>
      </c>
      <c r="D648">
        <v>14536339</v>
      </c>
      <c r="E648">
        <v>3</v>
      </c>
      <c r="F648">
        <v>24</v>
      </c>
      <c r="G648">
        <v>249</v>
      </c>
      <c r="H648">
        <v>99732239</v>
      </c>
      <c r="I648">
        <v>421164</v>
      </c>
      <c r="J648" t="s">
        <v>21</v>
      </c>
      <c r="K648" t="s">
        <v>30</v>
      </c>
      <c r="L648">
        <v>2</v>
      </c>
      <c r="M648">
        <v>12.36</v>
      </c>
      <c r="N648">
        <v>764416</v>
      </c>
      <c r="O648">
        <v>1</v>
      </c>
    </row>
    <row r="649" spans="1:15">
      <c r="A649" t="s">
        <v>675</v>
      </c>
      <c r="B649" t="s">
        <v>16</v>
      </c>
      <c r="C649">
        <v>6</v>
      </c>
      <c r="D649">
        <v>48783926</v>
      </c>
      <c r="E649">
        <v>3</v>
      </c>
      <c r="F649">
        <v>13</v>
      </c>
      <c r="G649">
        <v>26</v>
      </c>
      <c r="H649">
        <v>19628954</v>
      </c>
      <c r="I649">
        <v>792077</v>
      </c>
      <c r="J649" t="s">
        <v>21</v>
      </c>
      <c r="K649" t="s">
        <v>22</v>
      </c>
      <c r="L649">
        <v>9</v>
      </c>
      <c r="M649">
        <v>26.08</v>
      </c>
      <c r="N649">
        <v>12447</v>
      </c>
      <c r="O649">
        <v>1</v>
      </c>
    </row>
    <row r="650" spans="1:15">
      <c r="A650" t="s">
        <v>676</v>
      </c>
      <c r="B650" t="s">
        <v>20</v>
      </c>
      <c r="C650">
        <v>5</v>
      </c>
      <c r="D650">
        <v>27666233</v>
      </c>
      <c r="E650">
        <v>2</v>
      </c>
      <c r="F650">
        <v>12</v>
      </c>
      <c r="G650">
        <v>881</v>
      </c>
      <c r="H650">
        <v>91133960</v>
      </c>
      <c r="I650">
        <v>827966</v>
      </c>
      <c r="J650" t="s">
        <v>25</v>
      </c>
      <c r="K650" t="s">
        <v>30</v>
      </c>
      <c r="L650">
        <v>5</v>
      </c>
      <c r="M650">
        <v>1.45</v>
      </c>
      <c r="N650">
        <v>696796</v>
      </c>
      <c r="O650">
        <v>1</v>
      </c>
    </row>
    <row r="651" spans="1:15">
      <c r="A651" t="s">
        <v>677</v>
      </c>
      <c r="B651" t="s">
        <v>32</v>
      </c>
      <c r="C651">
        <v>12</v>
      </c>
      <c r="D651">
        <v>45215826</v>
      </c>
      <c r="E651">
        <v>3</v>
      </c>
      <c r="F651">
        <v>26</v>
      </c>
      <c r="G651">
        <v>558</v>
      </c>
      <c r="H651">
        <v>61880161</v>
      </c>
      <c r="I651">
        <v>155421</v>
      </c>
      <c r="J651" t="s">
        <v>21</v>
      </c>
      <c r="K651" t="s">
        <v>22</v>
      </c>
      <c r="L651">
        <v>6</v>
      </c>
      <c r="M651">
        <v>45.01</v>
      </c>
      <c r="N651">
        <v>945426</v>
      </c>
      <c r="O651">
        <v>1</v>
      </c>
    </row>
    <row r="652" spans="1:15">
      <c r="A652" t="s">
        <v>678</v>
      </c>
      <c r="B652" t="s">
        <v>27</v>
      </c>
      <c r="C652">
        <v>7</v>
      </c>
      <c r="D652">
        <v>2606788</v>
      </c>
      <c r="E652">
        <v>2</v>
      </c>
      <c r="F652">
        <v>17</v>
      </c>
      <c r="G652">
        <v>806</v>
      </c>
      <c r="H652">
        <v>62293798</v>
      </c>
      <c r="I652">
        <v>51728</v>
      </c>
      <c r="J652" t="s">
        <v>21</v>
      </c>
      <c r="K652" t="s">
        <v>22</v>
      </c>
      <c r="L652">
        <v>6</v>
      </c>
      <c r="M652">
        <v>93.25</v>
      </c>
      <c r="N652">
        <v>912543</v>
      </c>
      <c r="O652">
        <v>1</v>
      </c>
    </row>
    <row r="653" spans="1:15">
      <c r="A653" t="s">
        <v>679</v>
      </c>
      <c r="B653" t="s">
        <v>27</v>
      </c>
      <c r="C653">
        <v>11</v>
      </c>
      <c r="D653">
        <v>35840205</v>
      </c>
      <c r="E653">
        <v>3</v>
      </c>
      <c r="F653">
        <v>22</v>
      </c>
      <c r="G653">
        <v>552</v>
      </c>
      <c r="H653">
        <v>50967011</v>
      </c>
      <c r="I653">
        <v>588469</v>
      </c>
      <c r="J653" t="s">
        <v>17</v>
      </c>
      <c r="K653" t="s">
        <v>22</v>
      </c>
      <c r="L653">
        <v>2</v>
      </c>
      <c r="M653">
        <v>54.25</v>
      </c>
      <c r="N653">
        <v>464853</v>
      </c>
      <c r="O653">
        <v>1</v>
      </c>
    </row>
    <row r="654" spans="1:15">
      <c r="A654" t="s">
        <v>680</v>
      </c>
      <c r="B654" t="s">
        <v>24</v>
      </c>
      <c r="C654">
        <v>14</v>
      </c>
      <c r="D654">
        <v>43749505</v>
      </c>
      <c r="E654">
        <v>2</v>
      </c>
      <c r="F654">
        <v>23</v>
      </c>
      <c r="G654">
        <v>947</v>
      </c>
      <c r="H654">
        <v>6827147</v>
      </c>
      <c r="I654">
        <v>820864</v>
      </c>
      <c r="J654" t="s">
        <v>17</v>
      </c>
      <c r="K654" t="s">
        <v>30</v>
      </c>
      <c r="L654">
        <v>7</v>
      </c>
      <c r="M654">
        <v>77.91</v>
      </c>
      <c r="N654">
        <v>119372</v>
      </c>
      <c r="O654">
        <v>1</v>
      </c>
    </row>
    <row r="655" spans="1:15">
      <c r="A655" t="s">
        <v>681</v>
      </c>
      <c r="B655" t="s">
        <v>24</v>
      </c>
      <c r="C655">
        <v>4</v>
      </c>
      <c r="D655">
        <v>38198816</v>
      </c>
      <c r="E655">
        <v>1</v>
      </c>
      <c r="F655">
        <v>12</v>
      </c>
      <c r="G655">
        <v>875</v>
      </c>
      <c r="H655">
        <v>66902934</v>
      </c>
      <c r="I655">
        <v>651957</v>
      </c>
      <c r="J655" t="s">
        <v>21</v>
      </c>
      <c r="K655" t="s">
        <v>18</v>
      </c>
      <c r="L655">
        <v>3</v>
      </c>
      <c r="M655">
        <v>8.86</v>
      </c>
      <c r="N655">
        <v>976953</v>
      </c>
      <c r="O655">
        <v>1</v>
      </c>
    </row>
    <row r="656" spans="1:15">
      <c r="A656" t="s">
        <v>682</v>
      </c>
      <c r="B656" t="s">
        <v>32</v>
      </c>
      <c r="C656">
        <v>3</v>
      </c>
      <c r="D656">
        <v>32179743</v>
      </c>
      <c r="E656">
        <v>4</v>
      </c>
      <c r="F656">
        <v>26</v>
      </c>
      <c r="G656">
        <v>692</v>
      </c>
      <c r="H656">
        <v>54795248</v>
      </c>
      <c r="I656">
        <v>568284</v>
      </c>
      <c r="J656" t="s">
        <v>25</v>
      </c>
      <c r="K656" t="s">
        <v>22</v>
      </c>
      <c r="L656">
        <v>4</v>
      </c>
      <c r="M656">
        <v>90.54</v>
      </c>
      <c r="N656">
        <v>845238</v>
      </c>
      <c r="O656">
        <v>1</v>
      </c>
    </row>
    <row r="657" spans="1:15">
      <c r="A657" t="s">
        <v>683</v>
      </c>
      <c r="B657" t="s">
        <v>16</v>
      </c>
      <c r="C657">
        <v>1</v>
      </c>
      <c r="D657">
        <v>22071944</v>
      </c>
      <c r="E657">
        <v>2</v>
      </c>
      <c r="F657">
        <v>26</v>
      </c>
      <c r="G657">
        <v>599</v>
      </c>
      <c r="H657">
        <v>18509598</v>
      </c>
      <c r="I657">
        <v>28350</v>
      </c>
      <c r="J657" t="s">
        <v>17</v>
      </c>
      <c r="K657" t="s">
        <v>30</v>
      </c>
      <c r="L657">
        <v>5</v>
      </c>
      <c r="M657">
        <v>77.39</v>
      </c>
      <c r="N657">
        <v>431647</v>
      </c>
      <c r="O657">
        <v>1</v>
      </c>
    </row>
    <row r="658" spans="1:15">
      <c r="A658" t="s">
        <v>684</v>
      </c>
      <c r="B658" t="s">
        <v>29</v>
      </c>
      <c r="C658">
        <v>2</v>
      </c>
      <c r="D658">
        <v>11461860</v>
      </c>
      <c r="E658">
        <v>3</v>
      </c>
      <c r="F658">
        <v>26</v>
      </c>
      <c r="G658">
        <v>120</v>
      </c>
      <c r="H658">
        <v>19250662</v>
      </c>
      <c r="I658">
        <v>571139</v>
      </c>
      <c r="J658" t="s">
        <v>25</v>
      </c>
      <c r="K658" t="s">
        <v>22</v>
      </c>
      <c r="L658">
        <v>1</v>
      </c>
      <c r="M658">
        <v>91.2</v>
      </c>
      <c r="N658">
        <v>946943</v>
      </c>
      <c r="O658">
        <v>1</v>
      </c>
    </row>
    <row r="659" spans="1:15">
      <c r="A659" t="s">
        <v>685</v>
      </c>
      <c r="B659" t="s">
        <v>24</v>
      </c>
      <c r="C659">
        <v>8</v>
      </c>
      <c r="D659">
        <v>35990377</v>
      </c>
      <c r="E659">
        <v>2</v>
      </c>
      <c r="F659">
        <v>9</v>
      </c>
      <c r="G659">
        <v>759</v>
      </c>
      <c r="H659">
        <v>37400223</v>
      </c>
      <c r="I659">
        <v>71416</v>
      </c>
      <c r="J659" t="s">
        <v>17</v>
      </c>
      <c r="K659" t="s">
        <v>22</v>
      </c>
      <c r="L659">
        <v>9</v>
      </c>
      <c r="M659">
        <v>94.49</v>
      </c>
      <c r="N659">
        <v>625799</v>
      </c>
      <c r="O659">
        <v>1</v>
      </c>
    </row>
    <row r="660" spans="1:15">
      <c r="A660" t="s">
        <v>686</v>
      </c>
      <c r="B660" t="s">
        <v>16</v>
      </c>
      <c r="C660">
        <v>10</v>
      </c>
      <c r="D660">
        <v>32877651</v>
      </c>
      <c r="E660">
        <v>4</v>
      </c>
      <c r="F660">
        <v>2</v>
      </c>
      <c r="G660">
        <v>162</v>
      </c>
      <c r="H660">
        <v>48382009</v>
      </c>
      <c r="I660">
        <v>47973</v>
      </c>
      <c r="J660" t="s">
        <v>21</v>
      </c>
      <c r="K660" t="s">
        <v>22</v>
      </c>
      <c r="L660">
        <v>8</v>
      </c>
      <c r="M660">
        <v>23.83</v>
      </c>
      <c r="N660">
        <v>473093</v>
      </c>
      <c r="O660">
        <v>1</v>
      </c>
    </row>
    <row r="661" spans="1:15">
      <c r="A661" t="s">
        <v>687</v>
      </c>
      <c r="B661" t="s">
        <v>29</v>
      </c>
      <c r="C661">
        <v>1</v>
      </c>
      <c r="D661">
        <v>22864047</v>
      </c>
      <c r="E661">
        <v>4</v>
      </c>
      <c r="F661">
        <v>8</v>
      </c>
      <c r="G661">
        <v>274</v>
      </c>
      <c r="H661">
        <v>95418946</v>
      </c>
      <c r="I661">
        <v>641929</v>
      </c>
      <c r="J661" t="s">
        <v>21</v>
      </c>
      <c r="K661" t="s">
        <v>18</v>
      </c>
      <c r="L661">
        <v>2</v>
      </c>
      <c r="M661">
        <v>62.84</v>
      </c>
      <c r="N661">
        <v>316766</v>
      </c>
      <c r="O661">
        <v>1</v>
      </c>
    </row>
    <row r="662" spans="1:15">
      <c r="A662" t="s">
        <v>688</v>
      </c>
      <c r="B662" t="s">
        <v>38</v>
      </c>
      <c r="C662">
        <v>8</v>
      </c>
      <c r="D662">
        <v>46535900</v>
      </c>
      <c r="E662">
        <v>3</v>
      </c>
      <c r="F662">
        <v>23</v>
      </c>
      <c r="G662">
        <v>344</v>
      </c>
      <c r="H662">
        <v>78801323</v>
      </c>
      <c r="I662">
        <v>228112</v>
      </c>
      <c r="J662" t="s">
        <v>25</v>
      </c>
      <c r="K662" t="s">
        <v>30</v>
      </c>
      <c r="L662">
        <v>9</v>
      </c>
      <c r="M662">
        <v>79.23</v>
      </c>
      <c r="N662">
        <v>796313</v>
      </c>
      <c r="O662">
        <v>1</v>
      </c>
    </row>
    <row r="663" spans="1:15">
      <c r="A663" t="s">
        <v>689</v>
      </c>
      <c r="B663" t="s">
        <v>29</v>
      </c>
      <c r="C663">
        <v>2</v>
      </c>
      <c r="D663">
        <v>47630990</v>
      </c>
      <c r="E663">
        <v>3</v>
      </c>
      <c r="F663">
        <v>17</v>
      </c>
      <c r="G663">
        <v>526</v>
      </c>
      <c r="H663">
        <v>14190392</v>
      </c>
      <c r="I663">
        <v>587116</v>
      </c>
      <c r="J663" t="s">
        <v>17</v>
      </c>
      <c r="K663" t="s">
        <v>22</v>
      </c>
      <c r="L663">
        <v>8</v>
      </c>
      <c r="M663">
        <v>99.33</v>
      </c>
      <c r="N663">
        <v>934190</v>
      </c>
      <c r="O663">
        <v>1</v>
      </c>
    </row>
    <row r="664" spans="1:15">
      <c r="A664" t="s">
        <v>690</v>
      </c>
      <c r="B664" t="s">
        <v>16</v>
      </c>
      <c r="C664">
        <v>7</v>
      </c>
      <c r="D664">
        <v>10107777</v>
      </c>
      <c r="E664">
        <v>3</v>
      </c>
      <c r="F664">
        <v>21</v>
      </c>
      <c r="G664">
        <v>552</v>
      </c>
      <c r="H664">
        <v>63465637</v>
      </c>
      <c r="I664">
        <v>304056</v>
      </c>
      <c r="J664" t="s">
        <v>17</v>
      </c>
      <c r="K664" t="s">
        <v>22</v>
      </c>
      <c r="L664">
        <v>1</v>
      </c>
      <c r="M664">
        <v>84.57</v>
      </c>
      <c r="N664">
        <v>569021</v>
      </c>
      <c r="O664">
        <v>1</v>
      </c>
    </row>
    <row r="665" spans="1:15">
      <c r="A665" t="s">
        <v>691</v>
      </c>
      <c r="B665" t="s">
        <v>20</v>
      </c>
      <c r="C665">
        <v>7</v>
      </c>
      <c r="D665">
        <v>1143860</v>
      </c>
      <c r="E665">
        <v>4</v>
      </c>
      <c r="F665">
        <v>1</v>
      </c>
      <c r="G665">
        <v>468</v>
      </c>
      <c r="H665">
        <v>57964340</v>
      </c>
      <c r="I665">
        <v>590465</v>
      </c>
      <c r="J665" t="s">
        <v>25</v>
      </c>
      <c r="K665" t="s">
        <v>22</v>
      </c>
      <c r="L665">
        <v>4</v>
      </c>
      <c r="M665">
        <v>92.46</v>
      </c>
      <c r="N665">
        <v>976236</v>
      </c>
      <c r="O665">
        <v>1</v>
      </c>
    </row>
    <row r="666" spans="1:15">
      <c r="A666" t="s">
        <v>692</v>
      </c>
      <c r="B666" t="s">
        <v>38</v>
      </c>
      <c r="C666">
        <v>3</v>
      </c>
      <c r="D666">
        <v>41516044</v>
      </c>
      <c r="E666">
        <v>3</v>
      </c>
      <c r="F666">
        <v>23</v>
      </c>
      <c r="G666">
        <v>810</v>
      </c>
      <c r="H666">
        <v>82802203</v>
      </c>
      <c r="I666">
        <v>427657</v>
      </c>
      <c r="J666" t="s">
        <v>17</v>
      </c>
      <c r="K666" t="s">
        <v>30</v>
      </c>
      <c r="L666">
        <v>9</v>
      </c>
      <c r="M666">
        <v>96.88</v>
      </c>
      <c r="N666">
        <v>556302</v>
      </c>
      <c r="O666">
        <v>1</v>
      </c>
    </row>
    <row r="667" spans="1:15">
      <c r="A667" t="s">
        <v>693</v>
      </c>
      <c r="B667" t="s">
        <v>20</v>
      </c>
      <c r="C667">
        <v>5</v>
      </c>
      <c r="D667">
        <v>21384047</v>
      </c>
      <c r="E667">
        <v>2</v>
      </c>
      <c r="F667">
        <v>29</v>
      </c>
      <c r="G667">
        <v>827</v>
      </c>
      <c r="H667">
        <v>90650813</v>
      </c>
      <c r="I667">
        <v>726874</v>
      </c>
      <c r="J667" t="s">
        <v>25</v>
      </c>
      <c r="K667" t="s">
        <v>18</v>
      </c>
      <c r="L667">
        <v>6</v>
      </c>
      <c r="M667">
        <v>60.95</v>
      </c>
      <c r="N667">
        <v>234668</v>
      </c>
      <c r="O667">
        <v>1</v>
      </c>
    </row>
    <row r="668" spans="1:15">
      <c r="A668" t="s">
        <v>694</v>
      </c>
      <c r="B668" t="s">
        <v>16</v>
      </c>
      <c r="C668">
        <v>11</v>
      </c>
      <c r="D668">
        <v>21157514</v>
      </c>
      <c r="E668">
        <v>1</v>
      </c>
      <c r="F668">
        <v>11</v>
      </c>
      <c r="G668">
        <v>423</v>
      </c>
      <c r="H668">
        <v>85400948</v>
      </c>
      <c r="I668">
        <v>683362</v>
      </c>
      <c r="J668" t="s">
        <v>25</v>
      </c>
      <c r="K668" t="s">
        <v>18</v>
      </c>
      <c r="L668">
        <v>2</v>
      </c>
      <c r="M668">
        <v>40.090000000000003</v>
      </c>
      <c r="N668">
        <v>49279</v>
      </c>
      <c r="O668">
        <v>1</v>
      </c>
    </row>
    <row r="669" spans="1:15">
      <c r="A669" t="s">
        <v>695</v>
      </c>
      <c r="B669" t="s">
        <v>32</v>
      </c>
      <c r="C669">
        <v>0</v>
      </c>
      <c r="D669">
        <v>29593021</v>
      </c>
      <c r="E669">
        <v>2</v>
      </c>
      <c r="F669">
        <v>8</v>
      </c>
      <c r="G669">
        <v>662</v>
      </c>
      <c r="H669">
        <v>49171733</v>
      </c>
      <c r="I669">
        <v>775014</v>
      </c>
      <c r="J669" t="s">
        <v>21</v>
      </c>
      <c r="K669" t="s">
        <v>22</v>
      </c>
      <c r="L669">
        <v>5</v>
      </c>
      <c r="M669">
        <v>56.51</v>
      </c>
      <c r="N669">
        <v>365425</v>
      </c>
      <c r="O669">
        <v>1</v>
      </c>
    </row>
    <row r="670" spans="1:15">
      <c r="A670" t="s">
        <v>696</v>
      </c>
      <c r="B670" t="s">
        <v>16</v>
      </c>
      <c r="C670">
        <v>14</v>
      </c>
      <c r="D670">
        <v>41515930</v>
      </c>
      <c r="E670">
        <v>3</v>
      </c>
      <c r="F670">
        <v>16</v>
      </c>
      <c r="G670">
        <v>9</v>
      </c>
      <c r="H670">
        <v>67463268</v>
      </c>
      <c r="I670">
        <v>357446</v>
      </c>
      <c r="J670" t="s">
        <v>21</v>
      </c>
      <c r="K670" t="s">
        <v>22</v>
      </c>
      <c r="L670">
        <v>8</v>
      </c>
      <c r="M670">
        <v>45.49</v>
      </c>
      <c r="N670">
        <v>319330</v>
      </c>
      <c r="O670">
        <v>1</v>
      </c>
    </row>
    <row r="671" spans="1:15">
      <c r="A671" t="s">
        <v>697</v>
      </c>
      <c r="B671" t="s">
        <v>38</v>
      </c>
      <c r="C671">
        <v>10</v>
      </c>
      <c r="D671">
        <v>16612535</v>
      </c>
      <c r="E671">
        <v>3</v>
      </c>
      <c r="F671">
        <v>15</v>
      </c>
      <c r="G671">
        <v>929</v>
      </c>
      <c r="H671">
        <v>69546853</v>
      </c>
      <c r="I671">
        <v>274715</v>
      </c>
      <c r="J671" t="s">
        <v>25</v>
      </c>
      <c r="K671" t="s">
        <v>30</v>
      </c>
      <c r="L671">
        <v>9</v>
      </c>
      <c r="M671">
        <v>4.33</v>
      </c>
      <c r="N671">
        <v>257723</v>
      </c>
      <c r="O671">
        <v>1</v>
      </c>
    </row>
    <row r="672" spans="1:15">
      <c r="A672" t="s">
        <v>698</v>
      </c>
      <c r="B672" t="s">
        <v>27</v>
      </c>
      <c r="C672">
        <v>6</v>
      </c>
      <c r="D672">
        <v>46217753</v>
      </c>
      <c r="E672">
        <v>3</v>
      </c>
      <c r="F672">
        <v>3</v>
      </c>
      <c r="G672">
        <v>909</v>
      </c>
      <c r="H672">
        <v>50469724</v>
      </c>
      <c r="I672">
        <v>165746</v>
      </c>
      <c r="J672" t="s">
        <v>25</v>
      </c>
      <c r="K672" t="s">
        <v>30</v>
      </c>
      <c r="L672">
        <v>2</v>
      </c>
      <c r="M672">
        <v>42.45</v>
      </c>
      <c r="N672">
        <v>657901</v>
      </c>
      <c r="O672">
        <v>1</v>
      </c>
    </row>
    <row r="673" spans="1:15">
      <c r="A673" t="s">
        <v>699</v>
      </c>
      <c r="B673" t="s">
        <v>24</v>
      </c>
      <c r="C673">
        <v>14</v>
      </c>
      <c r="D673">
        <v>2780436</v>
      </c>
      <c r="E673">
        <v>3</v>
      </c>
      <c r="F673">
        <v>9</v>
      </c>
      <c r="G673">
        <v>653</v>
      </c>
      <c r="H673">
        <v>64224850</v>
      </c>
      <c r="I673">
        <v>634899</v>
      </c>
      <c r="J673" t="s">
        <v>17</v>
      </c>
      <c r="K673" t="s">
        <v>18</v>
      </c>
      <c r="L673">
        <v>3</v>
      </c>
      <c r="M673">
        <v>21.56</v>
      </c>
      <c r="N673">
        <v>266887</v>
      </c>
      <c r="O673">
        <v>1</v>
      </c>
    </row>
    <row r="674" spans="1:15">
      <c r="A674" t="s">
        <v>700</v>
      </c>
      <c r="B674" t="s">
        <v>38</v>
      </c>
      <c r="C674">
        <v>3</v>
      </c>
      <c r="D674">
        <v>43013086</v>
      </c>
      <c r="E674">
        <v>1</v>
      </c>
      <c r="F674">
        <v>5</v>
      </c>
      <c r="G674">
        <v>521</v>
      </c>
      <c r="H674">
        <v>84507286</v>
      </c>
      <c r="I674">
        <v>5734</v>
      </c>
      <c r="J674" t="s">
        <v>21</v>
      </c>
      <c r="K674" t="s">
        <v>18</v>
      </c>
      <c r="L674">
        <v>5</v>
      </c>
      <c r="M674">
        <v>64.260000000000005</v>
      </c>
      <c r="N674">
        <v>671791</v>
      </c>
      <c r="O674">
        <v>1</v>
      </c>
    </row>
    <row r="675" spans="1:15">
      <c r="A675" t="s">
        <v>701</v>
      </c>
      <c r="B675" t="s">
        <v>24</v>
      </c>
      <c r="C675">
        <v>3</v>
      </c>
      <c r="D675">
        <v>2441591</v>
      </c>
      <c r="E675">
        <v>2</v>
      </c>
      <c r="F675">
        <v>1</v>
      </c>
      <c r="G675">
        <v>515</v>
      </c>
      <c r="H675">
        <v>21478485</v>
      </c>
      <c r="I675">
        <v>413998</v>
      </c>
      <c r="J675" t="s">
        <v>25</v>
      </c>
      <c r="K675" t="s">
        <v>18</v>
      </c>
      <c r="L675">
        <v>3</v>
      </c>
      <c r="M675">
        <v>50.68</v>
      </c>
      <c r="N675">
        <v>764916</v>
      </c>
      <c r="O675">
        <v>1</v>
      </c>
    </row>
    <row r="676" spans="1:15">
      <c r="A676" t="s">
        <v>702</v>
      </c>
      <c r="B676" t="s">
        <v>29</v>
      </c>
      <c r="C676">
        <v>1</v>
      </c>
      <c r="D676">
        <v>26873009</v>
      </c>
      <c r="E676">
        <v>4</v>
      </c>
      <c r="F676">
        <v>4</v>
      </c>
      <c r="G676">
        <v>396</v>
      </c>
      <c r="H676">
        <v>77421502</v>
      </c>
      <c r="I676">
        <v>394752</v>
      </c>
      <c r="J676" t="s">
        <v>25</v>
      </c>
      <c r="K676" t="s">
        <v>18</v>
      </c>
      <c r="L676">
        <v>6</v>
      </c>
      <c r="M676">
        <v>1.93</v>
      </c>
      <c r="N676">
        <v>927614</v>
      </c>
      <c r="O676">
        <v>1</v>
      </c>
    </row>
    <row r="677" spans="1:15">
      <c r="A677" t="s">
        <v>703</v>
      </c>
      <c r="B677" t="s">
        <v>38</v>
      </c>
      <c r="C677">
        <v>4</v>
      </c>
      <c r="D677">
        <v>25444455</v>
      </c>
      <c r="E677">
        <v>4</v>
      </c>
      <c r="F677">
        <v>2</v>
      </c>
      <c r="G677">
        <v>546</v>
      </c>
      <c r="H677">
        <v>33046620</v>
      </c>
      <c r="I677">
        <v>237844</v>
      </c>
      <c r="J677" t="s">
        <v>25</v>
      </c>
      <c r="K677" t="s">
        <v>22</v>
      </c>
      <c r="L677">
        <v>9</v>
      </c>
      <c r="M677">
        <v>13.91</v>
      </c>
      <c r="N677">
        <v>104358</v>
      </c>
      <c r="O677">
        <v>1</v>
      </c>
    </row>
    <row r="678" spans="1:15">
      <c r="A678" t="s">
        <v>704</v>
      </c>
      <c r="B678" t="s">
        <v>24</v>
      </c>
      <c r="C678">
        <v>13</v>
      </c>
      <c r="D678">
        <v>3343288</v>
      </c>
      <c r="E678">
        <v>1</v>
      </c>
      <c r="F678">
        <v>19</v>
      </c>
      <c r="G678">
        <v>123</v>
      </c>
      <c r="H678">
        <v>36499152</v>
      </c>
      <c r="I678">
        <v>672189</v>
      </c>
      <c r="J678" t="s">
        <v>17</v>
      </c>
      <c r="K678" t="s">
        <v>30</v>
      </c>
      <c r="L678">
        <v>2</v>
      </c>
      <c r="M678">
        <v>82.34</v>
      </c>
      <c r="N678">
        <v>483771</v>
      </c>
      <c r="O678">
        <v>1</v>
      </c>
    </row>
    <row r="679" spans="1:15">
      <c r="A679" t="s">
        <v>705</v>
      </c>
      <c r="B679" t="s">
        <v>16</v>
      </c>
      <c r="C679">
        <v>4</v>
      </c>
      <c r="D679">
        <v>3630641</v>
      </c>
      <c r="E679">
        <v>4</v>
      </c>
      <c r="F679">
        <v>18</v>
      </c>
      <c r="G679">
        <v>956</v>
      </c>
      <c r="H679">
        <v>38853596</v>
      </c>
      <c r="I679">
        <v>334759</v>
      </c>
      <c r="J679" t="s">
        <v>21</v>
      </c>
      <c r="K679" t="s">
        <v>30</v>
      </c>
      <c r="L679">
        <v>9</v>
      </c>
      <c r="M679">
        <v>38.340000000000003</v>
      </c>
      <c r="N679">
        <v>663300</v>
      </c>
      <c r="O679">
        <v>1</v>
      </c>
    </row>
    <row r="680" spans="1:15">
      <c r="A680" t="s">
        <v>706</v>
      </c>
      <c r="B680" t="s">
        <v>24</v>
      </c>
      <c r="C680">
        <v>4</v>
      </c>
      <c r="D680">
        <v>13213916</v>
      </c>
      <c r="E680">
        <v>4</v>
      </c>
      <c r="F680">
        <v>29</v>
      </c>
      <c r="G680">
        <v>301</v>
      </c>
      <c r="H680">
        <v>469145</v>
      </c>
      <c r="I680">
        <v>457988</v>
      </c>
      <c r="J680" t="s">
        <v>21</v>
      </c>
      <c r="K680" t="s">
        <v>30</v>
      </c>
      <c r="L680">
        <v>6</v>
      </c>
      <c r="M680">
        <v>25.57</v>
      </c>
      <c r="N680">
        <v>772475</v>
      </c>
      <c r="O680">
        <v>1</v>
      </c>
    </row>
    <row r="681" spans="1:15">
      <c r="A681" t="s">
        <v>707</v>
      </c>
      <c r="B681" t="s">
        <v>27</v>
      </c>
      <c r="C681">
        <v>14</v>
      </c>
      <c r="D681">
        <v>49691643</v>
      </c>
      <c r="E681">
        <v>4</v>
      </c>
      <c r="F681">
        <v>9</v>
      </c>
      <c r="G681">
        <v>994</v>
      </c>
      <c r="H681">
        <v>67803149</v>
      </c>
      <c r="I681">
        <v>588045</v>
      </c>
      <c r="J681" t="s">
        <v>17</v>
      </c>
      <c r="K681" t="s">
        <v>30</v>
      </c>
      <c r="L681">
        <v>1</v>
      </c>
      <c r="M681">
        <v>88.01</v>
      </c>
      <c r="N681">
        <v>367597</v>
      </c>
      <c r="O681">
        <v>1</v>
      </c>
    </row>
    <row r="682" spans="1:15">
      <c r="A682" t="s">
        <v>708</v>
      </c>
      <c r="B682" t="s">
        <v>38</v>
      </c>
      <c r="C682">
        <v>3</v>
      </c>
      <c r="D682">
        <v>27788724</v>
      </c>
      <c r="E682">
        <v>4</v>
      </c>
      <c r="F682">
        <v>4</v>
      </c>
      <c r="G682">
        <v>671</v>
      </c>
      <c r="H682">
        <v>60499519</v>
      </c>
      <c r="I682">
        <v>612155</v>
      </c>
      <c r="J682" t="s">
        <v>21</v>
      </c>
      <c r="K682" t="s">
        <v>22</v>
      </c>
      <c r="L682">
        <v>6</v>
      </c>
      <c r="M682">
        <v>20.420000000000002</v>
      </c>
      <c r="N682">
        <v>629122</v>
      </c>
      <c r="O682">
        <v>1</v>
      </c>
    </row>
    <row r="683" spans="1:15">
      <c r="A683" t="s">
        <v>709</v>
      </c>
      <c r="B683" t="s">
        <v>24</v>
      </c>
      <c r="C683">
        <v>0</v>
      </c>
      <c r="D683">
        <v>26839420</v>
      </c>
      <c r="E683">
        <v>1</v>
      </c>
      <c r="F683">
        <v>7</v>
      </c>
      <c r="G683">
        <v>510</v>
      </c>
      <c r="H683">
        <v>72621482</v>
      </c>
      <c r="I683">
        <v>605787</v>
      </c>
      <c r="J683" t="s">
        <v>17</v>
      </c>
      <c r="K683" t="s">
        <v>18</v>
      </c>
      <c r="L683">
        <v>4</v>
      </c>
      <c r="M683">
        <v>90.53</v>
      </c>
      <c r="N683">
        <v>19340</v>
      </c>
      <c r="O683">
        <v>1</v>
      </c>
    </row>
    <row r="684" spans="1:15">
      <c r="A684" t="s">
        <v>710</v>
      </c>
      <c r="B684" t="s">
        <v>32</v>
      </c>
      <c r="C684">
        <v>0</v>
      </c>
      <c r="D684">
        <v>12913173</v>
      </c>
      <c r="E684">
        <v>4</v>
      </c>
      <c r="F684">
        <v>21</v>
      </c>
      <c r="G684">
        <v>621</v>
      </c>
      <c r="H684">
        <v>12086278</v>
      </c>
      <c r="I684">
        <v>500599</v>
      </c>
      <c r="J684" t="s">
        <v>21</v>
      </c>
      <c r="K684" t="s">
        <v>22</v>
      </c>
      <c r="L684">
        <v>3</v>
      </c>
      <c r="M684">
        <v>65.36</v>
      </c>
      <c r="N684">
        <v>707258</v>
      </c>
      <c r="O684">
        <v>1</v>
      </c>
    </row>
    <row r="685" spans="1:15">
      <c r="A685" t="s">
        <v>711</v>
      </c>
      <c r="B685" t="s">
        <v>29</v>
      </c>
      <c r="C685">
        <v>12</v>
      </c>
      <c r="D685">
        <v>28224910</v>
      </c>
      <c r="E685">
        <v>2</v>
      </c>
      <c r="F685">
        <v>11</v>
      </c>
      <c r="G685">
        <v>724</v>
      </c>
      <c r="H685">
        <v>71079635</v>
      </c>
      <c r="I685">
        <v>871923</v>
      </c>
      <c r="J685" t="s">
        <v>17</v>
      </c>
      <c r="K685" t="s">
        <v>30</v>
      </c>
      <c r="L685">
        <v>3</v>
      </c>
      <c r="M685">
        <v>1.96</v>
      </c>
      <c r="N685">
        <v>477580</v>
      </c>
      <c r="O685">
        <v>1</v>
      </c>
    </row>
    <row r="686" spans="1:15">
      <c r="A686" t="s">
        <v>712</v>
      </c>
      <c r="B686" t="s">
        <v>20</v>
      </c>
      <c r="C686">
        <v>9</v>
      </c>
      <c r="D686">
        <v>3265996</v>
      </c>
      <c r="E686">
        <v>1</v>
      </c>
      <c r="F686">
        <v>28</v>
      </c>
      <c r="G686">
        <v>356</v>
      </c>
      <c r="H686">
        <v>78704294</v>
      </c>
      <c r="I686">
        <v>841672</v>
      </c>
      <c r="J686" t="s">
        <v>25</v>
      </c>
      <c r="K686" t="s">
        <v>18</v>
      </c>
      <c r="L686">
        <v>3</v>
      </c>
      <c r="M686">
        <v>95.71</v>
      </c>
      <c r="N686">
        <v>268628</v>
      </c>
      <c r="O686">
        <v>1</v>
      </c>
    </row>
    <row r="687" spans="1:15">
      <c r="A687" t="s">
        <v>713</v>
      </c>
      <c r="B687" t="s">
        <v>29</v>
      </c>
      <c r="C687">
        <v>1</v>
      </c>
      <c r="D687">
        <v>27544916</v>
      </c>
      <c r="E687">
        <v>2</v>
      </c>
      <c r="F687">
        <v>7</v>
      </c>
      <c r="G687">
        <v>735</v>
      </c>
      <c r="H687">
        <v>64793440</v>
      </c>
      <c r="I687">
        <v>351497</v>
      </c>
      <c r="J687" t="s">
        <v>25</v>
      </c>
      <c r="K687" t="s">
        <v>18</v>
      </c>
      <c r="L687">
        <v>4</v>
      </c>
      <c r="M687">
        <v>43.5</v>
      </c>
      <c r="N687">
        <v>422068</v>
      </c>
      <c r="O687">
        <v>1</v>
      </c>
    </row>
    <row r="688" spans="1:15">
      <c r="A688" t="s">
        <v>714</v>
      </c>
      <c r="B688" t="s">
        <v>27</v>
      </c>
      <c r="C688">
        <v>5</v>
      </c>
      <c r="D688">
        <v>46035409</v>
      </c>
      <c r="E688">
        <v>1</v>
      </c>
      <c r="F688">
        <v>16</v>
      </c>
      <c r="G688">
        <v>208</v>
      </c>
      <c r="H688">
        <v>43640964</v>
      </c>
      <c r="I688">
        <v>508587</v>
      </c>
      <c r="J688" t="s">
        <v>25</v>
      </c>
      <c r="K688" t="s">
        <v>18</v>
      </c>
      <c r="L688">
        <v>6</v>
      </c>
      <c r="M688">
        <v>67.03</v>
      </c>
      <c r="N688">
        <v>857448</v>
      </c>
      <c r="O688">
        <v>1</v>
      </c>
    </row>
    <row r="689" spans="1:15">
      <c r="A689" t="s">
        <v>715</v>
      </c>
      <c r="B689" t="s">
        <v>16</v>
      </c>
      <c r="C689">
        <v>14</v>
      </c>
      <c r="D689">
        <v>4023123</v>
      </c>
      <c r="E689">
        <v>3</v>
      </c>
      <c r="F689">
        <v>19</v>
      </c>
      <c r="G689">
        <v>706</v>
      </c>
      <c r="H689">
        <v>69936557</v>
      </c>
      <c r="I689">
        <v>732575</v>
      </c>
      <c r="J689" t="s">
        <v>17</v>
      </c>
      <c r="K689" t="s">
        <v>18</v>
      </c>
      <c r="L689">
        <v>7</v>
      </c>
      <c r="M689">
        <v>34.9</v>
      </c>
      <c r="N689">
        <v>269407</v>
      </c>
      <c r="O689">
        <v>1</v>
      </c>
    </row>
    <row r="690" spans="1:15">
      <c r="A690" t="s">
        <v>716</v>
      </c>
      <c r="B690" t="s">
        <v>32</v>
      </c>
      <c r="C690">
        <v>8</v>
      </c>
      <c r="D690">
        <v>35838845</v>
      </c>
      <c r="E690">
        <v>3</v>
      </c>
      <c r="F690">
        <v>7</v>
      </c>
      <c r="G690">
        <v>543</v>
      </c>
      <c r="H690">
        <v>39013655</v>
      </c>
      <c r="I690">
        <v>140248</v>
      </c>
      <c r="J690" t="s">
        <v>25</v>
      </c>
      <c r="K690" t="s">
        <v>18</v>
      </c>
      <c r="L690">
        <v>5</v>
      </c>
      <c r="M690">
        <v>21.28</v>
      </c>
      <c r="N690">
        <v>858505</v>
      </c>
      <c r="O690">
        <v>1</v>
      </c>
    </row>
    <row r="691" spans="1:15">
      <c r="A691" t="s">
        <v>717</v>
      </c>
      <c r="B691" t="s">
        <v>20</v>
      </c>
      <c r="C691">
        <v>14</v>
      </c>
      <c r="D691">
        <v>33827746</v>
      </c>
      <c r="E691">
        <v>3</v>
      </c>
      <c r="F691">
        <v>7</v>
      </c>
      <c r="G691">
        <v>768</v>
      </c>
      <c r="H691">
        <v>31407984</v>
      </c>
      <c r="I691">
        <v>895446</v>
      </c>
      <c r="J691" t="s">
        <v>21</v>
      </c>
      <c r="K691" t="s">
        <v>18</v>
      </c>
      <c r="L691">
        <v>7</v>
      </c>
      <c r="M691">
        <v>57.13</v>
      </c>
      <c r="N691">
        <v>563465</v>
      </c>
      <c r="O691">
        <v>1</v>
      </c>
    </row>
    <row r="692" spans="1:15">
      <c r="A692" t="s">
        <v>718</v>
      </c>
      <c r="B692" t="s">
        <v>38</v>
      </c>
      <c r="C692">
        <v>13</v>
      </c>
      <c r="D692">
        <v>27663364</v>
      </c>
      <c r="E692">
        <v>2</v>
      </c>
      <c r="F692">
        <v>24</v>
      </c>
      <c r="G692">
        <v>704</v>
      </c>
      <c r="H692">
        <v>46497685</v>
      </c>
      <c r="I692">
        <v>753004</v>
      </c>
      <c r="J692" t="s">
        <v>17</v>
      </c>
      <c r="K692" t="s">
        <v>30</v>
      </c>
      <c r="L692">
        <v>3</v>
      </c>
      <c r="M692">
        <v>1.37</v>
      </c>
      <c r="N692">
        <v>360776</v>
      </c>
      <c r="O692">
        <v>1</v>
      </c>
    </row>
    <row r="693" spans="1:15">
      <c r="A693" t="s">
        <v>719</v>
      </c>
      <c r="B693" t="s">
        <v>38</v>
      </c>
      <c r="C693">
        <v>12</v>
      </c>
      <c r="D693">
        <v>15827155</v>
      </c>
      <c r="E693">
        <v>4</v>
      </c>
      <c r="F693">
        <v>21</v>
      </c>
      <c r="G693">
        <v>856</v>
      </c>
      <c r="H693">
        <v>18731937</v>
      </c>
      <c r="I693">
        <v>260197</v>
      </c>
      <c r="J693" t="s">
        <v>21</v>
      </c>
      <c r="K693" t="s">
        <v>30</v>
      </c>
      <c r="L693">
        <v>8</v>
      </c>
      <c r="M693">
        <v>60.28</v>
      </c>
      <c r="N693">
        <v>719058</v>
      </c>
      <c r="O693">
        <v>1</v>
      </c>
    </row>
    <row r="694" spans="1:15">
      <c r="A694" t="s">
        <v>720</v>
      </c>
      <c r="B694" t="s">
        <v>29</v>
      </c>
      <c r="C694">
        <v>1</v>
      </c>
      <c r="D694">
        <v>41514701</v>
      </c>
      <c r="E694">
        <v>2</v>
      </c>
      <c r="F694">
        <v>11</v>
      </c>
      <c r="G694">
        <v>976</v>
      </c>
      <c r="H694">
        <v>56170954</v>
      </c>
      <c r="I694">
        <v>96570</v>
      </c>
      <c r="J694" t="s">
        <v>21</v>
      </c>
      <c r="K694" t="s">
        <v>30</v>
      </c>
      <c r="L694">
        <v>1</v>
      </c>
      <c r="M694">
        <v>14.41</v>
      </c>
      <c r="N694">
        <v>302654</v>
      </c>
      <c r="O694">
        <v>1</v>
      </c>
    </row>
    <row r="695" spans="1:15">
      <c r="A695" t="s">
        <v>721</v>
      </c>
      <c r="B695" t="s">
        <v>27</v>
      </c>
      <c r="C695">
        <v>3</v>
      </c>
      <c r="D695">
        <v>38884465</v>
      </c>
      <c r="E695">
        <v>4</v>
      </c>
      <c r="F695">
        <v>16</v>
      </c>
      <c r="G695">
        <v>155</v>
      </c>
      <c r="H695">
        <v>64397638</v>
      </c>
      <c r="I695">
        <v>434946</v>
      </c>
      <c r="J695" t="s">
        <v>17</v>
      </c>
      <c r="K695" t="s">
        <v>22</v>
      </c>
      <c r="L695">
        <v>9</v>
      </c>
      <c r="M695">
        <v>47.63</v>
      </c>
      <c r="N695">
        <v>153142</v>
      </c>
      <c r="O695">
        <v>1</v>
      </c>
    </row>
    <row r="696" spans="1:15">
      <c r="A696" t="s">
        <v>722</v>
      </c>
      <c r="B696" t="s">
        <v>38</v>
      </c>
      <c r="C696">
        <v>5</v>
      </c>
      <c r="D696">
        <v>32308825</v>
      </c>
      <c r="E696">
        <v>3</v>
      </c>
      <c r="F696">
        <v>6</v>
      </c>
      <c r="G696">
        <v>783</v>
      </c>
      <c r="H696">
        <v>85240630</v>
      </c>
      <c r="I696">
        <v>102060</v>
      </c>
      <c r="J696" t="s">
        <v>17</v>
      </c>
      <c r="K696" t="s">
        <v>22</v>
      </c>
      <c r="L696">
        <v>4</v>
      </c>
      <c r="M696">
        <v>25.66</v>
      </c>
      <c r="N696">
        <v>10186</v>
      </c>
      <c r="O696">
        <v>1</v>
      </c>
    </row>
    <row r="697" spans="1:15">
      <c r="A697" t="s">
        <v>723</v>
      </c>
      <c r="B697" t="s">
        <v>24</v>
      </c>
      <c r="C697">
        <v>3</v>
      </c>
      <c r="D697">
        <v>13547874</v>
      </c>
      <c r="E697">
        <v>2</v>
      </c>
      <c r="F697">
        <v>26</v>
      </c>
      <c r="G697">
        <v>992</v>
      </c>
      <c r="H697">
        <v>89756507</v>
      </c>
      <c r="I697">
        <v>563677</v>
      </c>
      <c r="J697" t="s">
        <v>25</v>
      </c>
      <c r="K697" t="s">
        <v>22</v>
      </c>
      <c r="L697">
        <v>4</v>
      </c>
      <c r="M697">
        <v>5.82</v>
      </c>
      <c r="N697">
        <v>671439</v>
      </c>
      <c r="O697">
        <v>1</v>
      </c>
    </row>
    <row r="698" spans="1:15">
      <c r="A698" t="s">
        <v>724</v>
      </c>
      <c r="B698" t="s">
        <v>38</v>
      </c>
      <c r="C698">
        <v>12</v>
      </c>
      <c r="D698">
        <v>26659555</v>
      </c>
      <c r="E698">
        <v>1</v>
      </c>
      <c r="F698">
        <v>3</v>
      </c>
      <c r="G698">
        <v>588</v>
      </c>
      <c r="H698">
        <v>75963765</v>
      </c>
      <c r="I698">
        <v>838664</v>
      </c>
      <c r="J698" t="s">
        <v>17</v>
      </c>
      <c r="K698" t="s">
        <v>22</v>
      </c>
      <c r="L698">
        <v>2</v>
      </c>
      <c r="M698">
        <v>60.48</v>
      </c>
      <c r="N698">
        <v>700330</v>
      </c>
      <c r="O698">
        <v>1</v>
      </c>
    </row>
    <row r="699" spans="1:15">
      <c r="A699" t="s">
        <v>725</v>
      </c>
      <c r="B699" t="s">
        <v>38</v>
      </c>
      <c r="C699">
        <v>0</v>
      </c>
      <c r="D699">
        <v>20437191</v>
      </c>
      <c r="E699">
        <v>2</v>
      </c>
      <c r="F699">
        <v>27</v>
      </c>
      <c r="G699">
        <v>91</v>
      </c>
      <c r="H699">
        <v>40269078</v>
      </c>
      <c r="I699">
        <v>806531</v>
      </c>
      <c r="J699" t="s">
        <v>21</v>
      </c>
      <c r="K699" t="s">
        <v>30</v>
      </c>
      <c r="L699">
        <v>6</v>
      </c>
      <c r="M699">
        <v>60.29</v>
      </c>
      <c r="N699">
        <v>190949</v>
      </c>
      <c r="O699">
        <v>1</v>
      </c>
    </row>
    <row r="700" spans="1:15">
      <c r="A700" t="s">
        <v>726</v>
      </c>
      <c r="B700" t="s">
        <v>38</v>
      </c>
      <c r="C700">
        <v>14</v>
      </c>
      <c r="D700">
        <v>10517933</v>
      </c>
      <c r="E700">
        <v>2</v>
      </c>
      <c r="F700">
        <v>14</v>
      </c>
      <c r="G700">
        <v>824</v>
      </c>
      <c r="H700">
        <v>90920777</v>
      </c>
      <c r="I700">
        <v>792197</v>
      </c>
      <c r="J700" t="s">
        <v>21</v>
      </c>
      <c r="K700" t="s">
        <v>18</v>
      </c>
      <c r="L700">
        <v>5</v>
      </c>
      <c r="M700">
        <v>45.25</v>
      </c>
      <c r="N700">
        <v>326824</v>
      </c>
      <c r="O700">
        <v>1</v>
      </c>
    </row>
    <row r="701" spans="1:15">
      <c r="A701" t="s">
        <v>727</v>
      </c>
      <c r="B701" t="s">
        <v>24</v>
      </c>
      <c r="C701">
        <v>9</v>
      </c>
      <c r="D701">
        <v>25454105</v>
      </c>
      <c r="E701">
        <v>3</v>
      </c>
      <c r="F701">
        <v>20</v>
      </c>
      <c r="G701">
        <v>354</v>
      </c>
      <c r="H701">
        <v>66678558</v>
      </c>
      <c r="I701">
        <v>22946</v>
      </c>
      <c r="J701" t="s">
        <v>17</v>
      </c>
      <c r="K701" t="s">
        <v>30</v>
      </c>
      <c r="L701">
        <v>8</v>
      </c>
      <c r="M701">
        <v>3.26</v>
      </c>
      <c r="N701">
        <v>222433</v>
      </c>
      <c r="O701">
        <v>1</v>
      </c>
    </row>
    <row r="702" spans="1:15">
      <c r="A702" t="s">
        <v>728</v>
      </c>
      <c r="B702" t="s">
        <v>24</v>
      </c>
      <c r="C702">
        <v>12</v>
      </c>
      <c r="D702">
        <v>32026133</v>
      </c>
      <c r="E702">
        <v>1</v>
      </c>
      <c r="F702">
        <v>29</v>
      </c>
      <c r="G702">
        <v>208</v>
      </c>
      <c r="H702">
        <v>84801880</v>
      </c>
      <c r="I702">
        <v>919073</v>
      </c>
      <c r="J702" t="s">
        <v>21</v>
      </c>
      <c r="K702" t="s">
        <v>18</v>
      </c>
      <c r="L702">
        <v>1</v>
      </c>
      <c r="M702">
        <v>18.649999999999999</v>
      </c>
      <c r="N702">
        <v>921037</v>
      </c>
      <c r="O702">
        <v>1</v>
      </c>
    </row>
    <row r="703" spans="1:15">
      <c r="A703" t="s">
        <v>729</v>
      </c>
      <c r="B703" t="s">
        <v>38</v>
      </c>
      <c r="C703">
        <v>10</v>
      </c>
      <c r="D703">
        <v>5286993</v>
      </c>
      <c r="E703">
        <v>3</v>
      </c>
      <c r="F703">
        <v>29</v>
      </c>
      <c r="G703">
        <v>330</v>
      </c>
      <c r="H703">
        <v>95210816</v>
      </c>
      <c r="I703">
        <v>23987</v>
      </c>
      <c r="J703" t="s">
        <v>21</v>
      </c>
      <c r="K703" t="s">
        <v>30</v>
      </c>
      <c r="L703">
        <v>2</v>
      </c>
      <c r="M703">
        <v>22.65</v>
      </c>
      <c r="N703">
        <v>621253</v>
      </c>
      <c r="O703">
        <v>1</v>
      </c>
    </row>
    <row r="704" spans="1:15">
      <c r="A704" t="s">
        <v>730</v>
      </c>
      <c r="B704" t="s">
        <v>16</v>
      </c>
      <c r="C704">
        <v>7</v>
      </c>
      <c r="D704">
        <v>1129390</v>
      </c>
      <c r="E704">
        <v>1</v>
      </c>
      <c r="F704">
        <v>17</v>
      </c>
      <c r="G704">
        <v>323</v>
      </c>
      <c r="H704">
        <v>73905736</v>
      </c>
      <c r="I704">
        <v>426395</v>
      </c>
      <c r="J704" t="s">
        <v>25</v>
      </c>
      <c r="K704" t="s">
        <v>18</v>
      </c>
      <c r="L704">
        <v>2</v>
      </c>
      <c r="M704">
        <v>38.06</v>
      </c>
      <c r="N704">
        <v>653007</v>
      </c>
      <c r="O704">
        <v>1</v>
      </c>
    </row>
    <row r="705" spans="1:15">
      <c r="A705" t="s">
        <v>731</v>
      </c>
      <c r="B705" t="s">
        <v>29</v>
      </c>
      <c r="C705">
        <v>5</v>
      </c>
      <c r="D705">
        <v>4931112</v>
      </c>
      <c r="E705">
        <v>3</v>
      </c>
      <c r="F705">
        <v>26</v>
      </c>
      <c r="G705">
        <v>580</v>
      </c>
      <c r="H705">
        <v>86256018</v>
      </c>
      <c r="I705">
        <v>566321</v>
      </c>
      <c r="J705" t="s">
        <v>17</v>
      </c>
      <c r="K705" t="s">
        <v>22</v>
      </c>
      <c r="L705">
        <v>4</v>
      </c>
      <c r="M705">
        <v>52.8</v>
      </c>
      <c r="N705">
        <v>585324</v>
      </c>
      <c r="O705">
        <v>1</v>
      </c>
    </row>
    <row r="706" spans="1:15">
      <c r="A706" t="s">
        <v>732</v>
      </c>
      <c r="B706" t="s">
        <v>27</v>
      </c>
      <c r="C706">
        <v>10</v>
      </c>
      <c r="D706">
        <v>39392736</v>
      </c>
      <c r="E706">
        <v>4</v>
      </c>
      <c r="F706">
        <v>26</v>
      </c>
      <c r="G706">
        <v>491</v>
      </c>
      <c r="H706">
        <v>28250312</v>
      </c>
      <c r="I706">
        <v>272959</v>
      </c>
      <c r="J706" t="s">
        <v>21</v>
      </c>
      <c r="K706" t="s">
        <v>22</v>
      </c>
      <c r="L706">
        <v>9</v>
      </c>
      <c r="M706">
        <v>68.290000000000006</v>
      </c>
      <c r="N706">
        <v>218657</v>
      </c>
      <c r="O706">
        <v>1</v>
      </c>
    </row>
    <row r="707" spans="1:15">
      <c r="A707" t="s">
        <v>733</v>
      </c>
      <c r="B707" t="s">
        <v>16</v>
      </c>
      <c r="C707">
        <v>3</v>
      </c>
      <c r="D707">
        <v>49790743</v>
      </c>
      <c r="E707">
        <v>3</v>
      </c>
      <c r="F707">
        <v>21</v>
      </c>
      <c r="G707">
        <v>43</v>
      </c>
      <c r="H707">
        <v>53550304</v>
      </c>
      <c r="I707">
        <v>725016</v>
      </c>
      <c r="J707" t="s">
        <v>25</v>
      </c>
      <c r="K707" t="s">
        <v>22</v>
      </c>
      <c r="L707">
        <v>6</v>
      </c>
      <c r="M707">
        <v>1.9</v>
      </c>
      <c r="N707">
        <v>459330</v>
      </c>
      <c r="O707">
        <v>1</v>
      </c>
    </row>
    <row r="708" spans="1:15">
      <c r="A708" t="s">
        <v>734</v>
      </c>
      <c r="B708" t="s">
        <v>27</v>
      </c>
      <c r="C708">
        <v>2</v>
      </c>
      <c r="D708">
        <v>28503767</v>
      </c>
      <c r="E708">
        <v>3</v>
      </c>
      <c r="F708">
        <v>10</v>
      </c>
      <c r="G708">
        <v>16</v>
      </c>
      <c r="H708">
        <v>6014769</v>
      </c>
      <c r="I708">
        <v>836345</v>
      </c>
      <c r="J708" t="s">
        <v>17</v>
      </c>
      <c r="K708" t="s">
        <v>18</v>
      </c>
      <c r="L708">
        <v>9</v>
      </c>
      <c r="M708">
        <v>7.44</v>
      </c>
      <c r="N708">
        <v>762140</v>
      </c>
      <c r="O708">
        <v>1</v>
      </c>
    </row>
    <row r="709" spans="1:15">
      <c r="A709" t="s">
        <v>735</v>
      </c>
      <c r="B709" t="s">
        <v>16</v>
      </c>
      <c r="C709">
        <v>10</v>
      </c>
      <c r="D709">
        <v>31010453</v>
      </c>
      <c r="E709">
        <v>2</v>
      </c>
      <c r="F709">
        <v>25</v>
      </c>
      <c r="G709">
        <v>370</v>
      </c>
      <c r="H709">
        <v>52278163</v>
      </c>
      <c r="I709">
        <v>337429</v>
      </c>
      <c r="J709" t="s">
        <v>21</v>
      </c>
      <c r="K709" t="s">
        <v>30</v>
      </c>
      <c r="L709">
        <v>4</v>
      </c>
      <c r="M709">
        <v>72.040000000000006</v>
      </c>
      <c r="N709">
        <v>857440</v>
      </c>
      <c r="O709">
        <v>1</v>
      </c>
    </row>
    <row r="710" spans="1:15">
      <c r="A710" t="s">
        <v>736</v>
      </c>
      <c r="B710" t="s">
        <v>27</v>
      </c>
      <c r="C710">
        <v>9</v>
      </c>
      <c r="D710">
        <v>8944978</v>
      </c>
      <c r="E710">
        <v>1</v>
      </c>
      <c r="F710">
        <v>4</v>
      </c>
      <c r="G710">
        <v>343</v>
      </c>
      <c r="H710">
        <v>59940490</v>
      </c>
      <c r="I710">
        <v>407498</v>
      </c>
      <c r="J710" t="s">
        <v>25</v>
      </c>
      <c r="K710" t="s">
        <v>30</v>
      </c>
      <c r="L710">
        <v>3</v>
      </c>
      <c r="M710">
        <v>51.79</v>
      </c>
      <c r="N710">
        <v>878571</v>
      </c>
      <c r="O710">
        <v>1</v>
      </c>
    </row>
    <row r="711" spans="1:15">
      <c r="A711" t="s">
        <v>737</v>
      </c>
      <c r="B711" t="s">
        <v>20</v>
      </c>
      <c r="C711">
        <v>12</v>
      </c>
      <c r="D711">
        <v>43922449</v>
      </c>
      <c r="E711">
        <v>2</v>
      </c>
      <c r="F711">
        <v>23</v>
      </c>
      <c r="G711">
        <v>92</v>
      </c>
      <c r="H711">
        <v>87789235</v>
      </c>
      <c r="I711">
        <v>739768</v>
      </c>
      <c r="J711" t="s">
        <v>25</v>
      </c>
      <c r="K711" t="s">
        <v>18</v>
      </c>
      <c r="L711">
        <v>2</v>
      </c>
      <c r="M711">
        <v>10.58</v>
      </c>
      <c r="N711">
        <v>51419</v>
      </c>
      <c r="O711">
        <v>1</v>
      </c>
    </row>
    <row r="712" spans="1:15">
      <c r="A712" t="s">
        <v>738</v>
      </c>
      <c r="B712" t="s">
        <v>24</v>
      </c>
      <c r="C712">
        <v>6</v>
      </c>
      <c r="D712">
        <v>16849351</v>
      </c>
      <c r="E712">
        <v>1</v>
      </c>
      <c r="F712">
        <v>2</v>
      </c>
      <c r="G712">
        <v>417</v>
      </c>
      <c r="H712">
        <v>87569598</v>
      </c>
      <c r="I712">
        <v>938424</v>
      </c>
      <c r="J712" t="s">
        <v>25</v>
      </c>
      <c r="K712" t="s">
        <v>22</v>
      </c>
      <c r="L712">
        <v>7</v>
      </c>
      <c r="M712">
        <v>59.46</v>
      </c>
      <c r="N712">
        <v>814620</v>
      </c>
      <c r="O712">
        <v>1</v>
      </c>
    </row>
    <row r="713" spans="1:15">
      <c r="A713" t="s">
        <v>739</v>
      </c>
      <c r="B713" t="s">
        <v>20</v>
      </c>
      <c r="C713">
        <v>12</v>
      </c>
      <c r="D713">
        <v>30438534</v>
      </c>
      <c r="E713">
        <v>3</v>
      </c>
      <c r="F713">
        <v>4</v>
      </c>
      <c r="G713">
        <v>930</v>
      </c>
      <c r="H713">
        <v>55250568</v>
      </c>
      <c r="I713">
        <v>196494</v>
      </c>
      <c r="J713" t="s">
        <v>25</v>
      </c>
      <c r="K713" t="s">
        <v>22</v>
      </c>
      <c r="L713">
        <v>5</v>
      </c>
      <c r="M713">
        <v>73.209999999999994</v>
      </c>
      <c r="N713">
        <v>668460</v>
      </c>
      <c r="O713">
        <v>1</v>
      </c>
    </row>
    <row r="714" spans="1:15">
      <c r="A714" t="s">
        <v>740</v>
      </c>
      <c r="B714" t="s">
        <v>32</v>
      </c>
      <c r="C714">
        <v>14</v>
      </c>
      <c r="D714">
        <v>44757743</v>
      </c>
      <c r="E714">
        <v>3</v>
      </c>
      <c r="F714">
        <v>24</v>
      </c>
      <c r="G714">
        <v>454</v>
      </c>
      <c r="H714">
        <v>53417162</v>
      </c>
      <c r="I714">
        <v>785543</v>
      </c>
      <c r="J714" t="s">
        <v>17</v>
      </c>
      <c r="K714" t="s">
        <v>18</v>
      </c>
      <c r="L714">
        <v>2</v>
      </c>
      <c r="M714">
        <v>21.42</v>
      </c>
      <c r="N714">
        <v>59433</v>
      </c>
      <c r="O714">
        <v>1</v>
      </c>
    </row>
    <row r="715" spans="1:15">
      <c r="A715" t="s">
        <v>741</v>
      </c>
      <c r="B715" t="s">
        <v>27</v>
      </c>
      <c r="C715">
        <v>7</v>
      </c>
      <c r="D715">
        <v>44964484</v>
      </c>
      <c r="E715">
        <v>2</v>
      </c>
      <c r="F715">
        <v>5</v>
      </c>
      <c r="G715">
        <v>853</v>
      </c>
      <c r="H715">
        <v>62030058</v>
      </c>
      <c r="I715">
        <v>170557</v>
      </c>
      <c r="J715" t="s">
        <v>21</v>
      </c>
      <c r="K715" t="s">
        <v>18</v>
      </c>
      <c r="L715">
        <v>7</v>
      </c>
      <c r="M715">
        <v>8.2100000000000009</v>
      </c>
      <c r="N715">
        <v>987488</v>
      </c>
      <c r="O715">
        <v>1</v>
      </c>
    </row>
    <row r="716" spans="1:15">
      <c r="A716" t="s">
        <v>742</v>
      </c>
      <c r="B716" t="s">
        <v>29</v>
      </c>
      <c r="C716">
        <v>2</v>
      </c>
      <c r="D716">
        <v>25362458</v>
      </c>
      <c r="E716">
        <v>4</v>
      </c>
      <c r="F716">
        <v>2</v>
      </c>
      <c r="G716">
        <v>21</v>
      </c>
      <c r="H716">
        <v>55467059</v>
      </c>
      <c r="I716">
        <v>361230</v>
      </c>
      <c r="J716" t="s">
        <v>25</v>
      </c>
      <c r="K716" t="s">
        <v>22</v>
      </c>
      <c r="L716">
        <v>7</v>
      </c>
      <c r="M716">
        <v>46.47</v>
      </c>
      <c r="N716">
        <v>952738</v>
      </c>
      <c r="O716">
        <v>1</v>
      </c>
    </row>
    <row r="717" spans="1:15">
      <c r="A717" t="s">
        <v>743</v>
      </c>
      <c r="B717" t="s">
        <v>27</v>
      </c>
      <c r="C717">
        <v>4</v>
      </c>
      <c r="D717">
        <v>19938180</v>
      </c>
      <c r="E717">
        <v>1</v>
      </c>
      <c r="F717">
        <v>19</v>
      </c>
      <c r="G717">
        <v>370</v>
      </c>
      <c r="H717">
        <v>15210331</v>
      </c>
      <c r="I717">
        <v>642100</v>
      </c>
      <c r="J717" t="s">
        <v>17</v>
      </c>
      <c r="K717" t="s">
        <v>18</v>
      </c>
      <c r="L717">
        <v>4</v>
      </c>
      <c r="M717">
        <v>28.9</v>
      </c>
      <c r="N717">
        <v>818071</v>
      </c>
      <c r="O717">
        <v>1</v>
      </c>
    </row>
    <row r="718" spans="1:15">
      <c r="A718" t="s">
        <v>744</v>
      </c>
      <c r="B718" t="s">
        <v>27</v>
      </c>
      <c r="C718">
        <v>8</v>
      </c>
      <c r="D718">
        <v>30945134</v>
      </c>
      <c r="E718">
        <v>2</v>
      </c>
      <c r="F718">
        <v>5</v>
      </c>
      <c r="G718">
        <v>690</v>
      </c>
      <c r="H718">
        <v>62760069</v>
      </c>
      <c r="I718">
        <v>401975</v>
      </c>
      <c r="J718" t="s">
        <v>21</v>
      </c>
      <c r="K718" t="s">
        <v>30</v>
      </c>
      <c r="L718">
        <v>6</v>
      </c>
      <c r="M718">
        <v>83.78</v>
      </c>
      <c r="N718">
        <v>286864</v>
      </c>
      <c r="O718">
        <v>1</v>
      </c>
    </row>
    <row r="719" spans="1:15">
      <c r="A719" t="s">
        <v>745</v>
      </c>
      <c r="B719" t="s">
        <v>27</v>
      </c>
      <c r="C719">
        <v>6</v>
      </c>
      <c r="D719">
        <v>25323610</v>
      </c>
      <c r="E719">
        <v>1</v>
      </c>
      <c r="F719">
        <v>14</v>
      </c>
      <c r="G719">
        <v>139</v>
      </c>
      <c r="H719">
        <v>3652175</v>
      </c>
      <c r="I719">
        <v>944525</v>
      </c>
      <c r="J719" t="s">
        <v>25</v>
      </c>
      <c r="K719" t="s">
        <v>22</v>
      </c>
      <c r="L719">
        <v>5</v>
      </c>
      <c r="M719">
        <v>44.35</v>
      </c>
      <c r="N719">
        <v>966163</v>
      </c>
      <c r="O719">
        <v>1</v>
      </c>
    </row>
    <row r="720" spans="1:15">
      <c r="A720" t="s">
        <v>746</v>
      </c>
      <c r="B720" t="s">
        <v>20</v>
      </c>
      <c r="C720">
        <v>9</v>
      </c>
      <c r="D720">
        <v>7284058</v>
      </c>
      <c r="E720">
        <v>2</v>
      </c>
      <c r="F720">
        <v>2</v>
      </c>
      <c r="G720">
        <v>629</v>
      </c>
      <c r="H720">
        <v>77819036</v>
      </c>
      <c r="I720">
        <v>332967</v>
      </c>
      <c r="J720" t="s">
        <v>17</v>
      </c>
      <c r="K720" t="s">
        <v>30</v>
      </c>
      <c r="L720">
        <v>3</v>
      </c>
      <c r="M720">
        <v>24.71</v>
      </c>
      <c r="N720">
        <v>20543</v>
      </c>
      <c r="O720">
        <v>1</v>
      </c>
    </row>
    <row r="721" spans="1:15">
      <c r="A721" t="s">
        <v>747</v>
      </c>
      <c r="B721" t="s">
        <v>24</v>
      </c>
      <c r="C721">
        <v>12</v>
      </c>
      <c r="D721">
        <v>10163585</v>
      </c>
      <c r="E721">
        <v>2</v>
      </c>
      <c r="F721">
        <v>11</v>
      </c>
      <c r="G721">
        <v>410</v>
      </c>
      <c r="H721">
        <v>46777414</v>
      </c>
      <c r="I721">
        <v>37879</v>
      </c>
      <c r="J721" t="s">
        <v>21</v>
      </c>
      <c r="K721" t="s">
        <v>22</v>
      </c>
      <c r="L721">
        <v>1</v>
      </c>
      <c r="M721">
        <v>50.54</v>
      </c>
      <c r="N721">
        <v>813369</v>
      </c>
      <c r="O721">
        <v>1</v>
      </c>
    </row>
    <row r="722" spans="1:15">
      <c r="A722" t="s">
        <v>748</v>
      </c>
      <c r="B722" t="s">
        <v>24</v>
      </c>
      <c r="C722">
        <v>2</v>
      </c>
      <c r="D722">
        <v>49862360</v>
      </c>
      <c r="E722">
        <v>4</v>
      </c>
      <c r="F722">
        <v>6</v>
      </c>
      <c r="G722">
        <v>198</v>
      </c>
      <c r="H722">
        <v>4912603</v>
      </c>
      <c r="I722">
        <v>483415</v>
      </c>
      <c r="J722" t="s">
        <v>17</v>
      </c>
      <c r="K722" t="s">
        <v>22</v>
      </c>
      <c r="L722">
        <v>3</v>
      </c>
      <c r="M722">
        <v>41.32</v>
      </c>
      <c r="N722">
        <v>920947</v>
      </c>
      <c r="O722">
        <v>1</v>
      </c>
    </row>
    <row r="723" spans="1:15">
      <c r="A723" t="s">
        <v>749</v>
      </c>
      <c r="B723" t="s">
        <v>24</v>
      </c>
      <c r="C723">
        <v>3</v>
      </c>
      <c r="D723">
        <v>38673154</v>
      </c>
      <c r="E723">
        <v>2</v>
      </c>
      <c r="F723">
        <v>24</v>
      </c>
      <c r="G723">
        <v>763</v>
      </c>
      <c r="H723">
        <v>54058076</v>
      </c>
      <c r="I723">
        <v>938131</v>
      </c>
      <c r="J723" t="s">
        <v>17</v>
      </c>
      <c r="K723" t="s">
        <v>22</v>
      </c>
      <c r="L723">
        <v>5</v>
      </c>
      <c r="M723">
        <v>44.54</v>
      </c>
      <c r="N723">
        <v>45325</v>
      </c>
      <c r="O723">
        <v>1</v>
      </c>
    </row>
    <row r="724" spans="1:15">
      <c r="A724" t="s">
        <v>750</v>
      </c>
      <c r="B724" t="s">
        <v>38</v>
      </c>
      <c r="C724">
        <v>1</v>
      </c>
      <c r="D724">
        <v>5034815</v>
      </c>
      <c r="E724">
        <v>4</v>
      </c>
      <c r="F724">
        <v>29</v>
      </c>
      <c r="G724">
        <v>959</v>
      </c>
      <c r="H724">
        <v>76485037</v>
      </c>
      <c r="I724">
        <v>411140</v>
      </c>
      <c r="J724" t="s">
        <v>21</v>
      </c>
      <c r="K724" t="s">
        <v>22</v>
      </c>
      <c r="L724">
        <v>9</v>
      </c>
      <c r="M724">
        <v>82.46</v>
      </c>
      <c r="N724">
        <v>477550</v>
      </c>
      <c r="O724">
        <v>1</v>
      </c>
    </row>
    <row r="725" spans="1:15">
      <c r="A725" t="s">
        <v>751</v>
      </c>
      <c r="B725" t="s">
        <v>16</v>
      </c>
      <c r="C725">
        <v>11</v>
      </c>
      <c r="D725">
        <v>27005979</v>
      </c>
      <c r="E725">
        <v>2</v>
      </c>
      <c r="F725">
        <v>26</v>
      </c>
      <c r="G725">
        <v>296</v>
      </c>
      <c r="H725">
        <v>53382786</v>
      </c>
      <c r="I725">
        <v>905321</v>
      </c>
      <c r="J725" t="s">
        <v>25</v>
      </c>
      <c r="K725" t="s">
        <v>22</v>
      </c>
      <c r="L725">
        <v>6</v>
      </c>
      <c r="M725">
        <v>16.05</v>
      </c>
      <c r="N725">
        <v>391366</v>
      </c>
      <c r="O725">
        <v>1</v>
      </c>
    </row>
    <row r="726" spans="1:15">
      <c r="A726" t="s">
        <v>752</v>
      </c>
      <c r="B726" t="s">
        <v>38</v>
      </c>
      <c r="C726">
        <v>6</v>
      </c>
      <c r="D726">
        <v>39971513</v>
      </c>
      <c r="E726">
        <v>4</v>
      </c>
      <c r="F726">
        <v>10</v>
      </c>
      <c r="G726">
        <v>133</v>
      </c>
      <c r="H726">
        <v>66683450</v>
      </c>
      <c r="I726">
        <v>257931</v>
      </c>
      <c r="J726" t="s">
        <v>25</v>
      </c>
      <c r="K726" t="s">
        <v>18</v>
      </c>
      <c r="L726">
        <v>1</v>
      </c>
      <c r="M726">
        <v>83.9</v>
      </c>
      <c r="N726">
        <v>629524</v>
      </c>
      <c r="O726">
        <v>1</v>
      </c>
    </row>
    <row r="727" spans="1:15">
      <c r="A727" t="s">
        <v>753</v>
      </c>
      <c r="B727" t="s">
        <v>38</v>
      </c>
      <c r="C727">
        <v>14</v>
      </c>
      <c r="D727">
        <v>37268639</v>
      </c>
      <c r="E727">
        <v>1</v>
      </c>
      <c r="F727">
        <v>21</v>
      </c>
      <c r="G727">
        <v>716</v>
      </c>
      <c r="H727">
        <v>420865</v>
      </c>
      <c r="I727">
        <v>240759</v>
      </c>
      <c r="J727" t="s">
        <v>21</v>
      </c>
      <c r="K727" t="s">
        <v>30</v>
      </c>
      <c r="L727">
        <v>3</v>
      </c>
      <c r="M727">
        <v>65.42</v>
      </c>
      <c r="N727">
        <v>777771</v>
      </c>
      <c r="O727">
        <v>1</v>
      </c>
    </row>
    <row r="728" spans="1:15">
      <c r="A728" t="s">
        <v>754</v>
      </c>
      <c r="B728" t="s">
        <v>16</v>
      </c>
      <c r="C728">
        <v>3</v>
      </c>
      <c r="D728">
        <v>19702687</v>
      </c>
      <c r="E728">
        <v>4</v>
      </c>
      <c r="F728">
        <v>9</v>
      </c>
      <c r="G728">
        <v>19</v>
      </c>
      <c r="H728">
        <v>98989915</v>
      </c>
      <c r="I728">
        <v>703310</v>
      </c>
      <c r="J728" t="s">
        <v>21</v>
      </c>
      <c r="K728" t="s">
        <v>30</v>
      </c>
      <c r="L728">
        <v>8</v>
      </c>
      <c r="M728">
        <v>68.25</v>
      </c>
      <c r="N728">
        <v>8387</v>
      </c>
      <c r="O728">
        <v>1</v>
      </c>
    </row>
    <row r="729" spans="1:15">
      <c r="A729" t="s">
        <v>755</v>
      </c>
      <c r="B729" t="s">
        <v>38</v>
      </c>
      <c r="C729">
        <v>8</v>
      </c>
      <c r="D729">
        <v>29630552</v>
      </c>
      <c r="E729">
        <v>2</v>
      </c>
      <c r="F729">
        <v>27</v>
      </c>
      <c r="G729">
        <v>607</v>
      </c>
      <c r="H729">
        <v>24981300</v>
      </c>
      <c r="I729">
        <v>673845</v>
      </c>
      <c r="J729" t="s">
        <v>21</v>
      </c>
      <c r="K729" t="s">
        <v>18</v>
      </c>
      <c r="L729">
        <v>1</v>
      </c>
      <c r="M729">
        <v>16.440000000000001</v>
      </c>
      <c r="N729">
        <v>348568</v>
      </c>
      <c r="O729">
        <v>1</v>
      </c>
    </row>
    <row r="730" spans="1:15">
      <c r="A730" t="s">
        <v>756</v>
      </c>
      <c r="B730" t="s">
        <v>16</v>
      </c>
      <c r="C730">
        <v>7</v>
      </c>
      <c r="D730">
        <v>21776526</v>
      </c>
      <c r="E730">
        <v>2</v>
      </c>
      <c r="F730">
        <v>11</v>
      </c>
      <c r="G730">
        <v>860</v>
      </c>
      <c r="H730">
        <v>75359555</v>
      </c>
      <c r="I730">
        <v>392631</v>
      </c>
      <c r="J730" t="s">
        <v>21</v>
      </c>
      <c r="K730" t="s">
        <v>18</v>
      </c>
      <c r="L730">
        <v>3</v>
      </c>
      <c r="M730">
        <v>74.41</v>
      </c>
      <c r="N730">
        <v>714694</v>
      </c>
      <c r="O730">
        <v>1</v>
      </c>
    </row>
    <row r="731" spans="1:15">
      <c r="A731" t="s">
        <v>757</v>
      </c>
      <c r="B731" t="s">
        <v>29</v>
      </c>
      <c r="C731">
        <v>0</v>
      </c>
      <c r="D731">
        <v>27926101</v>
      </c>
      <c r="E731">
        <v>4</v>
      </c>
      <c r="F731">
        <v>22</v>
      </c>
      <c r="G731">
        <v>416</v>
      </c>
      <c r="H731">
        <v>68401611</v>
      </c>
      <c r="I731">
        <v>460372</v>
      </c>
      <c r="J731" t="s">
        <v>25</v>
      </c>
      <c r="K731" t="s">
        <v>30</v>
      </c>
      <c r="L731">
        <v>7</v>
      </c>
      <c r="M731">
        <v>3</v>
      </c>
      <c r="N731">
        <v>40726</v>
      </c>
      <c r="O731">
        <v>1</v>
      </c>
    </row>
    <row r="732" spans="1:15">
      <c r="A732" t="s">
        <v>758</v>
      </c>
      <c r="B732" t="s">
        <v>38</v>
      </c>
      <c r="C732">
        <v>13</v>
      </c>
      <c r="D732">
        <v>23255559</v>
      </c>
      <c r="E732">
        <v>3</v>
      </c>
      <c r="F732">
        <v>8</v>
      </c>
      <c r="G732">
        <v>623</v>
      </c>
      <c r="H732">
        <v>86551798</v>
      </c>
      <c r="I732">
        <v>774457</v>
      </c>
      <c r="J732" t="s">
        <v>17</v>
      </c>
      <c r="K732" t="s">
        <v>18</v>
      </c>
      <c r="L732">
        <v>7</v>
      </c>
      <c r="M732">
        <v>63.64</v>
      </c>
      <c r="N732">
        <v>329497</v>
      </c>
      <c r="O732">
        <v>1</v>
      </c>
    </row>
    <row r="733" spans="1:15">
      <c r="A733" t="s">
        <v>759</v>
      </c>
      <c r="B733" t="s">
        <v>16</v>
      </c>
      <c r="C733">
        <v>6</v>
      </c>
      <c r="D733">
        <v>42913037</v>
      </c>
      <c r="E733">
        <v>4</v>
      </c>
      <c r="F733">
        <v>23</v>
      </c>
      <c r="G733">
        <v>622</v>
      </c>
      <c r="H733">
        <v>6212165</v>
      </c>
      <c r="I733">
        <v>157147</v>
      </c>
      <c r="J733" t="s">
        <v>25</v>
      </c>
      <c r="K733" t="s">
        <v>22</v>
      </c>
      <c r="L733">
        <v>1</v>
      </c>
      <c r="M733">
        <v>24.61</v>
      </c>
      <c r="N733">
        <v>689516</v>
      </c>
      <c r="O733">
        <v>1</v>
      </c>
    </row>
    <row r="734" spans="1:15">
      <c r="A734" t="s">
        <v>760</v>
      </c>
      <c r="B734" t="s">
        <v>27</v>
      </c>
      <c r="C734">
        <v>14</v>
      </c>
      <c r="D734">
        <v>5337857</v>
      </c>
      <c r="E734">
        <v>4</v>
      </c>
      <c r="F734">
        <v>16</v>
      </c>
      <c r="G734">
        <v>738</v>
      </c>
      <c r="H734">
        <v>23195944</v>
      </c>
      <c r="I734">
        <v>527179</v>
      </c>
      <c r="J734" t="s">
        <v>25</v>
      </c>
      <c r="K734" t="s">
        <v>22</v>
      </c>
      <c r="L734">
        <v>8</v>
      </c>
      <c r="M734">
        <v>20.079999999999998</v>
      </c>
      <c r="N734">
        <v>429108</v>
      </c>
      <c r="O734">
        <v>1</v>
      </c>
    </row>
    <row r="735" spans="1:15">
      <c r="A735" t="s">
        <v>761</v>
      </c>
      <c r="B735" t="s">
        <v>38</v>
      </c>
      <c r="C735">
        <v>14</v>
      </c>
      <c r="D735">
        <v>40078496</v>
      </c>
      <c r="E735">
        <v>1</v>
      </c>
      <c r="F735">
        <v>10</v>
      </c>
      <c r="G735">
        <v>783</v>
      </c>
      <c r="H735">
        <v>54992028</v>
      </c>
      <c r="I735">
        <v>614171</v>
      </c>
      <c r="J735" t="s">
        <v>17</v>
      </c>
      <c r="K735" t="s">
        <v>22</v>
      </c>
      <c r="L735">
        <v>2</v>
      </c>
      <c r="M735">
        <v>30.62</v>
      </c>
      <c r="N735">
        <v>900819</v>
      </c>
      <c r="O735">
        <v>1</v>
      </c>
    </row>
    <row r="736" spans="1:15">
      <c r="A736" t="s">
        <v>762</v>
      </c>
      <c r="B736" t="s">
        <v>20</v>
      </c>
      <c r="C736">
        <v>8</v>
      </c>
      <c r="D736">
        <v>30222330</v>
      </c>
      <c r="E736">
        <v>4</v>
      </c>
      <c r="F736">
        <v>12</v>
      </c>
      <c r="G736">
        <v>506</v>
      </c>
      <c r="H736">
        <v>9857837</v>
      </c>
      <c r="I736">
        <v>208911</v>
      </c>
      <c r="J736" t="s">
        <v>25</v>
      </c>
      <c r="K736" t="s">
        <v>30</v>
      </c>
      <c r="L736">
        <v>1</v>
      </c>
      <c r="M736">
        <v>96.1</v>
      </c>
      <c r="N736">
        <v>59367</v>
      </c>
      <c r="O736">
        <v>1</v>
      </c>
    </row>
    <row r="737" spans="1:15">
      <c r="A737" t="s">
        <v>763</v>
      </c>
      <c r="B737" t="s">
        <v>29</v>
      </c>
      <c r="C737">
        <v>10</v>
      </c>
      <c r="D737">
        <v>30660008</v>
      </c>
      <c r="E737">
        <v>2</v>
      </c>
      <c r="F737">
        <v>29</v>
      </c>
      <c r="G737">
        <v>443</v>
      </c>
      <c r="H737">
        <v>15629658</v>
      </c>
      <c r="I737">
        <v>908475</v>
      </c>
      <c r="J737" t="s">
        <v>25</v>
      </c>
      <c r="K737" t="s">
        <v>22</v>
      </c>
      <c r="L737">
        <v>5</v>
      </c>
      <c r="M737">
        <v>40.75</v>
      </c>
      <c r="N737">
        <v>104725</v>
      </c>
      <c r="O737">
        <v>1</v>
      </c>
    </row>
    <row r="738" spans="1:15">
      <c r="A738" t="s">
        <v>764</v>
      </c>
      <c r="B738" t="s">
        <v>16</v>
      </c>
      <c r="C738">
        <v>5</v>
      </c>
      <c r="D738">
        <v>28273348</v>
      </c>
      <c r="E738">
        <v>4</v>
      </c>
      <c r="F738">
        <v>9</v>
      </c>
      <c r="G738">
        <v>304</v>
      </c>
      <c r="H738">
        <v>45897822</v>
      </c>
      <c r="I738">
        <v>50015</v>
      </c>
      <c r="J738" t="s">
        <v>25</v>
      </c>
      <c r="K738" t="s">
        <v>18</v>
      </c>
      <c r="L738">
        <v>3</v>
      </c>
      <c r="M738">
        <v>55.96</v>
      </c>
      <c r="N738">
        <v>841454</v>
      </c>
      <c r="O738">
        <v>1</v>
      </c>
    </row>
    <row r="739" spans="1:15">
      <c r="A739" t="s">
        <v>765</v>
      </c>
      <c r="B739" t="s">
        <v>32</v>
      </c>
      <c r="C739">
        <v>6</v>
      </c>
      <c r="D739">
        <v>30120271</v>
      </c>
      <c r="E739">
        <v>4</v>
      </c>
      <c r="F739">
        <v>16</v>
      </c>
      <c r="G739">
        <v>896</v>
      </c>
      <c r="H739">
        <v>24087280</v>
      </c>
      <c r="I739">
        <v>835947</v>
      </c>
      <c r="J739" t="s">
        <v>21</v>
      </c>
      <c r="K739" t="s">
        <v>30</v>
      </c>
      <c r="L739">
        <v>4</v>
      </c>
      <c r="M739">
        <v>73.14</v>
      </c>
      <c r="N739">
        <v>16677</v>
      </c>
      <c r="O739">
        <v>1</v>
      </c>
    </row>
    <row r="740" spans="1:15">
      <c r="A740" t="s">
        <v>766</v>
      </c>
      <c r="B740" t="s">
        <v>16</v>
      </c>
      <c r="C740">
        <v>9</v>
      </c>
      <c r="D740">
        <v>45823159</v>
      </c>
      <c r="E740">
        <v>1</v>
      </c>
      <c r="F740">
        <v>23</v>
      </c>
      <c r="G740">
        <v>75</v>
      </c>
      <c r="H740">
        <v>86736691</v>
      </c>
      <c r="I740">
        <v>90641</v>
      </c>
      <c r="J740" t="s">
        <v>21</v>
      </c>
      <c r="K740" t="s">
        <v>30</v>
      </c>
      <c r="L740">
        <v>7</v>
      </c>
      <c r="M740">
        <v>84.04</v>
      </c>
      <c r="N740">
        <v>594482</v>
      </c>
      <c r="O740">
        <v>1</v>
      </c>
    </row>
    <row r="741" spans="1:15">
      <c r="A741" t="s">
        <v>767</v>
      </c>
      <c r="B741" t="s">
        <v>27</v>
      </c>
      <c r="C741">
        <v>6</v>
      </c>
      <c r="D741">
        <v>27491245</v>
      </c>
      <c r="E741">
        <v>1</v>
      </c>
      <c r="F741">
        <v>19</v>
      </c>
      <c r="G741">
        <v>754</v>
      </c>
      <c r="H741">
        <v>96355976</v>
      </c>
      <c r="I741">
        <v>275127</v>
      </c>
      <c r="J741" t="s">
        <v>17</v>
      </c>
      <c r="K741" t="s">
        <v>18</v>
      </c>
      <c r="L741">
        <v>8</v>
      </c>
      <c r="M741">
        <v>21.41</v>
      </c>
      <c r="N741">
        <v>135676</v>
      </c>
      <c r="O741">
        <v>1</v>
      </c>
    </row>
    <row r="742" spans="1:15">
      <c r="A742" t="s">
        <v>768</v>
      </c>
      <c r="B742" t="s">
        <v>20</v>
      </c>
      <c r="C742">
        <v>10</v>
      </c>
      <c r="D742">
        <v>35030280</v>
      </c>
      <c r="E742">
        <v>3</v>
      </c>
      <c r="F742">
        <v>15</v>
      </c>
      <c r="G742">
        <v>16</v>
      </c>
      <c r="H742">
        <v>56544778</v>
      </c>
      <c r="I742">
        <v>454604</v>
      </c>
      <c r="J742" t="s">
        <v>25</v>
      </c>
      <c r="K742" t="s">
        <v>30</v>
      </c>
      <c r="L742">
        <v>3</v>
      </c>
      <c r="M742">
        <v>33.659999999999997</v>
      </c>
      <c r="N742">
        <v>550735</v>
      </c>
      <c r="O742">
        <v>1</v>
      </c>
    </row>
    <row r="743" spans="1:15">
      <c r="A743" t="s">
        <v>769</v>
      </c>
      <c r="B743" t="s">
        <v>29</v>
      </c>
      <c r="C743">
        <v>5</v>
      </c>
      <c r="D743">
        <v>49597198</v>
      </c>
      <c r="E743">
        <v>2</v>
      </c>
      <c r="F743">
        <v>15</v>
      </c>
      <c r="G743">
        <v>70</v>
      </c>
      <c r="H743">
        <v>33192</v>
      </c>
      <c r="I743">
        <v>226619</v>
      </c>
      <c r="J743" t="s">
        <v>21</v>
      </c>
      <c r="K743" t="s">
        <v>18</v>
      </c>
      <c r="L743">
        <v>5</v>
      </c>
      <c r="M743">
        <v>79.2</v>
      </c>
      <c r="N743">
        <v>37271</v>
      </c>
      <c r="O743">
        <v>1</v>
      </c>
    </row>
    <row r="744" spans="1:15">
      <c r="A744" t="s">
        <v>770</v>
      </c>
      <c r="B744" t="s">
        <v>32</v>
      </c>
      <c r="C744">
        <v>1</v>
      </c>
      <c r="D744">
        <v>32872000</v>
      </c>
      <c r="E744">
        <v>1</v>
      </c>
      <c r="F744">
        <v>16</v>
      </c>
      <c r="G744">
        <v>436</v>
      </c>
      <c r="H744">
        <v>35235616</v>
      </c>
      <c r="I744">
        <v>21480</v>
      </c>
      <c r="J744" t="s">
        <v>21</v>
      </c>
      <c r="K744" t="s">
        <v>22</v>
      </c>
      <c r="L744">
        <v>2</v>
      </c>
      <c r="M744">
        <v>10.16</v>
      </c>
      <c r="N744">
        <v>127040</v>
      </c>
      <c r="O744">
        <v>1</v>
      </c>
    </row>
    <row r="745" spans="1:15">
      <c r="A745" t="s">
        <v>771</v>
      </c>
      <c r="B745" t="s">
        <v>27</v>
      </c>
      <c r="C745">
        <v>9</v>
      </c>
      <c r="D745">
        <v>38668737</v>
      </c>
      <c r="E745">
        <v>4</v>
      </c>
      <c r="F745">
        <v>7</v>
      </c>
      <c r="G745">
        <v>815</v>
      </c>
      <c r="H745">
        <v>98611441</v>
      </c>
      <c r="I745">
        <v>854434</v>
      </c>
      <c r="J745" t="s">
        <v>17</v>
      </c>
      <c r="K745" t="s">
        <v>30</v>
      </c>
      <c r="L745">
        <v>6</v>
      </c>
      <c r="M745">
        <v>61.54</v>
      </c>
      <c r="N745">
        <v>409362</v>
      </c>
      <c r="O745">
        <v>1</v>
      </c>
    </row>
    <row r="746" spans="1:15">
      <c r="A746" t="s">
        <v>772</v>
      </c>
      <c r="B746" t="s">
        <v>20</v>
      </c>
      <c r="C746">
        <v>1</v>
      </c>
      <c r="D746">
        <v>21318706</v>
      </c>
      <c r="E746">
        <v>2</v>
      </c>
      <c r="F746">
        <v>21</v>
      </c>
      <c r="G746">
        <v>289</v>
      </c>
      <c r="H746">
        <v>68972360</v>
      </c>
      <c r="I746">
        <v>301631</v>
      </c>
      <c r="J746" t="s">
        <v>21</v>
      </c>
      <c r="K746" t="s">
        <v>22</v>
      </c>
      <c r="L746">
        <v>1</v>
      </c>
      <c r="M746">
        <v>94.55</v>
      </c>
      <c r="N746">
        <v>952192</v>
      </c>
      <c r="O746">
        <v>1</v>
      </c>
    </row>
    <row r="747" spans="1:15">
      <c r="A747" t="s">
        <v>773</v>
      </c>
      <c r="B747" t="s">
        <v>20</v>
      </c>
      <c r="C747">
        <v>9</v>
      </c>
      <c r="D747">
        <v>29855231</v>
      </c>
      <c r="E747">
        <v>2</v>
      </c>
      <c r="F747">
        <v>23</v>
      </c>
      <c r="G747">
        <v>189</v>
      </c>
      <c r="H747">
        <v>14597662</v>
      </c>
      <c r="I747">
        <v>774218</v>
      </c>
      <c r="J747" t="s">
        <v>21</v>
      </c>
      <c r="K747" t="s">
        <v>22</v>
      </c>
      <c r="L747">
        <v>2</v>
      </c>
      <c r="M747">
        <v>68.12</v>
      </c>
      <c r="N747">
        <v>183985</v>
      </c>
      <c r="O747">
        <v>1</v>
      </c>
    </row>
    <row r="748" spans="1:15">
      <c r="A748" t="s">
        <v>774</v>
      </c>
      <c r="B748" t="s">
        <v>29</v>
      </c>
      <c r="C748">
        <v>14</v>
      </c>
      <c r="D748">
        <v>42119851</v>
      </c>
      <c r="E748">
        <v>2</v>
      </c>
      <c r="F748">
        <v>10</v>
      </c>
      <c r="G748">
        <v>427</v>
      </c>
      <c r="H748">
        <v>71289325</v>
      </c>
      <c r="I748">
        <v>87891</v>
      </c>
      <c r="J748" t="s">
        <v>21</v>
      </c>
      <c r="K748" t="s">
        <v>22</v>
      </c>
      <c r="L748">
        <v>1</v>
      </c>
      <c r="M748">
        <v>8.3000000000000007</v>
      </c>
      <c r="N748">
        <v>382064</v>
      </c>
      <c r="O748">
        <v>1</v>
      </c>
    </row>
    <row r="749" spans="1:15">
      <c r="A749" t="s">
        <v>775</v>
      </c>
      <c r="B749" t="s">
        <v>32</v>
      </c>
      <c r="C749">
        <v>6</v>
      </c>
      <c r="D749">
        <v>47033470</v>
      </c>
      <c r="E749">
        <v>1</v>
      </c>
      <c r="F749">
        <v>4</v>
      </c>
      <c r="G749">
        <v>386</v>
      </c>
      <c r="H749">
        <v>64745875</v>
      </c>
      <c r="I749">
        <v>682893</v>
      </c>
      <c r="J749" t="s">
        <v>21</v>
      </c>
      <c r="K749" t="s">
        <v>18</v>
      </c>
      <c r="L749">
        <v>6</v>
      </c>
      <c r="M749">
        <v>10.199999999999999</v>
      </c>
      <c r="N749">
        <v>254896</v>
      </c>
      <c r="O749">
        <v>1</v>
      </c>
    </row>
    <row r="750" spans="1:15">
      <c r="A750" t="s">
        <v>776</v>
      </c>
      <c r="B750" t="s">
        <v>38</v>
      </c>
      <c r="C750">
        <v>9</v>
      </c>
      <c r="D750">
        <v>25006963</v>
      </c>
      <c r="E750">
        <v>3</v>
      </c>
      <c r="F750">
        <v>28</v>
      </c>
      <c r="G750">
        <v>831</v>
      </c>
      <c r="H750">
        <v>22276545</v>
      </c>
      <c r="I750">
        <v>466659</v>
      </c>
      <c r="J750" t="s">
        <v>17</v>
      </c>
      <c r="K750" t="s">
        <v>18</v>
      </c>
      <c r="L750">
        <v>6</v>
      </c>
      <c r="M750">
        <v>29.15</v>
      </c>
      <c r="N750">
        <v>81914</v>
      </c>
      <c r="O750">
        <v>1</v>
      </c>
    </row>
    <row r="751" spans="1:15">
      <c r="A751" t="s">
        <v>777</v>
      </c>
      <c r="B751" t="s">
        <v>24</v>
      </c>
      <c r="C751">
        <v>14</v>
      </c>
      <c r="D751">
        <v>16011058</v>
      </c>
      <c r="E751">
        <v>1</v>
      </c>
      <c r="F751">
        <v>24</v>
      </c>
      <c r="G751">
        <v>745</v>
      </c>
      <c r="H751">
        <v>1808693</v>
      </c>
      <c r="I751">
        <v>860885</v>
      </c>
      <c r="J751" t="s">
        <v>25</v>
      </c>
      <c r="K751" t="s">
        <v>22</v>
      </c>
      <c r="L751">
        <v>4</v>
      </c>
      <c r="M751">
        <v>95.07</v>
      </c>
      <c r="N751">
        <v>346404</v>
      </c>
      <c r="O751">
        <v>1</v>
      </c>
    </row>
    <row r="752" spans="1:15">
      <c r="A752" t="s">
        <v>778</v>
      </c>
      <c r="B752" t="s">
        <v>29</v>
      </c>
      <c r="C752">
        <v>12</v>
      </c>
      <c r="D752">
        <v>19448955</v>
      </c>
      <c r="E752">
        <v>1</v>
      </c>
      <c r="F752">
        <v>25</v>
      </c>
      <c r="G752">
        <v>182</v>
      </c>
      <c r="H752">
        <v>48165331</v>
      </c>
      <c r="I752">
        <v>177309</v>
      </c>
      <c r="J752" t="s">
        <v>25</v>
      </c>
      <c r="K752" t="s">
        <v>30</v>
      </c>
      <c r="L752">
        <v>6</v>
      </c>
      <c r="M752">
        <v>6.75</v>
      </c>
      <c r="N752">
        <v>466558</v>
      </c>
      <c r="O752">
        <v>1</v>
      </c>
    </row>
    <row r="753" spans="1:15">
      <c r="A753" t="s">
        <v>779</v>
      </c>
      <c r="B753" t="s">
        <v>32</v>
      </c>
      <c r="C753">
        <v>12</v>
      </c>
      <c r="D753">
        <v>16725790</v>
      </c>
      <c r="E753">
        <v>2</v>
      </c>
      <c r="F753">
        <v>11</v>
      </c>
      <c r="G753">
        <v>273</v>
      </c>
      <c r="H753">
        <v>61136383</v>
      </c>
      <c r="I753">
        <v>656002</v>
      </c>
      <c r="J753" t="s">
        <v>21</v>
      </c>
      <c r="K753" t="s">
        <v>30</v>
      </c>
      <c r="L753">
        <v>9</v>
      </c>
      <c r="M753">
        <v>66.86</v>
      </c>
      <c r="N753">
        <v>822255</v>
      </c>
      <c r="O753">
        <v>1</v>
      </c>
    </row>
    <row r="754" spans="1:15">
      <c r="A754" t="s">
        <v>780</v>
      </c>
      <c r="B754" t="s">
        <v>20</v>
      </c>
      <c r="C754">
        <v>7</v>
      </c>
      <c r="D754">
        <v>35135711</v>
      </c>
      <c r="E754">
        <v>4</v>
      </c>
      <c r="F754">
        <v>13</v>
      </c>
      <c r="G754">
        <v>145</v>
      </c>
      <c r="H754">
        <v>92725936</v>
      </c>
      <c r="I754">
        <v>18298</v>
      </c>
      <c r="J754" t="s">
        <v>21</v>
      </c>
      <c r="K754" t="s">
        <v>30</v>
      </c>
      <c r="L754">
        <v>8</v>
      </c>
      <c r="M754">
        <v>69.28</v>
      </c>
      <c r="N754">
        <v>347659</v>
      </c>
      <c r="O754">
        <v>1</v>
      </c>
    </row>
    <row r="755" spans="1:15">
      <c r="A755" t="s">
        <v>781</v>
      </c>
      <c r="B755" t="s">
        <v>29</v>
      </c>
      <c r="C755">
        <v>5</v>
      </c>
      <c r="D755">
        <v>566671</v>
      </c>
      <c r="E755">
        <v>2</v>
      </c>
      <c r="F755">
        <v>21</v>
      </c>
      <c r="G755">
        <v>708</v>
      </c>
      <c r="H755">
        <v>39666198</v>
      </c>
      <c r="I755">
        <v>695397</v>
      </c>
      <c r="J755" t="s">
        <v>25</v>
      </c>
      <c r="K755" t="s">
        <v>30</v>
      </c>
      <c r="L755">
        <v>1</v>
      </c>
      <c r="M755">
        <v>87.97</v>
      </c>
      <c r="N755">
        <v>332006</v>
      </c>
      <c r="O755">
        <v>1</v>
      </c>
    </row>
    <row r="756" spans="1:15">
      <c r="A756" t="s">
        <v>782</v>
      </c>
      <c r="B756" t="s">
        <v>27</v>
      </c>
      <c r="C756">
        <v>13</v>
      </c>
      <c r="D756">
        <v>9580307</v>
      </c>
      <c r="E756">
        <v>4</v>
      </c>
      <c r="F756">
        <v>22</v>
      </c>
      <c r="G756">
        <v>182</v>
      </c>
      <c r="H756">
        <v>96924301</v>
      </c>
      <c r="I756">
        <v>759348</v>
      </c>
      <c r="J756" t="s">
        <v>21</v>
      </c>
      <c r="K756" t="s">
        <v>18</v>
      </c>
      <c r="L756">
        <v>5</v>
      </c>
      <c r="M756">
        <v>11.39</v>
      </c>
      <c r="N756">
        <v>378635</v>
      </c>
      <c r="O756">
        <v>1</v>
      </c>
    </row>
    <row r="757" spans="1:15">
      <c r="A757" t="s">
        <v>783</v>
      </c>
      <c r="B757" t="s">
        <v>24</v>
      </c>
      <c r="C757">
        <v>12</v>
      </c>
      <c r="D757">
        <v>25027094</v>
      </c>
      <c r="E757">
        <v>1</v>
      </c>
      <c r="F757">
        <v>10</v>
      </c>
      <c r="G757">
        <v>96</v>
      </c>
      <c r="H757">
        <v>89540813</v>
      </c>
      <c r="I757">
        <v>25283</v>
      </c>
      <c r="J757" t="s">
        <v>21</v>
      </c>
      <c r="K757" t="s">
        <v>22</v>
      </c>
      <c r="L757">
        <v>3</v>
      </c>
      <c r="M757">
        <v>11.52</v>
      </c>
      <c r="N757">
        <v>267123</v>
      </c>
      <c r="O757">
        <v>1</v>
      </c>
    </row>
    <row r="758" spans="1:15">
      <c r="A758" t="s">
        <v>784</v>
      </c>
      <c r="B758" t="s">
        <v>24</v>
      </c>
      <c r="C758">
        <v>2</v>
      </c>
      <c r="D758">
        <v>14453702</v>
      </c>
      <c r="E758">
        <v>2</v>
      </c>
      <c r="F758">
        <v>20</v>
      </c>
      <c r="G758">
        <v>752</v>
      </c>
      <c r="H758">
        <v>60041095</v>
      </c>
      <c r="I758">
        <v>202076</v>
      </c>
      <c r="J758" t="s">
        <v>25</v>
      </c>
      <c r="K758" t="s">
        <v>22</v>
      </c>
      <c r="L758">
        <v>3</v>
      </c>
      <c r="M758">
        <v>66.400000000000006</v>
      </c>
      <c r="N758">
        <v>694740</v>
      </c>
      <c r="O758">
        <v>1</v>
      </c>
    </row>
    <row r="759" spans="1:15">
      <c r="A759" t="s">
        <v>785</v>
      </c>
      <c r="B759" t="s">
        <v>24</v>
      </c>
      <c r="C759">
        <v>11</v>
      </c>
      <c r="D759">
        <v>21962429</v>
      </c>
      <c r="E759">
        <v>4</v>
      </c>
      <c r="F759">
        <v>0</v>
      </c>
      <c r="G759">
        <v>675</v>
      </c>
      <c r="H759">
        <v>38864398</v>
      </c>
      <c r="I759">
        <v>250626</v>
      </c>
      <c r="J759" t="s">
        <v>17</v>
      </c>
      <c r="K759" t="s">
        <v>22</v>
      </c>
      <c r="L759">
        <v>9</v>
      </c>
      <c r="M759">
        <v>76.650000000000006</v>
      </c>
      <c r="N759">
        <v>419388</v>
      </c>
      <c r="O759">
        <v>1</v>
      </c>
    </row>
    <row r="760" spans="1:15">
      <c r="A760" t="s">
        <v>786</v>
      </c>
      <c r="B760" t="s">
        <v>16</v>
      </c>
      <c r="C760">
        <v>1</v>
      </c>
      <c r="D760">
        <v>4479884</v>
      </c>
      <c r="E760">
        <v>3</v>
      </c>
      <c r="F760">
        <v>8</v>
      </c>
      <c r="G760">
        <v>946</v>
      </c>
      <c r="H760">
        <v>5324142</v>
      </c>
      <c r="I760">
        <v>848248</v>
      </c>
      <c r="J760" t="s">
        <v>21</v>
      </c>
      <c r="K760" t="s">
        <v>22</v>
      </c>
      <c r="L760">
        <v>9</v>
      </c>
      <c r="M760">
        <v>91.12</v>
      </c>
      <c r="N760">
        <v>175329</v>
      </c>
      <c r="O760">
        <v>1</v>
      </c>
    </row>
    <row r="761" spans="1:15">
      <c r="A761" t="s">
        <v>787</v>
      </c>
      <c r="B761" t="s">
        <v>27</v>
      </c>
      <c r="C761">
        <v>5</v>
      </c>
      <c r="D761">
        <v>15728624</v>
      </c>
      <c r="E761">
        <v>1</v>
      </c>
      <c r="F761">
        <v>15</v>
      </c>
      <c r="G761">
        <v>88</v>
      </c>
      <c r="H761">
        <v>70095471</v>
      </c>
      <c r="I761">
        <v>340544</v>
      </c>
      <c r="J761" t="s">
        <v>25</v>
      </c>
      <c r="K761" t="s">
        <v>18</v>
      </c>
      <c r="L761">
        <v>7</v>
      </c>
      <c r="M761">
        <v>66.28</v>
      </c>
      <c r="N761">
        <v>462249</v>
      </c>
      <c r="O761">
        <v>1</v>
      </c>
    </row>
    <row r="762" spans="1:15">
      <c r="A762" t="s">
        <v>788</v>
      </c>
      <c r="B762" t="s">
        <v>24</v>
      </c>
      <c r="C762">
        <v>12</v>
      </c>
      <c r="D762">
        <v>27665167</v>
      </c>
      <c r="E762">
        <v>1</v>
      </c>
      <c r="F762">
        <v>20</v>
      </c>
      <c r="G762">
        <v>843</v>
      </c>
      <c r="H762">
        <v>58690625</v>
      </c>
      <c r="I762">
        <v>389342</v>
      </c>
      <c r="J762" t="s">
        <v>25</v>
      </c>
      <c r="K762" t="s">
        <v>22</v>
      </c>
      <c r="L762">
        <v>9</v>
      </c>
      <c r="M762">
        <v>76.989999999999995</v>
      </c>
      <c r="N762">
        <v>33697</v>
      </c>
      <c r="O762">
        <v>1</v>
      </c>
    </row>
    <row r="763" spans="1:15">
      <c r="A763" t="s">
        <v>789</v>
      </c>
      <c r="B763" t="s">
        <v>27</v>
      </c>
      <c r="C763">
        <v>6</v>
      </c>
      <c r="D763">
        <v>30071753</v>
      </c>
      <c r="E763">
        <v>2</v>
      </c>
      <c r="F763">
        <v>25</v>
      </c>
      <c r="G763">
        <v>560</v>
      </c>
      <c r="H763">
        <v>32809772</v>
      </c>
      <c r="I763">
        <v>618476</v>
      </c>
      <c r="J763" t="s">
        <v>17</v>
      </c>
      <c r="K763" t="s">
        <v>18</v>
      </c>
      <c r="L763">
        <v>6</v>
      </c>
      <c r="M763">
        <v>92.97</v>
      </c>
      <c r="N763">
        <v>537015</v>
      </c>
      <c r="O763">
        <v>1</v>
      </c>
    </row>
    <row r="764" spans="1:15">
      <c r="A764" t="s">
        <v>790</v>
      </c>
      <c r="B764" t="s">
        <v>20</v>
      </c>
      <c r="C764">
        <v>3</v>
      </c>
      <c r="D764">
        <v>17652641</v>
      </c>
      <c r="E764">
        <v>3</v>
      </c>
      <c r="F764">
        <v>28</v>
      </c>
      <c r="G764">
        <v>21</v>
      </c>
      <c r="H764">
        <v>64591214</v>
      </c>
      <c r="I764">
        <v>695522</v>
      </c>
      <c r="J764" t="s">
        <v>17</v>
      </c>
      <c r="K764" t="s">
        <v>30</v>
      </c>
      <c r="L764">
        <v>3</v>
      </c>
      <c r="M764">
        <v>46.2</v>
      </c>
      <c r="N764">
        <v>392402</v>
      </c>
      <c r="O764">
        <v>1</v>
      </c>
    </row>
    <row r="765" spans="1:15">
      <c r="A765" t="s">
        <v>791</v>
      </c>
      <c r="B765" t="s">
        <v>20</v>
      </c>
      <c r="C765">
        <v>13</v>
      </c>
      <c r="D765">
        <v>34582730</v>
      </c>
      <c r="E765">
        <v>3</v>
      </c>
      <c r="F765">
        <v>2</v>
      </c>
      <c r="G765">
        <v>784</v>
      </c>
      <c r="H765">
        <v>99003441</v>
      </c>
      <c r="I765">
        <v>6537</v>
      </c>
      <c r="J765" t="s">
        <v>25</v>
      </c>
      <c r="K765" t="s">
        <v>22</v>
      </c>
      <c r="L765">
        <v>3</v>
      </c>
      <c r="M765">
        <v>63.28</v>
      </c>
      <c r="N765">
        <v>196489</v>
      </c>
      <c r="O765">
        <v>1</v>
      </c>
    </row>
    <row r="766" spans="1:15">
      <c r="A766" t="s">
        <v>792</v>
      </c>
      <c r="B766" t="s">
        <v>27</v>
      </c>
      <c r="C766">
        <v>13</v>
      </c>
      <c r="D766">
        <v>37881031</v>
      </c>
      <c r="E766">
        <v>1</v>
      </c>
      <c r="F766">
        <v>16</v>
      </c>
      <c r="G766">
        <v>696</v>
      </c>
      <c r="H766">
        <v>97406227</v>
      </c>
      <c r="I766">
        <v>731639</v>
      </c>
      <c r="J766" t="s">
        <v>21</v>
      </c>
      <c r="K766" t="s">
        <v>30</v>
      </c>
      <c r="L766">
        <v>5</v>
      </c>
      <c r="M766">
        <v>76.42</v>
      </c>
      <c r="N766">
        <v>243396</v>
      </c>
      <c r="O766">
        <v>1</v>
      </c>
    </row>
    <row r="767" spans="1:15">
      <c r="A767" t="s">
        <v>793</v>
      </c>
      <c r="B767" t="s">
        <v>24</v>
      </c>
      <c r="C767">
        <v>0</v>
      </c>
      <c r="D767">
        <v>19833561</v>
      </c>
      <c r="E767">
        <v>1</v>
      </c>
      <c r="F767">
        <v>11</v>
      </c>
      <c r="G767">
        <v>101</v>
      </c>
      <c r="H767">
        <v>53513793</v>
      </c>
      <c r="I767">
        <v>930763</v>
      </c>
      <c r="J767" t="s">
        <v>25</v>
      </c>
      <c r="K767" t="s">
        <v>18</v>
      </c>
      <c r="L767">
        <v>5</v>
      </c>
      <c r="M767">
        <v>12.36</v>
      </c>
      <c r="N767">
        <v>392696</v>
      </c>
      <c r="O767">
        <v>1</v>
      </c>
    </row>
    <row r="768" spans="1:15">
      <c r="A768" t="s">
        <v>794</v>
      </c>
      <c r="B768" t="s">
        <v>20</v>
      </c>
      <c r="C768">
        <v>6</v>
      </c>
      <c r="D768">
        <v>17986313</v>
      </c>
      <c r="E768">
        <v>2</v>
      </c>
      <c r="F768">
        <v>2</v>
      </c>
      <c r="G768">
        <v>274</v>
      </c>
      <c r="H768">
        <v>4263335</v>
      </c>
      <c r="I768">
        <v>89986</v>
      </c>
      <c r="J768" t="s">
        <v>21</v>
      </c>
      <c r="K768" t="s">
        <v>18</v>
      </c>
      <c r="L768">
        <v>3</v>
      </c>
      <c r="M768">
        <v>91.93</v>
      </c>
      <c r="N768">
        <v>339183</v>
      </c>
      <c r="O768">
        <v>1</v>
      </c>
    </row>
    <row r="769" spans="1:15">
      <c r="A769" t="s">
        <v>795</v>
      </c>
      <c r="B769" t="s">
        <v>38</v>
      </c>
      <c r="C769">
        <v>13</v>
      </c>
      <c r="D769">
        <v>38237003</v>
      </c>
      <c r="E769">
        <v>2</v>
      </c>
      <c r="F769">
        <v>26</v>
      </c>
      <c r="G769">
        <v>646</v>
      </c>
      <c r="H769">
        <v>39291791</v>
      </c>
      <c r="I769">
        <v>671033</v>
      </c>
      <c r="J769" t="s">
        <v>21</v>
      </c>
      <c r="K769" t="s">
        <v>22</v>
      </c>
      <c r="L769">
        <v>6</v>
      </c>
      <c r="M769">
        <v>45.03</v>
      </c>
      <c r="N769">
        <v>174767</v>
      </c>
      <c r="O769">
        <v>1</v>
      </c>
    </row>
    <row r="770" spans="1:15">
      <c r="A770" t="s">
        <v>796</v>
      </c>
      <c r="B770" t="s">
        <v>32</v>
      </c>
      <c r="C770">
        <v>12</v>
      </c>
      <c r="D770">
        <v>16462163</v>
      </c>
      <c r="E770">
        <v>4</v>
      </c>
      <c r="F770">
        <v>17</v>
      </c>
      <c r="G770">
        <v>366</v>
      </c>
      <c r="H770">
        <v>79837068</v>
      </c>
      <c r="I770">
        <v>826904</v>
      </c>
      <c r="J770" t="s">
        <v>17</v>
      </c>
      <c r="K770" t="s">
        <v>18</v>
      </c>
      <c r="L770">
        <v>9</v>
      </c>
      <c r="M770">
        <v>12.02</v>
      </c>
      <c r="N770">
        <v>881152</v>
      </c>
      <c r="O770">
        <v>1</v>
      </c>
    </row>
    <row r="771" spans="1:15">
      <c r="A771" t="s">
        <v>797</v>
      </c>
      <c r="B771" t="s">
        <v>27</v>
      </c>
      <c r="C771">
        <v>4</v>
      </c>
      <c r="D771">
        <v>28066119</v>
      </c>
      <c r="E771">
        <v>1</v>
      </c>
      <c r="F771">
        <v>27</v>
      </c>
      <c r="G771">
        <v>400</v>
      </c>
      <c r="H771">
        <v>98294155</v>
      </c>
      <c r="I771">
        <v>938189</v>
      </c>
      <c r="J771" t="s">
        <v>25</v>
      </c>
      <c r="K771" t="s">
        <v>18</v>
      </c>
      <c r="L771">
        <v>3</v>
      </c>
      <c r="M771">
        <v>99.91</v>
      </c>
      <c r="N771">
        <v>952738</v>
      </c>
      <c r="O771">
        <v>1</v>
      </c>
    </row>
    <row r="772" spans="1:15">
      <c r="A772" t="s">
        <v>798</v>
      </c>
      <c r="B772" t="s">
        <v>32</v>
      </c>
      <c r="C772">
        <v>11</v>
      </c>
      <c r="D772">
        <v>39158202</v>
      </c>
      <c r="E772">
        <v>4</v>
      </c>
      <c r="F772">
        <v>13</v>
      </c>
      <c r="G772">
        <v>128</v>
      </c>
      <c r="H772">
        <v>35046701</v>
      </c>
      <c r="I772">
        <v>337907</v>
      </c>
      <c r="J772" t="s">
        <v>25</v>
      </c>
      <c r="K772" t="s">
        <v>30</v>
      </c>
      <c r="L772">
        <v>9</v>
      </c>
      <c r="M772">
        <v>30.71</v>
      </c>
      <c r="N772">
        <v>686892</v>
      </c>
      <c r="O772">
        <v>1</v>
      </c>
    </row>
    <row r="773" spans="1:15">
      <c r="A773" t="s">
        <v>799</v>
      </c>
      <c r="B773" t="s">
        <v>38</v>
      </c>
      <c r="C773">
        <v>13</v>
      </c>
      <c r="D773">
        <v>5042018</v>
      </c>
      <c r="E773">
        <v>2</v>
      </c>
      <c r="F773">
        <v>19</v>
      </c>
      <c r="G773">
        <v>756</v>
      </c>
      <c r="H773">
        <v>12016217</v>
      </c>
      <c r="I773">
        <v>210175</v>
      </c>
      <c r="J773" t="s">
        <v>25</v>
      </c>
      <c r="K773" t="s">
        <v>18</v>
      </c>
      <c r="L773">
        <v>9</v>
      </c>
      <c r="M773">
        <v>63</v>
      </c>
      <c r="N773">
        <v>86414</v>
      </c>
      <c r="O773">
        <v>1</v>
      </c>
    </row>
    <row r="774" spans="1:15">
      <c r="A774" t="s">
        <v>800</v>
      </c>
      <c r="B774" t="s">
        <v>32</v>
      </c>
      <c r="C774">
        <v>0</v>
      </c>
      <c r="D774">
        <v>47390642</v>
      </c>
      <c r="E774">
        <v>1</v>
      </c>
      <c r="F774">
        <v>23</v>
      </c>
      <c r="G774">
        <v>41</v>
      </c>
      <c r="H774">
        <v>26188527</v>
      </c>
      <c r="I774">
        <v>735762</v>
      </c>
      <c r="J774" t="s">
        <v>25</v>
      </c>
      <c r="K774" t="s">
        <v>22</v>
      </c>
      <c r="L774">
        <v>5</v>
      </c>
      <c r="M774">
        <v>63.81</v>
      </c>
      <c r="N774">
        <v>62778</v>
      </c>
      <c r="O774">
        <v>1</v>
      </c>
    </row>
    <row r="775" spans="1:15">
      <c r="A775" t="s">
        <v>801</v>
      </c>
      <c r="B775" t="s">
        <v>29</v>
      </c>
      <c r="C775">
        <v>11</v>
      </c>
      <c r="D775">
        <v>30274059</v>
      </c>
      <c r="E775">
        <v>2</v>
      </c>
      <c r="F775">
        <v>0</v>
      </c>
      <c r="G775">
        <v>231</v>
      </c>
      <c r="H775">
        <v>50638649</v>
      </c>
      <c r="I775">
        <v>881280</v>
      </c>
      <c r="J775" t="s">
        <v>21</v>
      </c>
      <c r="K775" t="s">
        <v>22</v>
      </c>
      <c r="L775">
        <v>2</v>
      </c>
      <c r="M775">
        <v>34.159999999999997</v>
      </c>
      <c r="N775">
        <v>983636</v>
      </c>
      <c r="O775">
        <v>1</v>
      </c>
    </row>
    <row r="776" spans="1:15">
      <c r="A776" t="s">
        <v>802</v>
      </c>
      <c r="B776" t="s">
        <v>24</v>
      </c>
      <c r="C776">
        <v>8</v>
      </c>
      <c r="D776">
        <v>20667257</v>
      </c>
      <c r="E776">
        <v>3</v>
      </c>
      <c r="F776">
        <v>24</v>
      </c>
      <c r="G776">
        <v>679</v>
      </c>
      <c r="H776">
        <v>45180378</v>
      </c>
      <c r="I776">
        <v>70809</v>
      </c>
      <c r="J776" t="s">
        <v>21</v>
      </c>
      <c r="K776" t="s">
        <v>18</v>
      </c>
      <c r="L776">
        <v>9</v>
      </c>
      <c r="M776">
        <v>37.79</v>
      </c>
      <c r="N776">
        <v>468241</v>
      </c>
      <c r="O776">
        <v>1</v>
      </c>
    </row>
    <row r="777" spans="1:15">
      <c r="A777" t="s">
        <v>803</v>
      </c>
      <c r="B777" t="s">
        <v>24</v>
      </c>
      <c r="C777">
        <v>0</v>
      </c>
      <c r="D777">
        <v>523627</v>
      </c>
      <c r="E777">
        <v>4</v>
      </c>
      <c r="F777">
        <v>29</v>
      </c>
      <c r="G777">
        <v>463</v>
      </c>
      <c r="H777">
        <v>70583460</v>
      </c>
      <c r="I777">
        <v>182807</v>
      </c>
      <c r="J777" t="s">
        <v>21</v>
      </c>
      <c r="K777" t="s">
        <v>18</v>
      </c>
      <c r="L777">
        <v>2</v>
      </c>
      <c r="M777">
        <v>17.989999999999998</v>
      </c>
      <c r="N777">
        <v>641006</v>
      </c>
      <c r="O777">
        <v>1</v>
      </c>
    </row>
    <row r="778" spans="1:15">
      <c r="A778" t="s">
        <v>804</v>
      </c>
      <c r="B778" t="s">
        <v>20</v>
      </c>
      <c r="C778">
        <v>0</v>
      </c>
      <c r="D778">
        <v>40587568</v>
      </c>
      <c r="E778">
        <v>3</v>
      </c>
      <c r="F778">
        <v>24</v>
      </c>
      <c r="G778">
        <v>319</v>
      </c>
      <c r="H778">
        <v>18190057</v>
      </c>
      <c r="I778">
        <v>166265</v>
      </c>
      <c r="J778" t="s">
        <v>25</v>
      </c>
      <c r="K778" t="s">
        <v>22</v>
      </c>
      <c r="L778">
        <v>7</v>
      </c>
      <c r="M778">
        <v>43.89</v>
      </c>
      <c r="N778">
        <v>172173</v>
      </c>
      <c r="O778">
        <v>1</v>
      </c>
    </row>
    <row r="779" spans="1:15">
      <c r="A779" t="s">
        <v>805</v>
      </c>
      <c r="B779" t="s">
        <v>32</v>
      </c>
      <c r="C779">
        <v>4</v>
      </c>
      <c r="D779">
        <v>21205194</v>
      </c>
      <c r="E779">
        <v>1</v>
      </c>
      <c r="F779">
        <v>23</v>
      </c>
      <c r="G779">
        <v>29</v>
      </c>
      <c r="H779">
        <v>88637950</v>
      </c>
      <c r="I779">
        <v>206172</v>
      </c>
      <c r="J779" t="s">
        <v>21</v>
      </c>
      <c r="K779" t="s">
        <v>30</v>
      </c>
      <c r="L779">
        <v>4</v>
      </c>
      <c r="M779">
        <v>53.58</v>
      </c>
      <c r="N779">
        <v>401410</v>
      </c>
      <c r="O779">
        <v>1</v>
      </c>
    </row>
    <row r="780" spans="1:15">
      <c r="A780" t="s">
        <v>806</v>
      </c>
      <c r="B780" t="s">
        <v>27</v>
      </c>
      <c r="C780">
        <v>6</v>
      </c>
      <c r="D780">
        <v>31871970</v>
      </c>
      <c r="E780">
        <v>1</v>
      </c>
      <c r="F780">
        <v>11</v>
      </c>
      <c r="G780">
        <v>890</v>
      </c>
      <c r="H780">
        <v>31163332</v>
      </c>
      <c r="I780">
        <v>477273</v>
      </c>
      <c r="J780" t="s">
        <v>17</v>
      </c>
      <c r="K780" t="s">
        <v>22</v>
      </c>
      <c r="L780">
        <v>2</v>
      </c>
      <c r="M780">
        <v>86.09</v>
      </c>
      <c r="N780">
        <v>467350</v>
      </c>
      <c r="O780">
        <v>1</v>
      </c>
    </row>
    <row r="781" spans="1:15">
      <c r="A781" t="s">
        <v>807</v>
      </c>
      <c r="B781" t="s">
        <v>16</v>
      </c>
      <c r="C781">
        <v>11</v>
      </c>
      <c r="D781">
        <v>11225631</v>
      </c>
      <c r="E781">
        <v>1</v>
      </c>
      <c r="F781">
        <v>16</v>
      </c>
      <c r="G781">
        <v>540</v>
      </c>
      <c r="H781">
        <v>13735209</v>
      </c>
      <c r="I781">
        <v>652029</v>
      </c>
      <c r="J781" t="s">
        <v>17</v>
      </c>
      <c r="K781" t="s">
        <v>18</v>
      </c>
      <c r="L781">
        <v>3</v>
      </c>
      <c r="M781">
        <v>63.36</v>
      </c>
      <c r="N781">
        <v>852710</v>
      </c>
      <c r="O781">
        <v>1</v>
      </c>
    </row>
    <row r="782" spans="1:15">
      <c r="A782" t="s">
        <v>808</v>
      </c>
      <c r="B782" t="s">
        <v>29</v>
      </c>
      <c r="C782">
        <v>5</v>
      </c>
      <c r="D782">
        <v>17319277</v>
      </c>
      <c r="E782">
        <v>2</v>
      </c>
      <c r="F782">
        <v>7</v>
      </c>
      <c r="G782">
        <v>811</v>
      </c>
      <c r="H782">
        <v>95635696</v>
      </c>
      <c r="I782">
        <v>108622</v>
      </c>
      <c r="J782" t="s">
        <v>17</v>
      </c>
      <c r="K782" t="s">
        <v>30</v>
      </c>
      <c r="L782">
        <v>6</v>
      </c>
      <c r="M782">
        <v>99.31</v>
      </c>
      <c r="N782">
        <v>65129</v>
      </c>
      <c r="O782">
        <v>1</v>
      </c>
    </row>
    <row r="783" spans="1:15">
      <c r="A783" t="s">
        <v>809</v>
      </c>
      <c r="B783" t="s">
        <v>32</v>
      </c>
      <c r="C783">
        <v>6</v>
      </c>
      <c r="D783">
        <v>45861036</v>
      </c>
      <c r="E783">
        <v>2</v>
      </c>
      <c r="F783">
        <v>8</v>
      </c>
      <c r="G783">
        <v>826</v>
      </c>
      <c r="H783">
        <v>75655464</v>
      </c>
      <c r="I783">
        <v>118946</v>
      </c>
      <c r="J783" t="s">
        <v>17</v>
      </c>
      <c r="K783" t="s">
        <v>22</v>
      </c>
      <c r="L783">
        <v>1</v>
      </c>
      <c r="M783">
        <v>49.43</v>
      </c>
      <c r="N783">
        <v>125137</v>
      </c>
      <c r="O783">
        <v>1</v>
      </c>
    </row>
    <row r="784" spans="1:15">
      <c r="A784" t="s">
        <v>810</v>
      </c>
      <c r="B784" t="s">
        <v>32</v>
      </c>
      <c r="C784">
        <v>12</v>
      </c>
      <c r="D784">
        <v>28800538</v>
      </c>
      <c r="E784">
        <v>4</v>
      </c>
      <c r="F784">
        <v>15</v>
      </c>
      <c r="G784">
        <v>161</v>
      </c>
      <c r="H784">
        <v>89194154</v>
      </c>
      <c r="I784">
        <v>131402</v>
      </c>
      <c r="J784" t="s">
        <v>17</v>
      </c>
      <c r="K784" t="s">
        <v>30</v>
      </c>
      <c r="L784">
        <v>7</v>
      </c>
      <c r="M784">
        <v>50.81</v>
      </c>
      <c r="N784">
        <v>256375</v>
      </c>
      <c r="O784">
        <v>1</v>
      </c>
    </row>
    <row r="785" spans="1:15">
      <c r="A785" t="s">
        <v>811</v>
      </c>
      <c r="B785" t="s">
        <v>16</v>
      </c>
      <c r="C785">
        <v>9</v>
      </c>
      <c r="D785">
        <v>6723507</v>
      </c>
      <c r="E785">
        <v>4</v>
      </c>
      <c r="F785">
        <v>14</v>
      </c>
      <c r="G785">
        <v>78</v>
      </c>
      <c r="H785">
        <v>86042321</v>
      </c>
      <c r="I785">
        <v>412705</v>
      </c>
      <c r="J785" t="s">
        <v>17</v>
      </c>
      <c r="K785" t="s">
        <v>30</v>
      </c>
      <c r="L785">
        <v>1</v>
      </c>
      <c r="M785">
        <v>15.46</v>
      </c>
      <c r="N785">
        <v>970483</v>
      </c>
      <c r="O785">
        <v>1</v>
      </c>
    </row>
    <row r="786" spans="1:15">
      <c r="A786" t="s">
        <v>812</v>
      </c>
      <c r="B786" t="s">
        <v>20</v>
      </c>
      <c r="C786">
        <v>9</v>
      </c>
      <c r="D786">
        <v>22534324</v>
      </c>
      <c r="E786">
        <v>3</v>
      </c>
      <c r="F786">
        <v>8</v>
      </c>
      <c r="G786">
        <v>608</v>
      </c>
      <c r="H786">
        <v>86583971</v>
      </c>
      <c r="I786">
        <v>61002</v>
      </c>
      <c r="J786" t="s">
        <v>17</v>
      </c>
      <c r="K786" t="s">
        <v>30</v>
      </c>
      <c r="L786">
        <v>1</v>
      </c>
      <c r="M786">
        <v>71.5</v>
      </c>
      <c r="N786">
        <v>128938</v>
      </c>
      <c r="O786">
        <v>1</v>
      </c>
    </row>
    <row r="787" spans="1:15">
      <c r="A787" t="s">
        <v>813</v>
      </c>
      <c r="B787" t="s">
        <v>32</v>
      </c>
      <c r="C787">
        <v>12</v>
      </c>
      <c r="D787">
        <v>28120402</v>
      </c>
      <c r="E787">
        <v>1</v>
      </c>
      <c r="F787">
        <v>22</v>
      </c>
      <c r="G787">
        <v>606</v>
      </c>
      <c r="H787">
        <v>42902538</v>
      </c>
      <c r="I787">
        <v>458430</v>
      </c>
      <c r="J787" t="s">
        <v>25</v>
      </c>
      <c r="K787" t="s">
        <v>30</v>
      </c>
      <c r="L787">
        <v>9</v>
      </c>
      <c r="M787">
        <v>81.73</v>
      </c>
      <c r="N787">
        <v>41405</v>
      </c>
      <c r="O787">
        <v>1</v>
      </c>
    </row>
    <row r="788" spans="1:15">
      <c r="A788" t="s">
        <v>814</v>
      </c>
      <c r="B788" t="s">
        <v>38</v>
      </c>
      <c r="C788">
        <v>9</v>
      </c>
      <c r="D788">
        <v>25045103</v>
      </c>
      <c r="E788">
        <v>3</v>
      </c>
      <c r="F788">
        <v>8</v>
      </c>
      <c r="G788">
        <v>690</v>
      </c>
      <c r="H788">
        <v>69706032</v>
      </c>
      <c r="I788">
        <v>364339</v>
      </c>
      <c r="J788" t="s">
        <v>17</v>
      </c>
      <c r="K788" t="s">
        <v>22</v>
      </c>
      <c r="L788">
        <v>7</v>
      </c>
      <c r="M788">
        <v>80.87</v>
      </c>
      <c r="N788">
        <v>850769</v>
      </c>
      <c r="O788">
        <v>1</v>
      </c>
    </row>
    <row r="789" spans="1:15">
      <c r="A789" t="s">
        <v>815</v>
      </c>
      <c r="B789" t="s">
        <v>24</v>
      </c>
      <c r="C789">
        <v>12</v>
      </c>
      <c r="D789">
        <v>32436601</v>
      </c>
      <c r="E789">
        <v>2</v>
      </c>
      <c r="F789">
        <v>23</v>
      </c>
      <c r="G789">
        <v>296</v>
      </c>
      <c r="H789">
        <v>4495891</v>
      </c>
      <c r="I789">
        <v>755912</v>
      </c>
      <c r="J789" t="s">
        <v>25</v>
      </c>
      <c r="K789" t="s">
        <v>30</v>
      </c>
      <c r="L789">
        <v>2</v>
      </c>
      <c r="M789">
        <v>76.66</v>
      </c>
      <c r="N789">
        <v>280113</v>
      </c>
      <c r="O789">
        <v>1</v>
      </c>
    </row>
    <row r="790" spans="1:15">
      <c r="A790" t="s">
        <v>816</v>
      </c>
      <c r="B790" t="s">
        <v>27</v>
      </c>
      <c r="C790">
        <v>8</v>
      </c>
      <c r="D790">
        <v>39947317</v>
      </c>
      <c r="E790">
        <v>3</v>
      </c>
      <c r="F790">
        <v>29</v>
      </c>
      <c r="G790">
        <v>108</v>
      </c>
      <c r="H790">
        <v>72183325</v>
      </c>
      <c r="I790">
        <v>347366</v>
      </c>
      <c r="J790" t="s">
        <v>25</v>
      </c>
      <c r="K790" t="s">
        <v>22</v>
      </c>
      <c r="L790">
        <v>7</v>
      </c>
      <c r="M790">
        <v>20.51</v>
      </c>
      <c r="N790">
        <v>224641</v>
      </c>
      <c r="O790">
        <v>1</v>
      </c>
    </row>
    <row r="791" spans="1:15">
      <c r="A791" t="s">
        <v>817</v>
      </c>
      <c r="B791" t="s">
        <v>38</v>
      </c>
      <c r="C791">
        <v>5</v>
      </c>
      <c r="D791">
        <v>8952911</v>
      </c>
      <c r="E791">
        <v>1</v>
      </c>
      <c r="F791">
        <v>14</v>
      </c>
      <c r="G791">
        <v>178</v>
      </c>
      <c r="H791">
        <v>51121327</v>
      </c>
      <c r="I791">
        <v>658620</v>
      </c>
      <c r="J791" t="s">
        <v>21</v>
      </c>
      <c r="K791" t="s">
        <v>18</v>
      </c>
      <c r="L791">
        <v>3</v>
      </c>
      <c r="M791">
        <v>56.87</v>
      </c>
      <c r="N791">
        <v>761273</v>
      </c>
      <c r="O791">
        <v>1</v>
      </c>
    </row>
    <row r="792" spans="1:15">
      <c r="A792" t="s">
        <v>818</v>
      </c>
      <c r="B792" t="s">
        <v>24</v>
      </c>
      <c r="C792">
        <v>5</v>
      </c>
      <c r="D792">
        <v>19107130</v>
      </c>
      <c r="E792">
        <v>4</v>
      </c>
      <c r="F792">
        <v>3</v>
      </c>
      <c r="G792">
        <v>799</v>
      </c>
      <c r="H792">
        <v>86539900</v>
      </c>
      <c r="I792">
        <v>833045</v>
      </c>
      <c r="J792" t="s">
        <v>17</v>
      </c>
      <c r="K792" t="s">
        <v>18</v>
      </c>
      <c r="L792">
        <v>6</v>
      </c>
      <c r="M792">
        <v>29.43</v>
      </c>
      <c r="N792">
        <v>178356</v>
      </c>
      <c r="O792">
        <v>1</v>
      </c>
    </row>
    <row r="793" spans="1:15">
      <c r="A793" t="s">
        <v>819</v>
      </c>
      <c r="B793" t="s">
        <v>32</v>
      </c>
      <c r="C793">
        <v>8</v>
      </c>
      <c r="D793">
        <v>5508412</v>
      </c>
      <c r="E793">
        <v>4</v>
      </c>
      <c r="F793">
        <v>26</v>
      </c>
      <c r="G793">
        <v>467</v>
      </c>
      <c r="H793">
        <v>3084032</v>
      </c>
      <c r="I793">
        <v>81501</v>
      </c>
      <c r="J793" t="s">
        <v>21</v>
      </c>
      <c r="K793" t="s">
        <v>18</v>
      </c>
      <c r="L793">
        <v>8</v>
      </c>
      <c r="M793">
        <v>99.76</v>
      </c>
      <c r="N793">
        <v>629238</v>
      </c>
      <c r="O793">
        <v>1</v>
      </c>
    </row>
    <row r="794" spans="1:15">
      <c r="A794" t="s">
        <v>820</v>
      </c>
      <c r="B794" t="s">
        <v>38</v>
      </c>
      <c r="C794">
        <v>13</v>
      </c>
      <c r="D794">
        <v>8966374</v>
      </c>
      <c r="E794">
        <v>1</v>
      </c>
      <c r="F794">
        <v>1</v>
      </c>
      <c r="G794">
        <v>254</v>
      </c>
      <c r="H794">
        <v>16115129</v>
      </c>
      <c r="I794">
        <v>710715</v>
      </c>
      <c r="J794" t="s">
        <v>21</v>
      </c>
      <c r="K794" t="s">
        <v>18</v>
      </c>
      <c r="L794">
        <v>9</v>
      </c>
      <c r="M794">
        <v>45.27</v>
      </c>
      <c r="N794">
        <v>163280</v>
      </c>
      <c r="O794">
        <v>1</v>
      </c>
    </row>
    <row r="795" spans="1:15">
      <c r="A795" t="s">
        <v>821</v>
      </c>
      <c r="B795" t="s">
        <v>32</v>
      </c>
      <c r="C795">
        <v>8</v>
      </c>
      <c r="D795">
        <v>35856922</v>
      </c>
      <c r="E795">
        <v>4</v>
      </c>
      <c r="F795">
        <v>15</v>
      </c>
      <c r="G795">
        <v>422</v>
      </c>
      <c r="H795">
        <v>20396138</v>
      </c>
      <c r="I795">
        <v>631244</v>
      </c>
      <c r="J795" t="s">
        <v>17</v>
      </c>
      <c r="K795" t="s">
        <v>18</v>
      </c>
      <c r="L795">
        <v>6</v>
      </c>
      <c r="M795">
        <v>10.74</v>
      </c>
      <c r="N795">
        <v>885123</v>
      </c>
      <c r="O795">
        <v>1</v>
      </c>
    </row>
    <row r="796" spans="1:15">
      <c r="A796" t="s">
        <v>822</v>
      </c>
      <c r="B796" t="s">
        <v>24</v>
      </c>
      <c r="C796">
        <v>14</v>
      </c>
      <c r="D796">
        <v>42543221</v>
      </c>
      <c r="E796">
        <v>1</v>
      </c>
      <c r="F796">
        <v>13</v>
      </c>
      <c r="G796">
        <v>451</v>
      </c>
      <c r="H796">
        <v>25492893</v>
      </c>
      <c r="I796">
        <v>728314</v>
      </c>
      <c r="J796" t="s">
        <v>25</v>
      </c>
      <c r="K796" t="s">
        <v>22</v>
      </c>
      <c r="L796">
        <v>1</v>
      </c>
      <c r="M796">
        <v>61.68</v>
      </c>
      <c r="N796">
        <v>786213</v>
      </c>
      <c r="O796">
        <v>1</v>
      </c>
    </row>
    <row r="797" spans="1:15">
      <c r="A797" t="s">
        <v>823</v>
      </c>
      <c r="B797" t="s">
        <v>38</v>
      </c>
      <c r="C797">
        <v>2</v>
      </c>
      <c r="D797">
        <v>4681036</v>
      </c>
      <c r="E797">
        <v>2</v>
      </c>
      <c r="F797">
        <v>18</v>
      </c>
      <c r="G797">
        <v>309</v>
      </c>
      <c r="H797">
        <v>89981279</v>
      </c>
      <c r="I797">
        <v>77396</v>
      </c>
      <c r="J797" t="s">
        <v>25</v>
      </c>
      <c r="K797" t="s">
        <v>22</v>
      </c>
      <c r="L797">
        <v>9</v>
      </c>
      <c r="M797">
        <v>72.34</v>
      </c>
      <c r="N797">
        <v>373068</v>
      </c>
      <c r="O797">
        <v>1</v>
      </c>
    </row>
    <row r="798" spans="1:15">
      <c r="A798" t="s">
        <v>824</v>
      </c>
      <c r="B798" t="s">
        <v>24</v>
      </c>
      <c r="C798">
        <v>13</v>
      </c>
      <c r="D798">
        <v>10493000</v>
      </c>
      <c r="E798">
        <v>4</v>
      </c>
      <c r="F798">
        <v>3</v>
      </c>
      <c r="G798">
        <v>12</v>
      </c>
      <c r="H798">
        <v>2858149</v>
      </c>
      <c r="I798">
        <v>640551</v>
      </c>
      <c r="J798" t="s">
        <v>25</v>
      </c>
      <c r="K798" t="s">
        <v>22</v>
      </c>
      <c r="L798">
        <v>6</v>
      </c>
      <c r="M798">
        <v>55.54</v>
      </c>
      <c r="N798">
        <v>697134</v>
      </c>
      <c r="O798">
        <v>1</v>
      </c>
    </row>
    <row r="799" spans="1:15">
      <c r="A799" t="s">
        <v>825</v>
      </c>
      <c r="B799" t="s">
        <v>16</v>
      </c>
      <c r="C799">
        <v>13</v>
      </c>
      <c r="D799">
        <v>8000804</v>
      </c>
      <c r="E799">
        <v>1</v>
      </c>
      <c r="F799">
        <v>6</v>
      </c>
      <c r="G799">
        <v>450</v>
      </c>
      <c r="H799">
        <v>69756862</v>
      </c>
      <c r="I799">
        <v>156202</v>
      </c>
      <c r="J799" t="s">
        <v>17</v>
      </c>
      <c r="K799" t="s">
        <v>22</v>
      </c>
      <c r="L799">
        <v>8</v>
      </c>
      <c r="M799">
        <v>57.94</v>
      </c>
      <c r="N799">
        <v>504805</v>
      </c>
      <c r="O799">
        <v>1</v>
      </c>
    </row>
    <row r="800" spans="1:15">
      <c r="A800" t="s">
        <v>826</v>
      </c>
      <c r="B800" t="s">
        <v>16</v>
      </c>
      <c r="C800">
        <v>5</v>
      </c>
      <c r="D800">
        <v>14505736</v>
      </c>
      <c r="E800">
        <v>3</v>
      </c>
      <c r="F800">
        <v>10</v>
      </c>
      <c r="G800">
        <v>587</v>
      </c>
      <c r="H800">
        <v>87590212</v>
      </c>
      <c r="I800">
        <v>238813</v>
      </c>
      <c r="J800" t="s">
        <v>25</v>
      </c>
      <c r="K800" t="s">
        <v>18</v>
      </c>
      <c r="L800">
        <v>9</v>
      </c>
      <c r="M800">
        <v>20.98</v>
      </c>
      <c r="N800">
        <v>68707</v>
      </c>
      <c r="O800">
        <v>1</v>
      </c>
    </row>
    <row r="801" spans="1:15">
      <c r="A801" t="s">
        <v>827</v>
      </c>
      <c r="B801" t="s">
        <v>20</v>
      </c>
      <c r="C801">
        <v>0</v>
      </c>
      <c r="D801">
        <v>36905714</v>
      </c>
      <c r="E801">
        <v>2</v>
      </c>
      <c r="F801">
        <v>17</v>
      </c>
      <c r="G801">
        <v>922</v>
      </c>
      <c r="H801">
        <v>74292157</v>
      </c>
      <c r="I801">
        <v>724778</v>
      </c>
      <c r="J801" t="s">
        <v>21</v>
      </c>
      <c r="K801" t="s">
        <v>30</v>
      </c>
      <c r="L801">
        <v>7</v>
      </c>
      <c r="M801">
        <v>28.15</v>
      </c>
      <c r="N801">
        <v>946197</v>
      </c>
      <c r="O801">
        <v>1</v>
      </c>
    </row>
    <row r="802" spans="1:15">
      <c r="A802" t="s">
        <v>828</v>
      </c>
      <c r="B802" t="s">
        <v>27</v>
      </c>
      <c r="C802">
        <v>14</v>
      </c>
      <c r="D802">
        <v>47329549</v>
      </c>
      <c r="E802">
        <v>1</v>
      </c>
      <c r="F802">
        <v>1</v>
      </c>
      <c r="G802">
        <v>235</v>
      </c>
      <c r="H802">
        <v>31769637</v>
      </c>
      <c r="I802">
        <v>129002</v>
      </c>
      <c r="J802" t="s">
        <v>17</v>
      </c>
      <c r="K802" t="s">
        <v>18</v>
      </c>
      <c r="L802">
        <v>3</v>
      </c>
      <c r="M802">
        <v>41.67</v>
      </c>
      <c r="N802">
        <v>901802</v>
      </c>
      <c r="O802">
        <v>1</v>
      </c>
    </row>
    <row r="803" spans="1:15">
      <c r="A803" t="s">
        <v>829</v>
      </c>
      <c r="B803" t="s">
        <v>24</v>
      </c>
      <c r="C803">
        <v>5</v>
      </c>
      <c r="D803">
        <v>172924</v>
      </c>
      <c r="E803">
        <v>4</v>
      </c>
      <c r="F803">
        <v>16</v>
      </c>
      <c r="G803">
        <v>768</v>
      </c>
      <c r="H803">
        <v>62913844</v>
      </c>
      <c r="I803">
        <v>720192</v>
      </c>
      <c r="J803" t="s">
        <v>17</v>
      </c>
      <c r="K803" t="s">
        <v>22</v>
      </c>
      <c r="L803">
        <v>2</v>
      </c>
      <c r="M803">
        <v>46.96</v>
      </c>
      <c r="N803">
        <v>675895</v>
      </c>
      <c r="O803">
        <v>1</v>
      </c>
    </row>
    <row r="804" spans="1:15">
      <c r="A804" t="s">
        <v>830</v>
      </c>
      <c r="B804" t="s">
        <v>32</v>
      </c>
      <c r="C804">
        <v>8</v>
      </c>
      <c r="D804">
        <v>6645009</v>
      </c>
      <c r="E804">
        <v>1</v>
      </c>
      <c r="F804">
        <v>16</v>
      </c>
      <c r="G804">
        <v>452</v>
      </c>
      <c r="H804">
        <v>2377832</v>
      </c>
      <c r="I804">
        <v>770385</v>
      </c>
      <c r="J804" t="s">
        <v>21</v>
      </c>
      <c r="K804" t="s">
        <v>22</v>
      </c>
      <c r="L804">
        <v>4</v>
      </c>
      <c r="M804">
        <v>15.01</v>
      </c>
      <c r="N804">
        <v>963378</v>
      </c>
      <c r="O804">
        <v>1</v>
      </c>
    </row>
    <row r="805" spans="1:15">
      <c r="A805" t="s">
        <v>831</v>
      </c>
      <c r="B805" t="s">
        <v>16</v>
      </c>
      <c r="C805">
        <v>10</v>
      </c>
      <c r="D805">
        <v>37615668</v>
      </c>
      <c r="E805">
        <v>1</v>
      </c>
      <c r="F805">
        <v>13</v>
      </c>
      <c r="G805">
        <v>983</v>
      </c>
      <c r="H805">
        <v>68072702</v>
      </c>
      <c r="I805">
        <v>302872</v>
      </c>
      <c r="J805" t="s">
        <v>25</v>
      </c>
      <c r="K805" t="s">
        <v>22</v>
      </c>
      <c r="L805">
        <v>2</v>
      </c>
      <c r="M805">
        <v>3.72</v>
      </c>
      <c r="N805">
        <v>216968</v>
      </c>
      <c r="O805">
        <v>1</v>
      </c>
    </row>
    <row r="806" spans="1:15">
      <c r="A806" t="s">
        <v>832</v>
      </c>
      <c r="B806" t="s">
        <v>24</v>
      </c>
      <c r="C806">
        <v>2</v>
      </c>
      <c r="D806">
        <v>11365171</v>
      </c>
      <c r="E806">
        <v>3</v>
      </c>
      <c r="F806">
        <v>21</v>
      </c>
      <c r="G806">
        <v>892</v>
      </c>
      <c r="H806">
        <v>64401085</v>
      </c>
      <c r="I806">
        <v>335615</v>
      </c>
      <c r="J806" t="s">
        <v>17</v>
      </c>
      <c r="K806" t="s">
        <v>18</v>
      </c>
      <c r="L806">
        <v>5</v>
      </c>
      <c r="M806">
        <v>81.150000000000006</v>
      </c>
      <c r="N806">
        <v>362233</v>
      </c>
      <c r="O806">
        <v>1</v>
      </c>
    </row>
    <row r="807" spans="1:15">
      <c r="A807" t="s">
        <v>833</v>
      </c>
      <c r="B807" t="s">
        <v>16</v>
      </c>
      <c r="C807">
        <v>0</v>
      </c>
      <c r="D807">
        <v>20533646</v>
      </c>
      <c r="E807">
        <v>3</v>
      </c>
      <c r="F807">
        <v>27</v>
      </c>
      <c r="G807">
        <v>723</v>
      </c>
      <c r="H807">
        <v>62741083</v>
      </c>
      <c r="I807">
        <v>670510</v>
      </c>
      <c r="J807" t="s">
        <v>17</v>
      </c>
      <c r="K807" t="s">
        <v>30</v>
      </c>
      <c r="L807">
        <v>6</v>
      </c>
      <c r="M807">
        <v>96.66</v>
      </c>
      <c r="N807">
        <v>868081</v>
      </c>
      <c r="O807">
        <v>1</v>
      </c>
    </row>
    <row r="808" spans="1:15">
      <c r="A808" t="s">
        <v>834</v>
      </c>
      <c r="B808" t="s">
        <v>29</v>
      </c>
      <c r="C808">
        <v>6</v>
      </c>
      <c r="D808">
        <v>48447046</v>
      </c>
      <c r="E808">
        <v>2</v>
      </c>
      <c r="F808">
        <v>21</v>
      </c>
      <c r="G808">
        <v>375</v>
      </c>
      <c r="H808">
        <v>69552225</v>
      </c>
      <c r="I808">
        <v>34996</v>
      </c>
      <c r="J808" t="s">
        <v>25</v>
      </c>
      <c r="K808" t="s">
        <v>18</v>
      </c>
      <c r="L808">
        <v>6</v>
      </c>
      <c r="M808">
        <v>67.02</v>
      </c>
      <c r="N808">
        <v>896820</v>
      </c>
      <c r="O808">
        <v>1</v>
      </c>
    </row>
    <row r="809" spans="1:15">
      <c r="A809" t="s">
        <v>835</v>
      </c>
      <c r="B809" t="s">
        <v>29</v>
      </c>
      <c r="C809">
        <v>3</v>
      </c>
      <c r="D809">
        <v>1241139</v>
      </c>
      <c r="E809">
        <v>3</v>
      </c>
      <c r="F809">
        <v>8</v>
      </c>
      <c r="G809">
        <v>852</v>
      </c>
      <c r="H809">
        <v>83199583</v>
      </c>
      <c r="I809">
        <v>845136</v>
      </c>
      <c r="J809" t="s">
        <v>25</v>
      </c>
      <c r="K809" t="s">
        <v>18</v>
      </c>
      <c r="L809">
        <v>9</v>
      </c>
      <c r="M809">
        <v>69.27</v>
      </c>
      <c r="N809">
        <v>530901</v>
      </c>
      <c r="O809">
        <v>1</v>
      </c>
    </row>
    <row r="810" spans="1:15">
      <c r="A810" t="s">
        <v>836</v>
      </c>
      <c r="B810" t="s">
        <v>16</v>
      </c>
      <c r="C810">
        <v>3</v>
      </c>
      <c r="D810">
        <v>5755052</v>
      </c>
      <c r="E810">
        <v>2</v>
      </c>
      <c r="F810">
        <v>18</v>
      </c>
      <c r="G810">
        <v>88</v>
      </c>
      <c r="H810">
        <v>97066346</v>
      </c>
      <c r="I810">
        <v>999398</v>
      </c>
      <c r="J810" t="s">
        <v>17</v>
      </c>
      <c r="K810" t="s">
        <v>18</v>
      </c>
      <c r="L810">
        <v>3</v>
      </c>
      <c r="M810">
        <v>13.53</v>
      </c>
      <c r="N810">
        <v>977036</v>
      </c>
      <c r="O810">
        <v>1</v>
      </c>
    </row>
    <row r="811" spans="1:15">
      <c r="A811" t="s">
        <v>837</v>
      </c>
      <c r="B811" t="s">
        <v>38</v>
      </c>
      <c r="C811">
        <v>13</v>
      </c>
      <c r="D811">
        <v>16441755</v>
      </c>
      <c r="E811">
        <v>3</v>
      </c>
      <c r="F811">
        <v>18</v>
      </c>
      <c r="G811">
        <v>123</v>
      </c>
      <c r="H811">
        <v>35856946</v>
      </c>
      <c r="I811">
        <v>877243</v>
      </c>
      <c r="J811" t="s">
        <v>21</v>
      </c>
      <c r="K811" t="s">
        <v>22</v>
      </c>
      <c r="L811">
        <v>2</v>
      </c>
      <c r="M811">
        <v>11.01</v>
      </c>
      <c r="N811">
        <v>552388</v>
      </c>
      <c r="O811">
        <v>1</v>
      </c>
    </row>
    <row r="812" spans="1:15">
      <c r="A812" t="s">
        <v>838</v>
      </c>
      <c r="B812" t="s">
        <v>29</v>
      </c>
      <c r="C812">
        <v>12</v>
      </c>
      <c r="D812">
        <v>16588103</v>
      </c>
      <c r="E812">
        <v>2</v>
      </c>
      <c r="F812">
        <v>17</v>
      </c>
      <c r="G812">
        <v>669</v>
      </c>
      <c r="H812">
        <v>56418957</v>
      </c>
      <c r="I812">
        <v>617001</v>
      </c>
      <c r="J812" t="s">
        <v>17</v>
      </c>
      <c r="K812" t="s">
        <v>22</v>
      </c>
      <c r="L812">
        <v>4</v>
      </c>
      <c r="M812">
        <v>5.61</v>
      </c>
      <c r="N812">
        <v>728693</v>
      </c>
      <c r="O812">
        <v>1</v>
      </c>
    </row>
    <row r="813" spans="1:15">
      <c r="A813" t="s">
        <v>839</v>
      </c>
      <c r="B813" t="s">
        <v>38</v>
      </c>
      <c r="C813">
        <v>8</v>
      </c>
      <c r="D813">
        <v>15306525</v>
      </c>
      <c r="E813">
        <v>1</v>
      </c>
      <c r="F813">
        <v>20</v>
      </c>
      <c r="G813">
        <v>814</v>
      </c>
      <c r="H813">
        <v>40125853</v>
      </c>
      <c r="I813">
        <v>296300</v>
      </c>
      <c r="J813" t="s">
        <v>21</v>
      </c>
      <c r="K813" t="s">
        <v>18</v>
      </c>
      <c r="L813">
        <v>2</v>
      </c>
      <c r="M813">
        <v>68.81</v>
      </c>
      <c r="N813">
        <v>719792</v>
      </c>
      <c r="O813">
        <v>1</v>
      </c>
    </row>
    <row r="814" spans="1:15">
      <c r="A814" t="s">
        <v>840</v>
      </c>
      <c r="B814" t="s">
        <v>29</v>
      </c>
      <c r="C814">
        <v>2</v>
      </c>
      <c r="D814">
        <v>45243396</v>
      </c>
      <c r="E814">
        <v>1</v>
      </c>
      <c r="F814">
        <v>28</v>
      </c>
      <c r="G814">
        <v>995</v>
      </c>
      <c r="H814">
        <v>11152487</v>
      </c>
      <c r="I814">
        <v>262463</v>
      </c>
      <c r="J814" t="s">
        <v>25</v>
      </c>
      <c r="K814" t="s">
        <v>30</v>
      </c>
      <c r="L814">
        <v>2</v>
      </c>
      <c r="M814">
        <v>54.01</v>
      </c>
      <c r="N814">
        <v>697764</v>
      </c>
      <c r="O814">
        <v>1</v>
      </c>
    </row>
    <row r="815" spans="1:15">
      <c r="A815" t="s">
        <v>841</v>
      </c>
      <c r="B815" t="s">
        <v>32</v>
      </c>
      <c r="C815">
        <v>4</v>
      </c>
      <c r="D815">
        <v>13166717</v>
      </c>
      <c r="E815">
        <v>1</v>
      </c>
      <c r="F815">
        <v>10</v>
      </c>
      <c r="G815">
        <v>151</v>
      </c>
      <c r="H815">
        <v>8569148</v>
      </c>
      <c r="I815">
        <v>858907</v>
      </c>
      <c r="J815" t="s">
        <v>17</v>
      </c>
      <c r="K815" t="s">
        <v>22</v>
      </c>
      <c r="L815">
        <v>8</v>
      </c>
      <c r="M815">
        <v>65.98</v>
      </c>
      <c r="N815">
        <v>425894</v>
      </c>
      <c r="O815">
        <v>1</v>
      </c>
    </row>
    <row r="816" spans="1:15">
      <c r="A816" t="s">
        <v>842</v>
      </c>
      <c r="B816" t="s">
        <v>29</v>
      </c>
      <c r="C816">
        <v>12</v>
      </c>
      <c r="D816">
        <v>48304128</v>
      </c>
      <c r="E816">
        <v>1</v>
      </c>
      <c r="F816">
        <v>27</v>
      </c>
      <c r="G816">
        <v>109</v>
      </c>
      <c r="H816">
        <v>70988462</v>
      </c>
      <c r="I816">
        <v>87045</v>
      </c>
      <c r="J816" t="s">
        <v>25</v>
      </c>
      <c r="K816" t="s">
        <v>30</v>
      </c>
      <c r="L816">
        <v>7</v>
      </c>
      <c r="M816">
        <v>36.630000000000003</v>
      </c>
      <c r="N816">
        <v>999344</v>
      </c>
      <c r="O816">
        <v>1</v>
      </c>
    </row>
    <row r="817" spans="1:15">
      <c r="A817" t="s">
        <v>843</v>
      </c>
      <c r="B817" t="s">
        <v>20</v>
      </c>
      <c r="C817">
        <v>1</v>
      </c>
      <c r="D817">
        <v>886448</v>
      </c>
      <c r="E817">
        <v>1</v>
      </c>
      <c r="F817">
        <v>2</v>
      </c>
      <c r="G817">
        <v>477</v>
      </c>
      <c r="H817">
        <v>81903897</v>
      </c>
      <c r="I817">
        <v>504015</v>
      </c>
      <c r="J817" t="s">
        <v>17</v>
      </c>
      <c r="K817" t="s">
        <v>18</v>
      </c>
      <c r="L817">
        <v>5</v>
      </c>
      <c r="M817">
        <v>58.04</v>
      </c>
      <c r="N817">
        <v>801516</v>
      </c>
      <c r="O817">
        <v>1</v>
      </c>
    </row>
    <row r="818" spans="1:15">
      <c r="A818" t="s">
        <v>844</v>
      </c>
      <c r="B818" t="s">
        <v>20</v>
      </c>
      <c r="C818">
        <v>9</v>
      </c>
      <c r="D818">
        <v>26487773</v>
      </c>
      <c r="E818">
        <v>4</v>
      </c>
      <c r="F818">
        <v>29</v>
      </c>
      <c r="G818">
        <v>678</v>
      </c>
      <c r="H818">
        <v>84439665</v>
      </c>
      <c r="I818">
        <v>222257</v>
      </c>
      <c r="J818" t="s">
        <v>21</v>
      </c>
      <c r="K818" t="s">
        <v>18</v>
      </c>
      <c r="L818">
        <v>4</v>
      </c>
      <c r="M818">
        <v>20.6</v>
      </c>
      <c r="N818">
        <v>322260</v>
      </c>
      <c r="O818">
        <v>1</v>
      </c>
    </row>
    <row r="819" spans="1:15">
      <c r="A819" t="s">
        <v>845</v>
      </c>
      <c r="B819" t="s">
        <v>38</v>
      </c>
      <c r="C819">
        <v>7</v>
      </c>
      <c r="D819">
        <v>14162777</v>
      </c>
      <c r="E819">
        <v>3</v>
      </c>
      <c r="F819">
        <v>23</v>
      </c>
      <c r="G819">
        <v>744</v>
      </c>
      <c r="H819">
        <v>4499336</v>
      </c>
      <c r="I819">
        <v>86890</v>
      </c>
      <c r="J819" t="s">
        <v>25</v>
      </c>
      <c r="K819" t="s">
        <v>22</v>
      </c>
      <c r="L819">
        <v>7</v>
      </c>
      <c r="M819">
        <v>44.48</v>
      </c>
      <c r="N819">
        <v>66133</v>
      </c>
      <c r="O819">
        <v>1</v>
      </c>
    </row>
    <row r="820" spans="1:15">
      <c r="A820" t="s">
        <v>846</v>
      </c>
      <c r="B820" t="s">
        <v>20</v>
      </c>
      <c r="C820">
        <v>12</v>
      </c>
      <c r="D820">
        <v>21572000</v>
      </c>
      <c r="E820">
        <v>2</v>
      </c>
      <c r="F820">
        <v>13</v>
      </c>
      <c r="G820">
        <v>257</v>
      </c>
      <c r="H820">
        <v>99292267</v>
      </c>
      <c r="I820">
        <v>513582</v>
      </c>
      <c r="J820" t="s">
        <v>25</v>
      </c>
      <c r="K820" t="s">
        <v>22</v>
      </c>
      <c r="L820">
        <v>6</v>
      </c>
      <c r="M820">
        <v>60.19</v>
      </c>
      <c r="N820">
        <v>955732</v>
      </c>
      <c r="O820">
        <v>1</v>
      </c>
    </row>
    <row r="821" spans="1:15">
      <c r="A821" t="s">
        <v>847</v>
      </c>
      <c r="B821" t="s">
        <v>29</v>
      </c>
      <c r="C821">
        <v>10</v>
      </c>
      <c r="D821">
        <v>19285666</v>
      </c>
      <c r="E821">
        <v>2</v>
      </c>
      <c r="F821">
        <v>26</v>
      </c>
      <c r="G821">
        <v>346</v>
      </c>
      <c r="H821">
        <v>89835496</v>
      </c>
      <c r="I821">
        <v>827431</v>
      </c>
      <c r="J821" t="s">
        <v>25</v>
      </c>
      <c r="K821" t="s">
        <v>18</v>
      </c>
      <c r="L821">
        <v>2</v>
      </c>
      <c r="M821">
        <v>36.909999999999997</v>
      </c>
      <c r="N821">
        <v>70362</v>
      </c>
      <c r="O821">
        <v>1</v>
      </c>
    </row>
    <row r="822" spans="1:15">
      <c r="A822" t="s">
        <v>848</v>
      </c>
      <c r="B822" t="s">
        <v>16</v>
      </c>
      <c r="C822">
        <v>3</v>
      </c>
      <c r="D822">
        <v>33395321</v>
      </c>
      <c r="E822">
        <v>3</v>
      </c>
      <c r="F822">
        <v>7</v>
      </c>
      <c r="G822">
        <v>659</v>
      </c>
      <c r="H822">
        <v>46168870</v>
      </c>
      <c r="I822">
        <v>434853</v>
      </c>
      <c r="J822" t="s">
        <v>21</v>
      </c>
      <c r="K822" t="s">
        <v>22</v>
      </c>
      <c r="L822">
        <v>2</v>
      </c>
      <c r="M822">
        <v>55.27</v>
      </c>
      <c r="N822">
        <v>870248</v>
      </c>
      <c r="O822">
        <v>1</v>
      </c>
    </row>
    <row r="823" spans="1:15">
      <c r="A823" t="s">
        <v>849</v>
      </c>
      <c r="B823" t="s">
        <v>24</v>
      </c>
      <c r="C823">
        <v>3</v>
      </c>
      <c r="D823">
        <v>23577855</v>
      </c>
      <c r="E823">
        <v>1</v>
      </c>
      <c r="F823">
        <v>27</v>
      </c>
      <c r="G823">
        <v>122</v>
      </c>
      <c r="H823">
        <v>22859568</v>
      </c>
      <c r="I823">
        <v>152495</v>
      </c>
      <c r="J823" t="s">
        <v>25</v>
      </c>
      <c r="K823" t="s">
        <v>22</v>
      </c>
      <c r="L823">
        <v>2</v>
      </c>
      <c r="M823">
        <v>1.34</v>
      </c>
      <c r="N823">
        <v>890771</v>
      </c>
      <c r="O823">
        <v>1</v>
      </c>
    </row>
    <row r="824" spans="1:15">
      <c r="A824" t="s">
        <v>850</v>
      </c>
      <c r="B824" t="s">
        <v>29</v>
      </c>
      <c r="C824">
        <v>8</v>
      </c>
      <c r="D824">
        <v>10308331</v>
      </c>
      <c r="E824">
        <v>1</v>
      </c>
      <c r="F824">
        <v>27</v>
      </c>
      <c r="G824">
        <v>130</v>
      </c>
      <c r="H824">
        <v>49990919</v>
      </c>
      <c r="I824">
        <v>512807</v>
      </c>
      <c r="J824" t="s">
        <v>25</v>
      </c>
      <c r="K824" t="s">
        <v>30</v>
      </c>
      <c r="L824">
        <v>3</v>
      </c>
      <c r="M824">
        <v>25.44</v>
      </c>
      <c r="N824">
        <v>583174</v>
      </c>
      <c r="O824">
        <v>1</v>
      </c>
    </row>
    <row r="825" spans="1:15">
      <c r="A825" t="s">
        <v>851</v>
      </c>
      <c r="B825" t="s">
        <v>32</v>
      </c>
      <c r="C825">
        <v>3</v>
      </c>
      <c r="D825">
        <v>44548713</v>
      </c>
      <c r="E825">
        <v>3</v>
      </c>
      <c r="F825">
        <v>22</v>
      </c>
      <c r="G825">
        <v>15</v>
      </c>
      <c r="H825">
        <v>93375058</v>
      </c>
      <c r="I825">
        <v>17020</v>
      </c>
      <c r="J825" t="s">
        <v>17</v>
      </c>
      <c r="K825" t="s">
        <v>18</v>
      </c>
      <c r="L825">
        <v>1</v>
      </c>
      <c r="M825">
        <v>29.78</v>
      </c>
      <c r="N825">
        <v>774294</v>
      </c>
      <c r="O825">
        <v>1</v>
      </c>
    </row>
    <row r="826" spans="1:15">
      <c r="A826" t="s">
        <v>852</v>
      </c>
      <c r="B826" t="s">
        <v>20</v>
      </c>
      <c r="C826">
        <v>13</v>
      </c>
      <c r="D826">
        <v>41663755</v>
      </c>
      <c r="E826">
        <v>3</v>
      </c>
      <c r="F826">
        <v>22</v>
      </c>
      <c r="G826">
        <v>870</v>
      </c>
      <c r="H826">
        <v>49700577</v>
      </c>
      <c r="I826">
        <v>603905</v>
      </c>
      <c r="J826" t="s">
        <v>17</v>
      </c>
      <c r="K826" t="s">
        <v>30</v>
      </c>
      <c r="L826">
        <v>3</v>
      </c>
      <c r="M826">
        <v>41.58</v>
      </c>
      <c r="N826">
        <v>782117</v>
      </c>
      <c r="O826">
        <v>1</v>
      </c>
    </row>
    <row r="827" spans="1:15">
      <c r="A827" t="s">
        <v>853</v>
      </c>
      <c r="B827" t="s">
        <v>24</v>
      </c>
      <c r="C827">
        <v>8</v>
      </c>
      <c r="D827">
        <v>7518192</v>
      </c>
      <c r="E827">
        <v>3</v>
      </c>
      <c r="F827">
        <v>20</v>
      </c>
      <c r="G827">
        <v>916</v>
      </c>
      <c r="H827">
        <v>91073633</v>
      </c>
      <c r="I827">
        <v>205495</v>
      </c>
      <c r="J827" t="s">
        <v>25</v>
      </c>
      <c r="K827" t="s">
        <v>30</v>
      </c>
      <c r="L827">
        <v>1</v>
      </c>
      <c r="M827">
        <v>80.959999999999994</v>
      </c>
      <c r="N827">
        <v>622501</v>
      </c>
      <c r="O827">
        <v>1</v>
      </c>
    </row>
    <row r="828" spans="1:15">
      <c r="A828" t="s">
        <v>854</v>
      </c>
      <c r="B828" t="s">
        <v>20</v>
      </c>
      <c r="C828">
        <v>6</v>
      </c>
      <c r="D828">
        <v>48110189</v>
      </c>
      <c r="E828">
        <v>2</v>
      </c>
      <c r="F828">
        <v>23</v>
      </c>
      <c r="G828">
        <v>162</v>
      </c>
      <c r="H828">
        <v>97376684</v>
      </c>
      <c r="I828">
        <v>282445</v>
      </c>
      <c r="J828" t="s">
        <v>21</v>
      </c>
      <c r="K828" t="s">
        <v>18</v>
      </c>
      <c r="L828">
        <v>8</v>
      </c>
      <c r="M828">
        <v>62.96</v>
      </c>
      <c r="N828">
        <v>525177</v>
      </c>
      <c r="O828">
        <v>1</v>
      </c>
    </row>
    <row r="829" spans="1:15">
      <c r="A829" t="s">
        <v>855</v>
      </c>
      <c r="B829" t="s">
        <v>24</v>
      </c>
      <c r="C829">
        <v>0</v>
      </c>
      <c r="D829">
        <v>29359569</v>
      </c>
      <c r="E829">
        <v>4</v>
      </c>
      <c r="F829">
        <v>13</v>
      </c>
      <c r="G829">
        <v>30</v>
      </c>
      <c r="H829">
        <v>27573297</v>
      </c>
      <c r="I829">
        <v>561843</v>
      </c>
      <c r="J829" t="s">
        <v>17</v>
      </c>
      <c r="K829" t="s">
        <v>30</v>
      </c>
      <c r="L829">
        <v>3</v>
      </c>
      <c r="M829">
        <v>85.86</v>
      </c>
      <c r="N829">
        <v>137293</v>
      </c>
      <c r="O829">
        <v>1</v>
      </c>
    </row>
    <row r="830" spans="1:15">
      <c r="A830" t="s">
        <v>856</v>
      </c>
      <c r="B830" t="s">
        <v>16</v>
      </c>
      <c r="C830">
        <v>13</v>
      </c>
      <c r="D830">
        <v>27777025</v>
      </c>
      <c r="E830">
        <v>1</v>
      </c>
      <c r="F830">
        <v>26</v>
      </c>
      <c r="G830">
        <v>348</v>
      </c>
      <c r="H830">
        <v>29028839</v>
      </c>
      <c r="I830">
        <v>851683</v>
      </c>
      <c r="J830" t="s">
        <v>17</v>
      </c>
      <c r="K830" t="s">
        <v>30</v>
      </c>
      <c r="L830">
        <v>8</v>
      </c>
      <c r="M830">
        <v>34.18</v>
      </c>
      <c r="N830">
        <v>486087</v>
      </c>
      <c r="O830">
        <v>1</v>
      </c>
    </row>
    <row r="831" spans="1:15">
      <c r="A831" t="s">
        <v>857</v>
      </c>
      <c r="B831" t="s">
        <v>38</v>
      </c>
      <c r="C831">
        <v>9</v>
      </c>
      <c r="D831">
        <v>26545055</v>
      </c>
      <c r="E831">
        <v>2</v>
      </c>
      <c r="F831">
        <v>6</v>
      </c>
      <c r="G831">
        <v>386</v>
      </c>
      <c r="H831">
        <v>96615858</v>
      </c>
      <c r="I831">
        <v>889642</v>
      </c>
      <c r="J831" t="s">
        <v>25</v>
      </c>
      <c r="K831" t="s">
        <v>18</v>
      </c>
      <c r="L831">
        <v>3</v>
      </c>
      <c r="M831">
        <v>22.98</v>
      </c>
      <c r="N831">
        <v>927174</v>
      </c>
      <c r="O831">
        <v>1</v>
      </c>
    </row>
    <row r="832" spans="1:15">
      <c r="A832" t="s">
        <v>858</v>
      </c>
      <c r="B832" t="s">
        <v>38</v>
      </c>
      <c r="C832">
        <v>7</v>
      </c>
      <c r="D832">
        <v>21765814</v>
      </c>
      <c r="E832">
        <v>2</v>
      </c>
      <c r="F832">
        <v>9</v>
      </c>
      <c r="G832">
        <v>805</v>
      </c>
      <c r="H832">
        <v>32074753</v>
      </c>
      <c r="I832">
        <v>586900</v>
      </c>
      <c r="J832" t="s">
        <v>21</v>
      </c>
      <c r="K832" t="s">
        <v>22</v>
      </c>
      <c r="L832">
        <v>8</v>
      </c>
      <c r="M832">
        <v>88.26</v>
      </c>
      <c r="N832">
        <v>631849</v>
      </c>
      <c r="O832">
        <v>1</v>
      </c>
    </row>
    <row r="833" spans="1:15">
      <c r="A833" t="s">
        <v>859</v>
      </c>
      <c r="B833" t="s">
        <v>32</v>
      </c>
      <c r="C833">
        <v>11</v>
      </c>
      <c r="D833">
        <v>16931555</v>
      </c>
      <c r="E833">
        <v>4</v>
      </c>
      <c r="F833">
        <v>19</v>
      </c>
      <c r="G833">
        <v>576</v>
      </c>
      <c r="H833">
        <v>26324798</v>
      </c>
      <c r="I833">
        <v>621658</v>
      </c>
      <c r="J833" t="s">
        <v>25</v>
      </c>
      <c r="K833" t="s">
        <v>30</v>
      </c>
      <c r="L833">
        <v>4</v>
      </c>
      <c r="M833">
        <v>59.07</v>
      </c>
      <c r="N833">
        <v>346809</v>
      </c>
      <c r="O833">
        <v>1</v>
      </c>
    </row>
    <row r="834" spans="1:15">
      <c r="A834" t="s">
        <v>860</v>
      </c>
      <c r="B834" t="s">
        <v>24</v>
      </c>
      <c r="C834">
        <v>3</v>
      </c>
      <c r="D834">
        <v>26026196</v>
      </c>
      <c r="E834">
        <v>2</v>
      </c>
      <c r="F834">
        <v>24</v>
      </c>
      <c r="G834">
        <v>863</v>
      </c>
      <c r="H834">
        <v>55072285</v>
      </c>
      <c r="I834">
        <v>440969</v>
      </c>
      <c r="J834" t="s">
        <v>25</v>
      </c>
      <c r="K834" t="s">
        <v>18</v>
      </c>
      <c r="L834">
        <v>1</v>
      </c>
      <c r="M834">
        <v>21.94</v>
      </c>
      <c r="N834">
        <v>553540</v>
      </c>
      <c r="O834">
        <v>1</v>
      </c>
    </row>
    <row r="835" spans="1:15">
      <c r="A835" t="s">
        <v>861</v>
      </c>
      <c r="B835" t="s">
        <v>38</v>
      </c>
      <c r="C835">
        <v>7</v>
      </c>
      <c r="D835">
        <v>23553819</v>
      </c>
      <c r="E835">
        <v>4</v>
      </c>
      <c r="F835">
        <v>11</v>
      </c>
      <c r="G835">
        <v>649</v>
      </c>
      <c r="H835">
        <v>6860541</v>
      </c>
      <c r="I835">
        <v>999550</v>
      </c>
      <c r="J835" t="s">
        <v>17</v>
      </c>
      <c r="K835" t="s">
        <v>30</v>
      </c>
      <c r="L835">
        <v>2</v>
      </c>
      <c r="M835">
        <v>3.68</v>
      </c>
      <c r="N835">
        <v>660172</v>
      </c>
      <c r="O835">
        <v>1</v>
      </c>
    </row>
    <row r="836" spans="1:15">
      <c r="A836" t="s">
        <v>862</v>
      </c>
      <c r="B836" t="s">
        <v>20</v>
      </c>
      <c r="C836">
        <v>3</v>
      </c>
      <c r="D836">
        <v>33922125</v>
      </c>
      <c r="E836">
        <v>3</v>
      </c>
      <c r="F836">
        <v>28</v>
      </c>
      <c r="G836">
        <v>762</v>
      </c>
      <c r="H836">
        <v>88707260</v>
      </c>
      <c r="I836">
        <v>534957</v>
      </c>
      <c r="J836" t="s">
        <v>25</v>
      </c>
      <c r="K836" t="s">
        <v>30</v>
      </c>
      <c r="L836">
        <v>1</v>
      </c>
      <c r="M836">
        <v>53.86</v>
      </c>
      <c r="N836">
        <v>286049</v>
      </c>
      <c r="O836">
        <v>1</v>
      </c>
    </row>
    <row r="837" spans="1:15">
      <c r="A837" t="s">
        <v>863</v>
      </c>
      <c r="B837" t="s">
        <v>24</v>
      </c>
      <c r="C837">
        <v>9</v>
      </c>
      <c r="D837">
        <v>39571945</v>
      </c>
      <c r="E837">
        <v>1</v>
      </c>
      <c r="F837">
        <v>7</v>
      </c>
      <c r="G837">
        <v>277</v>
      </c>
      <c r="H837">
        <v>19595850</v>
      </c>
      <c r="I837">
        <v>619442</v>
      </c>
      <c r="J837" t="s">
        <v>25</v>
      </c>
      <c r="K837" t="s">
        <v>18</v>
      </c>
      <c r="L837">
        <v>6</v>
      </c>
      <c r="M837">
        <v>55.22</v>
      </c>
      <c r="N837">
        <v>495207</v>
      </c>
      <c r="O837">
        <v>1</v>
      </c>
    </row>
    <row r="838" spans="1:15">
      <c r="A838" t="s">
        <v>864</v>
      </c>
      <c r="B838" t="s">
        <v>38</v>
      </c>
      <c r="C838">
        <v>2</v>
      </c>
      <c r="D838">
        <v>45900015</v>
      </c>
      <c r="E838">
        <v>4</v>
      </c>
      <c r="F838">
        <v>14</v>
      </c>
      <c r="G838">
        <v>860</v>
      </c>
      <c r="H838">
        <v>5912444</v>
      </c>
      <c r="I838">
        <v>106111</v>
      </c>
      <c r="J838" t="s">
        <v>17</v>
      </c>
      <c r="K838" t="s">
        <v>30</v>
      </c>
      <c r="L838">
        <v>4</v>
      </c>
      <c r="M838">
        <v>73.89</v>
      </c>
      <c r="N838">
        <v>110376</v>
      </c>
      <c r="O838">
        <v>1</v>
      </c>
    </row>
    <row r="839" spans="1:15">
      <c r="A839" t="s">
        <v>865</v>
      </c>
      <c r="B839" t="s">
        <v>29</v>
      </c>
      <c r="C839">
        <v>13</v>
      </c>
      <c r="D839">
        <v>17043456</v>
      </c>
      <c r="E839">
        <v>4</v>
      </c>
      <c r="F839">
        <v>18</v>
      </c>
      <c r="G839">
        <v>939</v>
      </c>
      <c r="H839">
        <v>56842981</v>
      </c>
      <c r="I839">
        <v>129209</v>
      </c>
      <c r="J839" t="s">
        <v>25</v>
      </c>
      <c r="K839" t="s">
        <v>30</v>
      </c>
      <c r="L839">
        <v>6</v>
      </c>
      <c r="M839">
        <v>11.26</v>
      </c>
      <c r="N839">
        <v>741264</v>
      </c>
      <c r="O839">
        <v>1</v>
      </c>
    </row>
    <row r="840" spans="1:15">
      <c r="A840" t="s">
        <v>866</v>
      </c>
      <c r="B840" t="s">
        <v>27</v>
      </c>
      <c r="C840">
        <v>5</v>
      </c>
      <c r="D840">
        <v>49265407</v>
      </c>
      <c r="E840">
        <v>4</v>
      </c>
      <c r="F840">
        <v>5</v>
      </c>
      <c r="G840">
        <v>36</v>
      </c>
      <c r="H840">
        <v>65889639</v>
      </c>
      <c r="I840">
        <v>188712</v>
      </c>
      <c r="J840" t="s">
        <v>25</v>
      </c>
      <c r="K840" t="s">
        <v>18</v>
      </c>
      <c r="L840">
        <v>9</v>
      </c>
      <c r="M840">
        <v>13.73</v>
      </c>
      <c r="N840">
        <v>664681</v>
      </c>
      <c r="O840">
        <v>1</v>
      </c>
    </row>
    <row r="841" spans="1:15">
      <c r="A841" t="s">
        <v>867</v>
      </c>
      <c r="B841" t="s">
        <v>38</v>
      </c>
      <c r="C841">
        <v>3</v>
      </c>
      <c r="D841">
        <v>2793886</v>
      </c>
      <c r="E841">
        <v>1</v>
      </c>
      <c r="F841">
        <v>7</v>
      </c>
      <c r="G841">
        <v>493</v>
      </c>
      <c r="H841">
        <v>14104145</v>
      </c>
      <c r="I841">
        <v>343150</v>
      </c>
      <c r="J841" t="s">
        <v>21</v>
      </c>
      <c r="K841" t="s">
        <v>22</v>
      </c>
      <c r="L841">
        <v>4</v>
      </c>
      <c r="M841">
        <v>65.39</v>
      </c>
      <c r="N841">
        <v>771778</v>
      </c>
      <c r="O841">
        <v>1</v>
      </c>
    </row>
    <row r="842" spans="1:15">
      <c r="A842" t="s">
        <v>868</v>
      </c>
      <c r="B842" t="s">
        <v>20</v>
      </c>
      <c r="C842">
        <v>14</v>
      </c>
      <c r="D842">
        <v>39622980</v>
      </c>
      <c r="E842">
        <v>4</v>
      </c>
      <c r="F842">
        <v>20</v>
      </c>
      <c r="G842">
        <v>832</v>
      </c>
      <c r="H842">
        <v>64848889</v>
      </c>
      <c r="I842">
        <v>503136</v>
      </c>
      <c r="J842" t="s">
        <v>25</v>
      </c>
      <c r="K842" t="s">
        <v>22</v>
      </c>
      <c r="L842">
        <v>3</v>
      </c>
      <c r="M842">
        <v>67.849999999999994</v>
      </c>
      <c r="N842">
        <v>851457</v>
      </c>
      <c r="O842">
        <v>1</v>
      </c>
    </row>
    <row r="843" spans="1:15">
      <c r="A843" t="s">
        <v>869</v>
      </c>
      <c r="B843" t="s">
        <v>16</v>
      </c>
      <c r="C843">
        <v>7</v>
      </c>
      <c r="D843">
        <v>18497776</v>
      </c>
      <c r="E843">
        <v>2</v>
      </c>
      <c r="F843">
        <v>14</v>
      </c>
      <c r="G843">
        <v>76</v>
      </c>
      <c r="H843">
        <v>25125095</v>
      </c>
      <c r="I843">
        <v>496745</v>
      </c>
      <c r="J843" t="s">
        <v>25</v>
      </c>
      <c r="K843" t="s">
        <v>30</v>
      </c>
      <c r="L843">
        <v>9</v>
      </c>
      <c r="M843">
        <v>34.409999999999997</v>
      </c>
      <c r="N843">
        <v>647161</v>
      </c>
      <c r="O843">
        <v>1</v>
      </c>
    </row>
    <row r="844" spans="1:15">
      <c r="A844" t="s">
        <v>870</v>
      </c>
      <c r="B844" t="s">
        <v>16</v>
      </c>
      <c r="C844">
        <v>6</v>
      </c>
      <c r="D844">
        <v>32558960</v>
      </c>
      <c r="E844">
        <v>2</v>
      </c>
      <c r="F844">
        <v>28</v>
      </c>
      <c r="G844">
        <v>19</v>
      </c>
      <c r="H844">
        <v>18858267</v>
      </c>
      <c r="I844">
        <v>143626</v>
      </c>
      <c r="J844" t="s">
        <v>21</v>
      </c>
      <c r="K844" t="s">
        <v>30</v>
      </c>
      <c r="L844">
        <v>3</v>
      </c>
      <c r="M844">
        <v>82.67</v>
      </c>
      <c r="N844">
        <v>197014</v>
      </c>
      <c r="O844">
        <v>1</v>
      </c>
    </row>
    <row r="845" spans="1:15">
      <c r="A845" t="s">
        <v>871</v>
      </c>
      <c r="B845" t="s">
        <v>27</v>
      </c>
      <c r="C845">
        <v>9</v>
      </c>
      <c r="D845">
        <v>9656703</v>
      </c>
      <c r="E845">
        <v>4</v>
      </c>
      <c r="F845">
        <v>14</v>
      </c>
      <c r="G845">
        <v>885</v>
      </c>
      <c r="H845">
        <v>82757882</v>
      </c>
      <c r="I845">
        <v>289866</v>
      </c>
      <c r="J845" t="s">
        <v>21</v>
      </c>
      <c r="K845" t="s">
        <v>22</v>
      </c>
      <c r="L845">
        <v>3</v>
      </c>
      <c r="M845">
        <v>6.22</v>
      </c>
      <c r="N845">
        <v>222698</v>
      </c>
      <c r="O845">
        <v>1</v>
      </c>
    </row>
    <row r="846" spans="1:15">
      <c r="A846" t="s">
        <v>872</v>
      </c>
      <c r="B846" t="s">
        <v>24</v>
      </c>
      <c r="C846">
        <v>10</v>
      </c>
      <c r="D846">
        <v>47273420</v>
      </c>
      <c r="E846">
        <v>1</v>
      </c>
      <c r="F846">
        <v>11</v>
      </c>
      <c r="G846">
        <v>59</v>
      </c>
      <c r="H846">
        <v>83169551</v>
      </c>
      <c r="I846">
        <v>939991</v>
      </c>
      <c r="J846" t="s">
        <v>25</v>
      </c>
      <c r="K846" t="s">
        <v>18</v>
      </c>
      <c r="L846">
        <v>5</v>
      </c>
      <c r="M846">
        <v>60.79</v>
      </c>
      <c r="N846">
        <v>474656</v>
      </c>
      <c r="O846">
        <v>1</v>
      </c>
    </row>
    <row r="847" spans="1:15">
      <c r="A847" t="s">
        <v>873</v>
      </c>
      <c r="B847" t="s">
        <v>29</v>
      </c>
      <c r="C847">
        <v>5</v>
      </c>
      <c r="D847">
        <v>40083822</v>
      </c>
      <c r="E847">
        <v>2</v>
      </c>
      <c r="F847">
        <v>0</v>
      </c>
      <c r="G847">
        <v>535</v>
      </c>
      <c r="H847">
        <v>62099728</v>
      </c>
      <c r="I847">
        <v>803945</v>
      </c>
      <c r="J847" t="s">
        <v>17</v>
      </c>
      <c r="K847" t="s">
        <v>18</v>
      </c>
      <c r="L847">
        <v>4</v>
      </c>
      <c r="M847">
        <v>62.18</v>
      </c>
      <c r="N847">
        <v>650584</v>
      </c>
      <c r="O847">
        <v>1</v>
      </c>
    </row>
    <row r="848" spans="1:15">
      <c r="A848" t="s">
        <v>874</v>
      </c>
      <c r="B848" t="s">
        <v>24</v>
      </c>
      <c r="C848">
        <v>6</v>
      </c>
      <c r="D848">
        <v>34200558</v>
      </c>
      <c r="E848">
        <v>3</v>
      </c>
      <c r="F848">
        <v>9</v>
      </c>
      <c r="G848">
        <v>125</v>
      </c>
      <c r="H848">
        <v>68008314</v>
      </c>
      <c r="I848">
        <v>874945</v>
      </c>
      <c r="J848" t="s">
        <v>21</v>
      </c>
      <c r="K848" t="s">
        <v>30</v>
      </c>
      <c r="L848">
        <v>2</v>
      </c>
      <c r="M848">
        <v>90.65</v>
      </c>
      <c r="N848">
        <v>83852</v>
      </c>
      <c r="O848">
        <v>1</v>
      </c>
    </row>
    <row r="849" spans="1:15">
      <c r="A849" t="s">
        <v>875</v>
      </c>
      <c r="B849" t="s">
        <v>27</v>
      </c>
      <c r="C849">
        <v>7</v>
      </c>
      <c r="D849">
        <v>36121118</v>
      </c>
      <c r="E849">
        <v>3</v>
      </c>
      <c r="F849">
        <v>29</v>
      </c>
      <c r="G849">
        <v>774</v>
      </c>
      <c r="H849">
        <v>43255159</v>
      </c>
      <c r="I849">
        <v>765977</v>
      </c>
      <c r="J849" t="s">
        <v>25</v>
      </c>
      <c r="K849" t="s">
        <v>18</v>
      </c>
      <c r="L849">
        <v>3</v>
      </c>
      <c r="M849">
        <v>35.35</v>
      </c>
      <c r="N849">
        <v>384605</v>
      </c>
      <c r="O849">
        <v>1</v>
      </c>
    </row>
    <row r="850" spans="1:15">
      <c r="A850" t="s">
        <v>876</v>
      </c>
      <c r="B850" t="s">
        <v>16</v>
      </c>
      <c r="C850">
        <v>6</v>
      </c>
      <c r="D850">
        <v>25904417</v>
      </c>
      <c r="E850">
        <v>1</v>
      </c>
      <c r="F850">
        <v>4</v>
      </c>
      <c r="G850">
        <v>539</v>
      </c>
      <c r="H850">
        <v>11901036</v>
      </c>
      <c r="I850">
        <v>820360</v>
      </c>
      <c r="J850" t="s">
        <v>25</v>
      </c>
      <c r="K850" t="s">
        <v>18</v>
      </c>
      <c r="L850">
        <v>1</v>
      </c>
      <c r="M850">
        <v>26.63</v>
      </c>
      <c r="N850">
        <v>990263</v>
      </c>
      <c r="O850">
        <v>1</v>
      </c>
    </row>
    <row r="851" spans="1:15">
      <c r="A851" t="s">
        <v>877</v>
      </c>
      <c r="B851" t="s">
        <v>20</v>
      </c>
      <c r="C851">
        <v>11</v>
      </c>
      <c r="D851">
        <v>32515511</v>
      </c>
      <c r="E851">
        <v>2</v>
      </c>
      <c r="F851">
        <v>3</v>
      </c>
      <c r="G851">
        <v>512</v>
      </c>
      <c r="H851">
        <v>64431227</v>
      </c>
      <c r="I851">
        <v>561576</v>
      </c>
      <c r="J851" t="s">
        <v>25</v>
      </c>
      <c r="K851" t="s">
        <v>30</v>
      </c>
      <c r="L851">
        <v>2</v>
      </c>
      <c r="M851">
        <v>18.73</v>
      </c>
      <c r="N851">
        <v>327715</v>
      </c>
      <c r="O851">
        <v>1</v>
      </c>
    </row>
    <row r="852" spans="1:15">
      <c r="A852" t="s">
        <v>878</v>
      </c>
      <c r="B852" t="s">
        <v>32</v>
      </c>
      <c r="C852">
        <v>14</v>
      </c>
      <c r="D852">
        <v>36642377</v>
      </c>
      <c r="E852">
        <v>2</v>
      </c>
      <c r="F852">
        <v>20</v>
      </c>
      <c r="G852">
        <v>431</v>
      </c>
      <c r="H852">
        <v>5850705</v>
      </c>
      <c r="I852">
        <v>970313</v>
      </c>
      <c r="J852" t="s">
        <v>25</v>
      </c>
      <c r="K852" t="s">
        <v>18</v>
      </c>
      <c r="L852">
        <v>5</v>
      </c>
      <c r="M852">
        <v>94.25</v>
      </c>
      <c r="N852">
        <v>951953</v>
      </c>
      <c r="O852">
        <v>1</v>
      </c>
    </row>
    <row r="853" spans="1:15">
      <c r="A853" t="s">
        <v>879</v>
      </c>
      <c r="B853" t="s">
        <v>38</v>
      </c>
      <c r="C853">
        <v>6</v>
      </c>
      <c r="D853">
        <v>36388385</v>
      </c>
      <c r="E853">
        <v>1</v>
      </c>
      <c r="F853">
        <v>0</v>
      </c>
      <c r="G853">
        <v>963</v>
      </c>
      <c r="H853">
        <v>8553480</v>
      </c>
      <c r="I853">
        <v>533868</v>
      </c>
      <c r="J853" t="s">
        <v>17</v>
      </c>
      <c r="K853" t="s">
        <v>30</v>
      </c>
      <c r="L853">
        <v>9</v>
      </c>
      <c r="M853">
        <v>94.94</v>
      </c>
      <c r="N853">
        <v>519887</v>
      </c>
      <c r="O853">
        <v>1</v>
      </c>
    </row>
    <row r="854" spans="1:15">
      <c r="A854" t="s">
        <v>880</v>
      </c>
      <c r="B854" t="s">
        <v>27</v>
      </c>
      <c r="C854">
        <v>6</v>
      </c>
      <c r="D854">
        <v>18979887</v>
      </c>
      <c r="E854">
        <v>1</v>
      </c>
      <c r="F854">
        <v>8</v>
      </c>
      <c r="G854">
        <v>311</v>
      </c>
      <c r="H854">
        <v>79624667</v>
      </c>
      <c r="I854">
        <v>81693</v>
      </c>
      <c r="J854" t="s">
        <v>25</v>
      </c>
      <c r="K854" t="s">
        <v>30</v>
      </c>
      <c r="L854">
        <v>5</v>
      </c>
      <c r="M854">
        <v>76.349999999999994</v>
      </c>
      <c r="N854">
        <v>32678</v>
      </c>
      <c r="O854">
        <v>1</v>
      </c>
    </row>
    <row r="855" spans="1:15">
      <c r="A855" t="s">
        <v>881</v>
      </c>
      <c r="B855" t="s">
        <v>29</v>
      </c>
      <c r="C855">
        <v>2</v>
      </c>
      <c r="D855">
        <v>10141764</v>
      </c>
      <c r="E855">
        <v>2</v>
      </c>
      <c r="F855">
        <v>0</v>
      </c>
      <c r="G855">
        <v>86</v>
      </c>
      <c r="H855">
        <v>46248294</v>
      </c>
      <c r="I855">
        <v>123910</v>
      </c>
      <c r="J855" t="s">
        <v>21</v>
      </c>
      <c r="K855" t="s">
        <v>18</v>
      </c>
      <c r="L855">
        <v>9</v>
      </c>
      <c r="M855">
        <v>49.57</v>
      </c>
      <c r="N855">
        <v>982015</v>
      </c>
      <c r="O855">
        <v>1</v>
      </c>
    </row>
    <row r="856" spans="1:15">
      <c r="A856" t="s">
        <v>882</v>
      </c>
      <c r="B856" t="s">
        <v>20</v>
      </c>
      <c r="C856">
        <v>6</v>
      </c>
      <c r="D856">
        <v>49738077</v>
      </c>
      <c r="E856">
        <v>1</v>
      </c>
      <c r="F856">
        <v>25</v>
      </c>
      <c r="G856">
        <v>566</v>
      </c>
      <c r="H856">
        <v>47222039</v>
      </c>
      <c r="I856">
        <v>177025</v>
      </c>
      <c r="J856" t="s">
        <v>21</v>
      </c>
      <c r="K856" t="s">
        <v>22</v>
      </c>
      <c r="L856">
        <v>6</v>
      </c>
      <c r="M856">
        <v>85.73</v>
      </c>
      <c r="N856">
        <v>156089</v>
      </c>
      <c r="O856">
        <v>1</v>
      </c>
    </row>
    <row r="857" spans="1:15">
      <c r="A857" t="s">
        <v>883</v>
      </c>
      <c r="B857" t="s">
        <v>24</v>
      </c>
      <c r="C857">
        <v>6</v>
      </c>
      <c r="D857">
        <v>35099612</v>
      </c>
      <c r="E857">
        <v>2</v>
      </c>
      <c r="F857">
        <v>10</v>
      </c>
      <c r="G857">
        <v>699</v>
      </c>
      <c r="H857">
        <v>56784700</v>
      </c>
      <c r="I857">
        <v>298290</v>
      </c>
      <c r="J857" t="s">
        <v>17</v>
      </c>
      <c r="K857" t="s">
        <v>22</v>
      </c>
      <c r="L857">
        <v>8</v>
      </c>
      <c r="M857">
        <v>5</v>
      </c>
      <c r="N857">
        <v>811834</v>
      </c>
      <c r="O857">
        <v>1</v>
      </c>
    </row>
    <row r="858" spans="1:15">
      <c r="A858" t="s">
        <v>884</v>
      </c>
      <c r="B858" t="s">
        <v>38</v>
      </c>
      <c r="C858">
        <v>6</v>
      </c>
      <c r="D858">
        <v>20034336</v>
      </c>
      <c r="E858">
        <v>1</v>
      </c>
      <c r="F858">
        <v>22</v>
      </c>
      <c r="G858">
        <v>714</v>
      </c>
      <c r="H858">
        <v>13149953</v>
      </c>
      <c r="I858">
        <v>48935</v>
      </c>
      <c r="J858" t="s">
        <v>17</v>
      </c>
      <c r="K858" t="s">
        <v>18</v>
      </c>
      <c r="L858">
        <v>1</v>
      </c>
      <c r="M858">
        <v>78.569999999999993</v>
      </c>
      <c r="N858">
        <v>562715</v>
      </c>
      <c r="O858">
        <v>1</v>
      </c>
    </row>
    <row r="859" spans="1:15">
      <c r="A859" t="s">
        <v>885</v>
      </c>
      <c r="B859" t="s">
        <v>38</v>
      </c>
      <c r="C859">
        <v>14</v>
      </c>
      <c r="D859">
        <v>23391002</v>
      </c>
      <c r="E859">
        <v>2</v>
      </c>
      <c r="F859">
        <v>24</v>
      </c>
      <c r="G859">
        <v>358</v>
      </c>
      <c r="H859">
        <v>40993457</v>
      </c>
      <c r="I859">
        <v>109400</v>
      </c>
      <c r="J859" t="s">
        <v>25</v>
      </c>
      <c r="K859" t="s">
        <v>18</v>
      </c>
      <c r="L859">
        <v>4</v>
      </c>
      <c r="M859">
        <v>71.5</v>
      </c>
      <c r="N859">
        <v>935222</v>
      </c>
      <c r="O859">
        <v>1</v>
      </c>
    </row>
    <row r="860" spans="1:15">
      <c r="A860" t="s">
        <v>886</v>
      </c>
      <c r="B860" t="s">
        <v>27</v>
      </c>
      <c r="C860">
        <v>8</v>
      </c>
      <c r="D860">
        <v>14135162</v>
      </c>
      <c r="E860">
        <v>3</v>
      </c>
      <c r="F860">
        <v>9</v>
      </c>
      <c r="G860">
        <v>643</v>
      </c>
      <c r="H860">
        <v>42175725</v>
      </c>
      <c r="I860">
        <v>858728</v>
      </c>
      <c r="J860" t="s">
        <v>25</v>
      </c>
      <c r="K860" t="s">
        <v>22</v>
      </c>
      <c r="L860">
        <v>2</v>
      </c>
      <c r="M860">
        <v>49</v>
      </c>
      <c r="N860">
        <v>582291</v>
      </c>
      <c r="O860">
        <v>1</v>
      </c>
    </row>
    <row r="861" spans="1:15">
      <c r="A861" t="s">
        <v>887</v>
      </c>
      <c r="B861" t="s">
        <v>20</v>
      </c>
      <c r="C861">
        <v>0</v>
      </c>
      <c r="D861">
        <v>11030172</v>
      </c>
      <c r="E861">
        <v>1</v>
      </c>
      <c r="F861">
        <v>14</v>
      </c>
      <c r="G861">
        <v>209</v>
      </c>
      <c r="H861">
        <v>24954929</v>
      </c>
      <c r="I861">
        <v>664715</v>
      </c>
      <c r="J861" t="s">
        <v>25</v>
      </c>
      <c r="K861" t="s">
        <v>30</v>
      </c>
      <c r="L861">
        <v>7</v>
      </c>
      <c r="M861">
        <v>88.77</v>
      </c>
      <c r="N861">
        <v>393219</v>
      </c>
      <c r="O861">
        <v>1</v>
      </c>
    </row>
    <row r="862" spans="1:15">
      <c r="A862" t="s">
        <v>888</v>
      </c>
      <c r="B862" t="s">
        <v>24</v>
      </c>
      <c r="C862">
        <v>3</v>
      </c>
      <c r="D862">
        <v>30173923</v>
      </c>
      <c r="E862">
        <v>2</v>
      </c>
      <c r="F862">
        <v>18</v>
      </c>
      <c r="G862">
        <v>289</v>
      </c>
      <c r="H862">
        <v>41873813</v>
      </c>
      <c r="I862">
        <v>234436</v>
      </c>
      <c r="J862" t="s">
        <v>21</v>
      </c>
      <c r="K862" t="s">
        <v>18</v>
      </c>
      <c r="L862">
        <v>6</v>
      </c>
      <c r="M862">
        <v>40.64</v>
      </c>
      <c r="N862">
        <v>425449</v>
      </c>
      <c r="O862">
        <v>1</v>
      </c>
    </row>
    <row r="863" spans="1:15">
      <c r="A863" t="s">
        <v>889</v>
      </c>
      <c r="B863" t="s">
        <v>38</v>
      </c>
      <c r="C863">
        <v>4</v>
      </c>
      <c r="D863">
        <v>44005713</v>
      </c>
      <c r="E863">
        <v>1</v>
      </c>
      <c r="F863">
        <v>15</v>
      </c>
      <c r="G863">
        <v>913</v>
      </c>
      <c r="H863">
        <v>21724478</v>
      </c>
      <c r="I863">
        <v>43500</v>
      </c>
      <c r="J863" t="s">
        <v>21</v>
      </c>
      <c r="K863" t="s">
        <v>18</v>
      </c>
      <c r="L863">
        <v>1</v>
      </c>
      <c r="M863">
        <v>67.41</v>
      </c>
      <c r="N863">
        <v>794238</v>
      </c>
      <c r="O863">
        <v>1</v>
      </c>
    </row>
    <row r="864" spans="1:15">
      <c r="A864" t="s">
        <v>890</v>
      </c>
      <c r="B864" t="s">
        <v>29</v>
      </c>
      <c r="C864">
        <v>1</v>
      </c>
      <c r="D864">
        <v>8980800</v>
      </c>
      <c r="E864">
        <v>3</v>
      </c>
      <c r="F864">
        <v>10</v>
      </c>
      <c r="G864">
        <v>462</v>
      </c>
      <c r="H864">
        <v>10414378</v>
      </c>
      <c r="I864">
        <v>513979</v>
      </c>
      <c r="J864" t="s">
        <v>25</v>
      </c>
      <c r="K864" t="s">
        <v>30</v>
      </c>
      <c r="L864">
        <v>1</v>
      </c>
      <c r="M864">
        <v>53.89</v>
      </c>
      <c r="N864">
        <v>465563</v>
      </c>
      <c r="O864">
        <v>1</v>
      </c>
    </row>
    <row r="865" spans="1:15">
      <c r="A865" t="s">
        <v>891</v>
      </c>
      <c r="B865" t="s">
        <v>32</v>
      </c>
      <c r="C865">
        <v>6</v>
      </c>
      <c r="D865">
        <v>31344314</v>
      </c>
      <c r="E865">
        <v>4</v>
      </c>
      <c r="F865">
        <v>27</v>
      </c>
      <c r="G865">
        <v>973</v>
      </c>
      <c r="H865">
        <v>99457580</v>
      </c>
      <c r="I865">
        <v>456561</v>
      </c>
      <c r="J865" t="s">
        <v>17</v>
      </c>
      <c r="K865" t="s">
        <v>22</v>
      </c>
      <c r="L865">
        <v>2</v>
      </c>
      <c r="M865">
        <v>99.5</v>
      </c>
      <c r="N865">
        <v>321444</v>
      </c>
      <c r="O865">
        <v>1</v>
      </c>
    </row>
    <row r="866" spans="1:15">
      <c r="A866" t="s">
        <v>892</v>
      </c>
      <c r="B866" t="s">
        <v>16</v>
      </c>
      <c r="C866">
        <v>14</v>
      </c>
      <c r="D866">
        <v>436466</v>
      </c>
      <c r="E866">
        <v>1</v>
      </c>
      <c r="F866">
        <v>27</v>
      </c>
      <c r="G866">
        <v>572</v>
      </c>
      <c r="H866">
        <v>38283031</v>
      </c>
      <c r="I866">
        <v>387708</v>
      </c>
      <c r="J866" t="s">
        <v>17</v>
      </c>
      <c r="K866" t="s">
        <v>22</v>
      </c>
      <c r="L866">
        <v>9</v>
      </c>
      <c r="M866">
        <v>23.58</v>
      </c>
      <c r="N866">
        <v>845900</v>
      </c>
      <c r="O866">
        <v>1</v>
      </c>
    </row>
    <row r="867" spans="1:15">
      <c r="A867" t="s">
        <v>893</v>
      </c>
      <c r="B867" t="s">
        <v>24</v>
      </c>
      <c r="C867">
        <v>11</v>
      </c>
      <c r="D867">
        <v>43526096</v>
      </c>
      <c r="E867">
        <v>3</v>
      </c>
      <c r="F867">
        <v>14</v>
      </c>
      <c r="G867">
        <v>221</v>
      </c>
      <c r="H867">
        <v>16169547</v>
      </c>
      <c r="I867">
        <v>762168</v>
      </c>
      <c r="J867" t="s">
        <v>17</v>
      </c>
      <c r="K867" t="s">
        <v>30</v>
      </c>
      <c r="L867">
        <v>4</v>
      </c>
      <c r="M867">
        <v>98.76</v>
      </c>
      <c r="N867">
        <v>748614</v>
      </c>
      <c r="O867">
        <v>1</v>
      </c>
    </row>
    <row r="868" spans="1:15">
      <c r="A868" t="s">
        <v>894</v>
      </c>
      <c r="B868" t="s">
        <v>32</v>
      </c>
      <c r="C868">
        <v>6</v>
      </c>
      <c r="D868">
        <v>9986767</v>
      </c>
      <c r="E868">
        <v>1</v>
      </c>
      <c r="F868">
        <v>15</v>
      </c>
      <c r="G868">
        <v>231</v>
      </c>
      <c r="H868">
        <v>54323379</v>
      </c>
      <c r="I868">
        <v>600410</v>
      </c>
      <c r="J868" t="s">
        <v>21</v>
      </c>
      <c r="K868" t="s">
        <v>22</v>
      </c>
      <c r="L868">
        <v>4</v>
      </c>
      <c r="M868">
        <v>97.57</v>
      </c>
      <c r="N868">
        <v>328693</v>
      </c>
      <c r="O868">
        <v>1</v>
      </c>
    </row>
    <row r="869" spans="1:15">
      <c r="A869" t="s">
        <v>895</v>
      </c>
      <c r="B869" t="s">
        <v>20</v>
      </c>
      <c r="C869">
        <v>10</v>
      </c>
      <c r="D869">
        <v>22134430</v>
      </c>
      <c r="E869">
        <v>1</v>
      </c>
      <c r="F869">
        <v>15</v>
      </c>
      <c r="G869">
        <v>14</v>
      </c>
      <c r="H869">
        <v>85124108</v>
      </c>
      <c r="I869">
        <v>532476</v>
      </c>
      <c r="J869" t="s">
        <v>17</v>
      </c>
      <c r="K869" t="s">
        <v>18</v>
      </c>
      <c r="L869">
        <v>3</v>
      </c>
      <c r="M869">
        <v>67.89</v>
      </c>
      <c r="N869">
        <v>665581</v>
      </c>
      <c r="O869">
        <v>1</v>
      </c>
    </row>
    <row r="870" spans="1:15">
      <c r="A870" t="s">
        <v>896</v>
      </c>
      <c r="B870" t="s">
        <v>24</v>
      </c>
      <c r="C870">
        <v>2</v>
      </c>
      <c r="D870">
        <v>26731881</v>
      </c>
      <c r="E870">
        <v>4</v>
      </c>
      <c r="F870">
        <v>27</v>
      </c>
      <c r="G870">
        <v>136</v>
      </c>
      <c r="H870">
        <v>52795331</v>
      </c>
      <c r="I870">
        <v>618847</v>
      </c>
      <c r="J870" t="s">
        <v>17</v>
      </c>
      <c r="K870" t="s">
        <v>22</v>
      </c>
      <c r="L870">
        <v>7</v>
      </c>
      <c r="M870">
        <v>68.81</v>
      </c>
      <c r="N870">
        <v>301129</v>
      </c>
      <c r="O870">
        <v>1</v>
      </c>
    </row>
    <row r="871" spans="1:15">
      <c r="A871" t="s">
        <v>897</v>
      </c>
      <c r="B871" t="s">
        <v>16</v>
      </c>
      <c r="C871">
        <v>13</v>
      </c>
      <c r="D871">
        <v>49009515</v>
      </c>
      <c r="E871">
        <v>1</v>
      </c>
      <c r="F871">
        <v>5</v>
      </c>
      <c r="G871">
        <v>926</v>
      </c>
      <c r="H871">
        <v>41307381</v>
      </c>
      <c r="I871">
        <v>92378</v>
      </c>
      <c r="J871" t="s">
        <v>21</v>
      </c>
      <c r="K871" t="s">
        <v>22</v>
      </c>
      <c r="L871">
        <v>3</v>
      </c>
      <c r="M871">
        <v>56.9</v>
      </c>
      <c r="N871">
        <v>880160</v>
      </c>
      <c r="O871">
        <v>1</v>
      </c>
    </row>
    <row r="872" spans="1:15">
      <c r="A872" t="s">
        <v>898</v>
      </c>
      <c r="B872" t="s">
        <v>24</v>
      </c>
      <c r="C872">
        <v>2</v>
      </c>
      <c r="D872">
        <v>26868577</v>
      </c>
      <c r="E872">
        <v>3</v>
      </c>
      <c r="F872">
        <v>8</v>
      </c>
      <c r="G872">
        <v>504</v>
      </c>
      <c r="H872">
        <v>59968026</v>
      </c>
      <c r="I872">
        <v>770229</v>
      </c>
      <c r="J872" t="s">
        <v>21</v>
      </c>
      <c r="K872" t="s">
        <v>30</v>
      </c>
      <c r="L872">
        <v>8</v>
      </c>
      <c r="M872">
        <v>14.47</v>
      </c>
      <c r="N872">
        <v>802349</v>
      </c>
      <c r="O872">
        <v>1</v>
      </c>
    </row>
    <row r="873" spans="1:15">
      <c r="A873" t="s">
        <v>899</v>
      </c>
      <c r="B873" t="s">
        <v>27</v>
      </c>
      <c r="C873">
        <v>2</v>
      </c>
      <c r="D873">
        <v>38148157</v>
      </c>
      <c r="E873">
        <v>4</v>
      </c>
      <c r="F873">
        <v>20</v>
      </c>
      <c r="G873">
        <v>868</v>
      </c>
      <c r="H873">
        <v>66803671</v>
      </c>
      <c r="I873">
        <v>824258</v>
      </c>
      <c r="J873" t="s">
        <v>25</v>
      </c>
      <c r="K873" t="s">
        <v>22</v>
      </c>
      <c r="L873">
        <v>9</v>
      </c>
      <c r="M873">
        <v>70.17</v>
      </c>
      <c r="N873">
        <v>668032</v>
      </c>
      <c r="O873">
        <v>1</v>
      </c>
    </row>
    <row r="874" spans="1:15">
      <c r="A874" t="s">
        <v>900</v>
      </c>
      <c r="B874" t="s">
        <v>20</v>
      </c>
      <c r="C874">
        <v>7</v>
      </c>
      <c r="D874">
        <v>38970166</v>
      </c>
      <c r="E874">
        <v>2</v>
      </c>
      <c r="F874">
        <v>11</v>
      </c>
      <c r="G874">
        <v>871</v>
      </c>
      <c r="H874">
        <v>49371706</v>
      </c>
      <c r="I874">
        <v>953416</v>
      </c>
      <c r="J874" t="s">
        <v>17</v>
      </c>
      <c r="K874" t="s">
        <v>30</v>
      </c>
      <c r="L874">
        <v>1</v>
      </c>
      <c r="M874">
        <v>18.850000000000001</v>
      </c>
      <c r="N874">
        <v>842435</v>
      </c>
      <c r="O874">
        <v>1</v>
      </c>
    </row>
    <row r="875" spans="1:15">
      <c r="A875" t="s">
        <v>901</v>
      </c>
      <c r="B875" t="s">
        <v>16</v>
      </c>
      <c r="C875">
        <v>2</v>
      </c>
      <c r="D875">
        <v>20951090</v>
      </c>
      <c r="E875">
        <v>3</v>
      </c>
      <c r="F875">
        <v>29</v>
      </c>
      <c r="G875">
        <v>460</v>
      </c>
      <c r="H875">
        <v>31786529</v>
      </c>
      <c r="I875">
        <v>922055</v>
      </c>
      <c r="J875" t="s">
        <v>17</v>
      </c>
      <c r="K875" t="s">
        <v>22</v>
      </c>
      <c r="L875">
        <v>3</v>
      </c>
      <c r="M875">
        <v>81.92</v>
      </c>
      <c r="N875">
        <v>754769</v>
      </c>
      <c r="O875">
        <v>1</v>
      </c>
    </row>
    <row r="876" spans="1:15">
      <c r="A876" t="s">
        <v>902</v>
      </c>
      <c r="B876" t="s">
        <v>38</v>
      </c>
      <c r="C876">
        <v>5</v>
      </c>
      <c r="D876">
        <v>40210986</v>
      </c>
      <c r="E876">
        <v>3</v>
      </c>
      <c r="F876">
        <v>9</v>
      </c>
      <c r="G876">
        <v>474</v>
      </c>
      <c r="H876">
        <v>58252792</v>
      </c>
      <c r="I876">
        <v>827497</v>
      </c>
      <c r="J876" t="s">
        <v>21</v>
      </c>
      <c r="K876" t="s">
        <v>18</v>
      </c>
      <c r="L876">
        <v>6</v>
      </c>
      <c r="M876">
        <v>71.67</v>
      </c>
      <c r="N876">
        <v>262244</v>
      </c>
      <c r="O876">
        <v>1</v>
      </c>
    </row>
    <row r="877" spans="1:15">
      <c r="A877" t="s">
        <v>903</v>
      </c>
      <c r="B877" t="s">
        <v>32</v>
      </c>
      <c r="C877">
        <v>2</v>
      </c>
      <c r="D877">
        <v>18814471</v>
      </c>
      <c r="E877">
        <v>3</v>
      </c>
      <c r="F877">
        <v>20</v>
      </c>
      <c r="G877">
        <v>234</v>
      </c>
      <c r="H877">
        <v>14835668</v>
      </c>
      <c r="I877">
        <v>429027</v>
      </c>
      <c r="J877" t="s">
        <v>17</v>
      </c>
      <c r="K877" t="s">
        <v>22</v>
      </c>
      <c r="L877">
        <v>2</v>
      </c>
      <c r="M877">
        <v>60.8</v>
      </c>
      <c r="N877">
        <v>799119</v>
      </c>
      <c r="O877">
        <v>1</v>
      </c>
    </row>
    <row r="878" spans="1:15">
      <c r="A878" t="s">
        <v>904</v>
      </c>
      <c r="B878" t="s">
        <v>29</v>
      </c>
      <c r="C878">
        <v>0</v>
      </c>
      <c r="D878">
        <v>22827206</v>
      </c>
      <c r="E878">
        <v>3</v>
      </c>
      <c r="F878">
        <v>29</v>
      </c>
      <c r="G878">
        <v>80</v>
      </c>
      <c r="H878">
        <v>87168471</v>
      </c>
      <c r="I878">
        <v>297193</v>
      </c>
      <c r="J878" t="s">
        <v>25</v>
      </c>
      <c r="K878" t="s">
        <v>18</v>
      </c>
      <c r="L878">
        <v>5</v>
      </c>
      <c r="M878">
        <v>75.97</v>
      </c>
      <c r="N878">
        <v>440692</v>
      </c>
      <c r="O878">
        <v>1</v>
      </c>
    </row>
    <row r="879" spans="1:15">
      <c r="A879" t="s">
        <v>905</v>
      </c>
      <c r="B879" t="s">
        <v>38</v>
      </c>
      <c r="C879">
        <v>9</v>
      </c>
      <c r="D879">
        <v>7019896</v>
      </c>
      <c r="E879">
        <v>4</v>
      </c>
      <c r="F879">
        <v>3</v>
      </c>
      <c r="G879">
        <v>203</v>
      </c>
      <c r="H879">
        <v>52512210</v>
      </c>
      <c r="I879">
        <v>573488</v>
      </c>
      <c r="J879" t="s">
        <v>21</v>
      </c>
      <c r="K879" t="s">
        <v>22</v>
      </c>
      <c r="L879">
        <v>9</v>
      </c>
      <c r="M879">
        <v>58.91</v>
      </c>
      <c r="N879">
        <v>325852</v>
      </c>
      <c r="O879">
        <v>1</v>
      </c>
    </row>
    <row r="880" spans="1:15">
      <c r="A880" t="s">
        <v>906</v>
      </c>
      <c r="B880" t="s">
        <v>29</v>
      </c>
      <c r="C880">
        <v>12</v>
      </c>
      <c r="D880">
        <v>49295622</v>
      </c>
      <c r="E880">
        <v>3</v>
      </c>
      <c r="F880">
        <v>9</v>
      </c>
      <c r="G880">
        <v>3</v>
      </c>
      <c r="H880">
        <v>39968320</v>
      </c>
      <c r="I880">
        <v>394744</v>
      </c>
      <c r="J880" t="s">
        <v>21</v>
      </c>
      <c r="K880" t="s">
        <v>22</v>
      </c>
      <c r="L880">
        <v>8</v>
      </c>
      <c r="M880">
        <v>13.36</v>
      </c>
      <c r="N880">
        <v>283580</v>
      </c>
      <c r="O880">
        <v>1</v>
      </c>
    </row>
    <row r="881" spans="1:15">
      <c r="A881" t="s">
        <v>907</v>
      </c>
      <c r="B881" t="s">
        <v>32</v>
      </c>
      <c r="C881">
        <v>11</v>
      </c>
      <c r="D881">
        <v>38522747</v>
      </c>
      <c r="E881">
        <v>3</v>
      </c>
      <c r="F881">
        <v>11</v>
      </c>
      <c r="G881">
        <v>542</v>
      </c>
      <c r="H881">
        <v>73353336</v>
      </c>
      <c r="I881">
        <v>864537</v>
      </c>
      <c r="J881" t="s">
        <v>21</v>
      </c>
      <c r="K881" t="s">
        <v>18</v>
      </c>
      <c r="L881">
        <v>3</v>
      </c>
      <c r="M881">
        <v>84.83</v>
      </c>
      <c r="N881">
        <v>891299</v>
      </c>
      <c r="O881">
        <v>1</v>
      </c>
    </row>
    <row r="882" spans="1:15">
      <c r="A882" t="s">
        <v>908</v>
      </c>
      <c r="B882" t="s">
        <v>20</v>
      </c>
      <c r="C882">
        <v>8</v>
      </c>
      <c r="D882">
        <v>49175480</v>
      </c>
      <c r="E882">
        <v>2</v>
      </c>
      <c r="F882">
        <v>14</v>
      </c>
      <c r="G882">
        <v>631</v>
      </c>
      <c r="H882">
        <v>59688310</v>
      </c>
      <c r="I882">
        <v>544557</v>
      </c>
      <c r="J882" t="s">
        <v>17</v>
      </c>
      <c r="K882" t="s">
        <v>30</v>
      </c>
      <c r="L882">
        <v>5</v>
      </c>
      <c r="M882">
        <v>94.47</v>
      </c>
      <c r="N882">
        <v>334743</v>
      </c>
      <c r="O882">
        <v>1</v>
      </c>
    </row>
    <row r="883" spans="1:15">
      <c r="A883" t="s">
        <v>909</v>
      </c>
      <c r="B883" t="s">
        <v>38</v>
      </c>
      <c r="C883">
        <v>10</v>
      </c>
      <c r="D883">
        <v>49495626</v>
      </c>
      <c r="E883">
        <v>2</v>
      </c>
      <c r="F883">
        <v>9</v>
      </c>
      <c r="G883">
        <v>927</v>
      </c>
      <c r="H883">
        <v>8158994</v>
      </c>
      <c r="I883">
        <v>350419</v>
      </c>
      <c r="J883" t="s">
        <v>21</v>
      </c>
      <c r="K883" t="s">
        <v>22</v>
      </c>
      <c r="L883">
        <v>5</v>
      </c>
      <c r="M883">
        <v>89.07</v>
      </c>
      <c r="N883">
        <v>47685</v>
      </c>
      <c r="O883">
        <v>1</v>
      </c>
    </row>
    <row r="884" spans="1:15">
      <c r="A884" t="s">
        <v>910</v>
      </c>
      <c r="B884" t="s">
        <v>38</v>
      </c>
      <c r="C884">
        <v>5</v>
      </c>
      <c r="D884">
        <v>40161756</v>
      </c>
      <c r="E884">
        <v>4</v>
      </c>
      <c r="F884">
        <v>27</v>
      </c>
      <c r="G884">
        <v>409</v>
      </c>
      <c r="H884">
        <v>20594735</v>
      </c>
      <c r="I884">
        <v>530467</v>
      </c>
      <c r="J884" t="s">
        <v>17</v>
      </c>
      <c r="K884" t="s">
        <v>22</v>
      </c>
      <c r="L884">
        <v>9</v>
      </c>
      <c r="M884">
        <v>23.99</v>
      </c>
      <c r="N884">
        <v>188867</v>
      </c>
      <c r="O884">
        <v>1</v>
      </c>
    </row>
    <row r="885" spans="1:15">
      <c r="A885" t="s">
        <v>911</v>
      </c>
      <c r="B885" t="s">
        <v>16</v>
      </c>
      <c r="C885">
        <v>8</v>
      </c>
      <c r="D885">
        <v>27312071</v>
      </c>
      <c r="E885">
        <v>1</v>
      </c>
      <c r="F885">
        <v>29</v>
      </c>
      <c r="G885">
        <v>90</v>
      </c>
      <c r="H885">
        <v>54581428</v>
      </c>
      <c r="I885">
        <v>790182</v>
      </c>
      <c r="J885" t="s">
        <v>17</v>
      </c>
      <c r="K885" t="s">
        <v>22</v>
      </c>
      <c r="L885">
        <v>3</v>
      </c>
      <c r="M885">
        <v>54.28</v>
      </c>
      <c r="N885">
        <v>214924</v>
      </c>
      <c r="O885">
        <v>1</v>
      </c>
    </row>
    <row r="886" spans="1:15">
      <c r="A886" t="s">
        <v>912</v>
      </c>
      <c r="B886" t="s">
        <v>20</v>
      </c>
      <c r="C886">
        <v>2</v>
      </c>
      <c r="D886">
        <v>19141290</v>
      </c>
      <c r="E886">
        <v>4</v>
      </c>
      <c r="F886">
        <v>13</v>
      </c>
      <c r="G886">
        <v>495</v>
      </c>
      <c r="H886">
        <v>56858551</v>
      </c>
      <c r="I886">
        <v>244471</v>
      </c>
      <c r="J886" t="s">
        <v>25</v>
      </c>
      <c r="K886" t="s">
        <v>18</v>
      </c>
      <c r="L886">
        <v>9</v>
      </c>
      <c r="M886">
        <v>2.1</v>
      </c>
      <c r="N886">
        <v>9329</v>
      </c>
      <c r="O886">
        <v>1</v>
      </c>
    </row>
    <row r="887" spans="1:15">
      <c r="A887" t="s">
        <v>913</v>
      </c>
      <c r="B887" t="s">
        <v>32</v>
      </c>
      <c r="C887">
        <v>8</v>
      </c>
      <c r="D887">
        <v>22330144</v>
      </c>
      <c r="E887">
        <v>4</v>
      </c>
      <c r="F887">
        <v>28</v>
      </c>
      <c r="G887">
        <v>562</v>
      </c>
      <c r="H887">
        <v>18377274</v>
      </c>
      <c r="I887">
        <v>357305</v>
      </c>
      <c r="J887" t="s">
        <v>25</v>
      </c>
      <c r="K887" t="s">
        <v>30</v>
      </c>
      <c r="L887">
        <v>7</v>
      </c>
      <c r="M887">
        <v>38.18</v>
      </c>
      <c r="N887">
        <v>477229</v>
      </c>
      <c r="O887">
        <v>1</v>
      </c>
    </row>
    <row r="888" spans="1:15">
      <c r="A888" t="s">
        <v>914</v>
      </c>
      <c r="B888" t="s">
        <v>29</v>
      </c>
      <c r="C888">
        <v>14</v>
      </c>
      <c r="D888">
        <v>27879086</v>
      </c>
      <c r="E888">
        <v>3</v>
      </c>
      <c r="F888">
        <v>2</v>
      </c>
      <c r="G888">
        <v>687</v>
      </c>
      <c r="H888">
        <v>54970810</v>
      </c>
      <c r="I888">
        <v>680115</v>
      </c>
      <c r="J888" t="s">
        <v>17</v>
      </c>
      <c r="K888" t="s">
        <v>18</v>
      </c>
      <c r="L888">
        <v>9</v>
      </c>
      <c r="M888">
        <v>90.11</v>
      </c>
      <c r="N888">
        <v>365335</v>
      </c>
      <c r="O888">
        <v>1</v>
      </c>
    </row>
    <row r="889" spans="1:15">
      <c r="A889" t="s">
        <v>915</v>
      </c>
      <c r="B889" t="s">
        <v>32</v>
      </c>
      <c r="C889">
        <v>1</v>
      </c>
      <c r="D889">
        <v>38399860</v>
      </c>
      <c r="E889">
        <v>4</v>
      </c>
      <c r="F889">
        <v>16</v>
      </c>
      <c r="G889">
        <v>231</v>
      </c>
      <c r="H889">
        <v>32416364</v>
      </c>
      <c r="I889">
        <v>42807</v>
      </c>
      <c r="J889" t="s">
        <v>25</v>
      </c>
      <c r="K889" t="s">
        <v>30</v>
      </c>
      <c r="L889">
        <v>3</v>
      </c>
      <c r="M889">
        <v>79.02</v>
      </c>
      <c r="N889">
        <v>703776</v>
      </c>
      <c r="O889">
        <v>1</v>
      </c>
    </row>
    <row r="890" spans="1:15">
      <c r="A890" t="s">
        <v>916</v>
      </c>
      <c r="B890" t="s">
        <v>38</v>
      </c>
      <c r="C890">
        <v>6</v>
      </c>
      <c r="D890">
        <v>24412274</v>
      </c>
      <c r="E890">
        <v>1</v>
      </c>
      <c r="F890">
        <v>29</v>
      </c>
      <c r="G890">
        <v>658</v>
      </c>
      <c r="H890">
        <v>30624748</v>
      </c>
      <c r="I890">
        <v>629769</v>
      </c>
      <c r="J890" t="s">
        <v>17</v>
      </c>
      <c r="K890" t="s">
        <v>30</v>
      </c>
      <c r="L890">
        <v>1</v>
      </c>
      <c r="M890">
        <v>71.61</v>
      </c>
      <c r="N890">
        <v>626369</v>
      </c>
      <c r="O890">
        <v>1</v>
      </c>
    </row>
    <row r="891" spans="1:15">
      <c r="A891" t="s">
        <v>917</v>
      </c>
      <c r="B891" t="s">
        <v>32</v>
      </c>
      <c r="C891">
        <v>10</v>
      </c>
      <c r="D891">
        <v>43583368</v>
      </c>
      <c r="E891">
        <v>2</v>
      </c>
      <c r="F891">
        <v>18</v>
      </c>
      <c r="G891">
        <v>317</v>
      </c>
      <c r="H891">
        <v>31567248</v>
      </c>
      <c r="I891">
        <v>291451</v>
      </c>
      <c r="J891" t="s">
        <v>17</v>
      </c>
      <c r="K891" t="s">
        <v>30</v>
      </c>
      <c r="L891">
        <v>2</v>
      </c>
      <c r="M891">
        <v>8.11</v>
      </c>
      <c r="N891">
        <v>240761</v>
      </c>
      <c r="O891">
        <v>1</v>
      </c>
    </row>
    <row r="892" spans="1:15">
      <c r="A892" t="s">
        <v>918</v>
      </c>
      <c r="B892" t="s">
        <v>16</v>
      </c>
      <c r="C892">
        <v>0</v>
      </c>
      <c r="D892">
        <v>11701392</v>
      </c>
      <c r="E892">
        <v>1</v>
      </c>
      <c r="F892">
        <v>24</v>
      </c>
      <c r="G892">
        <v>340</v>
      </c>
      <c r="H892">
        <v>26075934</v>
      </c>
      <c r="I892">
        <v>276534</v>
      </c>
      <c r="J892" t="s">
        <v>25</v>
      </c>
      <c r="K892" t="s">
        <v>22</v>
      </c>
      <c r="L892">
        <v>7</v>
      </c>
      <c r="M892">
        <v>58.34</v>
      </c>
      <c r="N892">
        <v>947078</v>
      </c>
      <c r="O892">
        <v>1</v>
      </c>
    </row>
    <row r="893" spans="1:15">
      <c r="A893" t="s">
        <v>919</v>
      </c>
      <c r="B893" t="s">
        <v>38</v>
      </c>
      <c r="C893">
        <v>5</v>
      </c>
      <c r="D893">
        <v>26413937</v>
      </c>
      <c r="E893">
        <v>4</v>
      </c>
      <c r="F893">
        <v>15</v>
      </c>
      <c r="G893">
        <v>731</v>
      </c>
      <c r="H893">
        <v>33342291</v>
      </c>
      <c r="I893">
        <v>854405</v>
      </c>
      <c r="J893" t="s">
        <v>25</v>
      </c>
      <c r="K893" t="s">
        <v>18</v>
      </c>
      <c r="L893">
        <v>1</v>
      </c>
      <c r="M893">
        <v>51.61</v>
      </c>
      <c r="N893">
        <v>386607</v>
      </c>
      <c r="O893">
        <v>1</v>
      </c>
    </row>
    <row r="894" spans="1:15">
      <c r="A894" t="s">
        <v>920</v>
      </c>
      <c r="B894" t="s">
        <v>24</v>
      </c>
      <c r="C894">
        <v>8</v>
      </c>
      <c r="D894">
        <v>9315111</v>
      </c>
      <c r="E894">
        <v>4</v>
      </c>
      <c r="F894">
        <v>12</v>
      </c>
      <c r="G894">
        <v>281</v>
      </c>
      <c r="H894">
        <v>89715556</v>
      </c>
      <c r="I894">
        <v>213720</v>
      </c>
      <c r="J894" t="s">
        <v>17</v>
      </c>
      <c r="K894" t="s">
        <v>18</v>
      </c>
      <c r="L894">
        <v>8</v>
      </c>
      <c r="M894">
        <v>92.7</v>
      </c>
      <c r="N894">
        <v>282359</v>
      </c>
      <c r="O894">
        <v>1</v>
      </c>
    </row>
    <row r="895" spans="1:15">
      <c r="A895" t="s">
        <v>921</v>
      </c>
      <c r="B895" t="s">
        <v>27</v>
      </c>
      <c r="C895">
        <v>2</v>
      </c>
      <c r="D895">
        <v>19572425</v>
      </c>
      <c r="E895">
        <v>1</v>
      </c>
      <c r="F895">
        <v>23</v>
      </c>
      <c r="G895">
        <v>626</v>
      </c>
      <c r="H895">
        <v>15748077</v>
      </c>
      <c r="I895">
        <v>175759</v>
      </c>
      <c r="J895" t="s">
        <v>17</v>
      </c>
      <c r="K895" t="s">
        <v>22</v>
      </c>
      <c r="L895">
        <v>3</v>
      </c>
      <c r="M895">
        <v>85.1</v>
      </c>
      <c r="N895">
        <v>910392</v>
      </c>
      <c r="O895">
        <v>1</v>
      </c>
    </row>
    <row r="896" spans="1:15">
      <c r="A896" t="s">
        <v>922</v>
      </c>
      <c r="B896" t="s">
        <v>24</v>
      </c>
      <c r="C896">
        <v>12</v>
      </c>
      <c r="D896">
        <v>2763108</v>
      </c>
      <c r="E896">
        <v>3</v>
      </c>
      <c r="F896">
        <v>0</v>
      </c>
      <c r="G896">
        <v>688</v>
      </c>
      <c r="H896">
        <v>56382497</v>
      </c>
      <c r="I896">
        <v>475518</v>
      </c>
      <c r="J896" t="s">
        <v>17</v>
      </c>
      <c r="K896" t="s">
        <v>22</v>
      </c>
      <c r="L896">
        <v>3</v>
      </c>
      <c r="M896">
        <v>27.72</v>
      </c>
      <c r="N896">
        <v>360697</v>
      </c>
      <c r="O896">
        <v>1</v>
      </c>
    </row>
    <row r="897" spans="1:15">
      <c r="A897" t="s">
        <v>923</v>
      </c>
      <c r="B897" t="s">
        <v>32</v>
      </c>
      <c r="C897">
        <v>2</v>
      </c>
      <c r="D897">
        <v>21913071</v>
      </c>
      <c r="E897">
        <v>3</v>
      </c>
      <c r="F897">
        <v>24</v>
      </c>
      <c r="G897">
        <v>996</v>
      </c>
      <c r="H897">
        <v>26013124</v>
      </c>
      <c r="I897">
        <v>166617</v>
      </c>
      <c r="J897" t="s">
        <v>17</v>
      </c>
      <c r="K897" t="s">
        <v>18</v>
      </c>
      <c r="L897">
        <v>8</v>
      </c>
      <c r="M897">
        <v>81.39</v>
      </c>
      <c r="N897">
        <v>437647</v>
      </c>
      <c r="O897">
        <v>1</v>
      </c>
    </row>
    <row r="898" spans="1:15">
      <c r="A898" t="s">
        <v>924</v>
      </c>
      <c r="B898" t="s">
        <v>16</v>
      </c>
      <c r="C898">
        <v>7</v>
      </c>
      <c r="D898">
        <v>16668503</v>
      </c>
      <c r="E898">
        <v>1</v>
      </c>
      <c r="F898">
        <v>8</v>
      </c>
      <c r="G898">
        <v>346</v>
      </c>
      <c r="H898">
        <v>16196843</v>
      </c>
      <c r="I898">
        <v>665973</v>
      </c>
      <c r="J898" t="s">
        <v>21</v>
      </c>
      <c r="K898" t="s">
        <v>22</v>
      </c>
      <c r="L898">
        <v>4</v>
      </c>
      <c r="M898">
        <v>97.07</v>
      </c>
      <c r="N898">
        <v>739372</v>
      </c>
      <c r="O898">
        <v>1</v>
      </c>
    </row>
    <row r="899" spans="1:15">
      <c r="A899" t="s">
        <v>925</v>
      </c>
      <c r="B899" t="s">
        <v>20</v>
      </c>
      <c r="C899">
        <v>13</v>
      </c>
      <c r="D899">
        <v>21410864</v>
      </c>
      <c r="E899">
        <v>4</v>
      </c>
      <c r="F899">
        <v>18</v>
      </c>
      <c r="G899">
        <v>59</v>
      </c>
      <c r="H899">
        <v>73121501</v>
      </c>
      <c r="I899">
        <v>248841</v>
      </c>
      <c r="J899" t="s">
        <v>17</v>
      </c>
      <c r="K899" t="s">
        <v>30</v>
      </c>
      <c r="L899">
        <v>5</v>
      </c>
      <c r="M899">
        <v>65.25</v>
      </c>
      <c r="N899">
        <v>880544</v>
      </c>
      <c r="O899">
        <v>1</v>
      </c>
    </row>
    <row r="900" spans="1:15">
      <c r="A900" t="s">
        <v>926</v>
      </c>
      <c r="B900" t="s">
        <v>27</v>
      </c>
      <c r="C900">
        <v>2</v>
      </c>
      <c r="D900">
        <v>37694321</v>
      </c>
      <c r="E900">
        <v>3</v>
      </c>
      <c r="F900">
        <v>26</v>
      </c>
      <c r="G900">
        <v>46</v>
      </c>
      <c r="H900">
        <v>64276855</v>
      </c>
      <c r="I900">
        <v>253831</v>
      </c>
      <c r="J900" t="s">
        <v>21</v>
      </c>
      <c r="K900" t="s">
        <v>30</v>
      </c>
      <c r="L900">
        <v>1</v>
      </c>
      <c r="M900">
        <v>76.5</v>
      </c>
      <c r="N900">
        <v>90394</v>
      </c>
      <c r="O900">
        <v>1</v>
      </c>
    </row>
    <row r="901" spans="1:15">
      <c r="A901" t="s">
        <v>927</v>
      </c>
      <c r="B901" t="s">
        <v>38</v>
      </c>
      <c r="C901">
        <v>14</v>
      </c>
      <c r="D901">
        <v>6111490</v>
      </c>
      <c r="E901">
        <v>4</v>
      </c>
      <c r="F901">
        <v>29</v>
      </c>
      <c r="G901">
        <v>279</v>
      </c>
      <c r="H901">
        <v>81407913</v>
      </c>
      <c r="I901">
        <v>561724</v>
      </c>
      <c r="J901" t="s">
        <v>17</v>
      </c>
      <c r="K901" t="s">
        <v>18</v>
      </c>
      <c r="L901">
        <v>2</v>
      </c>
      <c r="M901">
        <v>80.88</v>
      </c>
      <c r="N901">
        <v>289290</v>
      </c>
      <c r="O901">
        <v>1</v>
      </c>
    </row>
    <row r="902" spans="1:15">
      <c r="A902" t="s">
        <v>928</v>
      </c>
      <c r="B902" t="s">
        <v>24</v>
      </c>
      <c r="C902">
        <v>5</v>
      </c>
      <c r="D902">
        <v>39418912</v>
      </c>
      <c r="E902">
        <v>1</v>
      </c>
      <c r="F902">
        <v>9</v>
      </c>
      <c r="G902">
        <v>747</v>
      </c>
      <c r="H902">
        <v>13382362</v>
      </c>
      <c r="I902">
        <v>976601</v>
      </c>
      <c r="J902" t="s">
        <v>25</v>
      </c>
      <c r="K902" t="s">
        <v>22</v>
      </c>
      <c r="L902">
        <v>7</v>
      </c>
      <c r="M902">
        <v>33.9</v>
      </c>
      <c r="N902">
        <v>950567</v>
      </c>
      <c r="O902">
        <v>1</v>
      </c>
    </row>
    <row r="903" spans="1:15">
      <c r="A903" t="s">
        <v>929</v>
      </c>
      <c r="B903" t="s">
        <v>38</v>
      </c>
      <c r="C903">
        <v>8</v>
      </c>
      <c r="D903">
        <v>34319449</v>
      </c>
      <c r="E903">
        <v>4</v>
      </c>
      <c r="F903">
        <v>29</v>
      </c>
      <c r="G903">
        <v>410</v>
      </c>
      <c r="H903">
        <v>10701231</v>
      </c>
      <c r="I903">
        <v>836482</v>
      </c>
      <c r="J903" t="s">
        <v>17</v>
      </c>
      <c r="K903" t="s">
        <v>22</v>
      </c>
      <c r="L903">
        <v>3</v>
      </c>
      <c r="M903">
        <v>98.49</v>
      </c>
      <c r="N903">
        <v>71614</v>
      </c>
      <c r="O903">
        <v>1</v>
      </c>
    </row>
    <row r="904" spans="1:15">
      <c r="A904" t="s">
        <v>930</v>
      </c>
      <c r="B904" t="s">
        <v>16</v>
      </c>
      <c r="C904">
        <v>3</v>
      </c>
      <c r="D904">
        <v>507667</v>
      </c>
      <c r="E904">
        <v>2</v>
      </c>
      <c r="F904">
        <v>10</v>
      </c>
      <c r="G904">
        <v>785</v>
      </c>
      <c r="H904">
        <v>11900985</v>
      </c>
      <c r="I904">
        <v>475379</v>
      </c>
      <c r="J904" t="s">
        <v>17</v>
      </c>
      <c r="K904" t="s">
        <v>18</v>
      </c>
      <c r="L904">
        <v>1</v>
      </c>
      <c r="M904">
        <v>61.57</v>
      </c>
      <c r="N904">
        <v>374161</v>
      </c>
      <c r="O904">
        <v>1</v>
      </c>
    </row>
    <row r="905" spans="1:15">
      <c r="A905" t="s">
        <v>931</v>
      </c>
      <c r="B905" t="s">
        <v>24</v>
      </c>
      <c r="C905">
        <v>2</v>
      </c>
      <c r="D905">
        <v>15409906</v>
      </c>
      <c r="E905">
        <v>2</v>
      </c>
      <c r="F905">
        <v>25</v>
      </c>
      <c r="G905">
        <v>841</v>
      </c>
      <c r="H905">
        <v>14340664</v>
      </c>
      <c r="I905">
        <v>179262</v>
      </c>
      <c r="J905" t="s">
        <v>25</v>
      </c>
      <c r="K905" t="s">
        <v>22</v>
      </c>
      <c r="L905">
        <v>7</v>
      </c>
      <c r="M905">
        <v>69.2</v>
      </c>
      <c r="N905">
        <v>490543</v>
      </c>
      <c r="O905">
        <v>1</v>
      </c>
    </row>
    <row r="906" spans="1:15">
      <c r="A906" t="s">
        <v>932</v>
      </c>
      <c r="B906" t="s">
        <v>27</v>
      </c>
      <c r="C906">
        <v>6</v>
      </c>
      <c r="D906">
        <v>31190212</v>
      </c>
      <c r="E906">
        <v>4</v>
      </c>
      <c r="F906">
        <v>10</v>
      </c>
      <c r="G906">
        <v>255</v>
      </c>
      <c r="H906">
        <v>8622539</v>
      </c>
      <c r="I906">
        <v>319551</v>
      </c>
      <c r="J906" t="s">
        <v>25</v>
      </c>
      <c r="K906" t="s">
        <v>30</v>
      </c>
      <c r="L906">
        <v>4</v>
      </c>
      <c r="M906">
        <v>80.84</v>
      </c>
      <c r="N906">
        <v>438607</v>
      </c>
      <c r="O906">
        <v>1</v>
      </c>
    </row>
    <row r="907" spans="1:15">
      <c r="A907" t="s">
        <v>933</v>
      </c>
      <c r="B907" t="s">
        <v>20</v>
      </c>
      <c r="C907">
        <v>9</v>
      </c>
      <c r="D907">
        <v>15568620</v>
      </c>
      <c r="E907">
        <v>2</v>
      </c>
      <c r="F907">
        <v>19</v>
      </c>
      <c r="G907">
        <v>209</v>
      </c>
      <c r="H907">
        <v>49603946</v>
      </c>
      <c r="I907">
        <v>88263</v>
      </c>
      <c r="J907" t="s">
        <v>25</v>
      </c>
      <c r="K907" t="s">
        <v>18</v>
      </c>
      <c r="L907">
        <v>1</v>
      </c>
      <c r="M907">
        <v>69.540000000000006</v>
      </c>
      <c r="N907">
        <v>652332</v>
      </c>
      <c r="O907">
        <v>1</v>
      </c>
    </row>
    <row r="908" spans="1:15">
      <c r="A908" t="s">
        <v>934</v>
      </c>
      <c r="B908" t="s">
        <v>24</v>
      </c>
      <c r="C908">
        <v>12</v>
      </c>
      <c r="D908">
        <v>30142662</v>
      </c>
      <c r="E908">
        <v>3</v>
      </c>
      <c r="F908">
        <v>7</v>
      </c>
      <c r="G908">
        <v>704</v>
      </c>
      <c r="H908">
        <v>97679492</v>
      </c>
      <c r="I908">
        <v>846973</v>
      </c>
      <c r="J908" t="s">
        <v>25</v>
      </c>
      <c r="K908" t="s">
        <v>22</v>
      </c>
      <c r="L908">
        <v>2</v>
      </c>
      <c r="M908">
        <v>1.97</v>
      </c>
      <c r="N908">
        <v>260633</v>
      </c>
      <c r="O908">
        <v>1</v>
      </c>
    </row>
    <row r="909" spans="1:15">
      <c r="A909" t="s">
        <v>935</v>
      </c>
      <c r="B909" t="s">
        <v>38</v>
      </c>
      <c r="C909">
        <v>13</v>
      </c>
      <c r="D909">
        <v>31887194</v>
      </c>
      <c r="E909">
        <v>3</v>
      </c>
      <c r="F909">
        <v>19</v>
      </c>
      <c r="G909">
        <v>83</v>
      </c>
      <c r="H909">
        <v>23566573</v>
      </c>
      <c r="I909">
        <v>333137</v>
      </c>
      <c r="J909" t="s">
        <v>17</v>
      </c>
      <c r="K909" t="s">
        <v>18</v>
      </c>
      <c r="L909">
        <v>7</v>
      </c>
      <c r="M909">
        <v>59.5</v>
      </c>
      <c r="N909">
        <v>679226</v>
      </c>
      <c r="O909">
        <v>1</v>
      </c>
    </row>
    <row r="910" spans="1:15">
      <c r="A910" t="s">
        <v>936</v>
      </c>
      <c r="B910" t="s">
        <v>27</v>
      </c>
      <c r="C910">
        <v>14</v>
      </c>
      <c r="D910">
        <v>40449950</v>
      </c>
      <c r="E910">
        <v>3</v>
      </c>
      <c r="F910">
        <v>19</v>
      </c>
      <c r="G910">
        <v>444</v>
      </c>
      <c r="H910">
        <v>98983962</v>
      </c>
      <c r="I910">
        <v>617758</v>
      </c>
      <c r="J910" t="s">
        <v>21</v>
      </c>
      <c r="K910" t="s">
        <v>22</v>
      </c>
      <c r="L910">
        <v>2</v>
      </c>
      <c r="M910">
        <v>93.77</v>
      </c>
      <c r="N910">
        <v>682754</v>
      </c>
      <c r="O910">
        <v>1</v>
      </c>
    </row>
    <row r="911" spans="1:15">
      <c r="A911" t="s">
        <v>937</v>
      </c>
      <c r="B911" t="s">
        <v>38</v>
      </c>
      <c r="C911">
        <v>8</v>
      </c>
      <c r="D911">
        <v>17423607</v>
      </c>
      <c r="E911">
        <v>1</v>
      </c>
      <c r="F911">
        <v>4</v>
      </c>
      <c r="G911">
        <v>421</v>
      </c>
      <c r="H911">
        <v>13477045</v>
      </c>
      <c r="I911">
        <v>862711</v>
      </c>
      <c r="J911" t="s">
        <v>21</v>
      </c>
      <c r="K911" t="s">
        <v>30</v>
      </c>
      <c r="L911">
        <v>8</v>
      </c>
      <c r="M911">
        <v>39.06</v>
      </c>
      <c r="N911">
        <v>624956</v>
      </c>
      <c r="O911">
        <v>1</v>
      </c>
    </row>
    <row r="912" spans="1:15">
      <c r="A912" t="s">
        <v>938</v>
      </c>
      <c r="B912" t="s">
        <v>20</v>
      </c>
      <c r="C912">
        <v>1</v>
      </c>
      <c r="D912">
        <v>17982763</v>
      </c>
      <c r="E912">
        <v>4</v>
      </c>
      <c r="F912">
        <v>26</v>
      </c>
      <c r="G912">
        <v>487</v>
      </c>
      <c r="H912">
        <v>47340981</v>
      </c>
      <c r="I912">
        <v>876946</v>
      </c>
      <c r="J912" t="s">
        <v>25</v>
      </c>
      <c r="K912" t="s">
        <v>18</v>
      </c>
      <c r="L912">
        <v>3</v>
      </c>
      <c r="M912">
        <v>80.989999999999995</v>
      </c>
      <c r="N912">
        <v>758016</v>
      </c>
      <c r="O912">
        <v>1</v>
      </c>
    </row>
    <row r="913" spans="1:15">
      <c r="A913" t="s">
        <v>939</v>
      </c>
      <c r="B913" t="s">
        <v>29</v>
      </c>
      <c r="C913">
        <v>10</v>
      </c>
      <c r="D913">
        <v>10058469</v>
      </c>
      <c r="E913">
        <v>4</v>
      </c>
      <c r="F913">
        <v>23</v>
      </c>
      <c r="G913">
        <v>511</v>
      </c>
      <c r="H913">
        <v>95229252</v>
      </c>
      <c r="I913">
        <v>775612</v>
      </c>
      <c r="J913" t="s">
        <v>25</v>
      </c>
      <c r="K913" t="s">
        <v>30</v>
      </c>
      <c r="L913">
        <v>7</v>
      </c>
      <c r="M913">
        <v>72.28</v>
      </c>
      <c r="N913">
        <v>896699</v>
      </c>
      <c r="O913">
        <v>1</v>
      </c>
    </row>
    <row r="914" spans="1:15">
      <c r="A914" t="s">
        <v>940</v>
      </c>
      <c r="B914" t="s">
        <v>24</v>
      </c>
      <c r="C914">
        <v>5</v>
      </c>
      <c r="D914">
        <v>34544489</v>
      </c>
      <c r="E914">
        <v>2</v>
      </c>
      <c r="F914">
        <v>11</v>
      </c>
      <c r="G914">
        <v>552</v>
      </c>
      <c r="H914">
        <v>6361907</v>
      </c>
      <c r="I914">
        <v>237879</v>
      </c>
      <c r="J914" t="s">
        <v>17</v>
      </c>
      <c r="K914" t="s">
        <v>30</v>
      </c>
      <c r="L914">
        <v>6</v>
      </c>
      <c r="M914">
        <v>36.090000000000003</v>
      </c>
      <c r="N914">
        <v>763575</v>
      </c>
      <c r="O914">
        <v>1</v>
      </c>
    </row>
    <row r="915" spans="1:15">
      <c r="A915" t="s">
        <v>941</v>
      </c>
      <c r="B915" t="s">
        <v>20</v>
      </c>
      <c r="C915">
        <v>5</v>
      </c>
      <c r="D915">
        <v>38315422</v>
      </c>
      <c r="E915">
        <v>2</v>
      </c>
      <c r="F915">
        <v>25</v>
      </c>
      <c r="G915">
        <v>555</v>
      </c>
      <c r="H915">
        <v>16201307</v>
      </c>
      <c r="I915">
        <v>364232</v>
      </c>
      <c r="J915" t="s">
        <v>17</v>
      </c>
      <c r="K915" t="s">
        <v>18</v>
      </c>
      <c r="L915">
        <v>8</v>
      </c>
      <c r="M915">
        <v>82.62</v>
      </c>
      <c r="N915">
        <v>283036</v>
      </c>
      <c r="O915">
        <v>1</v>
      </c>
    </row>
    <row r="916" spans="1:15">
      <c r="A916" t="s">
        <v>942</v>
      </c>
      <c r="B916" t="s">
        <v>32</v>
      </c>
      <c r="C916">
        <v>10</v>
      </c>
      <c r="D916">
        <v>9637376</v>
      </c>
      <c r="E916">
        <v>2</v>
      </c>
      <c r="F916">
        <v>6</v>
      </c>
      <c r="G916">
        <v>757</v>
      </c>
      <c r="H916">
        <v>44078687</v>
      </c>
      <c r="I916">
        <v>140288</v>
      </c>
      <c r="J916" t="s">
        <v>25</v>
      </c>
      <c r="K916" t="s">
        <v>22</v>
      </c>
      <c r="L916">
        <v>9</v>
      </c>
      <c r="M916">
        <v>9.85</v>
      </c>
      <c r="N916">
        <v>897929</v>
      </c>
      <c r="O916">
        <v>1</v>
      </c>
    </row>
    <row r="917" spans="1:15">
      <c r="A917" t="s">
        <v>943</v>
      </c>
      <c r="B917" t="s">
        <v>38</v>
      </c>
      <c r="C917">
        <v>5</v>
      </c>
      <c r="D917">
        <v>10277831</v>
      </c>
      <c r="E917">
        <v>4</v>
      </c>
      <c r="F917">
        <v>4</v>
      </c>
      <c r="G917">
        <v>139</v>
      </c>
      <c r="H917">
        <v>9396187</v>
      </c>
      <c r="I917">
        <v>133203</v>
      </c>
      <c r="J917" t="s">
        <v>25</v>
      </c>
      <c r="K917" t="s">
        <v>18</v>
      </c>
      <c r="L917">
        <v>1</v>
      </c>
      <c r="M917">
        <v>96.52</v>
      </c>
      <c r="N917">
        <v>541624</v>
      </c>
      <c r="O917">
        <v>1</v>
      </c>
    </row>
    <row r="918" spans="1:15">
      <c r="A918" t="s">
        <v>944</v>
      </c>
      <c r="B918" t="s">
        <v>27</v>
      </c>
      <c r="C918">
        <v>1</v>
      </c>
      <c r="D918">
        <v>40095469</v>
      </c>
      <c r="E918">
        <v>1</v>
      </c>
      <c r="F918">
        <v>28</v>
      </c>
      <c r="G918">
        <v>560</v>
      </c>
      <c r="H918">
        <v>87331181</v>
      </c>
      <c r="I918">
        <v>224740</v>
      </c>
      <c r="J918" t="s">
        <v>21</v>
      </c>
      <c r="K918" t="s">
        <v>22</v>
      </c>
      <c r="L918">
        <v>9</v>
      </c>
      <c r="M918">
        <v>43.01</v>
      </c>
      <c r="N918">
        <v>970665</v>
      </c>
      <c r="O918">
        <v>1</v>
      </c>
    </row>
    <row r="919" spans="1:15">
      <c r="A919" t="s">
        <v>945</v>
      </c>
      <c r="B919" t="s">
        <v>29</v>
      </c>
      <c r="C919">
        <v>13</v>
      </c>
      <c r="D919">
        <v>40541787</v>
      </c>
      <c r="E919">
        <v>1</v>
      </c>
      <c r="F919">
        <v>25</v>
      </c>
      <c r="G919">
        <v>623</v>
      </c>
      <c r="H919">
        <v>15087865</v>
      </c>
      <c r="I919">
        <v>600923</v>
      </c>
      <c r="J919" t="s">
        <v>17</v>
      </c>
      <c r="K919" t="s">
        <v>30</v>
      </c>
      <c r="L919">
        <v>4</v>
      </c>
      <c r="M919">
        <v>14.06</v>
      </c>
      <c r="N919">
        <v>858946</v>
      </c>
      <c r="O919">
        <v>1</v>
      </c>
    </row>
    <row r="920" spans="1:15">
      <c r="A920" t="s">
        <v>946</v>
      </c>
      <c r="B920" t="s">
        <v>16</v>
      </c>
      <c r="C920">
        <v>3</v>
      </c>
      <c r="D920">
        <v>3051314</v>
      </c>
      <c r="E920">
        <v>4</v>
      </c>
      <c r="F920">
        <v>16</v>
      </c>
      <c r="G920">
        <v>269</v>
      </c>
      <c r="H920">
        <v>83080493</v>
      </c>
      <c r="I920">
        <v>63347</v>
      </c>
      <c r="J920" t="s">
        <v>21</v>
      </c>
      <c r="K920" t="s">
        <v>18</v>
      </c>
      <c r="L920">
        <v>5</v>
      </c>
      <c r="M920">
        <v>82.86</v>
      </c>
      <c r="N920">
        <v>711255</v>
      </c>
      <c r="O920">
        <v>1</v>
      </c>
    </row>
    <row r="921" spans="1:15">
      <c r="A921" t="s">
        <v>947</v>
      </c>
      <c r="B921" t="s">
        <v>27</v>
      </c>
      <c r="C921">
        <v>14</v>
      </c>
      <c r="D921">
        <v>12965842</v>
      </c>
      <c r="E921">
        <v>3</v>
      </c>
      <c r="F921">
        <v>7</v>
      </c>
      <c r="G921">
        <v>220</v>
      </c>
      <c r="H921">
        <v>84424585</v>
      </c>
      <c r="I921">
        <v>370241</v>
      </c>
      <c r="J921" t="s">
        <v>21</v>
      </c>
      <c r="K921" t="s">
        <v>30</v>
      </c>
      <c r="L921">
        <v>3</v>
      </c>
      <c r="M921">
        <v>61.68</v>
      </c>
      <c r="N921">
        <v>13623</v>
      </c>
      <c r="O921">
        <v>1</v>
      </c>
    </row>
    <row r="922" spans="1:15">
      <c r="A922" t="s">
        <v>948</v>
      </c>
      <c r="B922" t="s">
        <v>29</v>
      </c>
      <c r="C922">
        <v>10</v>
      </c>
      <c r="D922">
        <v>16561468</v>
      </c>
      <c r="E922">
        <v>3</v>
      </c>
      <c r="F922">
        <v>22</v>
      </c>
      <c r="G922">
        <v>266</v>
      </c>
      <c r="H922">
        <v>69299756</v>
      </c>
      <c r="I922">
        <v>402186</v>
      </c>
      <c r="J922" t="s">
        <v>21</v>
      </c>
      <c r="K922" t="s">
        <v>22</v>
      </c>
      <c r="L922">
        <v>5</v>
      </c>
      <c r="M922">
        <v>18.96</v>
      </c>
      <c r="N922">
        <v>91703</v>
      </c>
      <c r="O922">
        <v>1</v>
      </c>
    </row>
    <row r="923" spans="1:15">
      <c r="A923" t="s">
        <v>949</v>
      </c>
      <c r="B923" t="s">
        <v>24</v>
      </c>
      <c r="C923">
        <v>6</v>
      </c>
      <c r="D923">
        <v>9433017</v>
      </c>
      <c r="E923">
        <v>2</v>
      </c>
      <c r="F923">
        <v>0</v>
      </c>
      <c r="G923">
        <v>748</v>
      </c>
      <c r="H923">
        <v>68789020</v>
      </c>
      <c r="I923">
        <v>506303</v>
      </c>
      <c r="J923" t="s">
        <v>21</v>
      </c>
      <c r="K923" t="s">
        <v>22</v>
      </c>
      <c r="L923">
        <v>1</v>
      </c>
      <c r="M923">
        <v>26</v>
      </c>
      <c r="N923">
        <v>571173</v>
      </c>
      <c r="O923">
        <v>1</v>
      </c>
    </row>
    <row r="924" spans="1:15">
      <c r="A924" t="s">
        <v>950</v>
      </c>
      <c r="B924" t="s">
        <v>24</v>
      </c>
      <c r="C924">
        <v>6</v>
      </c>
      <c r="D924">
        <v>45576918</v>
      </c>
      <c r="E924">
        <v>1</v>
      </c>
      <c r="F924">
        <v>6</v>
      </c>
      <c r="G924">
        <v>599</v>
      </c>
      <c r="H924">
        <v>93495177</v>
      </c>
      <c r="I924">
        <v>188772</v>
      </c>
      <c r="J924" t="s">
        <v>17</v>
      </c>
      <c r="K924" t="s">
        <v>30</v>
      </c>
      <c r="L924">
        <v>3</v>
      </c>
      <c r="M924">
        <v>39.53</v>
      </c>
      <c r="N924">
        <v>976305</v>
      </c>
      <c r="O924">
        <v>1</v>
      </c>
    </row>
    <row r="925" spans="1:15">
      <c r="A925" t="s">
        <v>951</v>
      </c>
      <c r="B925" t="s">
        <v>20</v>
      </c>
      <c r="C925">
        <v>12</v>
      </c>
      <c r="D925">
        <v>40427754</v>
      </c>
      <c r="E925">
        <v>2</v>
      </c>
      <c r="F925">
        <v>6</v>
      </c>
      <c r="G925">
        <v>671</v>
      </c>
      <c r="H925">
        <v>49982347</v>
      </c>
      <c r="I925">
        <v>659168</v>
      </c>
      <c r="J925" t="s">
        <v>25</v>
      </c>
      <c r="K925" t="s">
        <v>18</v>
      </c>
      <c r="L925">
        <v>5</v>
      </c>
      <c r="M925">
        <v>94.91</v>
      </c>
      <c r="N925">
        <v>313133</v>
      </c>
      <c r="O925">
        <v>1</v>
      </c>
    </row>
    <row r="926" spans="1:15">
      <c r="A926" t="s">
        <v>952</v>
      </c>
      <c r="B926" t="s">
        <v>38</v>
      </c>
      <c r="C926">
        <v>11</v>
      </c>
      <c r="D926">
        <v>47600024</v>
      </c>
      <c r="E926">
        <v>4</v>
      </c>
      <c r="F926">
        <v>22</v>
      </c>
      <c r="G926">
        <v>358</v>
      </c>
      <c r="H926">
        <v>7873826</v>
      </c>
      <c r="I926">
        <v>159926</v>
      </c>
      <c r="J926" t="s">
        <v>25</v>
      </c>
      <c r="K926" t="s">
        <v>22</v>
      </c>
      <c r="L926">
        <v>7</v>
      </c>
      <c r="M926">
        <v>62.75</v>
      </c>
      <c r="N926">
        <v>259766</v>
      </c>
      <c r="O926">
        <v>1</v>
      </c>
    </row>
    <row r="927" spans="1:15">
      <c r="A927" t="s">
        <v>953</v>
      </c>
      <c r="B927" t="s">
        <v>38</v>
      </c>
      <c r="C927">
        <v>9</v>
      </c>
      <c r="D927">
        <v>48609608</v>
      </c>
      <c r="E927">
        <v>2</v>
      </c>
      <c r="F927">
        <v>18</v>
      </c>
      <c r="G927">
        <v>863</v>
      </c>
      <c r="H927">
        <v>22617584</v>
      </c>
      <c r="I927">
        <v>153498</v>
      </c>
      <c r="J927" t="s">
        <v>21</v>
      </c>
      <c r="K927" t="s">
        <v>18</v>
      </c>
      <c r="L927">
        <v>2</v>
      </c>
      <c r="M927">
        <v>26.22</v>
      </c>
      <c r="N927">
        <v>203221</v>
      </c>
      <c r="O927">
        <v>1</v>
      </c>
    </row>
    <row r="928" spans="1:15">
      <c r="A928" t="s">
        <v>954</v>
      </c>
      <c r="B928" t="s">
        <v>24</v>
      </c>
      <c r="C928">
        <v>14</v>
      </c>
      <c r="D928">
        <v>39927437</v>
      </c>
      <c r="E928">
        <v>2</v>
      </c>
      <c r="F928">
        <v>3</v>
      </c>
      <c r="G928">
        <v>147</v>
      </c>
      <c r="H928">
        <v>29317753</v>
      </c>
      <c r="I928">
        <v>634377</v>
      </c>
      <c r="J928" t="s">
        <v>25</v>
      </c>
      <c r="K928" t="s">
        <v>22</v>
      </c>
      <c r="L928">
        <v>1</v>
      </c>
      <c r="M928">
        <v>35.89</v>
      </c>
      <c r="N928">
        <v>876071</v>
      </c>
      <c r="O928">
        <v>1</v>
      </c>
    </row>
    <row r="929" spans="1:15">
      <c r="A929" t="s">
        <v>955</v>
      </c>
      <c r="B929" t="s">
        <v>24</v>
      </c>
      <c r="C929">
        <v>1</v>
      </c>
      <c r="D929">
        <v>196264</v>
      </c>
      <c r="E929">
        <v>4</v>
      </c>
      <c r="F929">
        <v>0</v>
      </c>
      <c r="G929">
        <v>714</v>
      </c>
      <c r="H929">
        <v>72827373</v>
      </c>
      <c r="I929">
        <v>507483</v>
      </c>
      <c r="J929" t="s">
        <v>25</v>
      </c>
      <c r="K929" t="s">
        <v>22</v>
      </c>
      <c r="L929">
        <v>8</v>
      </c>
      <c r="M929">
        <v>10.42</v>
      </c>
      <c r="N929">
        <v>485416</v>
      </c>
      <c r="O929">
        <v>1</v>
      </c>
    </row>
    <row r="930" spans="1:15">
      <c r="A930" t="s">
        <v>956</v>
      </c>
      <c r="B930" t="s">
        <v>29</v>
      </c>
      <c r="C930">
        <v>5</v>
      </c>
      <c r="D930">
        <v>6800199</v>
      </c>
      <c r="E930">
        <v>2</v>
      </c>
      <c r="F930">
        <v>6</v>
      </c>
      <c r="G930">
        <v>709</v>
      </c>
      <c r="H930">
        <v>89796136</v>
      </c>
      <c r="I930">
        <v>594595</v>
      </c>
      <c r="J930" t="s">
        <v>25</v>
      </c>
      <c r="K930" t="s">
        <v>22</v>
      </c>
      <c r="L930">
        <v>4</v>
      </c>
      <c r="M930">
        <v>27.22</v>
      </c>
      <c r="N930">
        <v>579618</v>
      </c>
      <c r="O930">
        <v>1</v>
      </c>
    </row>
    <row r="931" spans="1:15">
      <c r="A931" t="s">
        <v>957</v>
      </c>
      <c r="B931" t="s">
        <v>29</v>
      </c>
      <c r="C931">
        <v>8</v>
      </c>
      <c r="D931">
        <v>22510657</v>
      </c>
      <c r="E931">
        <v>2</v>
      </c>
      <c r="F931">
        <v>8</v>
      </c>
      <c r="G931">
        <v>736</v>
      </c>
      <c r="H931">
        <v>88623354</v>
      </c>
      <c r="I931">
        <v>890058</v>
      </c>
      <c r="J931" t="s">
        <v>25</v>
      </c>
      <c r="K931" t="s">
        <v>22</v>
      </c>
      <c r="L931">
        <v>6</v>
      </c>
      <c r="M931">
        <v>80.3</v>
      </c>
      <c r="N931">
        <v>413679</v>
      </c>
      <c r="O931">
        <v>1</v>
      </c>
    </row>
    <row r="932" spans="1:15">
      <c r="A932" t="s">
        <v>958</v>
      </c>
      <c r="B932" t="s">
        <v>38</v>
      </c>
      <c r="C932">
        <v>14</v>
      </c>
      <c r="D932">
        <v>17104299</v>
      </c>
      <c r="E932">
        <v>1</v>
      </c>
      <c r="F932">
        <v>8</v>
      </c>
      <c r="G932">
        <v>665</v>
      </c>
      <c r="H932">
        <v>18641437</v>
      </c>
      <c r="I932">
        <v>496338</v>
      </c>
      <c r="J932" t="s">
        <v>25</v>
      </c>
      <c r="K932" t="s">
        <v>18</v>
      </c>
      <c r="L932">
        <v>9</v>
      </c>
      <c r="M932">
        <v>36.06</v>
      </c>
      <c r="N932">
        <v>202415</v>
      </c>
      <c r="O932">
        <v>1</v>
      </c>
    </row>
    <row r="933" spans="1:15">
      <c r="A933" t="s">
        <v>959</v>
      </c>
      <c r="B933" t="s">
        <v>24</v>
      </c>
      <c r="C933">
        <v>8</v>
      </c>
      <c r="D933">
        <v>16652514</v>
      </c>
      <c r="E933">
        <v>3</v>
      </c>
      <c r="F933">
        <v>4</v>
      </c>
      <c r="G933">
        <v>66</v>
      </c>
      <c r="H933">
        <v>59991188</v>
      </c>
      <c r="I933">
        <v>644714</v>
      </c>
      <c r="J933" t="s">
        <v>17</v>
      </c>
      <c r="K933" t="s">
        <v>18</v>
      </c>
      <c r="L933">
        <v>6</v>
      </c>
      <c r="M933">
        <v>47.07</v>
      </c>
      <c r="N933">
        <v>196813</v>
      </c>
      <c r="O933">
        <v>1</v>
      </c>
    </row>
    <row r="934" spans="1:15">
      <c r="A934" t="s">
        <v>960</v>
      </c>
      <c r="B934" t="s">
        <v>27</v>
      </c>
      <c r="C934">
        <v>4</v>
      </c>
      <c r="D934">
        <v>33540578</v>
      </c>
      <c r="E934">
        <v>2</v>
      </c>
      <c r="F934">
        <v>12</v>
      </c>
      <c r="G934">
        <v>727</v>
      </c>
      <c r="H934">
        <v>76180627</v>
      </c>
      <c r="I934">
        <v>849037</v>
      </c>
      <c r="J934" t="s">
        <v>17</v>
      </c>
      <c r="K934" t="s">
        <v>30</v>
      </c>
      <c r="L934">
        <v>2</v>
      </c>
      <c r="M934">
        <v>7.71</v>
      </c>
      <c r="N934">
        <v>29120</v>
      </c>
      <c r="O934">
        <v>1</v>
      </c>
    </row>
    <row r="935" spans="1:15">
      <c r="A935" t="s">
        <v>961</v>
      </c>
      <c r="B935" t="s">
        <v>27</v>
      </c>
      <c r="C935">
        <v>13</v>
      </c>
      <c r="D935">
        <v>48706970</v>
      </c>
      <c r="E935">
        <v>4</v>
      </c>
      <c r="F935">
        <v>23</v>
      </c>
      <c r="G935">
        <v>818</v>
      </c>
      <c r="H935">
        <v>77999109</v>
      </c>
      <c r="I935">
        <v>306622</v>
      </c>
      <c r="J935" t="s">
        <v>21</v>
      </c>
      <c r="K935" t="s">
        <v>22</v>
      </c>
      <c r="L935">
        <v>9</v>
      </c>
      <c r="M935">
        <v>41.28</v>
      </c>
      <c r="N935">
        <v>20302</v>
      </c>
      <c r="O935">
        <v>1</v>
      </c>
    </row>
    <row r="936" spans="1:15">
      <c r="A936" t="s">
        <v>962</v>
      </c>
      <c r="B936" t="s">
        <v>38</v>
      </c>
      <c r="C936">
        <v>12</v>
      </c>
      <c r="D936">
        <v>4997818</v>
      </c>
      <c r="E936">
        <v>2</v>
      </c>
      <c r="F936">
        <v>0</v>
      </c>
      <c r="G936">
        <v>429</v>
      </c>
      <c r="H936">
        <v>91878702</v>
      </c>
      <c r="I936">
        <v>494835</v>
      </c>
      <c r="J936" t="s">
        <v>17</v>
      </c>
      <c r="K936" t="s">
        <v>22</v>
      </c>
      <c r="L936">
        <v>7</v>
      </c>
      <c r="M936">
        <v>56.9</v>
      </c>
      <c r="N936">
        <v>827058</v>
      </c>
      <c r="O936">
        <v>1</v>
      </c>
    </row>
    <row r="937" spans="1:15">
      <c r="A937" t="s">
        <v>963</v>
      </c>
      <c r="B937" t="s">
        <v>24</v>
      </c>
      <c r="C937">
        <v>6</v>
      </c>
      <c r="D937">
        <v>43864048</v>
      </c>
      <c r="E937">
        <v>3</v>
      </c>
      <c r="F937">
        <v>7</v>
      </c>
      <c r="G937">
        <v>507</v>
      </c>
      <c r="H937">
        <v>44959877</v>
      </c>
      <c r="I937">
        <v>452253</v>
      </c>
      <c r="J937" t="s">
        <v>21</v>
      </c>
      <c r="K937" t="s">
        <v>22</v>
      </c>
      <c r="L937">
        <v>6</v>
      </c>
      <c r="M937">
        <v>58.16</v>
      </c>
      <c r="N937">
        <v>98989</v>
      </c>
      <c r="O937">
        <v>1</v>
      </c>
    </row>
    <row r="938" spans="1:15">
      <c r="A938" t="s">
        <v>964</v>
      </c>
      <c r="B938" t="s">
        <v>20</v>
      </c>
      <c r="C938">
        <v>9</v>
      </c>
      <c r="D938">
        <v>8545229</v>
      </c>
      <c r="E938">
        <v>2</v>
      </c>
      <c r="F938">
        <v>17</v>
      </c>
      <c r="G938">
        <v>204</v>
      </c>
      <c r="H938">
        <v>36496688</v>
      </c>
      <c r="I938">
        <v>763502</v>
      </c>
      <c r="J938" t="s">
        <v>21</v>
      </c>
      <c r="K938" t="s">
        <v>30</v>
      </c>
      <c r="L938">
        <v>6</v>
      </c>
      <c r="M938">
        <v>72.290000000000006</v>
      </c>
      <c r="N938">
        <v>942032</v>
      </c>
      <c r="O938">
        <v>1</v>
      </c>
    </row>
    <row r="939" spans="1:15">
      <c r="A939" t="s">
        <v>965</v>
      </c>
      <c r="B939" t="s">
        <v>29</v>
      </c>
      <c r="C939">
        <v>10</v>
      </c>
      <c r="D939">
        <v>48330961</v>
      </c>
      <c r="E939">
        <v>1</v>
      </c>
      <c r="F939">
        <v>24</v>
      </c>
      <c r="G939">
        <v>633</v>
      </c>
      <c r="H939">
        <v>42592396</v>
      </c>
      <c r="I939">
        <v>567034</v>
      </c>
      <c r="J939" t="s">
        <v>21</v>
      </c>
      <c r="K939" t="s">
        <v>18</v>
      </c>
      <c r="L939">
        <v>8</v>
      </c>
      <c r="M939">
        <v>82.51</v>
      </c>
      <c r="N939">
        <v>751816</v>
      </c>
      <c r="O939">
        <v>1</v>
      </c>
    </row>
    <row r="940" spans="1:15">
      <c r="A940" t="s">
        <v>966</v>
      </c>
      <c r="B940" t="s">
        <v>24</v>
      </c>
      <c r="C940">
        <v>10</v>
      </c>
      <c r="D940">
        <v>23426144</v>
      </c>
      <c r="E940">
        <v>3</v>
      </c>
      <c r="F940">
        <v>27</v>
      </c>
      <c r="G940">
        <v>264</v>
      </c>
      <c r="H940">
        <v>49390980</v>
      </c>
      <c r="I940">
        <v>841930</v>
      </c>
      <c r="J940" t="s">
        <v>21</v>
      </c>
      <c r="K940" t="s">
        <v>22</v>
      </c>
      <c r="L940">
        <v>6</v>
      </c>
      <c r="M940">
        <v>32.520000000000003</v>
      </c>
      <c r="N940">
        <v>998292</v>
      </c>
      <c r="O940">
        <v>1</v>
      </c>
    </row>
    <row r="941" spans="1:15">
      <c r="A941" t="s">
        <v>967</v>
      </c>
      <c r="B941" t="s">
        <v>24</v>
      </c>
      <c r="C941">
        <v>0</v>
      </c>
      <c r="D941">
        <v>20036070</v>
      </c>
      <c r="E941">
        <v>4</v>
      </c>
      <c r="F941">
        <v>12</v>
      </c>
      <c r="G941">
        <v>212</v>
      </c>
      <c r="H941">
        <v>2449185</v>
      </c>
      <c r="I941">
        <v>300688</v>
      </c>
      <c r="J941" t="s">
        <v>17</v>
      </c>
      <c r="K941" t="s">
        <v>18</v>
      </c>
      <c r="L941">
        <v>1</v>
      </c>
      <c r="M941">
        <v>76.260000000000005</v>
      </c>
      <c r="N941">
        <v>552281</v>
      </c>
      <c r="O941">
        <v>1</v>
      </c>
    </row>
    <row r="942" spans="1:15">
      <c r="A942" t="s">
        <v>968</v>
      </c>
      <c r="B942" t="s">
        <v>38</v>
      </c>
      <c r="C942">
        <v>2</v>
      </c>
      <c r="D942">
        <v>6386038</v>
      </c>
      <c r="E942">
        <v>2</v>
      </c>
      <c r="F942">
        <v>10</v>
      </c>
      <c r="G942">
        <v>785</v>
      </c>
      <c r="H942">
        <v>56534554</v>
      </c>
      <c r="I942">
        <v>680519</v>
      </c>
      <c r="J942" t="s">
        <v>25</v>
      </c>
      <c r="K942" t="s">
        <v>18</v>
      </c>
      <c r="L942">
        <v>2</v>
      </c>
      <c r="M942">
        <v>76.63</v>
      </c>
      <c r="N942">
        <v>949885</v>
      </c>
      <c r="O942">
        <v>1</v>
      </c>
    </row>
    <row r="943" spans="1:15">
      <c r="A943" t="s">
        <v>969</v>
      </c>
      <c r="B943" t="s">
        <v>32</v>
      </c>
      <c r="C943">
        <v>1</v>
      </c>
      <c r="D943">
        <v>15579439</v>
      </c>
      <c r="E943">
        <v>1</v>
      </c>
      <c r="F943">
        <v>18</v>
      </c>
      <c r="G943">
        <v>962</v>
      </c>
      <c r="H943">
        <v>61310801</v>
      </c>
      <c r="I943">
        <v>78760</v>
      </c>
      <c r="J943" t="s">
        <v>17</v>
      </c>
      <c r="K943" t="s">
        <v>30</v>
      </c>
      <c r="L943">
        <v>3</v>
      </c>
      <c r="M943">
        <v>87.27</v>
      </c>
      <c r="N943">
        <v>583682</v>
      </c>
      <c r="O943">
        <v>1</v>
      </c>
    </row>
    <row r="944" spans="1:15">
      <c r="A944" t="s">
        <v>970</v>
      </c>
      <c r="B944" t="s">
        <v>27</v>
      </c>
      <c r="C944">
        <v>4</v>
      </c>
      <c r="D944">
        <v>26396425</v>
      </c>
      <c r="E944">
        <v>4</v>
      </c>
      <c r="F944">
        <v>29</v>
      </c>
      <c r="G944">
        <v>876</v>
      </c>
      <c r="H944">
        <v>45195758</v>
      </c>
      <c r="I944">
        <v>601422</v>
      </c>
      <c r="J944" t="s">
        <v>25</v>
      </c>
      <c r="K944" t="s">
        <v>30</v>
      </c>
      <c r="L944">
        <v>5</v>
      </c>
      <c r="M944">
        <v>79.319999999999993</v>
      </c>
      <c r="N944">
        <v>373305</v>
      </c>
      <c r="O944">
        <v>1</v>
      </c>
    </row>
    <row r="945" spans="1:15">
      <c r="A945" t="s">
        <v>971</v>
      </c>
      <c r="B945" t="s">
        <v>38</v>
      </c>
      <c r="C945">
        <v>9</v>
      </c>
      <c r="D945">
        <v>36503373</v>
      </c>
      <c r="E945">
        <v>3</v>
      </c>
      <c r="F945">
        <v>3</v>
      </c>
      <c r="G945">
        <v>985</v>
      </c>
      <c r="H945">
        <v>28140392</v>
      </c>
      <c r="I945">
        <v>700472</v>
      </c>
      <c r="J945" t="s">
        <v>25</v>
      </c>
      <c r="K945" t="s">
        <v>30</v>
      </c>
      <c r="L945">
        <v>8</v>
      </c>
      <c r="M945">
        <v>32.29</v>
      </c>
      <c r="N945">
        <v>807038</v>
      </c>
      <c r="O945">
        <v>1</v>
      </c>
    </row>
    <row r="946" spans="1:15">
      <c r="A946" t="s">
        <v>972</v>
      </c>
      <c r="B946" t="s">
        <v>32</v>
      </c>
      <c r="C946">
        <v>0</v>
      </c>
      <c r="D946">
        <v>1638203</v>
      </c>
      <c r="E946">
        <v>1</v>
      </c>
      <c r="F946">
        <v>19</v>
      </c>
      <c r="G946">
        <v>834</v>
      </c>
      <c r="H946">
        <v>50110881</v>
      </c>
      <c r="I946">
        <v>462244</v>
      </c>
      <c r="J946" t="s">
        <v>17</v>
      </c>
      <c r="K946" t="s">
        <v>22</v>
      </c>
      <c r="L946">
        <v>3</v>
      </c>
      <c r="M946">
        <v>92.82</v>
      </c>
      <c r="N946">
        <v>351257</v>
      </c>
      <c r="O946">
        <v>1</v>
      </c>
    </row>
    <row r="947" spans="1:15">
      <c r="A947" t="s">
        <v>973</v>
      </c>
      <c r="B947" t="s">
        <v>38</v>
      </c>
      <c r="C947">
        <v>10</v>
      </c>
      <c r="D947">
        <v>31656042</v>
      </c>
      <c r="E947">
        <v>3</v>
      </c>
      <c r="F947">
        <v>4</v>
      </c>
      <c r="G947">
        <v>367</v>
      </c>
      <c r="H947">
        <v>4061020</v>
      </c>
      <c r="I947">
        <v>808092</v>
      </c>
      <c r="J947" t="s">
        <v>25</v>
      </c>
      <c r="K947" t="s">
        <v>22</v>
      </c>
      <c r="L947">
        <v>4</v>
      </c>
      <c r="M947">
        <v>71.78</v>
      </c>
      <c r="N947">
        <v>959378</v>
      </c>
      <c r="O947">
        <v>1</v>
      </c>
    </row>
    <row r="948" spans="1:15">
      <c r="A948" t="s">
        <v>974</v>
      </c>
      <c r="B948" t="s">
        <v>32</v>
      </c>
      <c r="C948">
        <v>3</v>
      </c>
      <c r="D948">
        <v>46388714</v>
      </c>
      <c r="E948">
        <v>1</v>
      </c>
      <c r="F948">
        <v>6</v>
      </c>
      <c r="G948">
        <v>468</v>
      </c>
      <c r="H948">
        <v>62116660</v>
      </c>
      <c r="I948">
        <v>267833</v>
      </c>
      <c r="J948" t="s">
        <v>21</v>
      </c>
      <c r="K948" t="s">
        <v>30</v>
      </c>
      <c r="L948">
        <v>2</v>
      </c>
      <c r="M948">
        <v>59.81</v>
      </c>
      <c r="N948">
        <v>545033</v>
      </c>
      <c r="O948">
        <v>1</v>
      </c>
    </row>
    <row r="949" spans="1:15">
      <c r="A949" t="s">
        <v>975</v>
      </c>
      <c r="B949" t="s">
        <v>16</v>
      </c>
      <c r="C949">
        <v>12</v>
      </c>
      <c r="D949">
        <v>37744562</v>
      </c>
      <c r="E949">
        <v>1</v>
      </c>
      <c r="F949">
        <v>2</v>
      </c>
      <c r="G949">
        <v>852</v>
      </c>
      <c r="H949">
        <v>80931353</v>
      </c>
      <c r="I949">
        <v>863087</v>
      </c>
      <c r="J949" t="s">
        <v>21</v>
      </c>
      <c r="K949" t="s">
        <v>22</v>
      </c>
      <c r="L949">
        <v>3</v>
      </c>
      <c r="M949">
        <v>99.71</v>
      </c>
      <c r="N949">
        <v>883197</v>
      </c>
      <c r="O949">
        <v>1</v>
      </c>
    </row>
    <row r="950" spans="1:15">
      <c r="A950" t="s">
        <v>976</v>
      </c>
      <c r="B950" t="s">
        <v>32</v>
      </c>
      <c r="C950">
        <v>11</v>
      </c>
      <c r="D950">
        <v>33617327</v>
      </c>
      <c r="E950">
        <v>2</v>
      </c>
      <c r="F950">
        <v>13</v>
      </c>
      <c r="G950">
        <v>497</v>
      </c>
      <c r="H950">
        <v>32390167</v>
      </c>
      <c r="I950">
        <v>518344</v>
      </c>
      <c r="J950" t="s">
        <v>17</v>
      </c>
      <c r="K950" t="s">
        <v>30</v>
      </c>
      <c r="L950">
        <v>1</v>
      </c>
      <c r="M950">
        <v>90.14</v>
      </c>
      <c r="N950">
        <v>632246</v>
      </c>
      <c r="O950">
        <v>1</v>
      </c>
    </row>
    <row r="951" spans="1:15">
      <c r="A951" t="s">
        <v>977</v>
      </c>
      <c r="B951" t="s">
        <v>20</v>
      </c>
      <c r="C951">
        <v>4</v>
      </c>
      <c r="D951">
        <v>35964724</v>
      </c>
      <c r="E951">
        <v>2</v>
      </c>
      <c r="F951">
        <v>28</v>
      </c>
      <c r="G951">
        <v>256</v>
      </c>
      <c r="H951">
        <v>36479511</v>
      </c>
      <c r="I951">
        <v>573842</v>
      </c>
      <c r="J951" t="s">
        <v>25</v>
      </c>
      <c r="K951" t="s">
        <v>30</v>
      </c>
      <c r="L951">
        <v>3</v>
      </c>
      <c r="M951">
        <v>97.24</v>
      </c>
      <c r="N951">
        <v>142793</v>
      </c>
      <c r="O951">
        <v>1</v>
      </c>
    </row>
    <row r="952" spans="1:15">
      <c r="A952" t="s">
        <v>978</v>
      </c>
      <c r="B952" t="s">
        <v>38</v>
      </c>
      <c r="C952">
        <v>7</v>
      </c>
      <c r="D952">
        <v>32808622</v>
      </c>
      <c r="E952">
        <v>1</v>
      </c>
      <c r="F952">
        <v>28</v>
      </c>
      <c r="G952">
        <v>834</v>
      </c>
      <c r="H952">
        <v>81065175</v>
      </c>
      <c r="I952">
        <v>454888</v>
      </c>
      <c r="J952" t="s">
        <v>25</v>
      </c>
      <c r="K952" t="s">
        <v>22</v>
      </c>
      <c r="L952">
        <v>1</v>
      </c>
      <c r="M952">
        <v>22.15</v>
      </c>
      <c r="N952">
        <v>355093</v>
      </c>
      <c r="O952">
        <v>1</v>
      </c>
    </row>
    <row r="953" spans="1:15">
      <c r="A953" t="s">
        <v>979</v>
      </c>
      <c r="B953" t="s">
        <v>38</v>
      </c>
      <c r="C953">
        <v>11</v>
      </c>
      <c r="D953">
        <v>1907288</v>
      </c>
      <c r="E953">
        <v>2</v>
      </c>
      <c r="F953">
        <v>29</v>
      </c>
      <c r="G953">
        <v>88</v>
      </c>
      <c r="H953">
        <v>1528925</v>
      </c>
      <c r="I953">
        <v>885843</v>
      </c>
      <c r="J953" t="s">
        <v>25</v>
      </c>
      <c r="K953" t="s">
        <v>18</v>
      </c>
      <c r="L953">
        <v>2</v>
      </c>
      <c r="M953">
        <v>2.77</v>
      </c>
      <c r="N953">
        <v>943549</v>
      </c>
      <c r="O953">
        <v>1</v>
      </c>
    </row>
    <row r="954" spans="1:15">
      <c r="A954" t="s">
        <v>980</v>
      </c>
      <c r="B954" t="s">
        <v>27</v>
      </c>
      <c r="C954">
        <v>2</v>
      </c>
      <c r="D954">
        <v>37249458</v>
      </c>
      <c r="E954">
        <v>3</v>
      </c>
      <c r="F954">
        <v>1</v>
      </c>
      <c r="G954">
        <v>73</v>
      </c>
      <c r="H954">
        <v>59651051</v>
      </c>
      <c r="I954">
        <v>717858</v>
      </c>
      <c r="J954" t="s">
        <v>25</v>
      </c>
      <c r="K954" t="s">
        <v>18</v>
      </c>
      <c r="L954">
        <v>5</v>
      </c>
      <c r="M954">
        <v>28.14</v>
      </c>
      <c r="N954">
        <v>663693</v>
      </c>
      <c r="O954">
        <v>1</v>
      </c>
    </row>
    <row r="955" spans="1:15">
      <c r="A955" t="s">
        <v>981</v>
      </c>
      <c r="B955" t="s">
        <v>32</v>
      </c>
      <c r="C955">
        <v>12</v>
      </c>
      <c r="D955">
        <v>42663931</v>
      </c>
      <c r="E955">
        <v>1</v>
      </c>
      <c r="F955">
        <v>28</v>
      </c>
      <c r="G955">
        <v>455</v>
      </c>
      <c r="H955">
        <v>47914423</v>
      </c>
      <c r="I955">
        <v>103857</v>
      </c>
      <c r="J955" t="s">
        <v>17</v>
      </c>
      <c r="K955" t="s">
        <v>30</v>
      </c>
      <c r="L955">
        <v>7</v>
      </c>
      <c r="M955">
        <v>81.69</v>
      </c>
      <c r="N955">
        <v>457980</v>
      </c>
      <c r="O955">
        <v>1</v>
      </c>
    </row>
    <row r="956" spans="1:15">
      <c r="A956" t="s">
        <v>982</v>
      </c>
      <c r="B956" t="s">
        <v>24</v>
      </c>
      <c r="C956">
        <v>0</v>
      </c>
      <c r="D956">
        <v>5819114</v>
      </c>
      <c r="E956">
        <v>1</v>
      </c>
      <c r="F956">
        <v>28</v>
      </c>
      <c r="G956">
        <v>149</v>
      </c>
      <c r="H956">
        <v>72055564</v>
      </c>
      <c r="I956">
        <v>275107</v>
      </c>
      <c r="J956" t="s">
        <v>21</v>
      </c>
      <c r="K956" t="s">
        <v>18</v>
      </c>
      <c r="L956">
        <v>6</v>
      </c>
      <c r="M956">
        <v>0.65</v>
      </c>
      <c r="N956">
        <v>878402</v>
      </c>
      <c r="O956">
        <v>1</v>
      </c>
    </row>
    <row r="957" spans="1:15">
      <c r="A957" t="s">
        <v>983</v>
      </c>
      <c r="B957" t="s">
        <v>20</v>
      </c>
      <c r="C957">
        <v>5</v>
      </c>
      <c r="D957">
        <v>37883507</v>
      </c>
      <c r="E957">
        <v>2</v>
      </c>
      <c r="F957">
        <v>13</v>
      </c>
      <c r="G957">
        <v>354</v>
      </c>
      <c r="H957">
        <v>62970973</v>
      </c>
      <c r="I957">
        <v>438624</v>
      </c>
      <c r="J957" t="s">
        <v>25</v>
      </c>
      <c r="K957" t="s">
        <v>30</v>
      </c>
      <c r="L957">
        <v>9</v>
      </c>
      <c r="M957">
        <v>74.27</v>
      </c>
      <c r="N957">
        <v>296177</v>
      </c>
      <c r="O957">
        <v>1</v>
      </c>
    </row>
    <row r="958" spans="1:15">
      <c r="A958" t="s">
        <v>984</v>
      </c>
      <c r="B958" t="s">
        <v>16</v>
      </c>
      <c r="C958">
        <v>1</v>
      </c>
      <c r="D958">
        <v>34787231</v>
      </c>
      <c r="E958">
        <v>4</v>
      </c>
      <c r="F958">
        <v>4</v>
      </c>
      <c r="G958">
        <v>507</v>
      </c>
      <c r="H958">
        <v>24347141</v>
      </c>
      <c r="I958">
        <v>447507</v>
      </c>
      <c r="J958" t="s">
        <v>25</v>
      </c>
      <c r="K958" t="s">
        <v>30</v>
      </c>
      <c r="L958">
        <v>1</v>
      </c>
      <c r="M958">
        <v>95.49</v>
      </c>
      <c r="N958">
        <v>238715</v>
      </c>
      <c r="O958">
        <v>1</v>
      </c>
    </row>
    <row r="959" spans="1:15">
      <c r="A959" t="s">
        <v>985</v>
      </c>
      <c r="B959" t="s">
        <v>38</v>
      </c>
      <c r="C959">
        <v>9</v>
      </c>
      <c r="D959">
        <v>4900373</v>
      </c>
      <c r="E959">
        <v>1</v>
      </c>
      <c r="F959">
        <v>17</v>
      </c>
      <c r="G959">
        <v>563</v>
      </c>
      <c r="H959">
        <v>95285509</v>
      </c>
      <c r="I959">
        <v>493576</v>
      </c>
      <c r="J959" t="s">
        <v>21</v>
      </c>
      <c r="K959" t="s">
        <v>22</v>
      </c>
      <c r="L959">
        <v>7</v>
      </c>
      <c r="M959">
        <v>46.95</v>
      </c>
      <c r="N959">
        <v>333087</v>
      </c>
      <c r="O959">
        <v>1</v>
      </c>
    </row>
    <row r="960" spans="1:15">
      <c r="A960" t="s">
        <v>986</v>
      </c>
      <c r="B960" t="s">
        <v>16</v>
      </c>
      <c r="C960">
        <v>13</v>
      </c>
      <c r="D960">
        <v>15797947</v>
      </c>
      <c r="E960">
        <v>3</v>
      </c>
      <c r="F960">
        <v>17</v>
      </c>
      <c r="G960">
        <v>288</v>
      </c>
      <c r="H960">
        <v>90364824</v>
      </c>
      <c r="I960">
        <v>577786</v>
      </c>
      <c r="J960" t="s">
        <v>25</v>
      </c>
      <c r="K960" t="s">
        <v>22</v>
      </c>
      <c r="L960">
        <v>8</v>
      </c>
      <c r="M960">
        <v>51.24</v>
      </c>
      <c r="N960">
        <v>363626</v>
      </c>
      <c r="O960">
        <v>1</v>
      </c>
    </row>
    <row r="961" spans="1:15">
      <c r="A961" t="s">
        <v>987</v>
      </c>
      <c r="B961" t="s">
        <v>32</v>
      </c>
      <c r="C961">
        <v>5</v>
      </c>
      <c r="D961">
        <v>30238779</v>
      </c>
      <c r="E961">
        <v>1</v>
      </c>
      <c r="F961">
        <v>5</v>
      </c>
      <c r="G961">
        <v>244</v>
      </c>
      <c r="H961">
        <v>28673315</v>
      </c>
      <c r="I961">
        <v>123082</v>
      </c>
      <c r="J961" t="s">
        <v>21</v>
      </c>
      <c r="K961" t="s">
        <v>18</v>
      </c>
      <c r="L961">
        <v>1</v>
      </c>
      <c r="M961">
        <v>30.19</v>
      </c>
      <c r="N961">
        <v>886119</v>
      </c>
      <c r="O961">
        <v>1</v>
      </c>
    </row>
    <row r="962" spans="1:15">
      <c r="A962" t="s">
        <v>988</v>
      </c>
      <c r="B962" t="s">
        <v>24</v>
      </c>
      <c r="C962">
        <v>13</v>
      </c>
      <c r="D962">
        <v>4406720</v>
      </c>
      <c r="E962">
        <v>4</v>
      </c>
      <c r="F962">
        <v>25</v>
      </c>
      <c r="G962">
        <v>651</v>
      </c>
      <c r="H962">
        <v>63310931</v>
      </c>
      <c r="I962">
        <v>61186</v>
      </c>
      <c r="J962" t="s">
        <v>21</v>
      </c>
      <c r="K962" t="s">
        <v>18</v>
      </c>
      <c r="L962">
        <v>6</v>
      </c>
      <c r="M962">
        <v>86.08</v>
      </c>
      <c r="N962">
        <v>441819</v>
      </c>
      <c r="O962">
        <v>1</v>
      </c>
    </row>
    <row r="963" spans="1:15">
      <c r="A963" t="s">
        <v>989</v>
      </c>
      <c r="B963" t="s">
        <v>27</v>
      </c>
      <c r="C963">
        <v>14</v>
      </c>
      <c r="D963">
        <v>41664724</v>
      </c>
      <c r="E963">
        <v>2</v>
      </c>
      <c r="F963">
        <v>18</v>
      </c>
      <c r="G963">
        <v>240</v>
      </c>
      <c r="H963">
        <v>31349720</v>
      </c>
      <c r="I963">
        <v>902484</v>
      </c>
      <c r="J963" t="s">
        <v>17</v>
      </c>
      <c r="K963" t="s">
        <v>22</v>
      </c>
      <c r="L963">
        <v>5</v>
      </c>
      <c r="M963">
        <v>17.260000000000002</v>
      </c>
      <c r="N963">
        <v>319539</v>
      </c>
      <c r="O963">
        <v>1</v>
      </c>
    </row>
    <row r="964" spans="1:15">
      <c r="A964" t="s">
        <v>990</v>
      </c>
      <c r="B964" t="s">
        <v>29</v>
      </c>
      <c r="C964">
        <v>7</v>
      </c>
      <c r="D964">
        <v>2875757</v>
      </c>
      <c r="E964">
        <v>4</v>
      </c>
      <c r="F964">
        <v>6</v>
      </c>
      <c r="G964">
        <v>743</v>
      </c>
      <c r="H964">
        <v>94240601</v>
      </c>
      <c r="I964">
        <v>703490</v>
      </c>
      <c r="J964" t="s">
        <v>25</v>
      </c>
      <c r="K964" t="s">
        <v>18</v>
      </c>
      <c r="L964">
        <v>1</v>
      </c>
      <c r="M964">
        <v>85.55</v>
      </c>
      <c r="N964">
        <v>270805</v>
      </c>
      <c r="O964">
        <v>1</v>
      </c>
    </row>
    <row r="965" spans="1:15">
      <c r="A965" t="s">
        <v>991</v>
      </c>
      <c r="B965" t="s">
        <v>20</v>
      </c>
      <c r="C965">
        <v>10</v>
      </c>
      <c r="D965">
        <v>2266240</v>
      </c>
      <c r="E965">
        <v>1</v>
      </c>
      <c r="F965">
        <v>21</v>
      </c>
      <c r="G965">
        <v>425</v>
      </c>
      <c r="H965">
        <v>98884665</v>
      </c>
      <c r="I965">
        <v>249072</v>
      </c>
      <c r="J965" t="s">
        <v>17</v>
      </c>
      <c r="K965" t="s">
        <v>18</v>
      </c>
      <c r="L965">
        <v>6</v>
      </c>
      <c r="M965">
        <v>74.27</v>
      </c>
      <c r="N965">
        <v>103440</v>
      </c>
      <c r="O965">
        <v>1</v>
      </c>
    </row>
    <row r="966" spans="1:15">
      <c r="A966" t="s">
        <v>992</v>
      </c>
      <c r="B966" t="s">
        <v>38</v>
      </c>
      <c r="C966">
        <v>11</v>
      </c>
      <c r="D966">
        <v>9196091</v>
      </c>
      <c r="E966">
        <v>1</v>
      </c>
      <c r="F966">
        <v>26</v>
      </c>
      <c r="G966">
        <v>410</v>
      </c>
      <c r="H966">
        <v>16221309</v>
      </c>
      <c r="I966">
        <v>466797</v>
      </c>
      <c r="J966" t="s">
        <v>21</v>
      </c>
      <c r="K966" t="s">
        <v>18</v>
      </c>
      <c r="L966">
        <v>5</v>
      </c>
      <c r="M966">
        <v>24.09</v>
      </c>
      <c r="N966">
        <v>841733</v>
      </c>
      <c r="O966">
        <v>1</v>
      </c>
    </row>
    <row r="967" spans="1:15">
      <c r="A967" t="s">
        <v>993</v>
      </c>
      <c r="B967" t="s">
        <v>24</v>
      </c>
      <c r="C967">
        <v>2</v>
      </c>
      <c r="D967">
        <v>43430606</v>
      </c>
      <c r="E967">
        <v>4</v>
      </c>
      <c r="F967">
        <v>1</v>
      </c>
      <c r="G967">
        <v>15</v>
      </c>
      <c r="H967">
        <v>47636919</v>
      </c>
      <c r="I967">
        <v>464580</v>
      </c>
      <c r="J967" t="s">
        <v>17</v>
      </c>
      <c r="K967" t="s">
        <v>18</v>
      </c>
      <c r="L967">
        <v>3</v>
      </c>
      <c r="M967">
        <v>12.41</v>
      </c>
      <c r="N967">
        <v>465299</v>
      </c>
      <c r="O967">
        <v>1</v>
      </c>
    </row>
    <row r="968" spans="1:15">
      <c r="A968" t="s">
        <v>994</v>
      </c>
      <c r="B968" t="s">
        <v>27</v>
      </c>
      <c r="C968">
        <v>7</v>
      </c>
      <c r="D968">
        <v>42266019</v>
      </c>
      <c r="E968">
        <v>3</v>
      </c>
      <c r="F968">
        <v>1</v>
      </c>
      <c r="G968">
        <v>409</v>
      </c>
      <c r="H968">
        <v>63386772</v>
      </c>
      <c r="I968">
        <v>76036</v>
      </c>
      <c r="J968" t="s">
        <v>25</v>
      </c>
      <c r="K968" t="s">
        <v>30</v>
      </c>
      <c r="L968">
        <v>2</v>
      </c>
      <c r="M968">
        <v>40.89</v>
      </c>
      <c r="N968">
        <v>524558</v>
      </c>
      <c r="O968">
        <v>1</v>
      </c>
    </row>
    <row r="969" spans="1:15">
      <c r="A969" t="s">
        <v>995</v>
      </c>
      <c r="B969" t="s">
        <v>29</v>
      </c>
      <c r="C969">
        <v>6</v>
      </c>
      <c r="D969">
        <v>42919305</v>
      </c>
      <c r="E969">
        <v>1</v>
      </c>
      <c r="F969">
        <v>21</v>
      </c>
      <c r="G969">
        <v>351</v>
      </c>
      <c r="H969">
        <v>82333753</v>
      </c>
      <c r="I969">
        <v>437066</v>
      </c>
      <c r="J969" t="s">
        <v>21</v>
      </c>
      <c r="K969" t="s">
        <v>18</v>
      </c>
      <c r="L969">
        <v>7</v>
      </c>
      <c r="M969">
        <v>93.59</v>
      </c>
      <c r="N969">
        <v>87465</v>
      </c>
      <c r="O969">
        <v>1</v>
      </c>
    </row>
    <row r="970" spans="1:15">
      <c r="A970" t="s">
        <v>996</v>
      </c>
      <c r="B970" t="s">
        <v>20</v>
      </c>
      <c r="C970">
        <v>4</v>
      </c>
      <c r="D970">
        <v>32093829</v>
      </c>
      <c r="E970">
        <v>1</v>
      </c>
      <c r="F970">
        <v>24</v>
      </c>
      <c r="G970">
        <v>108</v>
      </c>
      <c r="H970">
        <v>12973580</v>
      </c>
      <c r="I970">
        <v>898310</v>
      </c>
      <c r="J970" t="s">
        <v>25</v>
      </c>
      <c r="K970" t="s">
        <v>30</v>
      </c>
      <c r="L970">
        <v>2</v>
      </c>
      <c r="M970">
        <v>18.309999999999999</v>
      </c>
      <c r="N970">
        <v>551552</v>
      </c>
      <c r="O970">
        <v>1</v>
      </c>
    </row>
    <row r="971" spans="1:15">
      <c r="A971" t="s">
        <v>997</v>
      </c>
      <c r="B971" t="s">
        <v>27</v>
      </c>
      <c r="C971">
        <v>14</v>
      </c>
      <c r="D971">
        <v>22546199</v>
      </c>
      <c r="E971">
        <v>4</v>
      </c>
      <c r="F971">
        <v>16</v>
      </c>
      <c r="G971">
        <v>772</v>
      </c>
      <c r="H971">
        <v>52215282</v>
      </c>
      <c r="I971">
        <v>774329</v>
      </c>
      <c r="J971" t="s">
        <v>17</v>
      </c>
      <c r="K971" t="s">
        <v>30</v>
      </c>
      <c r="L971">
        <v>2</v>
      </c>
      <c r="M971">
        <v>61.98</v>
      </c>
      <c r="N971">
        <v>888330</v>
      </c>
      <c r="O971">
        <v>1</v>
      </c>
    </row>
    <row r="972" spans="1:15">
      <c r="A972" t="s">
        <v>998</v>
      </c>
      <c r="B972" t="s">
        <v>24</v>
      </c>
      <c r="C972">
        <v>2</v>
      </c>
      <c r="D972">
        <v>44185894</v>
      </c>
      <c r="E972">
        <v>2</v>
      </c>
      <c r="F972">
        <v>23</v>
      </c>
      <c r="G972">
        <v>228</v>
      </c>
      <c r="H972">
        <v>81076356</v>
      </c>
      <c r="I972">
        <v>870608</v>
      </c>
      <c r="J972" t="s">
        <v>21</v>
      </c>
      <c r="K972" t="s">
        <v>30</v>
      </c>
      <c r="L972">
        <v>5</v>
      </c>
      <c r="M972">
        <v>86.94</v>
      </c>
      <c r="N972">
        <v>437442</v>
      </c>
      <c r="O972">
        <v>1</v>
      </c>
    </row>
    <row r="973" spans="1:15">
      <c r="A973" t="s">
        <v>999</v>
      </c>
      <c r="B973" t="s">
        <v>16</v>
      </c>
      <c r="C973">
        <v>8</v>
      </c>
      <c r="D973">
        <v>38883063</v>
      </c>
      <c r="E973">
        <v>3</v>
      </c>
      <c r="F973">
        <v>16</v>
      </c>
      <c r="G973">
        <v>626</v>
      </c>
      <c r="H973">
        <v>51263313</v>
      </c>
      <c r="I973">
        <v>913905</v>
      </c>
      <c r="J973" t="s">
        <v>21</v>
      </c>
      <c r="K973" t="s">
        <v>30</v>
      </c>
      <c r="L973">
        <v>3</v>
      </c>
      <c r="M973">
        <v>0.98</v>
      </c>
      <c r="N973">
        <v>874045</v>
      </c>
      <c r="O973">
        <v>1</v>
      </c>
    </row>
    <row r="974" spans="1:15">
      <c r="A974" t="s">
        <v>1000</v>
      </c>
      <c r="B974" t="s">
        <v>32</v>
      </c>
      <c r="C974">
        <v>3</v>
      </c>
      <c r="D974">
        <v>5921951</v>
      </c>
      <c r="E974">
        <v>3</v>
      </c>
      <c r="F974">
        <v>6</v>
      </c>
      <c r="G974">
        <v>594</v>
      </c>
      <c r="H974">
        <v>58638717</v>
      </c>
      <c r="I974">
        <v>483517</v>
      </c>
      <c r="J974" t="s">
        <v>21</v>
      </c>
      <c r="K974" t="s">
        <v>30</v>
      </c>
      <c r="L974">
        <v>2</v>
      </c>
      <c r="M974">
        <v>99.41</v>
      </c>
      <c r="N974">
        <v>638952</v>
      </c>
      <c r="O974">
        <v>1</v>
      </c>
    </row>
    <row r="975" spans="1:15">
      <c r="A975" t="s">
        <v>1001</v>
      </c>
      <c r="B975" t="s">
        <v>16</v>
      </c>
      <c r="C975">
        <v>11</v>
      </c>
      <c r="D975">
        <v>43713014</v>
      </c>
      <c r="E975">
        <v>1</v>
      </c>
      <c r="F975">
        <v>18</v>
      </c>
      <c r="G975">
        <v>814</v>
      </c>
      <c r="H975">
        <v>56162586</v>
      </c>
      <c r="I975">
        <v>69464</v>
      </c>
      <c r="J975" t="s">
        <v>25</v>
      </c>
      <c r="K975" t="s">
        <v>22</v>
      </c>
      <c r="L975">
        <v>7</v>
      </c>
      <c r="M975">
        <v>74.459999999999994</v>
      </c>
      <c r="N975">
        <v>895743</v>
      </c>
      <c r="O975">
        <v>1</v>
      </c>
    </row>
    <row r="976" spans="1:15">
      <c r="A976" t="s">
        <v>1002</v>
      </c>
      <c r="B976" t="s">
        <v>16</v>
      </c>
      <c r="C976">
        <v>14</v>
      </c>
      <c r="D976">
        <v>2369519</v>
      </c>
      <c r="E976">
        <v>1</v>
      </c>
      <c r="F976">
        <v>26</v>
      </c>
      <c r="G976">
        <v>101</v>
      </c>
      <c r="H976">
        <v>32876988</v>
      </c>
      <c r="I976">
        <v>715431</v>
      </c>
      <c r="J976" t="s">
        <v>25</v>
      </c>
      <c r="K976" t="s">
        <v>30</v>
      </c>
      <c r="L976">
        <v>2</v>
      </c>
      <c r="M976">
        <v>31.81</v>
      </c>
      <c r="N976">
        <v>416684</v>
      </c>
      <c r="O976">
        <v>1</v>
      </c>
    </row>
    <row r="977" spans="1:15">
      <c r="A977" t="s">
        <v>1003</v>
      </c>
      <c r="B977" t="s">
        <v>32</v>
      </c>
      <c r="C977">
        <v>12</v>
      </c>
      <c r="D977">
        <v>11604785</v>
      </c>
      <c r="E977">
        <v>3</v>
      </c>
      <c r="F977">
        <v>23</v>
      </c>
      <c r="G977">
        <v>214</v>
      </c>
      <c r="H977">
        <v>79715737</v>
      </c>
      <c r="I977">
        <v>7941</v>
      </c>
      <c r="J977" t="s">
        <v>25</v>
      </c>
      <c r="K977" t="s">
        <v>18</v>
      </c>
      <c r="L977">
        <v>1</v>
      </c>
      <c r="M977">
        <v>15.55</v>
      </c>
      <c r="N977">
        <v>640690</v>
      </c>
      <c r="O977">
        <v>1</v>
      </c>
    </row>
    <row r="978" spans="1:15">
      <c r="A978" t="s">
        <v>1004</v>
      </c>
      <c r="B978" t="s">
        <v>38</v>
      </c>
      <c r="C978">
        <v>1</v>
      </c>
      <c r="D978">
        <v>32276163</v>
      </c>
      <c r="E978">
        <v>1</v>
      </c>
      <c r="F978">
        <v>14</v>
      </c>
      <c r="G978">
        <v>448</v>
      </c>
      <c r="H978">
        <v>1254391</v>
      </c>
      <c r="I978">
        <v>517900</v>
      </c>
      <c r="J978" t="s">
        <v>17</v>
      </c>
      <c r="K978" t="s">
        <v>30</v>
      </c>
      <c r="L978">
        <v>2</v>
      </c>
      <c r="M978">
        <v>25.48</v>
      </c>
      <c r="N978">
        <v>425191</v>
      </c>
      <c r="O978">
        <v>1</v>
      </c>
    </row>
    <row r="979" spans="1:15">
      <c r="A979" t="s">
        <v>1005</v>
      </c>
      <c r="B979" t="s">
        <v>16</v>
      </c>
      <c r="C979">
        <v>2</v>
      </c>
      <c r="D979">
        <v>46743851</v>
      </c>
      <c r="E979">
        <v>3</v>
      </c>
      <c r="F979">
        <v>29</v>
      </c>
      <c r="G979">
        <v>615</v>
      </c>
      <c r="H979">
        <v>6806848</v>
      </c>
      <c r="I979">
        <v>793729</v>
      </c>
      <c r="J979" t="s">
        <v>17</v>
      </c>
      <c r="K979" t="s">
        <v>18</v>
      </c>
      <c r="L979">
        <v>3</v>
      </c>
      <c r="M979">
        <v>16.2</v>
      </c>
      <c r="N979">
        <v>405069</v>
      </c>
      <c r="O979">
        <v>1</v>
      </c>
    </row>
    <row r="980" spans="1:15">
      <c r="A980" t="s">
        <v>1006</v>
      </c>
      <c r="B980" t="s">
        <v>20</v>
      </c>
      <c r="C980">
        <v>9</v>
      </c>
      <c r="D980">
        <v>44873614</v>
      </c>
      <c r="E980">
        <v>3</v>
      </c>
      <c r="F980">
        <v>2</v>
      </c>
      <c r="G980">
        <v>714</v>
      </c>
      <c r="H980">
        <v>90373733</v>
      </c>
      <c r="I980">
        <v>70062</v>
      </c>
      <c r="J980" t="s">
        <v>17</v>
      </c>
      <c r="K980" t="s">
        <v>30</v>
      </c>
      <c r="L980">
        <v>5</v>
      </c>
      <c r="M980">
        <v>61.11</v>
      </c>
      <c r="N980">
        <v>895206</v>
      </c>
      <c r="O980">
        <v>1</v>
      </c>
    </row>
    <row r="981" spans="1:15">
      <c r="A981" t="s">
        <v>1007</v>
      </c>
      <c r="B981" t="s">
        <v>29</v>
      </c>
      <c r="C981">
        <v>8</v>
      </c>
      <c r="D981">
        <v>45181300</v>
      </c>
      <c r="E981">
        <v>2</v>
      </c>
      <c r="F981">
        <v>6</v>
      </c>
      <c r="G981">
        <v>905</v>
      </c>
      <c r="H981">
        <v>57188512</v>
      </c>
      <c r="I981">
        <v>255839</v>
      </c>
      <c r="J981" t="s">
        <v>21</v>
      </c>
      <c r="K981" t="s">
        <v>30</v>
      </c>
      <c r="L981">
        <v>6</v>
      </c>
      <c r="M981">
        <v>99.18</v>
      </c>
      <c r="N981">
        <v>842028</v>
      </c>
      <c r="O981">
        <v>1</v>
      </c>
    </row>
    <row r="982" spans="1:15">
      <c r="A982" t="s">
        <v>1008</v>
      </c>
      <c r="B982" t="s">
        <v>20</v>
      </c>
      <c r="C982">
        <v>2</v>
      </c>
      <c r="D982">
        <v>24721270</v>
      </c>
      <c r="E982">
        <v>4</v>
      </c>
      <c r="F982">
        <v>10</v>
      </c>
      <c r="G982">
        <v>788</v>
      </c>
      <c r="H982">
        <v>13037658</v>
      </c>
      <c r="I982">
        <v>493750</v>
      </c>
      <c r="J982" t="s">
        <v>17</v>
      </c>
      <c r="K982" t="s">
        <v>18</v>
      </c>
      <c r="L982">
        <v>5</v>
      </c>
      <c r="M982">
        <v>88.21</v>
      </c>
      <c r="N982">
        <v>304019</v>
      </c>
      <c r="O982">
        <v>1</v>
      </c>
    </row>
    <row r="983" spans="1:15">
      <c r="A983" t="s">
        <v>1009</v>
      </c>
      <c r="B983" t="s">
        <v>27</v>
      </c>
      <c r="C983">
        <v>4</v>
      </c>
      <c r="D983">
        <v>37409348</v>
      </c>
      <c r="E983">
        <v>4</v>
      </c>
      <c r="F983">
        <v>21</v>
      </c>
      <c r="G983">
        <v>557</v>
      </c>
      <c r="H983">
        <v>96369451</v>
      </c>
      <c r="I983">
        <v>199930</v>
      </c>
      <c r="J983" t="s">
        <v>17</v>
      </c>
      <c r="K983" t="s">
        <v>18</v>
      </c>
      <c r="L983">
        <v>5</v>
      </c>
      <c r="M983">
        <v>33.29</v>
      </c>
      <c r="N983">
        <v>756342</v>
      </c>
      <c r="O983">
        <v>1</v>
      </c>
    </row>
    <row r="984" spans="1:15">
      <c r="A984" t="s">
        <v>1010</v>
      </c>
      <c r="B984" t="s">
        <v>38</v>
      </c>
      <c r="C984">
        <v>9</v>
      </c>
      <c r="D984">
        <v>1641954</v>
      </c>
      <c r="E984">
        <v>4</v>
      </c>
      <c r="F984">
        <v>25</v>
      </c>
      <c r="G984">
        <v>109</v>
      </c>
      <c r="H984">
        <v>61326685</v>
      </c>
      <c r="I984">
        <v>772977</v>
      </c>
      <c r="J984" t="s">
        <v>17</v>
      </c>
      <c r="K984" t="s">
        <v>18</v>
      </c>
      <c r="L984">
        <v>2</v>
      </c>
      <c r="M984">
        <v>45.76</v>
      </c>
      <c r="N984">
        <v>123618</v>
      </c>
      <c r="O984">
        <v>1</v>
      </c>
    </row>
    <row r="985" spans="1:15">
      <c r="A985" t="s">
        <v>1011</v>
      </c>
      <c r="B985" t="s">
        <v>24</v>
      </c>
      <c r="C985">
        <v>0</v>
      </c>
      <c r="D985">
        <v>33950547</v>
      </c>
      <c r="E985">
        <v>4</v>
      </c>
      <c r="F985">
        <v>15</v>
      </c>
      <c r="G985">
        <v>113</v>
      </c>
      <c r="H985">
        <v>18668227</v>
      </c>
      <c r="I985">
        <v>150603</v>
      </c>
      <c r="J985" t="s">
        <v>25</v>
      </c>
      <c r="K985" t="s">
        <v>18</v>
      </c>
      <c r="L985">
        <v>4</v>
      </c>
      <c r="M985">
        <v>6.58</v>
      </c>
      <c r="N985">
        <v>568541</v>
      </c>
      <c r="O985">
        <v>1</v>
      </c>
    </row>
    <row r="986" spans="1:15">
      <c r="A986" t="s">
        <v>1012</v>
      </c>
      <c r="B986" t="s">
        <v>38</v>
      </c>
      <c r="C986">
        <v>11</v>
      </c>
      <c r="D986">
        <v>13071840</v>
      </c>
      <c r="E986">
        <v>2</v>
      </c>
      <c r="F986">
        <v>10</v>
      </c>
      <c r="G986">
        <v>311</v>
      </c>
      <c r="H986">
        <v>64701317</v>
      </c>
      <c r="I986">
        <v>247001</v>
      </c>
      <c r="J986" t="s">
        <v>17</v>
      </c>
      <c r="K986" t="s">
        <v>30</v>
      </c>
      <c r="L986">
        <v>7</v>
      </c>
      <c r="M986">
        <v>81.78</v>
      </c>
      <c r="N986">
        <v>324984</v>
      </c>
      <c r="O986">
        <v>1</v>
      </c>
    </row>
    <row r="987" spans="1:15">
      <c r="A987" t="s">
        <v>1013</v>
      </c>
      <c r="B987" t="s">
        <v>38</v>
      </c>
      <c r="C987">
        <v>9</v>
      </c>
      <c r="D987">
        <v>47677744</v>
      </c>
      <c r="E987">
        <v>2</v>
      </c>
      <c r="F987">
        <v>4</v>
      </c>
      <c r="G987">
        <v>556</v>
      </c>
      <c r="H987">
        <v>52523276</v>
      </c>
      <c r="I987">
        <v>782046</v>
      </c>
      <c r="J987" t="s">
        <v>25</v>
      </c>
      <c r="K987" t="s">
        <v>18</v>
      </c>
      <c r="L987">
        <v>1</v>
      </c>
      <c r="M987">
        <v>38.31</v>
      </c>
      <c r="N987">
        <v>34027</v>
      </c>
      <c r="O987">
        <v>1</v>
      </c>
    </row>
    <row r="988" spans="1:15">
      <c r="A988" t="s">
        <v>1014</v>
      </c>
      <c r="B988" t="s">
        <v>20</v>
      </c>
      <c r="C988">
        <v>4</v>
      </c>
      <c r="D988">
        <v>22843459</v>
      </c>
      <c r="E988">
        <v>3</v>
      </c>
      <c r="F988">
        <v>18</v>
      </c>
      <c r="G988">
        <v>466</v>
      </c>
      <c r="H988">
        <v>47347912</v>
      </c>
      <c r="I988">
        <v>739688</v>
      </c>
      <c r="J988" t="s">
        <v>17</v>
      </c>
      <c r="K988" t="s">
        <v>18</v>
      </c>
      <c r="L988">
        <v>2</v>
      </c>
      <c r="M988">
        <v>50.84</v>
      </c>
      <c r="N988">
        <v>249948</v>
      </c>
      <c r="O988">
        <v>1</v>
      </c>
    </row>
    <row r="989" spans="1:15">
      <c r="A989" t="s">
        <v>1015</v>
      </c>
      <c r="B989" t="s">
        <v>32</v>
      </c>
      <c r="C989">
        <v>12</v>
      </c>
      <c r="D989">
        <v>49207779</v>
      </c>
      <c r="E989">
        <v>1</v>
      </c>
      <c r="F989">
        <v>26</v>
      </c>
      <c r="G989">
        <v>212</v>
      </c>
      <c r="H989">
        <v>2335580</v>
      </c>
      <c r="I989">
        <v>387528</v>
      </c>
      <c r="J989" t="s">
        <v>17</v>
      </c>
      <c r="K989" t="s">
        <v>22</v>
      </c>
      <c r="L989">
        <v>4</v>
      </c>
      <c r="M989">
        <v>56.38</v>
      </c>
      <c r="N989">
        <v>254321</v>
      </c>
      <c r="O989">
        <v>1</v>
      </c>
    </row>
    <row r="990" spans="1:15">
      <c r="A990" t="s">
        <v>1016</v>
      </c>
      <c r="B990" t="s">
        <v>29</v>
      </c>
      <c r="C990">
        <v>14</v>
      </c>
      <c r="D990">
        <v>45876375</v>
      </c>
      <c r="E990">
        <v>2</v>
      </c>
      <c r="F990">
        <v>17</v>
      </c>
      <c r="G990">
        <v>932</v>
      </c>
      <c r="H990">
        <v>2921772</v>
      </c>
      <c r="I990">
        <v>247954</v>
      </c>
      <c r="J990" t="s">
        <v>25</v>
      </c>
      <c r="K990" t="s">
        <v>18</v>
      </c>
      <c r="L990">
        <v>6</v>
      </c>
      <c r="M990">
        <v>80.22</v>
      </c>
      <c r="N990">
        <v>942622</v>
      </c>
      <c r="O990">
        <v>1</v>
      </c>
    </row>
    <row r="991" spans="1:15">
      <c r="A991" t="s">
        <v>1017</v>
      </c>
      <c r="B991" t="s">
        <v>29</v>
      </c>
      <c r="C991">
        <v>2</v>
      </c>
      <c r="D991">
        <v>23026622</v>
      </c>
      <c r="E991">
        <v>3</v>
      </c>
      <c r="F991">
        <v>13</v>
      </c>
      <c r="G991">
        <v>36</v>
      </c>
      <c r="H991">
        <v>91660882</v>
      </c>
      <c r="I991">
        <v>233750</v>
      </c>
      <c r="J991" t="s">
        <v>25</v>
      </c>
      <c r="K991" t="s">
        <v>30</v>
      </c>
      <c r="L991">
        <v>4</v>
      </c>
      <c r="M991">
        <v>99.87</v>
      </c>
      <c r="N991">
        <v>757872</v>
      </c>
      <c r="O991">
        <v>1</v>
      </c>
    </row>
    <row r="992" spans="1:15">
      <c r="A992" t="s">
        <v>1018</v>
      </c>
      <c r="B992" t="s">
        <v>16</v>
      </c>
      <c r="C992">
        <v>14</v>
      </c>
      <c r="D992">
        <v>2232480</v>
      </c>
      <c r="E992">
        <v>3</v>
      </c>
      <c r="F992">
        <v>27</v>
      </c>
      <c r="G992">
        <v>513</v>
      </c>
      <c r="H992">
        <v>58523177</v>
      </c>
      <c r="I992">
        <v>894843</v>
      </c>
      <c r="J992" t="s">
        <v>21</v>
      </c>
      <c r="K992" t="s">
        <v>30</v>
      </c>
      <c r="L992">
        <v>8</v>
      </c>
      <c r="M992">
        <v>28.53</v>
      </c>
      <c r="N992">
        <v>804873</v>
      </c>
      <c r="O992">
        <v>1</v>
      </c>
    </row>
    <row r="993" spans="1:15">
      <c r="A993" t="s">
        <v>1019</v>
      </c>
      <c r="B993" t="s">
        <v>16</v>
      </c>
      <c r="C993">
        <v>5</v>
      </c>
      <c r="D993">
        <v>22297100</v>
      </c>
      <c r="E993">
        <v>1</v>
      </c>
      <c r="F993">
        <v>19</v>
      </c>
      <c r="G993">
        <v>438</v>
      </c>
      <c r="H993">
        <v>97561336</v>
      </c>
      <c r="I993">
        <v>684787</v>
      </c>
      <c r="J993" t="s">
        <v>25</v>
      </c>
      <c r="K993" t="s">
        <v>18</v>
      </c>
      <c r="L993">
        <v>2</v>
      </c>
      <c r="M993">
        <v>17.440000000000001</v>
      </c>
      <c r="N993">
        <v>141352</v>
      </c>
      <c r="O993">
        <v>1</v>
      </c>
    </row>
    <row r="994" spans="1:15">
      <c r="A994" t="s">
        <v>1020</v>
      </c>
      <c r="B994" t="s">
        <v>29</v>
      </c>
      <c r="C994">
        <v>13</v>
      </c>
      <c r="D994">
        <v>16011166</v>
      </c>
      <c r="E994">
        <v>2</v>
      </c>
      <c r="F994">
        <v>13</v>
      </c>
      <c r="G994">
        <v>406</v>
      </c>
      <c r="H994">
        <v>6311584</v>
      </c>
      <c r="I994">
        <v>704097</v>
      </c>
      <c r="J994" t="s">
        <v>21</v>
      </c>
      <c r="K994" t="s">
        <v>18</v>
      </c>
      <c r="L994">
        <v>7</v>
      </c>
      <c r="M994">
        <v>12.68</v>
      </c>
      <c r="N994">
        <v>635187</v>
      </c>
      <c r="O994">
        <v>1</v>
      </c>
    </row>
    <row r="995" spans="1:15">
      <c r="A995" t="s">
        <v>1021</v>
      </c>
      <c r="B995" t="s">
        <v>20</v>
      </c>
      <c r="C995">
        <v>7</v>
      </c>
      <c r="D995">
        <v>38155149</v>
      </c>
      <c r="E995">
        <v>1</v>
      </c>
      <c r="F995">
        <v>1</v>
      </c>
      <c r="G995">
        <v>882</v>
      </c>
      <c r="H995">
        <v>84766861</v>
      </c>
      <c r="I995">
        <v>485313</v>
      </c>
      <c r="J995" t="s">
        <v>21</v>
      </c>
      <c r="K995" t="s">
        <v>18</v>
      </c>
      <c r="L995">
        <v>5</v>
      </c>
      <c r="M995">
        <v>65.36</v>
      </c>
      <c r="N995">
        <v>425891</v>
      </c>
      <c r="O995">
        <v>1</v>
      </c>
    </row>
    <row r="996" spans="1:15">
      <c r="A996" t="s">
        <v>1022</v>
      </c>
      <c r="B996" t="s">
        <v>20</v>
      </c>
      <c r="C996">
        <v>10</v>
      </c>
      <c r="D996">
        <v>14169401</v>
      </c>
      <c r="E996">
        <v>1</v>
      </c>
      <c r="F996">
        <v>23</v>
      </c>
      <c r="G996">
        <v>334</v>
      </c>
      <c r="H996">
        <v>12768460</v>
      </c>
      <c r="I996">
        <v>196023</v>
      </c>
      <c r="J996" t="s">
        <v>25</v>
      </c>
      <c r="K996" t="s">
        <v>18</v>
      </c>
      <c r="L996">
        <v>2</v>
      </c>
      <c r="M996">
        <v>35.75</v>
      </c>
      <c r="N996">
        <v>792812</v>
      </c>
      <c r="O996">
        <v>1</v>
      </c>
    </row>
    <row r="997" spans="1:15">
      <c r="A997" t="s">
        <v>1023</v>
      </c>
      <c r="B997" t="s">
        <v>20</v>
      </c>
      <c r="C997">
        <v>7</v>
      </c>
      <c r="D997">
        <v>14837009</v>
      </c>
      <c r="E997">
        <v>1</v>
      </c>
      <c r="F997">
        <v>18</v>
      </c>
      <c r="G997">
        <v>919</v>
      </c>
      <c r="H997">
        <v>21175491</v>
      </c>
      <c r="I997">
        <v>52866</v>
      </c>
      <c r="J997" t="s">
        <v>21</v>
      </c>
      <c r="K997" t="s">
        <v>30</v>
      </c>
      <c r="L997">
        <v>3</v>
      </c>
      <c r="M997">
        <v>30.94</v>
      </c>
      <c r="N997">
        <v>946075</v>
      </c>
      <c r="O997">
        <v>1</v>
      </c>
    </row>
    <row r="998" spans="1:15">
      <c r="A998" t="s">
        <v>1024</v>
      </c>
      <c r="B998" t="s">
        <v>20</v>
      </c>
      <c r="C998">
        <v>14</v>
      </c>
      <c r="D998">
        <v>628695</v>
      </c>
      <c r="E998">
        <v>3</v>
      </c>
      <c r="F998">
        <v>20</v>
      </c>
      <c r="G998">
        <v>61</v>
      </c>
      <c r="H998">
        <v>45359093</v>
      </c>
      <c r="I998">
        <v>887012</v>
      </c>
      <c r="J998" t="s">
        <v>21</v>
      </c>
      <c r="K998" t="s">
        <v>18</v>
      </c>
      <c r="L998">
        <v>7</v>
      </c>
      <c r="M998">
        <v>69.819999999999993</v>
      </c>
      <c r="N998">
        <v>845722</v>
      </c>
      <c r="O998">
        <v>1</v>
      </c>
    </row>
    <row r="999" spans="1:15">
      <c r="A999" t="s">
        <v>1025</v>
      </c>
      <c r="B999" t="s">
        <v>38</v>
      </c>
      <c r="C999">
        <v>12</v>
      </c>
      <c r="D999">
        <v>30677268</v>
      </c>
      <c r="E999">
        <v>2</v>
      </c>
      <c r="F999">
        <v>8</v>
      </c>
      <c r="G999">
        <v>98</v>
      </c>
      <c r="H999">
        <v>81392620</v>
      </c>
      <c r="I999">
        <v>756005</v>
      </c>
      <c r="J999" t="s">
        <v>21</v>
      </c>
      <c r="K999" t="s">
        <v>18</v>
      </c>
      <c r="L999">
        <v>5</v>
      </c>
      <c r="M999">
        <v>98.17</v>
      </c>
      <c r="N999">
        <v>291102</v>
      </c>
      <c r="O999">
        <v>1</v>
      </c>
    </row>
    <row r="1000" spans="1:15">
      <c r="A1000" t="s">
        <v>1026</v>
      </c>
      <c r="B1000" t="s">
        <v>20</v>
      </c>
      <c r="C1000">
        <v>14</v>
      </c>
      <c r="D1000">
        <v>43705272</v>
      </c>
      <c r="E1000">
        <v>3</v>
      </c>
      <c r="F1000">
        <v>12</v>
      </c>
      <c r="G1000">
        <v>854</v>
      </c>
      <c r="H1000">
        <v>83184054</v>
      </c>
      <c r="I1000">
        <v>769593</v>
      </c>
      <c r="J1000" t="s">
        <v>17</v>
      </c>
      <c r="K1000" t="s">
        <v>22</v>
      </c>
      <c r="L1000">
        <v>1</v>
      </c>
      <c r="M1000">
        <v>85.79</v>
      </c>
      <c r="N1000">
        <v>783202</v>
      </c>
      <c r="O1000">
        <v>1</v>
      </c>
    </row>
    <row r="1001" spans="1:15">
      <c r="A1001" t="s">
        <v>1027</v>
      </c>
      <c r="B1001" t="s">
        <v>32</v>
      </c>
      <c r="C1001">
        <v>6</v>
      </c>
      <c r="D1001">
        <v>20946058</v>
      </c>
      <c r="E1001">
        <v>3</v>
      </c>
      <c r="F1001">
        <v>23</v>
      </c>
      <c r="G1001">
        <v>469</v>
      </c>
      <c r="H1001">
        <v>15635737</v>
      </c>
      <c r="I1001">
        <v>849881</v>
      </c>
      <c r="J1001" t="s">
        <v>21</v>
      </c>
      <c r="K1001" t="s">
        <v>30</v>
      </c>
      <c r="L1001">
        <v>8</v>
      </c>
      <c r="M1001">
        <v>28.95</v>
      </c>
      <c r="N1001">
        <v>867823</v>
      </c>
      <c r="O1001">
        <v>1</v>
      </c>
    </row>
    <row r="1002" spans="1:15">
      <c r="A1002" t="s">
        <v>1028</v>
      </c>
      <c r="B1002" t="s">
        <v>16</v>
      </c>
      <c r="C1002">
        <v>2</v>
      </c>
      <c r="D1002">
        <v>28491426</v>
      </c>
      <c r="E1002">
        <v>2</v>
      </c>
      <c r="F1002">
        <v>28</v>
      </c>
      <c r="G1002">
        <v>889</v>
      </c>
      <c r="H1002">
        <v>73678746</v>
      </c>
      <c r="I1002">
        <v>319948</v>
      </c>
      <c r="J1002" t="s">
        <v>21</v>
      </c>
      <c r="K1002" t="s">
        <v>18</v>
      </c>
      <c r="L1002">
        <v>3</v>
      </c>
      <c r="M1002">
        <v>96.57</v>
      </c>
      <c r="N1002">
        <v>102478</v>
      </c>
      <c r="O1002">
        <v>1</v>
      </c>
    </row>
    <row r="1003" spans="1:15">
      <c r="A1003" t="s">
        <v>1029</v>
      </c>
      <c r="B1003" t="s">
        <v>29</v>
      </c>
      <c r="C1003">
        <v>11</v>
      </c>
      <c r="D1003">
        <v>36966069</v>
      </c>
      <c r="E1003">
        <v>2</v>
      </c>
      <c r="F1003">
        <v>26</v>
      </c>
      <c r="G1003">
        <v>725</v>
      </c>
      <c r="H1003">
        <v>83401388</v>
      </c>
      <c r="I1003">
        <v>168261</v>
      </c>
      <c r="J1003" t="s">
        <v>17</v>
      </c>
      <c r="K1003" t="s">
        <v>22</v>
      </c>
      <c r="L1003">
        <v>8</v>
      </c>
      <c r="M1003">
        <v>82.62</v>
      </c>
      <c r="N1003">
        <v>541863</v>
      </c>
      <c r="O1003">
        <v>1</v>
      </c>
    </row>
    <row r="1004" spans="1:15">
      <c r="A1004" t="s">
        <v>1030</v>
      </c>
      <c r="B1004" t="s">
        <v>38</v>
      </c>
      <c r="C1004">
        <v>1</v>
      </c>
      <c r="D1004">
        <v>45209021</v>
      </c>
      <c r="E1004">
        <v>2</v>
      </c>
      <c r="F1004">
        <v>22</v>
      </c>
      <c r="G1004">
        <v>417</v>
      </c>
      <c r="H1004">
        <v>38517311</v>
      </c>
      <c r="I1004">
        <v>128800</v>
      </c>
      <c r="J1004" t="s">
        <v>21</v>
      </c>
      <c r="K1004" t="s">
        <v>22</v>
      </c>
      <c r="L1004">
        <v>8</v>
      </c>
      <c r="M1004">
        <v>42.39</v>
      </c>
      <c r="N1004">
        <v>186950</v>
      </c>
      <c r="O1004">
        <v>1</v>
      </c>
    </row>
    <row r="1005" spans="1:15">
      <c r="A1005" t="s">
        <v>1031</v>
      </c>
      <c r="B1005" t="s">
        <v>38</v>
      </c>
      <c r="C1005">
        <v>4</v>
      </c>
      <c r="D1005">
        <v>4849407</v>
      </c>
      <c r="E1005">
        <v>1</v>
      </c>
      <c r="F1005">
        <v>4</v>
      </c>
      <c r="G1005">
        <v>357</v>
      </c>
      <c r="H1005">
        <v>24285664</v>
      </c>
      <c r="I1005">
        <v>398168</v>
      </c>
      <c r="J1005" t="s">
        <v>25</v>
      </c>
      <c r="K1005" t="s">
        <v>18</v>
      </c>
      <c r="L1005">
        <v>1</v>
      </c>
      <c r="M1005">
        <v>11.58</v>
      </c>
      <c r="N1005">
        <v>776969</v>
      </c>
      <c r="O1005">
        <v>1</v>
      </c>
    </row>
    <row r="1006" spans="1:15">
      <c r="A1006" t="s">
        <v>1032</v>
      </c>
      <c r="B1006" t="s">
        <v>27</v>
      </c>
      <c r="C1006">
        <v>3</v>
      </c>
      <c r="D1006">
        <v>36018027</v>
      </c>
      <c r="E1006">
        <v>1</v>
      </c>
      <c r="F1006">
        <v>11</v>
      </c>
      <c r="G1006">
        <v>956</v>
      </c>
      <c r="H1006">
        <v>68284680</v>
      </c>
      <c r="I1006">
        <v>596702</v>
      </c>
      <c r="J1006" t="s">
        <v>25</v>
      </c>
      <c r="K1006" t="s">
        <v>30</v>
      </c>
      <c r="L1006">
        <v>5</v>
      </c>
      <c r="M1006">
        <v>21.62</v>
      </c>
      <c r="N1006">
        <v>671884</v>
      </c>
      <c r="O1006">
        <v>1</v>
      </c>
    </row>
    <row r="1007" spans="1:15">
      <c r="A1007" t="s">
        <v>1033</v>
      </c>
      <c r="B1007" t="s">
        <v>24</v>
      </c>
      <c r="C1007">
        <v>2</v>
      </c>
      <c r="D1007">
        <v>30396523</v>
      </c>
      <c r="E1007">
        <v>2</v>
      </c>
      <c r="F1007">
        <v>2</v>
      </c>
      <c r="G1007">
        <v>870</v>
      </c>
      <c r="H1007">
        <v>74862537</v>
      </c>
      <c r="I1007">
        <v>997330</v>
      </c>
      <c r="J1007" t="s">
        <v>17</v>
      </c>
      <c r="K1007" t="s">
        <v>22</v>
      </c>
      <c r="L1007">
        <v>2</v>
      </c>
      <c r="M1007">
        <v>76.2</v>
      </c>
      <c r="N1007">
        <v>835083</v>
      </c>
      <c r="O1007">
        <v>1</v>
      </c>
    </row>
    <row r="1008" spans="1:15">
      <c r="A1008" t="s">
        <v>1034</v>
      </c>
      <c r="B1008" t="s">
        <v>27</v>
      </c>
      <c r="C1008">
        <v>0</v>
      </c>
      <c r="D1008">
        <v>293910</v>
      </c>
      <c r="E1008">
        <v>1</v>
      </c>
      <c r="F1008">
        <v>13</v>
      </c>
      <c r="G1008">
        <v>197</v>
      </c>
      <c r="H1008">
        <v>72711735</v>
      </c>
      <c r="I1008">
        <v>436127</v>
      </c>
      <c r="J1008" t="s">
        <v>17</v>
      </c>
      <c r="K1008" t="s">
        <v>30</v>
      </c>
      <c r="L1008">
        <v>2</v>
      </c>
      <c r="M1008">
        <v>96.44</v>
      </c>
      <c r="N1008">
        <v>614478</v>
      </c>
      <c r="O1008">
        <v>1</v>
      </c>
    </row>
    <row r="1009" spans="1:15">
      <c r="A1009" t="s">
        <v>1035</v>
      </c>
      <c r="B1009" t="s">
        <v>16</v>
      </c>
      <c r="C1009">
        <v>11</v>
      </c>
      <c r="D1009">
        <v>39482577</v>
      </c>
      <c r="E1009">
        <v>1</v>
      </c>
      <c r="F1009">
        <v>27</v>
      </c>
      <c r="G1009">
        <v>78</v>
      </c>
      <c r="H1009">
        <v>77124010</v>
      </c>
      <c r="I1009">
        <v>972018</v>
      </c>
      <c r="J1009" t="s">
        <v>21</v>
      </c>
      <c r="K1009" t="s">
        <v>18</v>
      </c>
      <c r="L1009">
        <v>6</v>
      </c>
      <c r="M1009">
        <v>21.73</v>
      </c>
      <c r="N1009">
        <v>348317</v>
      </c>
      <c r="O1009">
        <v>1</v>
      </c>
    </row>
    <row r="1010" spans="1:15">
      <c r="A1010" t="s">
        <v>1036</v>
      </c>
      <c r="B1010" t="s">
        <v>24</v>
      </c>
      <c r="C1010">
        <v>3</v>
      </c>
      <c r="D1010">
        <v>15834578</v>
      </c>
      <c r="E1010">
        <v>2</v>
      </c>
      <c r="F1010">
        <v>16</v>
      </c>
      <c r="G1010">
        <v>255</v>
      </c>
      <c r="H1010">
        <v>62065622</v>
      </c>
      <c r="I1010">
        <v>367489</v>
      </c>
      <c r="J1010" t="s">
        <v>21</v>
      </c>
      <c r="K1010" t="s">
        <v>30</v>
      </c>
      <c r="L1010">
        <v>1</v>
      </c>
      <c r="M1010">
        <v>91.49</v>
      </c>
      <c r="N1010">
        <v>532224</v>
      </c>
      <c r="O1010">
        <v>1</v>
      </c>
    </row>
    <row r="1011" spans="1:15">
      <c r="A1011" t="s">
        <v>1037</v>
      </c>
      <c r="B1011" t="s">
        <v>16</v>
      </c>
      <c r="C1011">
        <v>3</v>
      </c>
      <c r="D1011">
        <v>30424254</v>
      </c>
      <c r="E1011">
        <v>2</v>
      </c>
      <c r="F1011">
        <v>19</v>
      </c>
      <c r="G1011">
        <v>983</v>
      </c>
      <c r="H1011">
        <v>16506525</v>
      </c>
      <c r="I1011">
        <v>28169</v>
      </c>
      <c r="J1011" t="s">
        <v>17</v>
      </c>
      <c r="K1011" t="s">
        <v>22</v>
      </c>
      <c r="L1011">
        <v>5</v>
      </c>
      <c r="M1011">
        <v>18.690000000000001</v>
      </c>
      <c r="N1011">
        <v>700644</v>
      </c>
      <c r="O1011">
        <v>1</v>
      </c>
    </row>
    <row r="1012" spans="1:15">
      <c r="A1012" t="s">
        <v>1038</v>
      </c>
      <c r="B1012" t="s">
        <v>38</v>
      </c>
      <c r="C1012">
        <v>2</v>
      </c>
      <c r="D1012">
        <v>45563764</v>
      </c>
      <c r="E1012">
        <v>4</v>
      </c>
      <c r="F1012">
        <v>2</v>
      </c>
      <c r="G1012">
        <v>99</v>
      </c>
      <c r="H1012">
        <v>26474252</v>
      </c>
      <c r="I1012">
        <v>210663</v>
      </c>
      <c r="J1012" t="s">
        <v>21</v>
      </c>
      <c r="K1012" t="s">
        <v>22</v>
      </c>
      <c r="L1012">
        <v>4</v>
      </c>
      <c r="M1012">
        <v>91.31</v>
      </c>
      <c r="N1012">
        <v>931556</v>
      </c>
      <c r="O1012">
        <v>1</v>
      </c>
    </row>
    <row r="1013" spans="1:15">
      <c r="A1013" t="s">
        <v>1039</v>
      </c>
      <c r="B1013" t="s">
        <v>38</v>
      </c>
      <c r="C1013">
        <v>10</v>
      </c>
      <c r="D1013">
        <v>21278989</v>
      </c>
      <c r="E1013">
        <v>4</v>
      </c>
      <c r="F1013">
        <v>7</v>
      </c>
      <c r="G1013">
        <v>194</v>
      </c>
      <c r="H1013">
        <v>41188673</v>
      </c>
      <c r="I1013">
        <v>291743</v>
      </c>
      <c r="J1013" t="s">
        <v>25</v>
      </c>
      <c r="K1013" t="s">
        <v>22</v>
      </c>
      <c r="L1013">
        <v>5</v>
      </c>
      <c r="M1013">
        <v>75.28</v>
      </c>
      <c r="N1013">
        <v>971362</v>
      </c>
      <c r="O1013">
        <v>1</v>
      </c>
    </row>
    <row r="1014" spans="1:15">
      <c r="A1014" t="s">
        <v>1040</v>
      </c>
      <c r="B1014" t="s">
        <v>32</v>
      </c>
      <c r="C1014">
        <v>3</v>
      </c>
      <c r="D1014">
        <v>38620859</v>
      </c>
      <c r="E1014">
        <v>4</v>
      </c>
      <c r="F1014">
        <v>17</v>
      </c>
      <c r="G1014">
        <v>252</v>
      </c>
      <c r="H1014">
        <v>1339742</v>
      </c>
      <c r="I1014">
        <v>141758</v>
      </c>
      <c r="J1014" t="s">
        <v>17</v>
      </c>
      <c r="K1014" t="s">
        <v>22</v>
      </c>
      <c r="L1014">
        <v>6</v>
      </c>
      <c r="M1014">
        <v>16.45</v>
      </c>
      <c r="N1014">
        <v>499710</v>
      </c>
      <c r="O1014">
        <v>1</v>
      </c>
    </row>
    <row r="1015" spans="1:15">
      <c r="A1015" t="s">
        <v>1041</v>
      </c>
      <c r="B1015" t="s">
        <v>16</v>
      </c>
      <c r="C1015">
        <v>11</v>
      </c>
      <c r="D1015">
        <v>12500164</v>
      </c>
      <c r="E1015">
        <v>3</v>
      </c>
      <c r="F1015">
        <v>26</v>
      </c>
      <c r="G1015">
        <v>329</v>
      </c>
      <c r="H1015">
        <v>28926746</v>
      </c>
      <c r="I1015">
        <v>131841</v>
      </c>
      <c r="J1015" t="s">
        <v>25</v>
      </c>
      <c r="K1015" t="s">
        <v>22</v>
      </c>
      <c r="L1015">
        <v>6</v>
      </c>
      <c r="M1015">
        <v>31.81</v>
      </c>
      <c r="N1015">
        <v>374310</v>
      </c>
      <c r="O1015">
        <v>1</v>
      </c>
    </row>
    <row r="1016" spans="1:15">
      <c r="A1016" t="s">
        <v>1042</v>
      </c>
      <c r="B1016" t="s">
        <v>32</v>
      </c>
      <c r="C1016">
        <v>1</v>
      </c>
      <c r="D1016">
        <v>44065068</v>
      </c>
      <c r="E1016">
        <v>1</v>
      </c>
      <c r="F1016">
        <v>5</v>
      </c>
      <c r="G1016">
        <v>859</v>
      </c>
      <c r="H1016">
        <v>87224505</v>
      </c>
      <c r="I1016">
        <v>545619</v>
      </c>
      <c r="J1016" t="s">
        <v>25</v>
      </c>
      <c r="K1016" t="s">
        <v>30</v>
      </c>
      <c r="L1016">
        <v>1</v>
      </c>
      <c r="M1016">
        <v>74.010000000000005</v>
      </c>
      <c r="N1016">
        <v>419714</v>
      </c>
      <c r="O1016">
        <v>1</v>
      </c>
    </row>
    <row r="1017" spans="1:15">
      <c r="A1017" t="s">
        <v>1043</v>
      </c>
      <c r="B1017" t="s">
        <v>24</v>
      </c>
      <c r="C1017">
        <v>6</v>
      </c>
      <c r="D1017">
        <v>7908439</v>
      </c>
      <c r="E1017">
        <v>4</v>
      </c>
      <c r="F1017">
        <v>22</v>
      </c>
      <c r="G1017">
        <v>72</v>
      </c>
      <c r="H1017">
        <v>63924720</v>
      </c>
      <c r="I1017">
        <v>724269</v>
      </c>
      <c r="J1017" t="s">
        <v>25</v>
      </c>
      <c r="K1017" t="s">
        <v>18</v>
      </c>
      <c r="L1017">
        <v>3</v>
      </c>
      <c r="M1017">
        <v>84.01</v>
      </c>
      <c r="N1017">
        <v>520951</v>
      </c>
      <c r="O1017">
        <v>1</v>
      </c>
    </row>
    <row r="1018" spans="1:15">
      <c r="A1018" t="s">
        <v>1044</v>
      </c>
      <c r="B1018" t="s">
        <v>16</v>
      </c>
      <c r="C1018">
        <v>3</v>
      </c>
      <c r="D1018">
        <v>34022770</v>
      </c>
      <c r="E1018">
        <v>3</v>
      </c>
      <c r="F1018">
        <v>25</v>
      </c>
      <c r="G1018">
        <v>222</v>
      </c>
      <c r="H1018">
        <v>32969100</v>
      </c>
      <c r="I1018">
        <v>331488</v>
      </c>
      <c r="J1018" t="s">
        <v>17</v>
      </c>
      <c r="K1018" t="s">
        <v>18</v>
      </c>
      <c r="L1018">
        <v>6</v>
      </c>
      <c r="M1018">
        <v>60.39</v>
      </c>
      <c r="N1018">
        <v>765183</v>
      </c>
      <c r="O1018">
        <v>1</v>
      </c>
    </row>
    <row r="1019" spans="1:15">
      <c r="A1019" t="s">
        <v>1045</v>
      </c>
      <c r="B1019" t="s">
        <v>32</v>
      </c>
      <c r="C1019">
        <v>10</v>
      </c>
      <c r="D1019">
        <v>29903180</v>
      </c>
      <c r="E1019">
        <v>1</v>
      </c>
      <c r="F1019">
        <v>24</v>
      </c>
      <c r="G1019">
        <v>492</v>
      </c>
      <c r="H1019">
        <v>1781713</v>
      </c>
      <c r="I1019">
        <v>883538</v>
      </c>
      <c r="J1019" t="s">
        <v>17</v>
      </c>
      <c r="K1019" t="s">
        <v>30</v>
      </c>
      <c r="L1019">
        <v>2</v>
      </c>
      <c r="M1019">
        <v>78.91</v>
      </c>
      <c r="N1019">
        <v>7314</v>
      </c>
      <c r="O1019">
        <v>1</v>
      </c>
    </row>
    <row r="1020" spans="1:15">
      <c r="A1020" t="s">
        <v>1046</v>
      </c>
      <c r="B1020" t="s">
        <v>16</v>
      </c>
      <c r="C1020">
        <v>9</v>
      </c>
      <c r="D1020">
        <v>1454431</v>
      </c>
      <c r="E1020">
        <v>2</v>
      </c>
      <c r="F1020">
        <v>15</v>
      </c>
      <c r="G1020">
        <v>271</v>
      </c>
      <c r="H1020">
        <v>72294940</v>
      </c>
      <c r="I1020">
        <v>944633</v>
      </c>
      <c r="J1020" t="s">
        <v>21</v>
      </c>
      <c r="K1020" t="s">
        <v>30</v>
      </c>
      <c r="L1020">
        <v>8</v>
      </c>
      <c r="M1020">
        <v>72.09</v>
      </c>
      <c r="N1020">
        <v>544690</v>
      </c>
      <c r="O1020">
        <v>1</v>
      </c>
    </row>
    <row r="1021" spans="1:15">
      <c r="A1021" t="s">
        <v>1047</v>
      </c>
      <c r="B1021" t="s">
        <v>24</v>
      </c>
      <c r="C1021">
        <v>4</v>
      </c>
      <c r="D1021">
        <v>8629504</v>
      </c>
      <c r="E1021">
        <v>4</v>
      </c>
      <c r="F1021">
        <v>18</v>
      </c>
      <c r="G1021">
        <v>556</v>
      </c>
      <c r="H1021">
        <v>17424821</v>
      </c>
      <c r="I1021">
        <v>770991</v>
      </c>
      <c r="J1021" t="s">
        <v>17</v>
      </c>
      <c r="K1021" t="s">
        <v>30</v>
      </c>
      <c r="L1021">
        <v>9</v>
      </c>
      <c r="M1021">
        <v>60.8</v>
      </c>
      <c r="N1021">
        <v>548419</v>
      </c>
      <c r="O1021">
        <v>1</v>
      </c>
    </row>
    <row r="1022" spans="1:15">
      <c r="A1022" t="s">
        <v>1048</v>
      </c>
      <c r="B1022" t="s">
        <v>20</v>
      </c>
      <c r="C1022">
        <v>4</v>
      </c>
      <c r="D1022">
        <v>9840649</v>
      </c>
      <c r="E1022">
        <v>4</v>
      </c>
      <c r="F1022">
        <v>2</v>
      </c>
      <c r="G1022">
        <v>634</v>
      </c>
      <c r="H1022">
        <v>41558708</v>
      </c>
      <c r="I1022">
        <v>935808</v>
      </c>
      <c r="J1022" t="s">
        <v>21</v>
      </c>
      <c r="K1022" t="s">
        <v>30</v>
      </c>
      <c r="L1022">
        <v>8</v>
      </c>
      <c r="M1022">
        <v>79.08</v>
      </c>
      <c r="N1022">
        <v>687814</v>
      </c>
      <c r="O1022">
        <v>1</v>
      </c>
    </row>
    <row r="1023" spans="1:15">
      <c r="A1023" t="s">
        <v>1049</v>
      </c>
      <c r="B1023" t="s">
        <v>38</v>
      </c>
      <c r="C1023">
        <v>6</v>
      </c>
      <c r="D1023">
        <v>20164847</v>
      </c>
      <c r="E1023">
        <v>2</v>
      </c>
      <c r="F1023">
        <v>22</v>
      </c>
      <c r="G1023">
        <v>195</v>
      </c>
      <c r="H1023">
        <v>70984079</v>
      </c>
      <c r="I1023">
        <v>740375</v>
      </c>
      <c r="J1023" t="s">
        <v>25</v>
      </c>
      <c r="K1023" t="s">
        <v>22</v>
      </c>
      <c r="L1023">
        <v>2</v>
      </c>
      <c r="M1023">
        <v>19.03</v>
      </c>
      <c r="N1023">
        <v>540468</v>
      </c>
      <c r="O1023">
        <v>1</v>
      </c>
    </row>
    <row r="1024" spans="1:15">
      <c r="A1024" t="s">
        <v>1050</v>
      </c>
      <c r="B1024" t="s">
        <v>32</v>
      </c>
      <c r="C1024">
        <v>13</v>
      </c>
      <c r="D1024">
        <v>21740019</v>
      </c>
      <c r="E1024">
        <v>4</v>
      </c>
      <c r="F1024">
        <v>17</v>
      </c>
      <c r="G1024">
        <v>611</v>
      </c>
      <c r="H1024">
        <v>91902571</v>
      </c>
      <c r="I1024">
        <v>327024</v>
      </c>
      <c r="J1024" t="s">
        <v>17</v>
      </c>
      <c r="K1024" t="s">
        <v>18</v>
      </c>
      <c r="L1024">
        <v>9</v>
      </c>
      <c r="M1024">
        <v>49.81</v>
      </c>
      <c r="N1024">
        <v>709098</v>
      </c>
      <c r="O1024">
        <v>1</v>
      </c>
    </row>
    <row r="1025" spans="1:15">
      <c r="A1025" t="s">
        <v>1051</v>
      </c>
      <c r="B1025" t="s">
        <v>20</v>
      </c>
      <c r="C1025">
        <v>9</v>
      </c>
      <c r="D1025">
        <v>36324818</v>
      </c>
      <c r="E1025">
        <v>2</v>
      </c>
      <c r="F1025">
        <v>9</v>
      </c>
      <c r="G1025">
        <v>244</v>
      </c>
      <c r="H1025">
        <v>4348490</v>
      </c>
      <c r="I1025">
        <v>742776</v>
      </c>
      <c r="J1025" t="s">
        <v>21</v>
      </c>
      <c r="K1025" t="s">
        <v>22</v>
      </c>
      <c r="L1025">
        <v>5</v>
      </c>
      <c r="M1025">
        <v>25.22</v>
      </c>
      <c r="N1025">
        <v>699492</v>
      </c>
      <c r="O1025">
        <v>1</v>
      </c>
    </row>
    <row r="1026" spans="1:15">
      <c r="A1026" t="s">
        <v>1052</v>
      </c>
      <c r="B1026" t="s">
        <v>32</v>
      </c>
      <c r="C1026">
        <v>3</v>
      </c>
      <c r="D1026">
        <v>28351543</v>
      </c>
      <c r="E1026">
        <v>2</v>
      </c>
      <c r="F1026">
        <v>26</v>
      </c>
      <c r="G1026">
        <v>576</v>
      </c>
      <c r="H1026">
        <v>26235986</v>
      </c>
      <c r="I1026">
        <v>600707</v>
      </c>
      <c r="J1026" t="s">
        <v>21</v>
      </c>
      <c r="K1026" t="s">
        <v>22</v>
      </c>
      <c r="L1026">
        <v>5</v>
      </c>
      <c r="M1026">
        <v>31.19</v>
      </c>
      <c r="N1026">
        <v>535452</v>
      </c>
      <c r="O1026">
        <v>1</v>
      </c>
    </row>
    <row r="1027" spans="1:15">
      <c r="A1027" t="s">
        <v>1053</v>
      </c>
      <c r="B1027" t="s">
        <v>24</v>
      </c>
      <c r="C1027">
        <v>11</v>
      </c>
      <c r="D1027">
        <v>35936351</v>
      </c>
      <c r="E1027">
        <v>4</v>
      </c>
      <c r="F1027">
        <v>24</v>
      </c>
      <c r="G1027">
        <v>615</v>
      </c>
      <c r="H1027">
        <v>5890084</v>
      </c>
      <c r="I1027">
        <v>828522</v>
      </c>
      <c r="J1027" t="s">
        <v>25</v>
      </c>
      <c r="K1027" t="s">
        <v>22</v>
      </c>
      <c r="L1027">
        <v>9</v>
      </c>
      <c r="M1027">
        <v>10.1</v>
      </c>
      <c r="N1027">
        <v>892368</v>
      </c>
      <c r="O1027">
        <v>1</v>
      </c>
    </row>
    <row r="1028" spans="1:15">
      <c r="A1028" t="s">
        <v>1054</v>
      </c>
      <c r="B1028" t="s">
        <v>27</v>
      </c>
      <c r="C1028">
        <v>1</v>
      </c>
      <c r="D1028">
        <v>40608950</v>
      </c>
      <c r="E1028">
        <v>2</v>
      </c>
      <c r="F1028">
        <v>28</v>
      </c>
      <c r="G1028">
        <v>928</v>
      </c>
      <c r="H1028">
        <v>35266891</v>
      </c>
      <c r="I1028">
        <v>679383</v>
      </c>
      <c r="J1028" t="s">
        <v>25</v>
      </c>
      <c r="K1028" t="s">
        <v>18</v>
      </c>
      <c r="L1028">
        <v>7</v>
      </c>
      <c r="M1028">
        <v>64.209999999999994</v>
      </c>
      <c r="N1028">
        <v>70778</v>
      </c>
      <c r="O1028">
        <v>1</v>
      </c>
    </row>
    <row r="1029" spans="1:15">
      <c r="A1029" t="s">
        <v>1055</v>
      </c>
      <c r="B1029" t="s">
        <v>16</v>
      </c>
      <c r="C1029">
        <v>11</v>
      </c>
      <c r="D1029">
        <v>3570920</v>
      </c>
      <c r="E1029">
        <v>3</v>
      </c>
      <c r="F1029">
        <v>24</v>
      </c>
      <c r="G1029">
        <v>806</v>
      </c>
      <c r="H1029">
        <v>59085063</v>
      </c>
      <c r="I1029">
        <v>947825</v>
      </c>
      <c r="J1029" t="s">
        <v>17</v>
      </c>
      <c r="K1029" t="s">
        <v>30</v>
      </c>
      <c r="L1029">
        <v>9</v>
      </c>
      <c r="M1029">
        <v>31.51</v>
      </c>
      <c r="N1029">
        <v>173066</v>
      </c>
      <c r="O1029">
        <v>1</v>
      </c>
    </row>
    <row r="1030" spans="1:15">
      <c r="A1030" t="s">
        <v>1056</v>
      </c>
      <c r="B1030" t="s">
        <v>16</v>
      </c>
      <c r="C1030">
        <v>14</v>
      </c>
      <c r="D1030">
        <v>35064247</v>
      </c>
      <c r="E1030">
        <v>1</v>
      </c>
      <c r="F1030">
        <v>11</v>
      </c>
      <c r="G1030">
        <v>113</v>
      </c>
      <c r="H1030">
        <v>93309771</v>
      </c>
      <c r="I1030">
        <v>575851</v>
      </c>
      <c r="J1030" t="s">
        <v>17</v>
      </c>
      <c r="K1030" t="s">
        <v>18</v>
      </c>
      <c r="L1030">
        <v>1</v>
      </c>
      <c r="M1030">
        <v>29.52</v>
      </c>
      <c r="N1030">
        <v>209252</v>
      </c>
      <c r="O1030">
        <v>1</v>
      </c>
    </row>
    <row r="1031" spans="1:15">
      <c r="A1031" t="s">
        <v>1057</v>
      </c>
      <c r="B1031" t="s">
        <v>16</v>
      </c>
      <c r="C1031">
        <v>13</v>
      </c>
      <c r="D1031">
        <v>24432932</v>
      </c>
      <c r="E1031">
        <v>4</v>
      </c>
      <c r="F1031">
        <v>7</v>
      </c>
      <c r="G1031">
        <v>798</v>
      </c>
      <c r="H1031">
        <v>41417219</v>
      </c>
      <c r="I1031">
        <v>343032</v>
      </c>
      <c r="J1031" t="s">
        <v>25</v>
      </c>
      <c r="K1031" t="s">
        <v>30</v>
      </c>
      <c r="L1031">
        <v>5</v>
      </c>
      <c r="M1031">
        <v>93.42</v>
      </c>
      <c r="N1031">
        <v>654401</v>
      </c>
      <c r="O1031">
        <v>1</v>
      </c>
    </row>
    <row r="1032" spans="1:15">
      <c r="A1032" t="s">
        <v>1058</v>
      </c>
      <c r="B1032" t="s">
        <v>29</v>
      </c>
      <c r="C1032">
        <v>6</v>
      </c>
      <c r="D1032">
        <v>27047551</v>
      </c>
      <c r="E1032">
        <v>3</v>
      </c>
      <c r="F1032">
        <v>10</v>
      </c>
      <c r="G1032">
        <v>328</v>
      </c>
      <c r="H1032">
        <v>73673699</v>
      </c>
      <c r="I1032">
        <v>886064</v>
      </c>
      <c r="J1032" t="s">
        <v>17</v>
      </c>
      <c r="K1032" t="s">
        <v>18</v>
      </c>
      <c r="L1032">
        <v>4</v>
      </c>
      <c r="M1032">
        <v>34.840000000000003</v>
      </c>
      <c r="N1032">
        <v>78527</v>
      </c>
      <c r="O1032">
        <v>1</v>
      </c>
    </row>
    <row r="1033" spans="1:15">
      <c r="A1033" t="s">
        <v>1059</v>
      </c>
      <c r="B1033" t="s">
        <v>27</v>
      </c>
      <c r="C1033">
        <v>12</v>
      </c>
      <c r="D1033">
        <v>6845382</v>
      </c>
      <c r="E1033">
        <v>1</v>
      </c>
      <c r="F1033">
        <v>2</v>
      </c>
      <c r="G1033">
        <v>884</v>
      </c>
      <c r="H1033">
        <v>63472261</v>
      </c>
      <c r="I1033">
        <v>548341</v>
      </c>
      <c r="J1033" t="s">
        <v>17</v>
      </c>
      <c r="K1033" t="s">
        <v>22</v>
      </c>
      <c r="L1033">
        <v>1</v>
      </c>
      <c r="M1033">
        <v>90.77</v>
      </c>
      <c r="N1033">
        <v>343801</v>
      </c>
      <c r="O1033">
        <v>1</v>
      </c>
    </row>
    <row r="1034" spans="1:15">
      <c r="A1034" t="s">
        <v>1060</v>
      </c>
      <c r="B1034" t="s">
        <v>29</v>
      </c>
      <c r="C1034">
        <v>12</v>
      </c>
      <c r="D1034">
        <v>1546200</v>
      </c>
      <c r="E1034">
        <v>3</v>
      </c>
      <c r="F1034">
        <v>5</v>
      </c>
      <c r="G1034">
        <v>346</v>
      </c>
      <c r="H1034">
        <v>23458578</v>
      </c>
      <c r="I1034">
        <v>508108</v>
      </c>
      <c r="J1034" t="s">
        <v>25</v>
      </c>
      <c r="K1034" t="s">
        <v>22</v>
      </c>
      <c r="L1034">
        <v>9</v>
      </c>
      <c r="M1034">
        <v>1.29</v>
      </c>
      <c r="N1034">
        <v>441334</v>
      </c>
      <c r="O1034">
        <v>1</v>
      </c>
    </row>
    <row r="1035" spans="1:15">
      <c r="A1035" t="s">
        <v>1061</v>
      </c>
      <c r="B1035" t="s">
        <v>38</v>
      </c>
      <c r="C1035">
        <v>14</v>
      </c>
      <c r="D1035">
        <v>23016977</v>
      </c>
      <c r="E1035">
        <v>4</v>
      </c>
      <c r="F1035">
        <v>12</v>
      </c>
      <c r="G1035">
        <v>547</v>
      </c>
      <c r="H1035">
        <v>54982024</v>
      </c>
      <c r="I1035">
        <v>239899</v>
      </c>
      <c r="J1035" t="s">
        <v>21</v>
      </c>
      <c r="K1035" t="s">
        <v>30</v>
      </c>
      <c r="L1035">
        <v>5</v>
      </c>
      <c r="M1035">
        <v>24.36</v>
      </c>
      <c r="N1035">
        <v>32602</v>
      </c>
      <c r="O1035">
        <v>1</v>
      </c>
    </row>
    <row r="1036" spans="1:15">
      <c r="A1036" t="s">
        <v>1062</v>
      </c>
      <c r="B1036" t="s">
        <v>24</v>
      </c>
      <c r="C1036">
        <v>12</v>
      </c>
      <c r="D1036">
        <v>46705796</v>
      </c>
      <c r="E1036">
        <v>4</v>
      </c>
      <c r="F1036">
        <v>21</v>
      </c>
      <c r="G1036">
        <v>468</v>
      </c>
      <c r="H1036">
        <v>64830210</v>
      </c>
      <c r="I1036">
        <v>382980</v>
      </c>
      <c r="J1036" t="s">
        <v>25</v>
      </c>
      <c r="K1036" t="s">
        <v>30</v>
      </c>
      <c r="L1036">
        <v>8</v>
      </c>
      <c r="M1036">
        <v>45.84</v>
      </c>
      <c r="N1036">
        <v>554776</v>
      </c>
      <c r="O1036">
        <v>1</v>
      </c>
    </row>
    <row r="1037" spans="1:15">
      <c r="A1037" t="s">
        <v>1063</v>
      </c>
      <c r="B1037" t="s">
        <v>27</v>
      </c>
      <c r="C1037">
        <v>5</v>
      </c>
      <c r="D1037">
        <v>19822238</v>
      </c>
      <c r="E1037">
        <v>3</v>
      </c>
      <c r="F1037">
        <v>17</v>
      </c>
      <c r="G1037">
        <v>15</v>
      </c>
      <c r="H1037">
        <v>30365429</v>
      </c>
      <c r="I1037">
        <v>132168</v>
      </c>
      <c r="J1037" t="s">
        <v>17</v>
      </c>
      <c r="K1037" t="s">
        <v>22</v>
      </c>
      <c r="L1037">
        <v>5</v>
      </c>
      <c r="M1037">
        <v>96.66</v>
      </c>
      <c r="N1037">
        <v>599718</v>
      </c>
      <c r="O1037">
        <v>1</v>
      </c>
    </row>
    <row r="1038" spans="1:15">
      <c r="A1038" t="s">
        <v>1064</v>
      </c>
      <c r="B1038" t="s">
        <v>32</v>
      </c>
      <c r="C1038">
        <v>10</v>
      </c>
      <c r="D1038">
        <v>15403799</v>
      </c>
      <c r="E1038">
        <v>4</v>
      </c>
      <c r="F1038">
        <v>16</v>
      </c>
      <c r="G1038">
        <v>290</v>
      </c>
      <c r="H1038">
        <v>39896962</v>
      </c>
      <c r="I1038">
        <v>67695</v>
      </c>
      <c r="J1038" t="s">
        <v>25</v>
      </c>
      <c r="K1038" t="s">
        <v>22</v>
      </c>
      <c r="L1038">
        <v>8</v>
      </c>
      <c r="M1038">
        <v>2.7</v>
      </c>
      <c r="N1038">
        <v>54143</v>
      </c>
      <c r="O1038">
        <v>1</v>
      </c>
    </row>
    <row r="1039" spans="1:15">
      <c r="A1039" t="s">
        <v>1065</v>
      </c>
      <c r="B1039" t="s">
        <v>38</v>
      </c>
      <c r="C1039">
        <v>3</v>
      </c>
      <c r="D1039">
        <v>28761175</v>
      </c>
      <c r="E1039">
        <v>4</v>
      </c>
      <c r="F1039">
        <v>6</v>
      </c>
      <c r="G1039">
        <v>949</v>
      </c>
      <c r="H1039">
        <v>63850599</v>
      </c>
      <c r="I1039">
        <v>258922</v>
      </c>
      <c r="J1039" t="s">
        <v>17</v>
      </c>
      <c r="K1039" t="s">
        <v>30</v>
      </c>
      <c r="L1039">
        <v>4</v>
      </c>
      <c r="M1039">
        <v>39.67</v>
      </c>
      <c r="N1039">
        <v>259079</v>
      </c>
      <c r="O1039">
        <v>1</v>
      </c>
    </row>
    <row r="1040" spans="1:15">
      <c r="A1040" t="s">
        <v>1066</v>
      </c>
      <c r="B1040" t="s">
        <v>16</v>
      </c>
      <c r="C1040">
        <v>7</v>
      </c>
      <c r="D1040">
        <v>8102859</v>
      </c>
      <c r="E1040">
        <v>4</v>
      </c>
      <c r="F1040">
        <v>1</v>
      </c>
      <c r="G1040">
        <v>496</v>
      </c>
      <c r="H1040">
        <v>43171585</v>
      </c>
      <c r="I1040">
        <v>189704</v>
      </c>
      <c r="J1040" t="s">
        <v>25</v>
      </c>
      <c r="K1040" t="s">
        <v>30</v>
      </c>
      <c r="L1040">
        <v>7</v>
      </c>
      <c r="M1040">
        <v>29.78</v>
      </c>
      <c r="N1040">
        <v>944079</v>
      </c>
      <c r="O1040">
        <v>1</v>
      </c>
    </row>
    <row r="1041" spans="1:15">
      <c r="A1041" t="s">
        <v>1067</v>
      </c>
      <c r="B1041" t="s">
        <v>38</v>
      </c>
      <c r="C1041">
        <v>9</v>
      </c>
      <c r="D1041">
        <v>22941474</v>
      </c>
      <c r="E1041">
        <v>3</v>
      </c>
      <c r="F1041">
        <v>5</v>
      </c>
      <c r="G1041">
        <v>974</v>
      </c>
      <c r="H1041">
        <v>70176279</v>
      </c>
      <c r="I1041">
        <v>977277</v>
      </c>
      <c r="J1041" t="s">
        <v>21</v>
      </c>
      <c r="K1041" t="s">
        <v>30</v>
      </c>
      <c r="L1041">
        <v>4</v>
      </c>
      <c r="M1041">
        <v>87.72</v>
      </c>
      <c r="N1041">
        <v>928324</v>
      </c>
      <c r="O1041">
        <v>1</v>
      </c>
    </row>
    <row r="1042" spans="1:15">
      <c r="A1042" t="s">
        <v>1068</v>
      </c>
      <c r="B1042" t="s">
        <v>32</v>
      </c>
      <c r="C1042">
        <v>11</v>
      </c>
      <c r="D1042">
        <v>32479809</v>
      </c>
      <c r="E1042">
        <v>4</v>
      </c>
      <c r="F1042">
        <v>11</v>
      </c>
      <c r="G1042">
        <v>823</v>
      </c>
      <c r="H1042">
        <v>43535450</v>
      </c>
      <c r="I1042">
        <v>297325</v>
      </c>
      <c r="J1042" t="s">
        <v>17</v>
      </c>
      <c r="K1042" t="s">
        <v>30</v>
      </c>
      <c r="L1042">
        <v>5</v>
      </c>
      <c r="M1042">
        <v>88.97</v>
      </c>
      <c r="N1042">
        <v>588733</v>
      </c>
      <c r="O1042">
        <v>1</v>
      </c>
    </row>
    <row r="1043" spans="1:15">
      <c r="A1043" t="s">
        <v>1069</v>
      </c>
      <c r="B1043" t="s">
        <v>38</v>
      </c>
      <c r="C1043">
        <v>7</v>
      </c>
      <c r="D1043">
        <v>21182328</v>
      </c>
      <c r="E1043">
        <v>2</v>
      </c>
      <c r="F1043">
        <v>23</v>
      </c>
      <c r="G1043">
        <v>368</v>
      </c>
      <c r="H1043">
        <v>73272876</v>
      </c>
      <c r="I1043">
        <v>704179</v>
      </c>
      <c r="J1043" t="s">
        <v>25</v>
      </c>
      <c r="K1043" t="s">
        <v>22</v>
      </c>
      <c r="L1043">
        <v>9</v>
      </c>
      <c r="M1043">
        <v>30.66</v>
      </c>
      <c r="N1043">
        <v>965671</v>
      </c>
      <c r="O1043">
        <v>1</v>
      </c>
    </row>
    <row r="1044" spans="1:15">
      <c r="A1044" t="s">
        <v>1070</v>
      </c>
      <c r="B1044" t="s">
        <v>29</v>
      </c>
      <c r="C1044">
        <v>12</v>
      </c>
      <c r="D1044">
        <v>34156871</v>
      </c>
      <c r="E1044">
        <v>3</v>
      </c>
      <c r="F1044">
        <v>8</v>
      </c>
      <c r="G1044">
        <v>608</v>
      </c>
      <c r="H1044">
        <v>92689374</v>
      </c>
      <c r="I1044">
        <v>931184</v>
      </c>
      <c r="J1044" t="s">
        <v>25</v>
      </c>
      <c r="K1044" t="s">
        <v>22</v>
      </c>
      <c r="L1044">
        <v>4</v>
      </c>
      <c r="M1044">
        <v>87.07</v>
      </c>
      <c r="N1044">
        <v>542676</v>
      </c>
      <c r="O1044">
        <v>1</v>
      </c>
    </row>
    <row r="1045" spans="1:15">
      <c r="A1045" t="s">
        <v>1071</v>
      </c>
      <c r="B1045" t="s">
        <v>38</v>
      </c>
      <c r="C1045">
        <v>11</v>
      </c>
      <c r="D1045">
        <v>7069580</v>
      </c>
      <c r="E1045">
        <v>2</v>
      </c>
      <c r="F1045">
        <v>15</v>
      </c>
      <c r="G1045">
        <v>960</v>
      </c>
      <c r="H1045">
        <v>56222691</v>
      </c>
      <c r="I1045">
        <v>461490</v>
      </c>
      <c r="J1045" t="s">
        <v>25</v>
      </c>
      <c r="K1045" t="s">
        <v>22</v>
      </c>
      <c r="L1045">
        <v>8</v>
      </c>
      <c r="M1045">
        <v>62.33</v>
      </c>
      <c r="N1045">
        <v>994215</v>
      </c>
      <c r="O1045">
        <v>1</v>
      </c>
    </row>
    <row r="1046" spans="1:15">
      <c r="A1046" t="s">
        <v>1072</v>
      </c>
      <c r="B1046" t="s">
        <v>16</v>
      </c>
      <c r="C1046">
        <v>9</v>
      </c>
      <c r="D1046">
        <v>25698991</v>
      </c>
      <c r="E1046">
        <v>2</v>
      </c>
      <c r="F1046">
        <v>14</v>
      </c>
      <c r="G1046">
        <v>438</v>
      </c>
      <c r="H1046">
        <v>54562189</v>
      </c>
      <c r="I1046">
        <v>795318</v>
      </c>
      <c r="J1046" t="s">
        <v>17</v>
      </c>
      <c r="K1046" t="s">
        <v>18</v>
      </c>
      <c r="L1046">
        <v>1</v>
      </c>
      <c r="M1046">
        <v>38.770000000000003</v>
      </c>
      <c r="N1046">
        <v>198541</v>
      </c>
      <c r="O1046">
        <v>1</v>
      </c>
    </row>
    <row r="1047" spans="1:15">
      <c r="A1047" t="s">
        <v>1073</v>
      </c>
      <c r="B1047" t="s">
        <v>32</v>
      </c>
      <c r="C1047">
        <v>6</v>
      </c>
      <c r="D1047">
        <v>1248634</v>
      </c>
      <c r="E1047">
        <v>4</v>
      </c>
      <c r="F1047">
        <v>13</v>
      </c>
      <c r="G1047">
        <v>573</v>
      </c>
      <c r="H1047">
        <v>67429141</v>
      </c>
      <c r="I1047">
        <v>721183</v>
      </c>
      <c r="J1047" t="s">
        <v>25</v>
      </c>
      <c r="K1047" t="s">
        <v>30</v>
      </c>
      <c r="L1047">
        <v>7</v>
      </c>
      <c r="M1047">
        <v>70.62</v>
      </c>
      <c r="N1047">
        <v>855868</v>
      </c>
      <c r="O1047">
        <v>1</v>
      </c>
    </row>
    <row r="1048" spans="1:15">
      <c r="A1048" t="s">
        <v>1074</v>
      </c>
      <c r="B1048" t="s">
        <v>27</v>
      </c>
      <c r="C1048">
        <v>0</v>
      </c>
      <c r="D1048">
        <v>19716284</v>
      </c>
      <c r="E1048">
        <v>3</v>
      </c>
      <c r="F1048">
        <v>4</v>
      </c>
      <c r="G1048">
        <v>369</v>
      </c>
      <c r="H1048">
        <v>80701714</v>
      </c>
      <c r="I1048">
        <v>265922</v>
      </c>
      <c r="J1048" t="s">
        <v>25</v>
      </c>
      <c r="K1048" t="s">
        <v>18</v>
      </c>
      <c r="L1048">
        <v>9</v>
      </c>
      <c r="M1048">
        <v>18.350000000000001</v>
      </c>
      <c r="N1048">
        <v>616404</v>
      </c>
      <c r="O1048">
        <v>1</v>
      </c>
    </row>
    <row r="1049" spans="1:15">
      <c r="A1049" t="s">
        <v>1075</v>
      </c>
      <c r="B1049" t="s">
        <v>38</v>
      </c>
      <c r="C1049">
        <v>13</v>
      </c>
      <c r="D1049">
        <v>34654037</v>
      </c>
      <c r="E1049">
        <v>1</v>
      </c>
      <c r="F1049">
        <v>2</v>
      </c>
      <c r="G1049">
        <v>469</v>
      </c>
      <c r="H1049">
        <v>1147785</v>
      </c>
      <c r="I1049">
        <v>305847</v>
      </c>
      <c r="J1049" t="s">
        <v>21</v>
      </c>
      <c r="K1049" t="s">
        <v>30</v>
      </c>
      <c r="L1049">
        <v>6</v>
      </c>
      <c r="M1049">
        <v>89.29</v>
      </c>
      <c r="N1049">
        <v>274917</v>
      </c>
      <c r="O1049">
        <v>1</v>
      </c>
    </row>
    <row r="1050" spans="1:15">
      <c r="A1050" t="s">
        <v>1076</v>
      </c>
      <c r="B1050" t="s">
        <v>27</v>
      </c>
      <c r="C1050">
        <v>1</v>
      </c>
      <c r="D1050">
        <v>5220456</v>
      </c>
      <c r="E1050">
        <v>1</v>
      </c>
      <c r="F1050">
        <v>7</v>
      </c>
      <c r="G1050">
        <v>493</v>
      </c>
      <c r="H1050">
        <v>64711411</v>
      </c>
      <c r="I1050">
        <v>867528</v>
      </c>
      <c r="J1050" t="s">
        <v>21</v>
      </c>
      <c r="K1050" t="s">
        <v>18</v>
      </c>
      <c r="L1050">
        <v>9</v>
      </c>
      <c r="M1050">
        <v>61.49</v>
      </c>
      <c r="N1050">
        <v>431020</v>
      </c>
      <c r="O1050">
        <v>1</v>
      </c>
    </row>
    <row r="1051" spans="1:15">
      <c r="A1051" t="s">
        <v>1077</v>
      </c>
      <c r="B1051" t="s">
        <v>27</v>
      </c>
      <c r="C1051">
        <v>11</v>
      </c>
      <c r="D1051">
        <v>14429865</v>
      </c>
      <c r="E1051">
        <v>2</v>
      </c>
      <c r="F1051">
        <v>13</v>
      </c>
      <c r="G1051">
        <v>847</v>
      </c>
      <c r="H1051">
        <v>49826951</v>
      </c>
      <c r="I1051">
        <v>651340</v>
      </c>
      <c r="J1051" t="s">
        <v>21</v>
      </c>
      <c r="K1051" t="s">
        <v>30</v>
      </c>
      <c r="L1051">
        <v>9</v>
      </c>
      <c r="M1051">
        <v>46.18</v>
      </c>
      <c r="N1051">
        <v>615832</v>
      </c>
      <c r="O1051">
        <v>1</v>
      </c>
    </row>
    <row r="1052" spans="1:15">
      <c r="A1052" t="s">
        <v>1078</v>
      </c>
      <c r="B1052" t="s">
        <v>16</v>
      </c>
      <c r="C1052">
        <v>2</v>
      </c>
      <c r="D1052">
        <v>17567602</v>
      </c>
      <c r="E1052">
        <v>2</v>
      </c>
      <c r="F1052">
        <v>26</v>
      </c>
      <c r="G1052">
        <v>41</v>
      </c>
      <c r="H1052">
        <v>84955293</v>
      </c>
      <c r="I1052">
        <v>876573</v>
      </c>
      <c r="J1052" t="s">
        <v>25</v>
      </c>
      <c r="K1052" t="s">
        <v>18</v>
      </c>
      <c r="L1052">
        <v>4</v>
      </c>
      <c r="M1052">
        <v>68.86</v>
      </c>
      <c r="N1052">
        <v>946444</v>
      </c>
      <c r="O1052">
        <v>1</v>
      </c>
    </row>
    <row r="1053" spans="1:15">
      <c r="A1053" t="s">
        <v>1079</v>
      </c>
      <c r="B1053" t="s">
        <v>27</v>
      </c>
      <c r="C1053">
        <v>3</v>
      </c>
      <c r="D1053">
        <v>14374824</v>
      </c>
      <c r="E1053">
        <v>4</v>
      </c>
      <c r="F1053">
        <v>15</v>
      </c>
      <c r="G1053">
        <v>894</v>
      </c>
      <c r="H1053">
        <v>71987614</v>
      </c>
      <c r="I1053">
        <v>538573</v>
      </c>
      <c r="J1053" t="s">
        <v>17</v>
      </c>
      <c r="K1053" t="s">
        <v>30</v>
      </c>
      <c r="L1053">
        <v>9</v>
      </c>
      <c r="M1053">
        <v>35.96</v>
      </c>
      <c r="N1053">
        <v>564561</v>
      </c>
      <c r="O1053">
        <v>1</v>
      </c>
    </row>
    <row r="1054" spans="1:15">
      <c r="A1054" t="s">
        <v>1080</v>
      </c>
      <c r="B1054" t="s">
        <v>38</v>
      </c>
      <c r="C1054">
        <v>4</v>
      </c>
      <c r="D1054">
        <v>20425437</v>
      </c>
      <c r="E1054">
        <v>1</v>
      </c>
      <c r="F1054">
        <v>23</v>
      </c>
      <c r="G1054">
        <v>318</v>
      </c>
      <c r="H1054">
        <v>53957802</v>
      </c>
      <c r="I1054">
        <v>811423</v>
      </c>
      <c r="J1054" t="s">
        <v>25</v>
      </c>
      <c r="K1054" t="s">
        <v>30</v>
      </c>
      <c r="L1054">
        <v>8</v>
      </c>
      <c r="M1054">
        <v>67.58</v>
      </c>
      <c r="N1054">
        <v>534004</v>
      </c>
      <c r="O1054">
        <v>1</v>
      </c>
    </row>
    <row r="1055" spans="1:15">
      <c r="A1055" t="s">
        <v>1081</v>
      </c>
      <c r="B1055" t="s">
        <v>24</v>
      </c>
      <c r="C1055">
        <v>1</v>
      </c>
      <c r="D1055">
        <v>29219013</v>
      </c>
      <c r="E1055">
        <v>4</v>
      </c>
      <c r="F1055">
        <v>12</v>
      </c>
      <c r="G1055">
        <v>137</v>
      </c>
      <c r="H1055">
        <v>20175658</v>
      </c>
      <c r="I1055">
        <v>419226</v>
      </c>
      <c r="J1055" t="s">
        <v>25</v>
      </c>
      <c r="K1055" t="s">
        <v>22</v>
      </c>
      <c r="L1055">
        <v>8</v>
      </c>
      <c r="M1055">
        <v>6.54</v>
      </c>
      <c r="N1055">
        <v>257614</v>
      </c>
      <c r="O1055">
        <v>1</v>
      </c>
    </row>
    <row r="1056" spans="1:15">
      <c r="A1056" t="s">
        <v>1082</v>
      </c>
      <c r="B1056" t="s">
        <v>16</v>
      </c>
      <c r="C1056">
        <v>0</v>
      </c>
      <c r="D1056">
        <v>28834975</v>
      </c>
      <c r="E1056">
        <v>4</v>
      </c>
      <c r="F1056">
        <v>27</v>
      </c>
      <c r="G1056">
        <v>138</v>
      </c>
      <c r="H1056">
        <v>90544235</v>
      </c>
      <c r="I1056">
        <v>980149</v>
      </c>
      <c r="J1056" t="s">
        <v>21</v>
      </c>
      <c r="K1056" t="s">
        <v>22</v>
      </c>
      <c r="L1056">
        <v>7</v>
      </c>
      <c r="M1056">
        <v>49.47</v>
      </c>
      <c r="N1056">
        <v>699990</v>
      </c>
      <c r="O1056">
        <v>1</v>
      </c>
    </row>
    <row r="1057" spans="1:15">
      <c r="A1057" t="s">
        <v>1083</v>
      </c>
      <c r="B1057" t="s">
        <v>38</v>
      </c>
      <c r="C1057">
        <v>2</v>
      </c>
      <c r="D1057">
        <v>6641390</v>
      </c>
      <c r="E1057">
        <v>1</v>
      </c>
      <c r="F1057">
        <v>12</v>
      </c>
      <c r="G1057">
        <v>808</v>
      </c>
      <c r="H1057">
        <v>37806144</v>
      </c>
      <c r="I1057">
        <v>876275</v>
      </c>
      <c r="J1057" t="s">
        <v>25</v>
      </c>
      <c r="K1057" t="s">
        <v>30</v>
      </c>
      <c r="L1057">
        <v>9</v>
      </c>
      <c r="M1057">
        <v>21.37</v>
      </c>
      <c r="N1057">
        <v>368000</v>
      </c>
      <c r="O1057">
        <v>1</v>
      </c>
    </row>
    <row r="1058" spans="1:15">
      <c r="A1058" t="s">
        <v>1084</v>
      </c>
      <c r="B1058" t="s">
        <v>20</v>
      </c>
      <c r="C1058">
        <v>0</v>
      </c>
      <c r="D1058">
        <v>34044809</v>
      </c>
      <c r="E1058">
        <v>1</v>
      </c>
      <c r="F1058">
        <v>6</v>
      </c>
      <c r="G1058">
        <v>940</v>
      </c>
      <c r="H1058">
        <v>46201082</v>
      </c>
      <c r="I1058">
        <v>958821</v>
      </c>
      <c r="J1058" t="s">
        <v>21</v>
      </c>
      <c r="K1058" t="s">
        <v>18</v>
      </c>
      <c r="L1058">
        <v>3</v>
      </c>
      <c r="M1058">
        <v>34.1</v>
      </c>
      <c r="N1058">
        <v>854942</v>
      </c>
      <c r="O1058">
        <v>1</v>
      </c>
    </row>
    <row r="1059" spans="1:15">
      <c r="A1059" t="s">
        <v>1085</v>
      </c>
      <c r="B1059" t="s">
        <v>29</v>
      </c>
      <c r="C1059">
        <v>13</v>
      </c>
      <c r="D1059">
        <v>38886807</v>
      </c>
      <c r="E1059">
        <v>4</v>
      </c>
      <c r="F1059">
        <v>29</v>
      </c>
      <c r="G1059">
        <v>712</v>
      </c>
      <c r="H1059">
        <v>51131301</v>
      </c>
      <c r="I1059">
        <v>630884</v>
      </c>
      <c r="J1059" t="s">
        <v>21</v>
      </c>
      <c r="K1059" t="s">
        <v>22</v>
      </c>
      <c r="L1059">
        <v>3</v>
      </c>
      <c r="M1059">
        <v>85.36</v>
      </c>
      <c r="N1059">
        <v>529491</v>
      </c>
      <c r="O1059">
        <v>1</v>
      </c>
    </row>
    <row r="1060" spans="1:15">
      <c r="A1060" t="s">
        <v>1086</v>
      </c>
      <c r="B1060" t="s">
        <v>24</v>
      </c>
      <c r="C1060">
        <v>2</v>
      </c>
      <c r="D1060">
        <v>12213872</v>
      </c>
      <c r="E1060">
        <v>1</v>
      </c>
      <c r="F1060">
        <v>23</v>
      </c>
      <c r="G1060">
        <v>60</v>
      </c>
      <c r="H1060">
        <v>97258234</v>
      </c>
      <c r="I1060">
        <v>766255</v>
      </c>
      <c r="J1060" t="s">
        <v>17</v>
      </c>
      <c r="K1060" t="s">
        <v>22</v>
      </c>
      <c r="L1060">
        <v>6</v>
      </c>
      <c r="M1060">
        <v>24.96</v>
      </c>
      <c r="N1060">
        <v>606586</v>
      </c>
      <c r="O1060">
        <v>1</v>
      </c>
    </row>
    <row r="1061" spans="1:15">
      <c r="A1061" t="s">
        <v>1087</v>
      </c>
      <c r="B1061" t="s">
        <v>27</v>
      </c>
      <c r="C1061">
        <v>4</v>
      </c>
      <c r="D1061">
        <v>48289794</v>
      </c>
      <c r="E1061">
        <v>2</v>
      </c>
      <c r="F1061">
        <v>24</v>
      </c>
      <c r="G1061">
        <v>448</v>
      </c>
      <c r="H1061">
        <v>50928305</v>
      </c>
      <c r="I1061">
        <v>462473</v>
      </c>
      <c r="J1061" t="s">
        <v>25</v>
      </c>
      <c r="K1061" t="s">
        <v>18</v>
      </c>
      <c r="L1061">
        <v>6</v>
      </c>
      <c r="M1061">
        <v>9.7200000000000006</v>
      </c>
      <c r="N1061">
        <v>940304</v>
      </c>
      <c r="O1061">
        <v>1</v>
      </c>
    </row>
    <row r="1062" spans="1:15">
      <c r="A1062" t="s">
        <v>1088</v>
      </c>
      <c r="B1062" t="s">
        <v>29</v>
      </c>
      <c r="C1062">
        <v>3</v>
      </c>
      <c r="D1062">
        <v>13910350</v>
      </c>
      <c r="E1062">
        <v>4</v>
      </c>
      <c r="F1062">
        <v>11</v>
      </c>
      <c r="G1062">
        <v>696</v>
      </c>
      <c r="H1062">
        <v>67850012</v>
      </c>
      <c r="I1062">
        <v>716877</v>
      </c>
      <c r="J1062" t="s">
        <v>17</v>
      </c>
      <c r="K1062" t="s">
        <v>18</v>
      </c>
      <c r="L1062">
        <v>9</v>
      </c>
      <c r="M1062">
        <v>41.89</v>
      </c>
      <c r="N1062">
        <v>938513</v>
      </c>
      <c r="O1062">
        <v>1</v>
      </c>
    </row>
    <row r="1063" spans="1:15">
      <c r="A1063" t="s">
        <v>1089</v>
      </c>
      <c r="B1063" t="s">
        <v>27</v>
      </c>
      <c r="C1063">
        <v>13</v>
      </c>
      <c r="D1063">
        <v>8925853</v>
      </c>
      <c r="E1063">
        <v>1</v>
      </c>
      <c r="F1063">
        <v>15</v>
      </c>
      <c r="G1063">
        <v>910</v>
      </c>
      <c r="H1063">
        <v>51528628</v>
      </c>
      <c r="I1063">
        <v>295232</v>
      </c>
      <c r="J1063" t="s">
        <v>17</v>
      </c>
      <c r="K1063" t="s">
        <v>30</v>
      </c>
      <c r="L1063">
        <v>2</v>
      </c>
      <c r="M1063">
        <v>56.14</v>
      </c>
      <c r="N1063">
        <v>47554</v>
      </c>
      <c r="O1063">
        <v>1</v>
      </c>
    </row>
    <row r="1064" spans="1:15">
      <c r="A1064" t="s">
        <v>1090</v>
      </c>
      <c r="B1064" t="s">
        <v>38</v>
      </c>
      <c r="C1064">
        <v>3</v>
      </c>
      <c r="D1064">
        <v>47643315</v>
      </c>
      <c r="E1064">
        <v>1</v>
      </c>
      <c r="F1064">
        <v>7</v>
      </c>
      <c r="G1064">
        <v>436</v>
      </c>
      <c r="H1064">
        <v>34859338</v>
      </c>
      <c r="I1064">
        <v>193537</v>
      </c>
      <c r="J1064" t="s">
        <v>17</v>
      </c>
      <c r="K1064" t="s">
        <v>18</v>
      </c>
      <c r="L1064">
        <v>7</v>
      </c>
      <c r="M1064">
        <v>73.03</v>
      </c>
      <c r="N1064">
        <v>703440</v>
      </c>
      <c r="O1064">
        <v>1</v>
      </c>
    </row>
    <row r="1065" spans="1:15">
      <c r="A1065" t="s">
        <v>1091</v>
      </c>
      <c r="B1065" t="s">
        <v>20</v>
      </c>
      <c r="C1065">
        <v>2</v>
      </c>
      <c r="D1065">
        <v>17025670</v>
      </c>
      <c r="E1065">
        <v>4</v>
      </c>
      <c r="F1065">
        <v>9</v>
      </c>
      <c r="G1065">
        <v>167</v>
      </c>
      <c r="H1065">
        <v>69326668</v>
      </c>
      <c r="I1065">
        <v>23532</v>
      </c>
      <c r="J1065" t="s">
        <v>17</v>
      </c>
      <c r="K1065" t="s">
        <v>30</v>
      </c>
      <c r="L1065">
        <v>5</v>
      </c>
      <c r="M1065">
        <v>51.18</v>
      </c>
      <c r="N1065">
        <v>325947</v>
      </c>
      <c r="O1065">
        <v>1</v>
      </c>
    </row>
    <row r="1066" spans="1:15">
      <c r="A1066" t="s">
        <v>1092</v>
      </c>
      <c r="B1066" t="s">
        <v>20</v>
      </c>
      <c r="C1066">
        <v>2</v>
      </c>
      <c r="D1066">
        <v>16358892</v>
      </c>
      <c r="E1066">
        <v>2</v>
      </c>
      <c r="F1066">
        <v>20</v>
      </c>
      <c r="G1066">
        <v>148</v>
      </c>
      <c r="H1066">
        <v>53585726</v>
      </c>
      <c r="I1066">
        <v>64382</v>
      </c>
      <c r="J1066" t="s">
        <v>17</v>
      </c>
      <c r="K1066" t="s">
        <v>18</v>
      </c>
      <c r="L1066">
        <v>5</v>
      </c>
      <c r="M1066">
        <v>89.46</v>
      </c>
      <c r="N1066">
        <v>416385</v>
      </c>
      <c r="O1066">
        <v>1</v>
      </c>
    </row>
    <row r="1067" spans="1:15">
      <c r="A1067" t="s">
        <v>1093</v>
      </c>
      <c r="B1067" t="s">
        <v>24</v>
      </c>
      <c r="C1067">
        <v>14</v>
      </c>
      <c r="D1067">
        <v>17993690</v>
      </c>
      <c r="E1067">
        <v>1</v>
      </c>
      <c r="F1067">
        <v>8</v>
      </c>
      <c r="G1067">
        <v>281</v>
      </c>
      <c r="H1067">
        <v>79057074</v>
      </c>
      <c r="I1067">
        <v>571675</v>
      </c>
      <c r="J1067" t="s">
        <v>25</v>
      </c>
      <c r="K1067" t="s">
        <v>22</v>
      </c>
      <c r="L1067">
        <v>5</v>
      </c>
      <c r="M1067">
        <v>91.86</v>
      </c>
      <c r="N1067">
        <v>126070</v>
      </c>
      <c r="O1067">
        <v>1</v>
      </c>
    </row>
    <row r="1068" spans="1:15">
      <c r="A1068" t="s">
        <v>1094</v>
      </c>
      <c r="B1068" t="s">
        <v>29</v>
      </c>
      <c r="C1068">
        <v>8</v>
      </c>
      <c r="D1068">
        <v>49455073</v>
      </c>
      <c r="E1068">
        <v>2</v>
      </c>
      <c r="F1068">
        <v>27</v>
      </c>
      <c r="G1068">
        <v>119</v>
      </c>
      <c r="H1068">
        <v>8274295</v>
      </c>
      <c r="I1068">
        <v>634274</v>
      </c>
      <c r="J1068" t="s">
        <v>17</v>
      </c>
      <c r="K1068" t="s">
        <v>18</v>
      </c>
      <c r="L1068">
        <v>7</v>
      </c>
      <c r="M1068">
        <v>74.849999999999994</v>
      </c>
      <c r="N1068">
        <v>108412</v>
      </c>
      <c r="O1068">
        <v>1</v>
      </c>
    </row>
    <row r="1069" spans="1:15">
      <c r="A1069" t="s">
        <v>1095</v>
      </c>
      <c r="B1069" t="s">
        <v>20</v>
      </c>
      <c r="C1069">
        <v>7</v>
      </c>
      <c r="D1069">
        <v>23348697</v>
      </c>
      <c r="E1069">
        <v>1</v>
      </c>
      <c r="F1069">
        <v>7</v>
      </c>
      <c r="G1069">
        <v>134</v>
      </c>
      <c r="H1069">
        <v>65958064</v>
      </c>
      <c r="I1069">
        <v>648687</v>
      </c>
      <c r="J1069" t="s">
        <v>25</v>
      </c>
      <c r="K1069" t="s">
        <v>30</v>
      </c>
      <c r="L1069">
        <v>4</v>
      </c>
      <c r="M1069">
        <v>45.1</v>
      </c>
      <c r="N1069">
        <v>395954</v>
      </c>
      <c r="O1069">
        <v>1</v>
      </c>
    </row>
    <row r="1070" spans="1:15">
      <c r="A1070" t="s">
        <v>1096</v>
      </c>
      <c r="B1070" t="s">
        <v>24</v>
      </c>
      <c r="C1070">
        <v>4</v>
      </c>
      <c r="D1070">
        <v>14872684</v>
      </c>
      <c r="E1070">
        <v>4</v>
      </c>
      <c r="F1070">
        <v>16</v>
      </c>
      <c r="G1070">
        <v>671</v>
      </c>
      <c r="H1070">
        <v>56586349</v>
      </c>
      <c r="I1070">
        <v>992191</v>
      </c>
      <c r="J1070" t="s">
        <v>17</v>
      </c>
      <c r="K1070" t="s">
        <v>22</v>
      </c>
      <c r="L1070">
        <v>1</v>
      </c>
      <c r="M1070">
        <v>72.31</v>
      </c>
      <c r="N1070">
        <v>825598</v>
      </c>
      <c r="O1070">
        <v>1</v>
      </c>
    </row>
    <row r="1071" spans="1:15">
      <c r="A1071" t="s">
        <v>1097</v>
      </c>
      <c r="B1071" t="s">
        <v>27</v>
      </c>
      <c r="C1071">
        <v>5</v>
      </c>
      <c r="D1071">
        <v>11218804</v>
      </c>
      <c r="E1071">
        <v>2</v>
      </c>
      <c r="F1071">
        <v>5</v>
      </c>
      <c r="G1071">
        <v>2</v>
      </c>
      <c r="H1071">
        <v>39603344</v>
      </c>
      <c r="I1071">
        <v>403749</v>
      </c>
      <c r="J1071" t="s">
        <v>21</v>
      </c>
      <c r="K1071" t="s">
        <v>22</v>
      </c>
      <c r="L1071">
        <v>5</v>
      </c>
      <c r="M1071">
        <v>47.67</v>
      </c>
      <c r="N1071">
        <v>446215</v>
      </c>
      <c r="O1071">
        <v>1</v>
      </c>
    </row>
    <row r="1072" spans="1:15">
      <c r="A1072" t="s">
        <v>1098</v>
      </c>
      <c r="B1072" t="s">
        <v>38</v>
      </c>
      <c r="C1072">
        <v>12</v>
      </c>
      <c r="D1072">
        <v>15489129</v>
      </c>
      <c r="E1072">
        <v>1</v>
      </c>
      <c r="F1072">
        <v>18</v>
      </c>
      <c r="G1072">
        <v>18</v>
      </c>
      <c r="H1072">
        <v>13690318</v>
      </c>
      <c r="I1072">
        <v>187673</v>
      </c>
      <c r="J1072" t="s">
        <v>17</v>
      </c>
      <c r="K1072" t="s">
        <v>18</v>
      </c>
      <c r="L1072">
        <v>8</v>
      </c>
      <c r="M1072">
        <v>78.03</v>
      </c>
      <c r="N1072">
        <v>586531</v>
      </c>
      <c r="O1072">
        <v>1</v>
      </c>
    </row>
    <row r="1073" spans="1:15">
      <c r="A1073" t="s">
        <v>1099</v>
      </c>
      <c r="B1073" t="s">
        <v>20</v>
      </c>
      <c r="C1073">
        <v>4</v>
      </c>
      <c r="D1073">
        <v>14011147</v>
      </c>
      <c r="E1073">
        <v>4</v>
      </c>
      <c r="F1073">
        <v>24</v>
      </c>
      <c r="G1073">
        <v>70</v>
      </c>
      <c r="H1073">
        <v>87545470</v>
      </c>
      <c r="I1073">
        <v>467550</v>
      </c>
      <c r="J1073" t="s">
        <v>25</v>
      </c>
      <c r="K1073" t="s">
        <v>22</v>
      </c>
      <c r="L1073">
        <v>7</v>
      </c>
      <c r="M1073">
        <v>30.77</v>
      </c>
      <c r="N1073">
        <v>687961</v>
      </c>
      <c r="O1073">
        <v>1</v>
      </c>
    </row>
    <row r="1074" spans="1:15">
      <c r="A1074" t="s">
        <v>1100</v>
      </c>
      <c r="B1074" t="s">
        <v>20</v>
      </c>
      <c r="C1074">
        <v>11</v>
      </c>
      <c r="D1074">
        <v>38397415</v>
      </c>
      <c r="E1074">
        <v>4</v>
      </c>
      <c r="F1074">
        <v>29</v>
      </c>
      <c r="G1074">
        <v>380</v>
      </c>
      <c r="H1074">
        <v>48122459</v>
      </c>
      <c r="I1074">
        <v>897846</v>
      </c>
      <c r="J1074" t="s">
        <v>25</v>
      </c>
      <c r="K1074" t="s">
        <v>22</v>
      </c>
      <c r="L1074">
        <v>7</v>
      </c>
      <c r="M1074">
        <v>42.72</v>
      </c>
      <c r="N1074">
        <v>909226</v>
      </c>
      <c r="O1074">
        <v>1</v>
      </c>
    </row>
    <row r="1075" spans="1:15">
      <c r="A1075" t="s">
        <v>1101</v>
      </c>
      <c r="B1075" t="s">
        <v>29</v>
      </c>
      <c r="C1075">
        <v>2</v>
      </c>
      <c r="D1075">
        <v>43199248</v>
      </c>
      <c r="E1075">
        <v>1</v>
      </c>
      <c r="F1075">
        <v>18</v>
      </c>
      <c r="G1075">
        <v>577</v>
      </c>
      <c r="H1075">
        <v>78591783</v>
      </c>
      <c r="I1075">
        <v>561474</v>
      </c>
      <c r="J1075" t="s">
        <v>25</v>
      </c>
      <c r="K1075" t="s">
        <v>18</v>
      </c>
      <c r="L1075">
        <v>2</v>
      </c>
      <c r="M1075">
        <v>77.97</v>
      </c>
      <c r="N1075">
        <v>888364</v>
      </c>
      <c r="O1075">
        <v>1</v>
      </c>
    </row>
    <row r="1076" spans="1:15">
      <c r="A1076" t="s">
        <v>1102</v>
      </c>
      <c r="B1076" t="s">
        <v>32</v>
      </c>
      <c r="C1076">
        <v>3</v>
      </c>
      <c r="D1076">
        <v>7191170</v>
      </c>
      <c r="E1076">
        <v>3</v>
      </c>
      <c r="F1076">
        <v>25</v>
      </c>
      <c r="G1076">
        <v>557</v>
      </c>
      <c r="H1076">
        <v>73372424</v>
      </c>
      <c r="I1076">
        <v>904615</v>
      </c>
      <c r="J1076" t="s">
        <v>25</v>
      </c>
      <c r="K1076" t="s">
        <v>22</v>
      </c>
      <c r="L1076">
        <v>5</v>
      </c>
      <c r="M1076">
        <v>90.15</v>
      </c>
      <c r="N1076">
        <v>290810</v>
      </c>
      <c r="O1076">
        <v>1</v>
      </c>
    </row>
    <row r="1077" spans="1:15">
      <c r="A1077" t="s">
        <v>1103</v>
      </c>
      <c r="B1077" t="s">
        <v>32</v>
      </c>
      <c r="C1077">
        <v>0</v>
      </c>
      <c r="D1077">
        <v>12083994</v>
      </c>
      <c r="E1077">
        <v>4</v>
      </c>
      <c r="F1077">
        <v>2</v>
      </c>
      <c r="G1077">
        <v>97</v>
      </c>
      <c r="H1077">
        <v>31492738</v>
      </c>
      <c r="I1077">
        <v>571201</v>
      </c>
      <c r="J1077" t="s">
        <v>21</v>
      </c>
      <c r="K1077" t="s">
        <v>18</v>
      </c>
      <c r="L1077">
        <v>6</v>
      </c>
      <c r="M1077">
        <v>78.27</v>
      </c>
      <c r="N1077">
        <v>5326</v>
      </c>
      <c r="O1077">
        <v>1</v>
      </c>
    </row>
    <row r="1078" spans="1:15">
      <c r="A1078" t="s">
        <v>1104</v>
      </c>
      <c r="B1078" t="s">
        <v>24</v>
      </c>
      <c r="C1078">
        <v>3</v>
      </c>
      <c r="D1078">
        <v>25682635</v>
      </c>
      <c r="E1078">
        <v>1</v>
      </c>
      <c r="F1078">
        <v>10</v>
      </c>
      <c r="G1078">
        <v>398</v>
      </c>
      <c r="H1078">
        <v>97024189</v>
      </c>
      <c r="I1078">
        <v>161258</v>
      </c>
      <c r="J1078" t="s">
        <v>21</v>
      </c>
      <c r="K1078" t="s">
        <v>22</v>
      </c>
      <c r="L1078">
        <v>2</v>
      </c>
      <c r="M1078">
        <v>91.29</v>
      </c>
      <c r="N1078">
        <v>582070</v>
      </c>
      <c r="O1078">
        <v>1</v>
      </c>
    </row>
    <row r="1079" spans="1:15">
      <c r="A1079" t="s">
        <v>1105</v>
      </c>
      <c r="B1079" t="s">
        <v>38</v>
      </c>
      <c r="C1079">
        <v>7</v>
      </c>
      <c r="D1079">
        <v>9127687</v>
      </c>
      <c r="E1079">
        <v>4</v>
      </c>
      <c r="F1079">
        <v>18</v>
      </c>
      <c r="G1079">
        <v>631</v>
      </c>
      <c r="H1079">
        <v>93502567</v>
      </c>
      <c r="I1079">
        <v>313074</v>
      </c>
      <c r="J1079" t="s">
        <v>25</v>
      </c>
      <c r="K1079" t="s">
        <v>30</v>
      </c>
      <c r="L1079">
        <v>3</v>
      </c>
      <c r="M1079">
        <v>88.57</v>
      </c>
      <c r="N1079">
        <v>181302</v>
      </c>
      <c r="O1079">
        <v>1</v>
      </c>
    </row>
    <row r="1080" spans="1:15">
      <c r="A1080" t="s">
        <v>1106</v>
      </c>
      <c r="B1080" t="s">
        <v>24</v>
      </c>
      <c r="C1080">
        <v>2</v>
      </c>
      <c r="D1080">
        <v>22115918</v>
      </c>
      <c r="E1080">
        <v>2</v>
      </c>
      <c r="F1080">
        <v>9</v>
      </c>
      <c r="G1080">
        <v>664</v>
      </c>
      <c r="H1080">
        <v>21722805</v>
      </c>
      <c r="I1080">
        <v>606269</v>
      </c>
      <c r="J1080" t="s">
        <v>25</v>
      </c>
      <c r="K1080" t="s">
        <v>22</v>
      </c>
      <c r="L1080">
        <v>2</v>
      </c>
      <c r="M1080">
        <v>95.04</v>
      </c>
      <c r="N1080">
        <v>465822</v>
      </c>
      <c r="O1080">
        <v>1</v>
      </c>
    </row>
    <row r="1081" spans="1:15">
      <c r="A1081" t="s">
        <v>1107</v>
      </c>
      <c r="B1081" t="s">
        <v>29</v>
      </c>
      <c r="C1081">
        <v>10</v>
      </c>
      <c r="D1081">
        <v>15707881</v>
      </c>
      <c r="E1081">
        <v>3</v>
      </c>
      <c r="F1081">
        <v>4</v>
      </c>
      <c r="G1081">
        <v>734</v>
      </c>
      <c r="H1081">
        <v>71942210</v>
      </c>
      <c r="I1081">
        <v>696802</v>
      </c>
      <c r="J1081" t="s">
        <v>21</v>
      </c>
      <c r="K1081" t="s">
        <v>30</v>
      </c>
      <c r="L1081">
        <v>6</v>
      </c>
      <c r="M1081">
        <v>85.52</v>
      </c>
      <c r="N1081">
        <v>201368</v>
      </c>
      <c r="O1081">
        <v>1</v>
      </c>
    </row>
    <row r="1082" spans="1:15">
      <c r="A1082" t="s">
        <v>1108</v>
      </c>
      <c r="B1082" t="s">
        <v>38</v>
      </c>
      <c r="C1082">
        <v>5</v>
      </c>
      <c r="D1082">
        <v>32906978</v>
      </c>
      <c r="E1082">
        <v>4</v>
      </c>
      <c r="F1082">
        <v>1</v>
      </c>
      <c r="G1082">
        <v>196</v>
      </c>
      <c r="H1082">
        <v>18860848</v>
      </c>
      <c r="I1082">
        <v>20127</v>
      </c>
      <c r="J1082" t="s">
        <v>21</v>
      </c>
      <c r="K1082" t="s">
        <v>22</v>
      </c>
      <c r="L1082">
        <v>7</v>
      </c>
      <c r="M1082">
        <v>40.19</v>
      </c>
      <c r="N1082">
        <v>40042</v>
      </c>
      <c r="O1082">
        <v>1</v>
      </c>
    </row>
    <row r="1083" spans="1:15">
      <c r="A1083" t="s">
        <v>1109</v>
      </c>
      <c r="B1083" t="s">
        <v>16</v>
      </c>
      <c r="C1083">
        <v>1</v>
      </c>
      <c r="D1083">
        <v>9792580</v>
      </c>
      <c r="E1083">
        <v>3</v>
      </c>
      <c r="F1083">
        <v>12</v>
      </c>
      <c r="G1083">
        <v>961</v>
      </c>
      <c r="H1083">
        <v>23087479</v>
      </c>
      <c r="I1083">
        <v>20046</v>
      </c>
      <c r="J1083" t="s">
        <v>17</v>
      </c>
      <c r="K1083" t="s">
        <v>22</v>
      </c>
      <c r="L1083">
        <v>5</v>
      </c>
      <c r="M1083">
        <v>47.52</v>
      </c>
      <c r="N1083">
        <v>844123</v>
      </c>
      <c r="O1083">
        <v>1</v>
      </c>
    </row>
    <row r="1084" spans="1:15">
      <c r="A1084" t="s">
        <v>1110</v>
      </c>
      <c r="B1084" t="s">
        <v>16</v>
      </c>
      <c r="C1084">
        <v>11</v>
      </c>
      <c r="D1084">
        <v>34157208</v>
      </c>
      <c r="E1084">
        <v>2</v>
      </c>
      <c r="F1084">
        <v>17</v>
      </c>
      <c r="G1084">
        <v>191</v>
      </c>
      <c r="H1084">
        <v>43856093</v>
      </c>
      <c r="I1084">
        <v>386720</v>
      </c>
      <c r="J1084" t="s">
        <v>25</v>
      </c>
      <c r="K1084" t="s">
        <v>22</v>
      </c>
      <c r="L1084">
        <v>2</v>
      </c>
      <c r="M1084">
        <v>23.9</v>
      </c>
      <c r="N1084">
        <v>352587</v>
      </c>
      <c r="O1084">
        <v>1</v>
      </c>
    </row>
    <row r="1085" spans="1:15">
      <c r="A1085" t="s">
        <v>1111</v>
      </c>
      <c r="B1085" t="s">
        <v>38</v>
      </c>
      <c r="C1085">
        <v>7</v>
      </c>
      <c r="D1085">
        <v>32154897</v>
      </c>
      <c r="E1085">
        <v>4</v>
      </c>
      <c r="F1085">
        <v>22</v>
      </c>
      <c r="G1085">
        <v>93</v>
      </c>
      <c r="H1085">
        <v>3195261</v>
      </c>
      <c r="I1085">
        <v>671253</v>
      </c>
      <c r="J1085" t="s">
        <v>17</v>
      </c>
      <c r="K1085" t="s">
        <v>18</v>
      </c>
      <c r="L1085">
        <v>8</v>
      </c>
      <c r="M1085">
        <v>29.99</v>
      </c>
      <c r="N1085">
        <v>118317</v>
      </c>
      <c r="O1085">
        <v>1</v>
      </c>
    </row>
    <row r="1086" spans="1:15">
      <c r="A1086" t="s">
        <v>1112</v>
      </c>
      <c r="B1086" t="s">
        <v>27</v>
      </c>
      <c r="C1086">
        <v>3</v>
      </c>
      <c r="D1086">
        <v>36171582</v>
      </c>
      <c r="E1086">
        <v>4</v>
      </c>
      <c r="F1086">
        <v>0</v>
      </c>
      <c r="G1086">
        <v>945</v>
      </c>
      <c r="H1086">
        <v>56732030</v>
      </c>
      <c r="I1086">
        <v>633461</v>
      </c>
      <c r="J1086" t="s">
        <v>21</v>
      </c>
      <c r="K1086" t="s">
        <v>18</v>
      </c>
      <c r="L1086">
        <v>2</v>
      </c>
      <c r="M1086">
        <v>22.68</v>
      </c>
      <c r="N1086">
        <v>199361</v>
      </c>
      <c r="O1086">
        <v>1</v>
      </c>
    </row>
    <row r="1087" spans="1:15">
      <c r="A1087" t="s">
        <v>1113</v>
      </c>
      <c r="B1087" t="s">
        <v>24</v>
      </c>
      <c r="C1087">
        <v>0</v>
      </c>
      <c r="D1087">
        <v>34445511</v>
      </c>
      <c r="E1087">
        <v>3</v>
      </c>
      <c r="F1087">
        <v>5</v>
      </c>
      <c r="G1087">
        <v>705</v>
      </c>
      <c r="H1087">
        <v>67198116</v>
      </c>
      <c r="I1087">
        <v>316685</v>
      </c>
      <c r="J1087" t="s">
        <v>21</v>
      </c>
      <c r="K1087" t="s">
        <v>22</v>
      </c>
      <c r="L1087">
        <v>8</v>
      </c>
      <c r="M1087">
        <v>16.98</v>
      </c>
      <c r="N1087">
        <v>908246</v>
      </c>
      <c r="O1087">
        <v>1</v>
      </c>
    </row>
    <row r="1088" spans="1:15">
      <c r="A1088" t="s">
        <v>1114</v>
      </c>
      <c r="B1088" t="s">
        <v>32</v>
      </c>
      <c r="C1088">
        <v>1</v>
      </c>
      <c r="D1088">
        <v>1167266</v>
      </c>
      <c r="E1088">
        <v>2</v>
      </c>
      <c r="F1088">
        <v>22</v>
      </c>
      <c r="G1088">
        <v>685</v>
      </c>
      <c r="H1088">
        <v>7194249</v>
      </c>
      <c r="I1088">
        <v>449063</v>
      </c>
      <c r="J1088" t="s">
        <v>17</v>
      </c>
      <c r="K1088" t="s">
        <v>30</v>
      </c>
      <c r="L1088">
        <v>3</v>
      </c>
      <c r="M1088">
        <v>9.9600000000000009</v>
      </c>
      <c r="N1088">
        <v>252939</v>
      </c>
      <c r="O1088">
        <v>1</v>
      </c>
    </row>
    <row r="1089" spans="1:15">
      <c r="A1089" t="s">
        <v>1115</v>
      </c>
      <c r="B1089" t="s">
        <v>29</v>
      </c>
      <c r="C1089">
        <v>14</v>
      </c>
      <c r="D1089">
        <v>29448357</v>
      </c>
      <c r="E1089">
        <v>3</v>
      </c>
      <c r="F1089">
        <v>28</v>
      </c>
      <c r="G1089">
        <v>391</v>
      </c>
      <c r="H1089">
        <v>58799280</v>
      </c>
      <c r="I1089">
        <v>99879</v>
      </c>
      <c r="J1089" t="s">
        <v>17</v>
      </c>
      <c r="K1089" t="s">
        <v>18</v>
      </c>
      <c r="L1089">
        <v>9</v>
      </c>
      <c r="M1089">
        <v>59.33</v>
      </c>
      <c r="N1089">
        <v>456365</v>
      </c>
      <c r="O1089">
        <v>1</v>
      </c>
    </row>
    <row r="1090" spans="1:15">
      <c r="A1090" t="s">
        <v>1116</v>
      </c>
      <c r="B1090" t="s">
        <v>20</v>
      </c>
      <c r="C1090">
        <v>10</v>
      </c>
      <c r="D1090">
        <v>37653767</v>
      </c>
      <c r="E1090">
        <v>3</v>
      </c>
      <c r="F1090">
        <v>16</v>
      </c>
      <c r="G1090">
        <v>993</v>
      </c>
      <c r="H1090">
        <v>47287198</v>
      </c>
      <c r="I1090">
        <v>212464</v>
      </c>
      <c r="J1090" t="s">
        <v>17</v>
      </c>
      <c r="K1090" t="s">
        <v>30</v>
      </c>
      <c r="L1090">
        <v>9</v>
      </c>
      <c r="M1090">
        <v>40.58</v>
      </c>
      <c r="N1090">
        <v>497927</v>
      </c>
      <c r="O1090">
        <v>1</v>
      </c>
    </row>
    <row r="1091" spans="1:15">
      <c r="A1091" t="s">
        <v>1117</v>
      </c>
      <c r="B1091" t="s">
        <v>16</v>
      </c>
      <c r="C1091">
        <v>7</v>
      </c>
      <c r="D1091">
        <v>11925003</v>
      </c>
      <c r="E1091">
        <v>1</v>
      </c>
      <c r="F1091">
        <v>16</v>
      </c>
      <c r="G1091">
        <v>316</v>
      </c>
      <c r="H1091">
        <v>47505382</v>
      </c>
      <c r="I1091">
        <v>314615</v>
      </c>
      <c r="J1091" t="s">
        <v>25</v>
      </c>
      <c r="K1091" t="s">
        <v>30</v>
      </c>
      <c r="L1091">
        <v>4</v>
      </c>
      <c r="M1091">
        <v>52.58</v>
      </c>
      <c r="N1091">
        <v>223934</v>
      </c>
      <c r="O1091">
        <v>1</v>
      </c>
    </row>
    <row r="1092" spans="1:15">
      <c r="A1092" t="s">
        <v>1118</v>
      </c>
      <c r="B1092" t="s">
        <v>24</v>
      </c>
      <c r="C1092">
        <v>7</v>
      </c>
      <c r="D1092">
        <v>27371121</v>
      </c>
      <c r="E1092">
        <v>2</v>
      </c>
      <c r="F1092">
        <v>26</v>
      </c>
      <c r="G1092">
        <v>817</v>
      </c>
      <c r="H1092">
        <v>72752812</v>
      </c>
      <c r="I1092">
        <v>410395</v>
      </c>
      <c r="J1092" t="s">
        <v>21</v>
      </c>
      <c r="K1092" t="s">
        <v>22</v>
      </c>
      <c r="L1092">
        <v>4</v>
      </c>
      <c r="M1092">
        <v>78.680000000000007</v>
      </c>
      <c r="N1092">
        <v>623992</v>
      </c>
      <c r="O1092">
        <v>1</v>
      </c>
    </row>
    <row r="1093" spans="1:15">
      <c r="A1093" t="s">
        <v>1119</v>
      </c>
      <c r="B1093" t="s">
        <v>24</v>
      </c>
      <c r="C1093">
        <v>9</v>
      </c>
      <c r="D1093">
        <v>27615419</v>
      </c>
      <c r="E1093">
        <v>4</v>
      </c>
      <c r="F1093">
        <v>21</v>
      </c>
      <c r="G1093">
        <v>987</v>
      </c>
      <c r="H1093">
        <v>49981138</v>
      </c>
      <c r="I1093">
        <v>29976</v>
      </c>
      <c r="J1093" t="s">
        <v>21</v>
      </c>
      <c r="K1093" t="s">
        <v>30</v>
      </c>
      <c r="L1093">
        <v>7</v>
      </c>
      <c r="M1093">
        <v>70.599999999999994</v>
      </c>
      <c r="N1093">
        <v>224002</v>
      </c>
      <c r="O1093">
        <v>1</v>
      </c>
    </row>
    <row r="1094" spans="1:15">
      <c r="A1094" t="s">
        <v>1120</v>
      </c>
      <c r="B1094" t="s">
        <v>24</v>
      </c>
      <c r="C1094">
        <v>11</v>
      </c>
      <c r="D1094">
        <v>37660746</v>
      </c>
      <c r="E1094">
        <v>1</v>
      </c>
      <c r="F1094">
        <v>25</v>
      </c>
      <c r="G1094">
        <v>839</v>
      </c>
      <c r="H1094">
        <v>40245679</v>
      </c>
      <c r="I1094">
        <v>482589</v>
      </c>
      <c r="J1094" t="s">
        <v>21</v>
      </c>
      <c r="K1094" t="s">
        <v>18</v>
      </c>
      <c r="L1094">
        <v>2</v>
      </c>
      <c r="M1094">
        <v>4.5199999999999996</v>
      </c>
      <c r="N1094">
        <v>481341</v>
      </c>
      <c r="O1094">
        <v>1</v>
      </c>
    </row>
    <row r="1095" spans="1:15">
      <c r="A1095" t="s">
        <v>1121</v>
      </c>
      <c r="B1095" t="s">
        <v>38</v>
      </c>
      <c r="C1095">
        <v>3</v>
      </c>
      <c r="D1095">
        <v>7381658</v>
      </c>
      <c r="E1095">
        <v>1</v>
      </c>
      <c r="F1095">
        <v>12</v>
      </c>
      <c r="G1095">
        <v>142</v>
      </c>
      <c r="H1095">
        <v>83428954</v>
      </c>
      <c r="I1095">
        <v>989451</v>
      </c>
      <c r="J1095" t="s">
        <v>21</v>
      </c>
      <c r="K1095" t="s">
        <v>22</v>
      </c>
      <c r="L1095">
        <v>1</v>
      </c>
      <c r="M1095">
        <v>75.34</v>
      </c>
      <c r="N1095">
        <v>247231</v>
      </c>
      <c r="O1095">
        <v>1</v>
      </c>
    </row>
    <row r="1096" spans="1:15">
      <c r="A1096" t="s">
        <v>1122</v>
      </c>
      <c r="B1096" t="s">
        <v>24</v>
      </c>
      <c r="C1096">
        <v>7</v>
      </c>
      <c r="D1096">
        <v>46601922</v>
      </c>
      <c r="E1096">
        <v>4</v>
      </c>
      <c r="F1096">
        <v>19</v>
      </c>
      <c r="G1096">
        <v>51</v>
      </c>
      <c r="H1096">
        <v>79555905</v>
      </c>
      <c r="I1096">
        <v>420362</v>
      </c>
      <c r="J1096" t="s">
        <v>21</v>
      </c>
      <c r="K1096" t="s">
        <v>30</v>
      </c>
      <c r="L1096">
        <v>7</v>
      </c>
      <c r="M1096">
        <v>10.19</v>
      </c>
      <c r="N1096">
        <v>22290</v>
      </c>
      <c r="O1096">
        <v>1</v>
      </c>
    </row>
    <row r="1097" spans="1:15">
      <c r="A1097" t="s">
        <v>1123</v>
      </c>
      <c r="B1097" t="s">
        <v>16</v>
      </c>
      <c r="C1097">
        <v>4</v>
      </c>
      <c r="D1097">
        <v>27646106</v>
      </c>
      <c r="E1097">
        <v>1</v>
      </c>
      <c r="F1097">
        <v>17</v>
      </c>
      <c r="G1097">
        <v>786</v>
      </c>
      <c r="H1097">
        <v>88767759</v>
      </c>
      <c r="I1097">
        <v>199162</v>
      </c>
      <c r="J1097" t="s">
        <v>25</v>
      </c>
      <c r="K1097" t="s">
        <v>22</v>
      </c>
      <c r="L1097">
        <v>1</v>
      </c>
      <c r="M1097">
        <v>66.27</v>
      </c>
      <c r="N1097">
        <v>874567</v>
      </c>
      <c r="O1097">
        <v>1</v>
      </c>
    </row>
    <row r="1098" spans="1:15">
      <c r="A1098" t="s">
        <v>1124</v>
      </c>
      <c r="B1098" t="s">
        <v>24</v>
      </c>
      <c r="C1098">
        <v>2</v>
      </c>
      <c r="D1098">
        <v>19164643</v>
      </c>
      <c r="E1098">
        <v>3</v>
      </c>
      <c r="F1098">
        <v>9</v>
      </c>
      <c r="G1098">
        <v>305</v>
      </c>
      <c r="H1098">
        <v>98249914</v>
      </c>
      <c r="I1098">
        <v>577880</v>
      </c>
      <c r="J1098" t="s">
        <v>25</v>
      </c>
      <c r="K1098" t="s">
        <v>22</v>
      </c>
      <c r="L1098">
        <v>5</v>
      </c>
      <c r="M1098">
        <v>84.16</v>
      </c>
      <c r="N1098">
        <v>32780</v>
      </c>
      <c r="O1098">
        <v>1</v>
      </c>
    </row>
    <row r="1099" spans="1:15">
      <c r="A1099" t="s">
        <v>1125</v>
      </c>
      <c r="B1099" t="s">
        <v>32</v>
      </c>
      <c r="C1099">
        <v>10</v>
      </c>
      <c r="D1099">
        <v>33752433</v>
      </c>
      <c r="E1099">
        <v>2</v>
      </c>
      <c r="F1099">
        <v>29</v>
      </c>
      <c r="G1099">
        <v>269</v>
      </c>
      <c r="H1099">
        <v>56762117</v>
      </c>
      <c r="I1099">
        <v>561542</v>
      </c>
      <c r="J1099" t="s">
        <v>21</v>
      </c>
      <c r="K1099" t="s">
        <v>30</v>
      </c>
      <c r="L1099">
        <v>4</v>
      </c>
      <c r="M1099">
        <v>28.86</v>
      </c>
      <c r="N1099">
        <v>100123</v>
      </c>
      <c r="O1099">
        <v>1</v>
      </c>
    </row>
    <row r="1100" spans="1:15">
      <c r="A1100" t="s">
        <v>1126</v>
      </c>
      <c r="B1100" t="s">
        <v>16</v>
      </c>
      <c r="C1100">
        <v>10</v>
      </c>
      <c r="D1100">
        <v>34281213</v>
      </c>
      <c r="E1100">
        <v>1</v>
      </c>
      <c r="F1100">
        <v>25</v>
      </c>
      <c r="G1100">
        <v>460</v>
      </c>
      <c r="H1100">
        <v>38881162</v>
      </c>
      <c r="I1100">
        <v>872234</v>
      </c>
      <c r="J1100" t="s">
        <v>17</v>
      </c>
      <c r="K1100" t="s">
        <v>30</v>
      </c>
      <c r="L1100">
        <v>7</v>
      </c>
      <c r="M1100">
        <v>83.59</v>
      </c>
      <c r="N1100">
        <v>656110</v>
      </c>
      <c r="O1100">
        <v>1</v>
      </c>
    </row>
    <row r="1101" spans="1:15">
      <c r="A1101" t="s">
        <v>1127</v>
      </c>
      <c r="B1101" t="s">
        <v>29</v>
      </c>
      <c r="C1101">
        <v>3</v>
      </c>
      <c r="D1101">
        <v>32948566</v>
      </c>
      <c r="E1101">
        <v>3</v>
      </c>
      <c r="F1101">
        <v>15</v>
      </c>
      <c r="G1101">
        <v>630</v>
      </c>
      <c r="H1101">
        <v>43717719</v>
      </c>
      <c r="I1101">
        <v>354832</v>
      </c>
      <c r="J1101" t="s">
        <v>17</v>
      </c>
      <c r="K1101" t="s">
        <v>18</v>
      </c>
      <c r="L1101">
        <v>7</v>
      </c>
      <c r="M1101">
        <v>48.81</v>
      </c>
      <c r="N1101">
        <v>331667</v>
      </c>
      <c r="O1101">
        <v>1</v>
      </c>
    </row>
    <row r="1102" spans="1:15">
      <c r="A1102" t="s">
        <v>1128</v>
      </c>
      <c r="B1102" t="s">
        <v>20</v>
      </c>
      <c r="C1102">
        <v>12</v>
      </c>
      <c r="D1102">
        <v>5532910</v>
      </c>
      <c r="E1102">
        <v>3</v>
      </c>
      <c r="F1102">
        <v>28</v>
      </c>
      <c r="G1102">
        <v>181</v>
      </c>
      <c r="H1102">
        <v>48854220</v>
      </c>
      <c r="I1102">
        <v>637621</v>
      </c>
      <c r="J1102" t="s">
        <v>17</v>
      </c>
      <c r="K1102" t="s">
        <v>22</v>
      </c>
      <c r="L1102">
        <v>2</v>
      </c>
      <c r="M1102">
        <v>92.89</v>
      </c>
      <c r="N1102">
        <v>166143</v>
      </c>
      <c r="O1102">
        <v>1</v>
      </c>
    </row>
    <row r="1103" spans="1:15">
      <c r="A1103" t="s">
        <v>1129</v>
      </c>
      <c r="B1103" t="s">
        <v>32</v>
      </c>
      <c r="C1103">
        <v>7</v>
      </c>
      <c r="D1103">
        <v>49769321</v>
      </c>
      <c r="E1103">
        <v>4</v>
      </c>
      <c r="F1103">
        <v>22</v>
      </c>
      <c r="G1103">
        <v>935</v>
      </c>
      <c r="H1103">
        <v>12588821</v>
      </c>
      <c r="I1103">
        <v>799949</v>
      </c>
      <c r="J1103" t="s">
        <v>25</v>
      </c>
      <c r="K1103" t="s">
        <v>30</v>
      </c>
      <c r="L1103">
        <v>1</v>
      </c>
      <c r="M1103">
        <v>70.34</v>
      </c>
      <c r="N1103">
        <v>807324</v>
      </c>
      <c r="O1103">
        <v>1</v>
      </c>
    </row>
    <row r="1104" spans="1:15">
      <c r="A1104" t="s">
        <v>1130</v>
      </c>
      <c r="B1104" t="s">
        <v>32</v>
      </c>
      <c r="C1104">
        <v>6</v>
      </c>
      <c r="D1104">
        <v>30105391</v>
      </c>
      <c r="E1104">
        <v>4</v>
      </c>
      <c r="F1104">
        <v>4</v>
      </c>
      <c r="G1104">
        <v>943</v>
      </c>
      <c r="H1104">
        <v>41400718</v>
      </c>
      <c r="I1104">
        <v>611622</v>
      </c>
      <c r="J1104" t="s">
        <v>17</v>
      </c>
      <c r="K1104" t="s">
        <v>22</v>
      </c>
      <c r="L1104">
        <v>4</v>
      </c>
      <c r="M1104">
        <v>3.17</v>
      </c>
      <c r="N1104">
        <v>759177</v>
      </c>
      <c r="O1104">
        <v>1</v>
      </c>
    </row>
    <row r="1105" spans="1:15">
      <c r="A1105" t="s">
        <v>1131</v>
      </c>
      <c r="B1105" t="s">
        <v>29</v>
      </c>
      <c r="C1105">
        <v>9</v>
      </c>
      <c r="D1105">
        <v>3729800</v>
      </c>
      <c r="E1105">
        <v>4</v>
      </c>
      <c r="F1105">
        <v>5</v>
      </c>
      <c r="G1105">
        <v>84</v>
      </c>
      <c r="H1105">
        <v>86405955</v>
      </c>
      <c r="I1105">
        <v>897914</v>
      </c>
      <c r="J1105" t="s">
        <v>21</v>
      </c>
      <c r="K1105" t="s">
        <v>30</v>
      </c>
      <c r="L1105">
        <v>8</v>
      </c>
      <c r="M1105">
        <v>37.479999999999997</v>
      </c>
      <c r="N1105">
        <v>572548</v>
      </c>
      <c r="O1105">
        <v>1</v>
      </c>
    </row>
    <row r="1106" spans="1:15">
      <c r="A1106" t="s">
        <v>1132</v>
      </c>
      <c r="B1106" t="s">
        <v>16</v>
      </c>
      <c r="C1106">
        <v>11</v>
      </c>
      <c r="D1106">
        <v>36755089</v>
      </c>
      <c r="E1106">
        <v>1</v>
      </c>
      <c r="F1106">
        <v>17</v>
      </c>
      <c r="G1106">
        <v>412</v>
      </c>
      <c r="H1106">
        <v>19010957</v>
      </c>
      <c r="I1106">
        <v>717886</v>
      </c>
      <c r="J1106" t="s">
        <v>17</v>
      </c>
      <c r="K1106" t="s">
        <v>22</v>
      </c>
      <c r="L1106">
        <v>1</v>
      </c>
      <c r="M1106">
        <v>51.98</v>
      </c>
      <c r="N1106">
        <v>668411</v>
      </c>
      <c r="O1106">
        <v>1</v>
      </c>
    </row>
    <row r="1107" spans="1:15">
      <c r="A1107" t="s">
        <v>1133</v>
      </c>
      <c r="B1107" t="s">
        <v>29</v>
      </c>
      <c r="C1107">
        <v>0</v>
      </c>
      <c r="D1107">
        <v>27646822</v>
      </c>
      <c r="E1107">
        <v>4</v>
      </c>
      <c r="F1107">
        <v>5</v>
      </c>
      <c r="G1107">
        <v>843</v>
      </c>
      <c r="H1107">
        <v>75393002</v>
      </c>
      <c r="I1107">
        <v>577324</v>
      </c>
      <c r="J1107" t="s">
        <v>17</v>
      </c>
      <c r="K1107" t="s">
        <v>18</v>
      </c>
      <c r="L1107">
        <v>8</v>
      </c>
      <c r="M1107">
        <v>89.75</v>
      </c>
      <c r="N1107">
        <v>69325</v>
      </c>
      <c r="O1107">
        <v>1</v>
      </c>
    </row>
    <row r="1108" spans="1:15">
      <c r="A1108" t="s">
        <v>1134</v>
      </c>
      <c r="B1108" t="s">
        <v>32</v>
      </c>
      <c r="C1108">
        <v>10</v>
      </c>
      <c r="D1108">
        <v>9210989</v>
      </c>
      <c r="E1108">
        <v>4</v>
      </c>
      <c r="F1108">
        <v>5</v>
      </c>
      <c r="G1108">
        <v>571</v>
      </c>
      <c r="H1108">
        <v>24480711</v>
      </c>
      <c r="I1108">
        <v>763958</v>
      </c>
      <c r="J1108" t="s">
        <v>21</v>
      </c>
      <c r="K1108" t="s">
        <v>22</v>
      </c>
      <c r="L1108">
        <v>1</v>
      </c>
      <c r="M1108">
        <v>12.77</v>
      </c>
      <c r="N1108">
        <v>411916</v>
      </c>
      <c r="O1108">
        <v>1</v>
      </c>
    </row>
    <row r="1109" spans="1:15">
      <c r="A1109" t="s">
        <v>1135</v>
      </c>
      <c r="B1109" t="s">
        <v>24</v>
      </c>
      <c r="C1109">
        <v>9</v>
      </c>
      <c r="D1109">
        <v>1124515</v>
      </c>
      <c r="E1109">
        <v>2</v>
      </c>
      <c r="F1109">
        <v>0</v>
      </c>
      <c r="G1109">
        <v>854</v>
      </c>
      <c r="H1109">
        <v>10934814</v>
      </c>
      <c r="I1109">
        <v>394573</v>
      </c>
      <c r="J1109" t="s">
        <v>17</v>
      </c>
      <c r="K1109" t="s">
        <v>22</v>
      </c>
      <c r="L1109">
        <v>4</v>
      </c>
      <c r="M1109">
        <v>76.33</v>
      </c>
      <c r="N1109">
        <v>297820</v>
      </c>
      <c r="O1109">
        <v>1</v>
      </c>
    </row>
    <row r="1110" spans="1:15">
      <c r="A1110" t="s">
        <v>1136</v>
      </c>
      <c r="B1110" t="s">
        <v>38</v>
      </c>
      <c r="C1110">
        <v>13</v>
      </c>
      <c r="D1110">
        <v>12251518</v>
      </c>
      <c r="E1110">
        <v>2</v>
      </c>
      <c r="F1110">
        <v>0</v>
      </c>
      <c r="G1110">
        <v>310</v>
      </c>
      <c r="H1110">
        <v>92285709</v>
      </c>
      <c r="I1110">
        <v>254974</v>
      </c>
      <c r="J1110" t="s">
        <v>21</v>
      </c>
      <c r="K1110" t="s">
        <v>18</v>
      </c>
      <c r="L1110">
        <v>9</v>
      </c>
      <c r="M1110">
        <v>9.84</v>
      </c>
      <c r="N1110">
        <v>294146</v>
      </c>
      <c r="O1110">
        <v>1</v>
      </c>
    </row>
    <row r="1111" spans="1:15">
      <c r="A1111" t="s">
        <v>1137</v>
      </c>
      <c r="B1111" t="s">
        <v>20</v>
      </c>
      <c r="C1111">
        <v>5</v>
      </c>
      <c r="D1111">
        <v>35403993</v>
      </c>
      <c r="E1111">
        <v>1</v>
      </c>
      <c r="F1111">
        <v>22</v>
      </c>
      <c r="G1111">
        <v>220</v>
      </c>
      <c r="H1111">
        <v>70329598</v>
      </c>
      <c r="I1111">
        <v>880300</v>
      </c>
      <c r="J1111" t="s">
        <v>25</v>
      </c>
      <c r="K1111" t="s">
        <v>18</v>
      </c>
      <c r="L1111">
        <v>4</v>
      </c>
      <c r="M1111">
        <v>82.42</v>
      </c>
      <c r="N1111">
        <v>746460</v>
      </c>
      <c r="O1111">
        <v>1</v>
      </c>
    </row>
    <row r="1112" spans="1:15">
      <c r="A1112" t="s">
        <v>1138</v>
      </c>
      <c r="B1112" t="s">
        <v>38</v>
      </c>
      <c r="C1112">
        <v>0</v>
      </c>
      <c r="D1112">
        <v>12061493</v>
      </c>
      <c r="E1112">
        <v>4</v>
      </c>
      <c r="F1112">
        <v>29</v>
      </c>
      <c r="G1112">
        <v>979</v>
      </c>
      <c r="H1112">
        <v>69555465</v>
      </c>
      <c r="I1112">
        <v>242075</v>
      </c>
      <c r="J1112" t="s">
        <v>25</v>
      </c>
      <c r="K1112" t="s">
        <v>22</v>
      </c>
      <c r="L1112">
        <v>1</v>
      </c>
      <c r="M1112">
        <v>46.95</v>
      </c>
      <c r="N1112">
        <v>215555</v>
      </c>
      <c r="O1112">
        <v>1</v>
      </c>
    </row>
    <row r="1113" spans="1:15">
      <c r="A1113" t="s">
        <v>1139</v>
      </c>
      <c r="B1113" t="s">
        <v>16</v>
      </c>
      <c r="C1113">
        <v>0</v>
      </c>
      <c r="D1113">
        <v>15110039</v>
      </c>
      <c r="E1113">
        <v>3</v>
      </c>
      <c r="F1113">
        <v>29</v>
      </c>
      <c r="G1113">
        <v>177</v>
      </c>
      <c r="H1113">
        <v>84354931</v>
      </c>
      <c r="I1113">
        <v>744147</v>
      </c>
      <c r="J1113" t="s">
        <v>21</v>
      </c>
      <c r="K1113" t="s">
        <v>18</v>
      </c>
      <c r="L1113">
        <v>5</v>
      </c>
      <c r="M1113">
        <v>98.54</v>
      </c>
      <c r="N1113">
        <v>716360</v>
      </c>
      <c r="O1113">
        <v>1</v>
      </c>
    </row>
    <row r="1114" spans="1:15">
      <c r="A1114" t="s">
        <v>1140</v>
      </c>
      <c r="B1114" t="s">
        <v>16</v>
      </c>
      <c r="C1114">
        <v>11</v>
      </c>
      <c r="D1114">
        <v>42261196</v>
      </c>
      <c r="E1114">
        <v>3</v>
      </c>
      <c r="F1114">
        <v>9</v>
      </c>
      <c r="G1114">
        <v>250</v>
      </c>
      <c r="H1114">
        <v>45066133</v>
      </c>
      <c r="I1114">
        <v>230361</v>
      </c>
      <c r="J1114" t="s">
        <v>17</v>
      </c>
      <c r="K1114" t="s">
        <v>18</v>
      </c>
      <c r="L1114">
        <v>1</v>
      </c>
      <c r="M1114">
        <v>11.05</v>
      </c>
      <c r="N1114">
        <v>611810</v>
      </c>
      <c r="O1114">
        <v>1</v>
      </c>
    </row>
    <row r="1115" spans="1:15">
      <c r="A1115" t="s">
        <v>1141</v>
      </c>
      <c r="B1115" t="s">
        <v>32</v>
      </c>
      <c r="C1115">
        <v>8</v>
      </c>
      <c r="D1115">
        <v>15676670</v>
      </c>
      <c r="E1115">
        <v>3</v>
      </c>
      <c r="F1115">
        <v>3</v>
      </c>
      <c r="G1115">
        <v>249</v>
      </c>
      <c r="H1115">
        <v>84946949</v>
      </c>
      <c r="I1115">
        <v>552638</v>
      </c>
      <c r="J1115" t="s">
        <v>17</v>
      </c>
      <c r="K1115" t="s">
        <v>22</v>
      </c>
      <c r="L1115">
        <v>4</v>
      </c>
      <c r="M1115">
        <v>60.69</v>
      </c>
      <c r="N1115">
        <v>888051</v>
      </c>
      <c r="O1115">
        <v>1</v>
      </c>
    </row>
    <row r="1116" spans="1:15">
      <c r="A1116" t="s">
        <v>1142</v>
      </c>
      <c r="B1116" t="s">
        <v>29</v>
      </c>
      <c r="C1116">
        <v>10</v>
      </c>
      <c r="D1116">
        <v>4103633</v>
      </c>
      <c r="E1116">
        <v>2</v>
      </c>
      <c r="F1116">
        <v>26</v>
      </c>
      <c r="G1116">
        <v>52</v>
      </c>
      <c r="H1116">
        <v>39538735</v>
      </c>
      <c r="I1116">
        <v>977807</v>
      </c>
      <c r="J1116" t="s">
        <v>25</v>
      </c>
      <c r="K1116" t="s">
        <v>18</v>
      </c>
      <c r="L1116">
        <v>9</v>
      </c>
      <c r="M1116">
        <v>83.09</v>
      </c>
      <c r="N1116">
        <v>344088</v>
      </c>
      <c r="O1116">
        <v>1</v>
      </c>
    </row>
    <row r="1117" spans="1:15">
      <c r="A1117" t="s">
        <v>1143</v>
      </c>
      <c r="B1117" t="s">
        <v>38</v>
      </c>
      <c r="C1117">
        <v>3</v>
      </c>
      <c r="D1117">
        <v>1388989</v>
      </c>
      <c r="E1117">
        <v>4</v>
      </c>
      <c r="F1117">
        <v>1</v>
      </c>
      <c r="G1117">
        <v>271</v>
      </c>
      <c r="H1117">
        <v>78831889</v>
      </c>
      <c r="I1117">
        <v>545818</v>
      </c>
      <c r="J1117" t="s">
        <v>25</v>
      </c>
      <c r="K1117" t="s">
        <v>18</v>
      </c>
      <c r="L1117">
        <v>4</v>
      </c>
      <c r="M1117">
        <v>83.88</v>
      </c>
      <c r="N1117">
        <v>700440</v>
      </c>
      <c r="O1117">
        <v>1</v>
      </c>
    </row>
    <row r="1118" spans="1:15">
      <c r="A1118" t="s">
        <v>1144</v>
      </c>
      <c r="B1118" t="s">
        <v>20</v>
      </c>
      <c r="C1118">
        <v>3</v>
      </c>
      <c r="D1118">
        <v>25489829</v>
      </c>
      <c r="E1118">
        <v>1</v>
      </c>
      <c r="F1118">
        <v>1</v>
      </c>
      <c r="G1118">
        <v>1</v>
      </c>
      <c r="H1118">
        <v>16125109</v>
      </c>
      <c r="I1118">
        <v>642801</v>
      </c>
      <c r="J1118" t="s">
        <v>21</v>
      </c>
      <c r="K1118" t="s">
        <v>18</v>
      </c>
      <c r="L1118">
        <v>7</v>
      </c>
      <c r="M1118">
        <v>78.87</v>
      </c>
      <c r="N1118">
        <v>173844</v>
      </c>
      <c r="O1118">
        <v>1</v>
      </c>
    </row>
    <row r="1119" spans="1:15">
      <c r="A1119" t="s">
        <v>1145</v>
      </c>
      <c r="B1119" t="s">
        <v>16</v>
      </c>
      <c r="C1119">
        <v>6</v>
      </c>
      <c r="D1119">
        <v>37389279</v>
      </c>
      <c r="E1119">
        <v>2</v>
      </c>
      <c r="F1119">
        <v>18</v>
      </c>
      <c r="G1119">
        <v>228</v>
      </c>
      <c r="H1119">
        <v>2465901</v>
      </c>
      <c r="I1119">
        <v>965518</v>
      </c>
      <c r="J1119" t="s">
        <v>25</v>
      </c>
      <c r="K1119" t="s">
        <v>22</v>
      </c>
      <c r="L1119">
        <v>5</v>
      </c>
      <c r="M1119">
        <v>91.47</v>
      </c>
      <c r="N1119">
        <v>916601</v>
      </c>
      <c r="O1119">
        <v>1</v>
      </c>
    </row>
    <row r="1120" spans="1:15">
      <c r="A1120" t="s">
        <v>1146</v>
      </c>
      <c r="B1120" t="s">
        <v>27</v>
      </c>
      <c r="C1120">
        <v>8</v>
      </c>
      <c r="D1120">
        <v>29593435</v>
      </c>
      <c r="E1120">
        <v>4</v>
      </c>
      <c r="F1120">
        <v>24</v>
      </c>
      <c r="G1120">
        <v>924</v>
      </c>
      <c r="H1120">
        <v>55583454</v>
      </c>
      <c r="I1120">
        <v>604876</v>
      </c>
      <c r="J1120" t="s">
        <v>25</v>
      </c>
      <c r="K1120" t="s">
        <v>22</v>
      </c>
      <c r="L1120">
        <v>5</v>
      </c>
      <c r="M1120">
        <v>66.91</v>
      </c>
      <c r="N1120">
        <v>682395</v>
      </c>
      <c r="O1120">
        <v>1</v>
      </c>
    </row>
    <row r="1121" spans="1:15">
      <c r="A1121" t="s">
        <v>1147</v>
      </c>
      <c r="B1121" t="s">
        <v>16</v>
      </c>
      <c r="C1121">
        <v>10</v>
      </c>
      <c r="D1121">
        <v>42814498</v>
      </c>
      <c r="E1121">
        <v>2</v>
      </c>
      <c r="F1121">
        <v>4</v>
      </c>
      <c r="G1121">
        <v>865</v>
      </c>
      <c r="H1121">
        <v>50390948</v>
      </c>
      <c r="I1121">
        <v>63739</v>
      </c>
      <c r="J1121" t="s">
        <v>25</v>
      </c>
      <c r="K1121" t="s">
        <v>18</v>
      </c>
      <c r="L1121">
        <v>7</v>
      </c>
      <c r="M1121">
        <v>37.96</v>
      </c>
      <c r="N1121">
        <v>412039</v>
      </c>
      <c r="O1121">
        <v>1</v>
      </c>
    </row>
    <row r="1122" spans="1:15">
      <c r="A1122" t="s">
        <v>1148</v>
      </c>
      <c r="B1122" t="s">
        <v>24</v>
      </c>
      <c r="C1122">
        <v>13</v>
      </c>
      <c r="D1122">
        <v>13646501</v>
      </c>
      <c r="E1122">
        <v>1</v>
      </c>
      <c r="F1122">
        <v>8</v>
      </c>
      <c r="G1122">
        <v>697</v>
      </c>
      <c r="H1122">
        <v>48428588</v>
      </c>
      <c r="I1122">
        <v>675042</v>
      </c>
      <c r="J1122" t="s">
        <v>25</v>
      </c>
      <c r="K1122" t="s">
        <v>22</v>
      </c>
      <c r="L1122">
        <v>8</v>
      </c>
      <c r="M1122">
        <v>92.47</v>
      </c>
      <c r="N1122">
        <v>194699</v>
      </c>
      <c r="O1122">
        <v>1</v>
      </c>
    </row>
    <row r="1123" spans="1:15">
      <c r="A1123" t="s">
        <v>1149</v>
      </c>
      <c r="B1123" t="s">
        <v>16</v>
      </c>
      <c r="C1123">
        <v>11</v>
      </c>
      <c r="D1123">
        <v>374093</v>
      </c>
      <c r="E1123">
        <v>2</v>
      </c>
      <c r="F1123">
        <v>1</v>
      </c>
      <c r="G1123">
        <v>825</v>
      </c>
      <c r="H1123">
        <v>81452179</v>
      </c>
      <c r="I1123">
        <v>52741</v>
      </c>
      <c r="J1123" t="s">
        <v>17</v>
      </c>
      <c r="K1123" t="s">
        <v>22</v>
      </c>
      <c r="L1123">
        <v>8</v>
      </c>
      <c r="M1123">
        <v>19.53</v>
      </c>
      <c r="N1123">
        <v>909411</v>
      </c>
      <c r="O1123">
        <v>1</v>
      </c>
    </row>
    <row r="1124" spans="1:15">
      <c r="A1124" t="s">
        <v>1150</v>
      </c>
      <c r="B1124" t="s">
        <v>29</v>
      </c>
      <c r="C1124">
        <v>5</v>
      </c>
      <c r="D1124">
        <v>24417862</v>
      </c>
      <c r="E1124">
        <v>1</v>
      </c>
      <c r="F1124">
        <v>19</v>
      </c>
      <c r="G1124">
        <v>498</v>
      </c>
      <c r="H1124">
        <v>11381894</v>
      </c>
      <c r="I1124">
        <v>755444</v>
      </c>
      <c r="J1124" t="s">
        <v>17</v>
      </c>
      <c r="K1124" t="s">
        <v>22</v>
      </c>
      <c r="L1124">
        <v>6</v>
      </c>
      <c r="M1124">
        <v>44.9</v>
      </c>
      <c r="N1124">
        <v>856835</v>
      </c>
      <c r="O1124">
        <v>1</v>
      </c>
    </row>
    <row r="1125" spans="1:15">
      <c r="A1125" t="s">
        <v>1151</v>
      </c>
      <c r="B1125" t="s">
        <v>20</v>
      </c>
      <c r="C1125">
        <v>11</v>
      </c>
      <c r="D1125">
        <v>1493606</v>
      </c>
      <c r="E1125">
        <v>2</v>
      </c>
      <c r="F1125">
        <v>10</v>
      </c>
      <c r="G1125">
        <v>898</v>
      </c>
      <c r="H1125">
        <v>42099287</v>
      </c>
      <c r="I1125">
        <v>989575</v>
      </c>
      <c r="J1125" t="s">
        <v>25</v>
      </c>
      <c r="K1125" t="s">
        <v>18</v>
      </c>
      <c r="L1125">
        <v>4</v>
      </c>
      <c r="M1125">
        <v>42.71</v>
      </c>
      <c r="N1125">
        <v>49038</v>
      </c>
      <c r="O1125">
        <v>1</v>
      </c>
    </row>
    <row r="1126" spans="1:15">
      <c r="A1126" t="s">
        <v>1152</v>
      </c>
      <c r="B1126" t="s">
        <v>29</v>
      </c>
      <c r="C1126">
        <v>3</v>
      </c>
      <c r="D1126">
        <v>7069328</v>
      </c>
      <c r="E1126">
        <v>1</v>
      </c>
      <c r="F1126">
        <v>8</v>
      </c>
      <c r="G1126">
        <v>767</v>
      </c>
      <c r="H1126">
        <v>49841437</v>
      </c>
      <c r="I1126">
        <v>911738</v>
      </c>
      <c r="J1126" t="s">
        <v>21</v>
      </c>
      <c r="K1126" t="s">
        <v>18</v>
      </c>
      <c r="L1126">
        <v>5</v>
      </c>
      <c r="M1126">
        <v>22.94</v>
      </c>
      <c r="N1126">
        <v>183499</v>
      </c>
      <c r="O1126">
        <v>1</v>
      </c>
    </row>
    <row r="1127" spans="1:15">
      <c r="A1127" t="s">
        <v>1153</v>
      </c>
      <c r="B1127" t="s">
        <v>38</v>
      </c>
      <c r="C1127">
        <v>7</v>
      </c>
      <c r="D1127">
        <v>17072082</v>
      </c>
      <c r="E1127">
        <v>2</v>
      </c>
      <c r="F1127">
        <v>16</v>
      </c>
      <c r="G1127">
        <v>696</v>
      </c>
      <c r="H1127">
        <v>35929828</v>
      </c>
      <c r="I1127">
        <v>58316</v>
      </c>
      <c r="J1127" t="s">
        <v>25</v>
      </c>
      <c r="K1127" t="s">
        <v>22</v>
      </c>
      <c r="L1127">
        <v>2</v>
      </c>
      <c r="M1127">
        <v>52.98</v>
      </c>
      <c r="N1127">
        <v>685665</v>
      </c>
      <c r="O1127">
        <v>1</v>
      </c>
    </row>
    <row r="1128" spans="1:15">
      <c r="A1128" t="s">
        <v>1154</v>
      </c>
      <c r="B1128" t="s">
        <v>16</v>
      </c>
      <c r="C1128">
        <v>0</v>
      </c>
      <c r="D1128">
        <v>9088990</v>
      </c>
      <c r="E1128">
        <v>1</v>
      </c>
      <c r="F1128">
        <v>17</v>
      </c>
      <c r="G1128">
        <v>469</v>
      </c>
      <c r="H1128">
        <v>87951997</v>
      </c>
      <c r="I1128">
        <v>404957</v>
      </c>
      <c r="J1128" t="s">
        <v>17</v>
      </c>
      <c r="K1128" t="s">
        <v>18</v>
      </c>
      <c r="L1128">
        <v>6</v>
      </c>
      <c r="M1128">
        <v>18.600000000000001</v>
      </c>
      <c r="N1128">
        <v>492898</v>
      </c>
      <c r="O1128">
        <v>1</v>
      </c>
    </row>
    <row r="1129" spans="1:15">
      <c r="A1129" t="s">
        <v>1155</v>
      </c>
      <c r="B1129" t="s">
        <v>29</v>
      </c>
      <c r="C1129">
        <v>10</v>
      </c>
      <c r="D1129">
        <v>4053712</v>
      </c>
      <c r="E1129">
        <v>3</v>
      </c>
      <c r="F1129">
        <v>17</v>
      </c>
      <c r="G1129">
        <v>705</v>
      </c>
      <c r="H1129">
        <v>20831218</v>
      </c>
      <c r="I1129">
        <v>40392</v>
      </c>
      <c r="J1129" t="s">
        <v>21</v>
      </c>
      <c r="K1129" t="s">
        <v>22</v>
      </c>
      <c r="L1129">
        <v>2</v>
      </c>
      <c r="M1129">
        <v>27.93</v>
      </c>
      <c r="N1129">
        <v>153256</v>
      </c>
      <c r="O1129">
        <v>1</v>
      </c>
    </row>
    <row r="1130" spans="1:15">
      <c r="A1130" t="s">
        <v>1156</v>
      </c>
      <c r="B1130" t="s">
        <v>32</v>
      </c>
      <c r="C1130">
        <v>14</v>
      </c>
      <c r="D1130">
        <v>30840622</v>
      </c>
      <c r="E1130">
        <v>1</v>
      </c>
      <c r="F1130">
        <v>9</v>
      </c>
      <c r="G1130">
        <v>112</v>
      </c>
      <c r="H1130">
        <v>41294483</v>
      </c>
      <c r="I1130">
        <v>566239</v>
      </c>
      <c r="J1130" t="s">
        <v>17</v>
      </c>
      <c r="K1130" t="s">
        <v>18</v>
      </c>
      <c r="L1130">
        <v>3</v>
      </c>
      <c r="M1130">
        <v>65.709999999999994</v>
      </c>
      <c r="N1130">
        <v>894440</v>
      </c>
      <c r="O1130">
        <v>1</v>
      </c>
    </row>
    <row r="1131" spans="1:15">
      <c r="A1131" t="s">
        <v>1157</v>
      </c>
      <c r="B1131" t="s">
        <v>29</v>
      </c>
      <c r="C1131">
        <v>11</v>
      </c>
      <c r="D1131">
        <v>17705770</v>
      </c>
      <c r="E1131">
        <v>2</v>
      </c>
      <c r="F1131">
        <v>23</v>
      </c>
      <c r="G1131">
        <v>308</v>
      </c>
      <c r="H1131">
        <v>28483372</v>
      </c>
      <c r="I1131">
        <v>304908</v>
      </c>
      <c r="J1131" t="s">
        <v>21</v>
      </c>
      <c r="K1131" t="s">
        <v>30</v>
      </c>
      <c r="L1131">
        <v>7</v>
      </c>
      <c r="M1131">
        <v>99.77</v>
      </c>
      <c r="N1131">
        <v>627477</v>
      </c>
      <c r="O1131">
        <v>1</v>
      </c>
    </row>
    <row r="1132" spans="1:15">
      <c r="A1132" t="s">
        <v>1158</v>
      </c>
      <c r="B1132" t="s">
        <v>16</v>
      </c>
      <c r="C1132">
        <v>14</v>
      </c>
      <c r="D1132">
        <v>3129317</v>
      </c>
      <c r="E1132">
        <v>4</v>
      </c>
      <c r="F1132">
        <v>22</v>
      </c>
      <c r="G1132">
        <v>444</v>
      </c>
      <c r="H1132">
        <v>97694409</v>
      </c>
      <c r="I1132">
        <v>55624</v>
      </c>
      <c r="J1132" t="s">
        <v>17</v>
      </c>
      <c r="K1132" t="s">
        <v>22</v>
      </c>
      <c r="L1132">
        <v>7</v>
      </c>
      <c r="M1132">
        <v>46.06</v>
      </c>
      <c r="N1132">
        <v>431354</v>
      </c>
      <c r="O1132">
        <v>1</v>
      </c>
    </row>
    <row r="1133" spans="1:15">
      <c r="A1133" t="s">
        <v>1159</v>
      </c>
      <c r="B1133" t="s">
        <v>20</v>
      </c>
      <c r="C1133">
        <v>8</v>
      </c>
      <c r="D1133">
        <v>18776087</v>
      </c>
      <c r="E1133">
        <v>1</v>
      </c>
      <c r="F1133">
        <v>19</v>
      </c>
      <c r="G1133">
        <v>155</v>
      </c>
      <c r="H1133">
        <v>93292282</v>
      </c>
      <c r="I1133">
        <v>163227</v>
      </c>
      <c r="J1133" t="s">
        <v>25</v>
      </c>
      <c r="K1133" t="s">
        <v>22</v>
      </c>
      <c r="L1133">
        <v>2</v>
      </c>
      <c r="M1133">
        <v>44.92</v>
      </c>
      <c r="N1133">
        <v>112068</v>
      </c>
      <c r="O1133">
        <v>1</v>
      </c>
    </row>
    <row r="1134" spans="1:15">
      <c r="A1134" t="s">
        <v>1160</v>
      </c>
      <c r="B1134" t="s">
        <v>20</v>
      </c>
      <c r="C1134">
        <v>9</v>
      </c>
      <c r="D1134">
        <v>21324963</v>
      </c>
      <c r="E1134">
        <v>3</v>
      </c>
      <c r="F1134">
        <v>23</v>
      </c>
      <c r="G1134">
        <v>27</v>
      </c>
      <c r="H1134">
        <v>35970794</v>
      </c>
      <c r="I1134">
        <v>214493</v>
      </c>
      <c r="J1134" t="s">
        <v>25</v>
      </c>
      <c r="K1134" t="s">
        <v>18</v>
      </c>
      <c r="L1134">
        <v>2</v>
      </c>
      <c r="M1134">
        <v>37.26</v>
      </c>
      <c r="N1134">
        <v>445345</v>
      </c>
      <c r="O1134">
        <v>1</v>
      </c>
    </row>
    <row r="1135" spans="1:15">
      <c r="A1135" t="s">
        <v>1161</v>
      </c>
      <c r="B1135" t="s">
        <v>20</v>
      </c>
      <c r="C1135">
        <v>9</v>
      </c>
      <c r="D1135">
        <v>1382316</v>
      </c>
      <c r="E1135">
        <v>2</v>
      </c>
      <c r="F1135">
        <v>15</v>
      </c>
      <c r="G1135">
        <v>907</v>
      </c>
      <c r="H1135">
        <v>18061564</v>
      </c>
      <c r="I1135">
        <v>740795</v>
      </c>
      <c r="J1135" t="s">
        <v>21</v>
      </c>
      <c r="K1135" t="s">
        <v>30</v>
      </c>
      <c r="L1135">
        <v>8</v>
      </c>
      <c r="M1135">
        <v>45.35</v>
      </c>
      <c r="N1135">
        <v>325984</v>
      </c>
      <c r="O1135">
        <v>1</v>
      </c>
    </row>
    <row r="1136" spans="1:15">
      <c r="A1136" t="s">
        <v>1162</v>
      </c>
      <c r="B1136" t="s">
        <v>32</v>
      </c>
      <c r="C1136">
        <v>3</v>
      </c>
      <c r="D1136">
        <v>13980078</v>
      </c>
      <c r="E1136">
        <v>4</v>
      </c>
      <c r="F1136">
        <v>15</v>
      </c>
      <c r="G1136">
        <v>59</v>
      </c>
      <c r="H1136">
        <v>70397224</v>
      </c>
      <c r="I1136">
        <v>365347</v>
      </c>
      <c r="J1136" t="s">
        <v>25</v>
      </c>
      <c r="K1136" t="s">
        <v>22</v>
      </c>
      <c r="L1136">
        <v>9</v>
      </c>
      <c r="M1136">
        <v>70.3</v>
      </c>
      <c r="N1136">
        <v>383625</v>
      </c>
      <c r="O1136">
        <v>1</v>
      </c>
    </row>
    <row r="1137" spans="1:15">
      <c r="A1137" t="s">
        <v>1163</v>
      </c>
      <c r="B1137" t="s">
        <v>29</v>
      </c>
      <c r="C1137">
        <v>10</v>
      </c>
      <c r="D1137">
        <v>3470512</v>
      </c>
      <c r="E1137">
        <v>4</v>
      </c>
      <c r="F1137">
        <v>4</v>
      </c>
      <c r="G1137">
        <v>637</v>
      </c>
      <c r="H1137">
        <v>47079312</v>
      </c>
      <c r="I1137">
        <v>485768</v>
      </c>
      <c r="J1137" t="s">
        <v>25</v>
      </c>
      <c r="K1137" t="s">
        <v>30</v>
      </c>
      <c r="L1137">
        <v>1</v>
      </c>
      <c r="M1137">
        <v>6.95</v>
      </c>
      <c r="N1137">
        <v>872518</v>
      </c>
      <c r="O1137">
        <v>1</v>
      </c>
    </row>
    <row r="1138" spans="1:15">
      <c r="A1138" t="s">
        <v>1164</v>
      </c>
      <c r="B1138" t="s">
        <v>16</v>
      </c>
      <c r="C1138">
        <v>6</v>
      </c>
      <c r="D1138">
        <v>8580971</v>
      </c>
      <c r="E1138">
        <v>3</v>
      </c>
      <c r="F1138">
        <v>16</v>
      </c>
      <c r="G1138">
        <v>474</v>
      </c>
      <c r="H1138">
        <v>91793249</v>
      </c>
      <c r="I1138">
        <v>895166</v>
      </c>
      <c r="J1138" t="s">
        <v>17</v>
      </c>
      <c r="K1138" t="s">
        <v>30</v>
      </c>
      <c r="L1138">
        <v>5</v>
      </c>
      <c r="M1138">
        <v>75.400000000000006</v>
      </c>
      <c r="N1138">
        <v>40097</v>
      </c>
      <c r="O1138">
        <v>1</v>
      </c>
    </row>
    <row r="1139" spans="1:15">
      <c r="A1139" t="s">
        <v>1165</v>
      </c>
      <c r="B1139" t="s">
        <v>24</v>
      </c>
      <c r="C1139">
        <v>7</v>
      </c>
      <c r="D1139">
        <v>46268318</v>
      </c>
      <c r="E1139">
        <v>1</v>
      </c>
      <c r="F1139">
        <v>10</v>
      </c>
      <c r="G1139">
        <v>289</v>
      </c>
      <c r="H1139">
        <v>46572342</v>
      </c>
      <c r="I1139">
        <v>431962</v>
      </c>
      <c r="J1139" t="s">
        <v>17</v>
      </c>
      <c r="K1139" t="s">
        <v>30</v>
      </c>
      <c r="L1139">
        <v>9</v>
      </c>
      <c r="M1139">
        <v>91.69</v>
      </c>
      <c r="N1139">
        <v>348809</v>
      </c>
      <c r="O1139">
        <v>1</v>
      </c>
    </row>
    <row r="1140" spans="1:15">
      <c r="A1140" t="s">
        <v>1166</v>
      </c>
      <c r="B1140" t="s">
        <v>29</v>
      </c>
      <c r="C1140">
        <v>0</v>
      </c>
      <c r="D1140">
        <v>45871632</v>
      </c>
      <c r="E1140">
        <v>1</v>
      </c>
      <c r="F1140">
        <v>17</v>
      </c>
      <c r="G1140">
        <v>478</v>
      </c>
      <c r="H1140">
        <v>3166800</v>
      </c>
      <c r="I1140">
        <v>609128</v>
      </c>
      <c r="J1140" t="s">
        <v>21</v>
      </c>
      <c r="K1140" t="s">
        <v>18</v>
      </c>
      <c r="L1140">
        <v>6</v>
      </c>
      <c r="M1140">
        <v>77.099999999999994</v>
      </c>
      <c r="N1140">
        <v>943278</v>
      </c>
      <c r="O1140">
        <v>1</v>
      </c>
    </row>
    <row r="1141" spans="1:15">
      <c r="A1141" t="s">
        <v>1167</v>
      </c>
      <c r="B1141" t="s">
        <v>32</v>
      </c>
      <c r="C1141">
        <v>11</v>
      </c>
      <c r="D1141">
        <v>5079222</v>
      </c>
      <c r="E1141">
        <v>1</v>
      </c>
      <c r="F1141">
        <v>19</v>
      </c>
      <c r="G1141">
        <v>305</v>
      </c>
      <c r="H1141">
        <v>70209324</v>
      </c>
      <c r="I1141">
        <v>787575</v>
      </c>
      <c r="J1141" t="s">
        <v>17</v>
      </c>
      <c r="K1141" t="s">
        <v>22</v>
      </c>
      <c r="L1141">
        <v>3</v>
      </c>
      <c r="M1141">
        <v>28.78</v>
      </c>
      <c r="N1141">
        <v>745054</v>
      </c>
      <c r="O1141">
        <v>1</v>
      </c>
    </row>
    <row r="1142" spans="1:15">
      <c r="A1142" t="s">
        <v>1168</v>
      </c>
      <c r="B1142" t="s">
        <v>32</v>
      </c>
      <c r="C1142">
        <v>10</v>
      </c>
      <c r="D1142">
        <v>25013409</v>
      </c>
      <c r="E1142">
        <v>1</v>
      </c>
      <c r="F1142">
        <v>20</v>
      </c>
      <c r="G1142">
        <v>641</v>
      </c>
      <c r="H1142">
        <v>21555795</v>
      </c>
      <c r="I1142">
        <v>524284</v>
      </c>
      <c r="J1142" t="s">
        <v>25</v>
      </c>
      <c r="K1142" t="s">
        <v>18</v>
      </c>
      <c r="L1142">
        <v>5</v>
      </c>
      <c r="M1142">
        <v>64.790000000000006</v>
      </c>
      <c r="N1142">
        <v>565676</v>
      </c>
      <c r="O1142">
        <v>1</v>
      </c>
    </row>
    <row r="1143" spans="1:15">
      <c r="A1143" t="s">
        <v>1169</v>
      </c>
      <c r="B1143" t="s">
        <v>32</v>
      </c>
      <c r="C1143">
        <v>3</v>
      </c>
      <c r="D1143">
        <v>31596631</v>
      </c>
      <c r="E1143">
        <v>1</v>
      </c>
      <c r="F1143">
        <v>20</v>
      </c>
      <c r="G1143">
        <v>991</v>
      </c>
      <c r="H1143">
        <v>47040564</v>
      </c>
      <c r="I1143">
        <v>234122</v>
      </c>
      <c r="J1143" t="s">
        <v>25</v>
      </c>
      <c r="K1143" t="s">
        <v>22</v>
      </c>
      <c r="L1143">
        <v>3</v>
      </c>
      <c r="M1143">
        <v>6.83</v>
      </c>
      <c r="N1143">
        <v>307559</v>
      </c>
      <c r="O1143">
        <v>1</v>
      </c>
    </row>
    <row r="1144" spans="1:15">
      <c r="A1144" t="s">
        <v>1170</v>
      </c>
      <c r="B1144" t="s">
        <v>16</v>
      </c>
      <c r="C1144">
        <v>10</v>
      </c>
      <c r="D1144">
        <v>36045864</v>
      </c>
      <c r="E1144">
        <v>1</v>
      </c>
      <c r="F1144">
        <v>28</v>
      </c>
      <c r="G1144">
        <v>396</v>
      </c>
      <c r="H1144">
        <v>59715630</v>
      </c>
      <c r="I1144">
        <v>906209</v>
      </c>
      <c r="J1144" t="s">
        <v>25</v>
      </c>
      <c r="K1144" t="s">
        <v>30</v>
      </c>
      <c r="L1144">
        <v>6</v>
      </c>
      <c r="M1144">
        <v>15.55</v>
      </c>
      <c r="N1144">
        <v>430728</v>
      </c>
      <c r="O1144">
        <v>1</v>
      </c>
    </row>
    <row r="1145" spans="1:15">
      <c r="A1145" t="s">
        <v>1171</v>
      </c>
      <c r="B1145" t="s">
        <v>27</v>
      </c>
      <c r="C1145">
        <v>0</v>
      </c>
      <c r="D1145">
        <v>36644687</v>
      </c>
      <c r="E1145">
        <v>3</v>
      </c>
      <c r="F1145">
        <v>19</v>
      </c>
      <c r="G1145">
        <v>493</v>
      </c>
      <c r="H1145">
        <v>28642063</v>
      </c>
      <c r="I1145">
        <v>262441</v>
      </c>
      <c r="J1145" t="s">
        <v>17</v>
      </c>
      <c r="K1145" t="s">
        <v>30</v>
      </c>
      <c r="L1145">
        <v>6</v>
      </c>
      <c r="M1145">
        <v>78.349999999999994</v>
      </c>
      <c r="N1145">
        <v>700659</v>
      </c>
      <c r="O1145">
        <v>1</v>
      </c>
    </row>
    <row r="1146" spans="1:15">
      <c r="A1146" t="s">
        <v>1172</v>
      </c>
      <c r="B1146" t="s">
        <v>29</v>
      </c>
      <c r="C1146">
        <v>10</v>
      </c>
      <c r="D1146">
        <v>45236878</v>
      </c>
      <c r="E1146">
        <v>2</v>
      </c>
      <c r="F1146">
        <v>5</v>
      </c>
      <c r="G1146">
        <v>703</v>
      </c>
      <c r="H1146">
        <v>30677114</v>
      </c>
      <c r="I1146">
        <v>813239</v>
      </c>
      <c r="J1146" t="s">
        <v>25</v>
      </c>
      <c r="K1146" t="s">
        <v>30</v>
      </c>
      <c r="L1146">
        <v>2</v>
      </c>
      <c r="M1146">
        <v>21.23</v>
      </c>
      <c r="N1146">
        <v>174103</v>
      </c>
      <c r="O1146">
        <v>1</v>
      </c>
    </row>
    <row r="1147" spans="1:15">
      <c r="A1147" t="s">
        <v>1173</v>
      </c>
      <c r="B1147" t="s">
        <v>20</v>
      </c>
      <c r="C1147">
        <v>14</v>
      </c>
      <c r="D1147">
        <v>41233640</v>
      </c>
      <c r="E1147">
        <v>4</v>
      </c>
      <c r="F1147">
        <v>19</v>
      </c>
      <c r="G1147">
        <v>709</v>
      </c>
      <c r="H1147">
        <v>73601252</v>
      </c>
      <c r="I1147">
        <v>969649</v>
      </c>
      <c r="J1147" t="s">
        <v>21</v>
      </c>
      <c r="K1147" t="s">
        <v>18</v>
      </c>
      <c r="L1147">
        <v>7</v>
      </c>
      <c r="M1147">
        <v>47.52</v>
      </c>
      <c r="N1147">
        <v>475690</v>
      </c>
      <c r="O1147">
        <v>1</v>
      </c>
    </row>
    <row r="1148" spans="1:15">
      <c r="A1148" t="s">
        <v>1174</v>
      </c>
      <c r="B1148" t="s">
        <v>32</v>
      </c>
      <c r="C1148">
        <v>0</v>
      </c>
      <c r="D1148">
        <v>7980136</v>
      </c>
      <c r="E1148">
        <v>2</v>
      </c>
      <c r="F1148">
        <v>19</v>
      </c>
      <c r="G1148">
        <v>88</v>
      </c>
      <c r="H1148">
        <v>24509344</v>
      </c>
      <c r="I1148">
        <v>800303</v>
      </c>
      <c r="J1148" t="s">
        <v>25</v>
      </c>
      <c r="K1148" t="s">
        <v>30</v>
      </c>
      <c r="L1148">
        <v>4</v>
      </c>
      <c r="M1148">
        <v>20.27</v>
      </c>
      <c r="N1148">
        <v>403550</v>
      </c>
      <c r="O1148">
        <v>1</v>
      </c>
    </row>
    <row r="1149" spans="1:15">
      <c r="A1149" t="s">
        <v>1175</v>
      </c>
      <c r="B1149" t="s">
        <v>24</v>
      </c>
      <c r="C1149">
        <v>9</v>
      </c>
      <c r="D1149">
        <v>14027211</v>
      </c>
      <c r="E1149">
        <v>3</v>
      </c>
      <c r="F1149">
        <v>8</v>
      </c>
      <c r="G1149">
        <v>564</v>
      </c>
      <c r="H1149">
        <v>14117444</v>
      </c>
      <c r="I1149">
        <v>10393</v>
      </c>
      <c r="J1149" t="s">
        <v>21</v>
      </c>
      <c r="K1149" t="s">
        <v>18</v>
      </c>
      <c r="L1149">
        <v>3</v>
      </c>
      <c r="M1149">
        <v>10.26</v>
      </c>
      <c r="N1149">
        <v>264111</v>
      </c>
      <c r="O1149">
        <v>1</v>
      </c>
    </row>
    <row r="1150" spans="1:15">
      <c r="A1150" t="s">
        <v>1176</v>
      </c>
      <c r="B1150" t="s">
        <v>16</v>
      </c>
      <c r="C1150">
        <v>8</v>
      </c>
      <c r="D1150">
        <v>39473849</v>
      </c>
      <c r="E1150">
        <v>3</v>
      </c>
      <c r="F1150">
        <v>20</v>
      </c>
      <c r="G1150">
        <v>160</v>
      </c>
      <c r="H1150">
        <v>60349682</v>
      </c>
      <c r="I1150">
        <v>860223</v>
      </c>
      <c r="J1150" t="s">
        <v>25</v>
      </c>
      <c r="K1150" t="s">
        <v>22</v>
      </c>
      <c r="L1150">
        <v>8</v>
      </c>
      <c r="M1150">
        <v>28.83</v>
      </c>
      <c r="N1150">
        <v>266907</v>
      </c>
      <c r="O1150">
        <v>1</v>
      </c>
    </row>
    <row r="1151" spans="1:15">
      <c r="A1151" t="s">
        <v>1177</v>
      </c>
      <c r="B1151" t="s">
        <v>32</v>
      </c>
      <c r="C1151">
        <v>5</v>
      </c>
      <c r="D1151">
        <v>36089363</v>
      </c>
      <c r="E1151">
        <v>1</v>
      </c>
      <c r="F1151">
        <v>20</v>
      </c>
      <c r="G1151">
        <v>20</v>
      </c>
      <c r="H1151">
        <v>1837402</v>
      </c>
      <c r="I1151">
        <v>163832</v>
      </c>
      <c r="J1151" t="s">
        <v>21</v>
      </c>
      <c r="K1151" t="s">
        <v>22</v>
      </c>
      <c r="L1151">
        <v>7</v>
      </c>
      <c r="M1151">
        <v>93.35</v>
      </c>
      <c r="N1151">
        <v>756566</v>
      </c>
      <c r="O1151">
        <v>1</v>
      </c>
    </row>
    <row r="1152" spans="1:15">
      <c r="A1152" t="s">
        <v>1178</v>
      </c>
      <c r="B1152" t="s">
        <v>16</v>
      </c>
      <c r="C1152">
        <v>0</v>
      </c>
      <c r="D1152">
        <v>19515952</v>
      </c>
      <c r="E1152">
        <v>2</v>
      </c>
      <c r="F1152">
        <v>10</v>
      </c>
      <c r="G1152">
        <v>243</v>
      </c>
      <c r="H1152">
        <v>95231502</v>
      </c>
      <c r="I1152">
        <v>781270</v>
      </c>
      <c r="J1152" t="s">
        <v>25</v>
      </c>
      <c r="K1152" t="s">
        <v>30</v>
      </c>
      <c r="L1152">
        <v>1</v>
      </c>
      <c r="M1152">
        <v>39.130000000000003</v>
      </c>
      <c r="N1152">
        <v>139360</v>
      </c>
      <c r="O1152">
        <v>1</v>
      </c>
    </row>
    <row r="1153" spans="1:15">
      <c r="A1153" t="s">
        <v>1179</v>
      </c>
      <c r="B1153" t="s">
        <v>16</v>
      </c>
      <c r="C1153">
        <v>2</v>
      </c>
      <c r="D1153">
        <v>44712881</v>
      </c>
      <c r="E1153">
        <v>1</v>
      </c>
      <c r="F1153">
        <v>5</v>
      </c>
      <c r="G1153">
        <v>729</v>
      </c>
      <c r="H1153">
        <v>4325425</v>
      </c>
      <c r="I1153">
        <v>839424</v>
      </c>
      <c r="J1153" t="s">
        <v>21</v>
      </c>
      <c r="K1153" t="s">
        <v>22</v>
      </c>
      <c r="L1153">
        <v>6</v>
      </c>
      <c r="M1153">
        <v>41.62</v>
      </c>
      <c r="N1153">
        <v>858807</v>
      </c>
      <c r="O1153">
        <v>1</v>
      </c>
    </row>
    <row r="1154" spans="1:15">
      <c r="A1154" t="s">
        <v>1180</v>
      </c>
      <c r="B1154" t="s">
        <v>20</v>
      </c>
      <c r="C1154">
        <v>13</v>
      </c>
      <c r="D1154">
        <v>22711221</v>
      </c>
      <c r="E1154">
        <v>1</v>
      </c>
      <c r="F1154">
        <v>14</v>
      </c>
      <c r="G1154">
        <v>931</v>
      </c>
      <c r="H1154">
        <v>72933510</v>
      </c>
      <c r="I1154">
        <v>325629</v>
      </c>
      <c r="J1154" t="s">
        <v>17</v>
      </c>
      <c r="K1154" t="s">
        <v>22</v>
      </c>
      <c r="L1154">
        <v>1</v>
      </c>
      <c r="M1154">
        <v>98.04</v>
      </c>
      <c r="N1154">
        <v>51778</v>
      </c>
      <c r="O1154">
        <v>1</v>
      </c>
    </row>
    <row r="1155" spans="1:15">
      <c r="A1155" t="s">
        <v>1181</v>
      </c>
      <c r="B1155" t="s">
        <v>20</v>
      </c>
      <c r="C1155">
        <v>12</v>
      </c>
      <c r="D1155">
        <v>41976002</v>
      </c>
      <c r="E1155">
        <v>1</v>
      </c>
      <c r="F1155">
        <v>29</v>
      </c>
      <c r="G1155">
        <v>346</v>
      </c>
      <c r="H1155">
        <v>91919663</v>
      </c>
      <c r="I1155">
        <v>441501</v>
      </c>
      <c r="J1155" t="s">
        <v>17</v>
      </c>
      <c r="K1155" t="s">
        <v>30</v>
      </c>
      <c r="L1155">
        <v>2</v>
      </c>
      <c r="M1155">
        <v>76.22</v>
      </c>
      <c r="N1155">
        <v>508276</v>
      </c>
      <c r="O1155">
        <v>1</v>
      </c>
    </row>
    <row r="1156" spans="1:15">
      <c r="A1156" t="s">
        <v>1182</v>
      </c>
      <c r="B1156" t="s">
        <v>38</v>
      </c>
      <c r="C1156">
        <v>3</v>
      </c>
      <c r="D1156">
        <v>46178679</v>
      </c>
      <c r="E1156">
        <v>4</v>
      </c>
      <c r="F1156">
        <v>1</v>
      </c>
      <c r="G1156">
        <v>444</v>
      </c>
      <c r="H1156">
        <v>96567110</v>
      </c>
      <c r="I1156">
        <v>724618</v>
      </c>
      <c r="J1156" t="s">
        <v>25</v>
      </c>
      <c r="K1156" t="s">
        <v>18</v>
      </c>
      <c r="L1156">
        <v>8</v>
      </c>
      <c r="M1156">
        <v>53.61</v>
      </c>
      <c r="N1156">
        <v>377342</v>
      </c>
      <c r="O1156">
        <v>1</v>
      </c>
    </row>
    <row r="1157" spans="1:15">
      <c r="A1157" t="s">
        <v>1183</v>
      </c>
      <c r="B1157" t="s">
        <v>38</v>
      </c>
      <c r="C1157">
        <v>11</v>
      </c>
      <c r="D1157">
        <v>45574347</v>
      </c>
      <c r="E1157">
        <v>1</v>
      </c>
      <c r="F1157">
        <v>3</v>
      </c>
      <c r="G1157">
        <v>840</v>
      </c>
      <c r="H1157">
        <v>85831873</v>
      </c>
      <c r="I1157">
        <v>679258</v>
      </c>
      <c r="J1157" t="s">
        <v>25</v>
      </c>
      <c r="K1157" t="s">
        <v>18</v>
      </c>
      <c r="L1157">
        <v>3</v>
      </c>
      <c r="M1157">
        <v>34.450000000000003</v>
      </c>
      <c r="N1157">
        <v>68222</v>
      </c>
      <c r="O1157">
        <v>1</v>
      </c>
    </row>
    <row r="1158" spans="1:15">
      <c r="A1158" t="s">
        <v>1184</v>
      </c>
      <c r="B1158" t="s">
        <v>16</v>
      </c>
      <c r="C1158">
        <v>8</v>
      </c>
      <c r="D1158">
        <v>15432253</v>
      </c>
      <c r="E1158">
        <v>3</v>
      </c>
      <c r="F1158">
        <v>26</v>
      </c>
      <c r="G1158">
        <v>545</v>
      </c>
      <c r="H1158">
        <v>74668472</v>
      </c>
      <c r="I1158">
        <v>847229</v>
      </c>
      <c r="J1158" t="s">
        <v>25</v>
      </c>
      <c r="K1158" t="s">
        <v>22</v>
      </c>
      <c r="L1158">
        <v>6</v>
      </c>
      <c r="M1158">
        <v>66.930000000000007</v>
      </c>
      <c r="N1158">
        <v>160533</v>
      </c>
      <c r="O1158">
        <v>1</v>
      </c>
    </row>
    <row r="1159" spans="1:15">
      <c r="A1159" t="s">
        <v>1185</v>
      </c>
      <c r="B1159" t="s">
        <v>32</v>
      </c>
      <c r="C1159">
        <v>12</v>
      </c>
      <c r="D1159">
        <v>5611034</v>
      </c>
      <c r="E1159">
        <v>1</v>
      </c>
      <c r="F1159">
        <v>26</v>
      </c>
      <c r="G1159">
        <v>594</v>
      </c>
      <c r="H1159">
        <v>80743040</v>
      </c>
      <c r="I1159">
        <v>899758</v>
      </c>
      <c r="J1159" t="s">
        <v>17</v>
      </c>
      <c r="K1159" t="s">
        <v>18</v>
      </c>
      <c r="L1159">
        <v>8</v>
      </c>
      <c r="M1159">
        <v>17.510000000000002</v>
      </c>
      <c r="N1159">
        <v>209691</v>
      </c>
      <c r="O1159">
        <v>1</v>
      </c>
    </row>
    <row r="1160" spans="1:15">
      <c r="A1160" t="s">
        <v>1186</v>
      </c>
      <c r="B1160" t="s">
        <v>27</v>
      </c>
      <c r="C1160">
        <v>14</v>
      </c>
      <c r="D1160">
        <v>9279780</v>
      </c>
      <c r="E1160">
        <v>1</v>
      </c>
      <c r="F1160">
        <v>10</v>
      </c>
      <c r="G1160">
        <v>242</v>
      </c>
      <c r="H1160">
        <v>3182667</v>
      </c>
      <c r="I1160">
        <v>244023</v>
      </c>
      <c r="J1160" t="s">
        <v>25</v>
      </c>
      <c r="K1160" t="s">
        <v>30</v>
      </c>
      <c r="L1160">
        <v>1</v>
      </c>
      <c r="M1160">
        <v>34.06</v>
      </c>
      <c r="N1160">
        <v>961007</v>
      </c>
      <c r="O1160">
        <v>1</v>
      </c>
    </row>
    <row r="1161" spans="1:15">
      <c r="A1161" t="s">
        <v>1187</v>
      </c>
      <c r="B1161" t="s">
        <v>38</v>
      </c>
      <c r="C1161">
        <v>6</v>
      </c>
      <c r="D1161">
        <v>32676901</v>
      </c>
      <c r="E1161">
        <v>3</v>
      </c>
      <c r="F1161">
        <v>21</v>
      </c>
      <c r="G1161">
        <v>688</v>
      </c>
      <c r="H1161">
        <v>71441573</v>
      </c>
      <c r="I1161">
        <v>92869</v>
      </c>
      <c r="J1161" t="s">
        <v>25</v>
      </c>
      <c r="K1161" t="s">
        <v>18</v>
      </c>
      <c r="L1161">
        <v>8</v>
      </c>
      <c r="M1161">
        <v>44.7</v>
      </c>
      <c r="N1161">
        <v>706994</v>
      </c>
      <c r="O1161">
        <v>1</v>
      </c>
    </row>
    <row r="1162" spans="1:15">
      <c r="A1162" t="s">
        <v>1188</v>
      </c>
      <c r="B1162" t="s">
        <v>27</v>
      </c>
      <c r="C1162">
        <v>12</v>
      </c>
      <c r="D1162">
        <v>14169682</v>
      </c>
      <c r="E1162">
        <v>3</v>
      </c>
      <c r="F1162">
        <v>17</v>
      </c>
      <c r="G1162">
        <v>806</v>
      </c>
      <c r="H1162">
        <v>88545449</v>
      </c>
      <c r="I1162">
        <v>349331</v>
      </c>
      <c r="J1162" t="s">
        <v>21</v>
      </c>
      <c r="K1162" t="s">
        <v>30</v>
      </c>
      <c r="L1162">
        <v>3</v>
      </c>
      <c r="M1162">
        <v>79.11</v>
      </c>
      <c r="N1162">
        <v>183940</v>
      </c>
      <c r="O1162">
        <v>1</v>
      </c>
    </row>
    <row r="1163" spans="1:15">
      <c r="A1163" t="s">
        <v>1189</v>
      </c>
      <c r="B1163" t="s">
        <v>32</v>
      </c>
      <c r="C1163">
        <v>7</v>
      </c>
      <c r="D1163">
        <v>32528973</v>
      </c>
      <c r="E1163">
        <v>1</v>
      </c>
      <c r="F1163">
        <v>3</v>
      </c>
      <c r="G1163">
        <v>523</v>
      </c>
      <c r="H1163">
        <v>75187198</v>
      </c>
      <c r="I1163">
        <v>772607</v>
      </c>
      <c r="J1163" t="s">
        <v>25</v>
      </c>
      <c r="K1163" t="s">
        <v>18</v>
      </c>
      <c r="L1163">
        <v>6</v>
      </c>
      <c r="M1163">
        <v>27.66</v>
      </c>
      <c r="N1163">
        <v>60778</v>
      </c>
      <c r="O1163">
        <v>1</v>
      </c>
    </row>
    <row r="1164" spans="1:15">
      <c r="A1164" t="s">
        <v>1190</v>
      </c>
      <c r="B1164" t="s">
        <v>27</v>
      </c>
      <c r="C1164">
        <v>5</v>
      </c>
      <c r="D1164">
        <v>22640772</v>
      </c>
      <c r="E1164">
        <v>1</v>
      </c>
      <c r="F1164">
        <v>12</v>
      </c>
      <c r="G1164">
        <v>698</v>
      </c>
      <c r="H1164">
        <v>37232773</v>
      </c>
      <c r="I1164">
        <v>299958</v>
      </c>
      <c r="J1164" t="s">
        <v>17</v>
      </c>
      <c r="K1164" t="s">
        <v>22</v>
      </c>
      <c r="L1164">
        <v>1</v>
      </c>
      <c r="M1164">
        <v>41.06</v>
      </c>
      <c r="N1164">
        <v>768951</v>
      </c>
      <c r="O1164">
        <v>1</v>
      </c>
    </row>
    <row r="1165" spans="1:15">
      <c r="A1165" t="s">
        <v>1191</v>
      </c>
      <c r="B1165" t="s">
        <v>32</v>
      </c>
      <c r="C1165">
        <v>7</v>
      </c>
      <c r="D1165">
        <v>22456726</v>
      </c>
      <c r="E1165">
        <v>3</v>
      </c>
      <c r="F1165">
        <v>16</v>
      </c>
      <c r="G1165">
        <v>359</v>
      </c>
      <c r="H1165">
        <v>30124100</v>
      </c>
      <c r="I1165">
        <v>152115</v>
      </c>
      <c r="J1165" t="s">
        <v>21</v>
      </c>
      <c r="K1165" t="s">
        <v>30</v>
      </c>
      <c r="L1165">
        <v>4</v>
      </c>
      <c r="M1165">
        <v>75.849999999999994</v>
      </c>
      <c r="N1165">
        <v>489688</v>
      </c>
      <c r="O1165">
        <v>1</v>
      </c>
    </row>
    <row r="1166" spans="1:15">
      <c r="A1166" t="s">
        <v>1192</v>
      </c>
      <c r="B1166" t="s">
        <v>38</v>
      </c>
      <c r="C1166">
        <v>8</v>
      </c>
      <c r="D1166">
        <v>14580684</v>
      </c>
      <c r="E1166">
        <v>2</v>
      </c>
      <c r="F1166">
        <v>23</v>
      </c>
      <c r="G1166">
        <v>53</v>
      </c>
      <c r="H1166">
        <v>68539546</v>
      </c>
      <c r="I1166">
        <v>850280</v>
      </c>
      <c r="J1166" t="s">
        <v>17</v>
      </c>
      <c r="K1166" t="s">
        <v>18</v>
      </c>
      <c r="L1166">
        <v>3</v>
      </c>
      <c r="M1166">
        <v>52.55</v>
      </c>
      <c r="N1166">
        <v>961440</v>
      </c>
      <c r="O1166">
        <v>1</v>
      </c>
    </row>
    <row r="1167" spans="1:15">
      <c r="A1167" t="s">
        <v>1193</v>
      </c>
      <c r="B1167" t="s">
        <v>38</v>
      </c>
      <c r="C1167">
        <v>7</v>
      </c>
      <c r="D1167">
        <v>30879896</v>
      </c>
      <c r="E1167">
        <v>4</v>
      </c>
      <c r="F1167">
        <v>16</v>
      </c>
      <c r="G1167">
        <v>336</v>
      </c>
      <c r="H1167">
        <v>11519460</v>
      </c>
      <c r="I1167">
        <v>951014</v>
      </c>
      <c r="J1167" t="s">
        <v>21</v>
      </c>
      <c r="K1167" t="s">
        <v>18</v>
      </c>
      <c r="L1167">
        <v>9</v>
      </c>
      <c r="M1167">
        <v>34.94</v>
      </c>
      <c r="N1167">
        <v>757434</v>
      </c>
      <c r="O1167">
        <v>1</v>
      </c>
    </row>
    <row r="1168" spans="1:15">
      <c r="A1168" t="s">
        <v>1194</v>
      </c>
      <c r="B1168" t="s">
        <v>32</v>
      </c>
      <c r="C1168">
        <v>9</v>
      </c>
      <c r="D1168">
        <v>29041503</v>
      </c>
      <c r="E1168">
        <v>3</v>
      </c>
      <c r="F1168">
        <v>7</v>
      </c>
      <c r="G1168">
        <v>715</v>
      </c>
      <c r="H1168">
        <v>9255341</v>
      </c>
      <c r="I1168">
        <v>931340</v>
      </c>
      <c r="J1168" t="s">
        <v>25</v>
      </c>
      <c r="K1168" t="s">
        <v>22</v>
      </c>
      <c r="L1168">
        <v>3</v>
      </c>
      <c r="M1168">
        <v>62.52</v>
      </c>
      <c r="N1168">
        <v>109672</v>
      </c>
      <c r="O1168">
        <v>1</v>
      </c>
    </row>
    <row r="1169" spans="1:15">
      <c r="A1169" t="s">
        <v>1195</v>
      </c>
      <c r="B1169" t="s">
        <v>29</v>
      </c>
      <c r="C1169">
        <v>0</v>
      </c>
      <c r="D1169">
        <v>41167562</v>
      </c>
      <c r="E1169">
        <v>2</v>
      </c>
      <c r="F1169">
        <v>16</v>
      </c>
      <c r="G1169">
        <v>31</v>
      </c>
      <c r="H1169">
        <v>35823019</v>
      </c>
      <c r="I1169">
        <v>559441</v>
      </c>
      <c r="J1169" t="s">
        <v>21</v>
      </c>
      <c r="K1169" t="s">
        <v>18</v>
      </c>
      <c r="L1169">
        <v>5</v>
      </c>
      <c r="M1169">
        <v>91.82</v>
      </c>
      <c r="N1169">
        <v>49483</v>
      </c>
      <c r="O1169">
        <v>1</v>
      </c>
    </row>
    <row r="1170" spans="1:15">
      <c r="A1170" t="s">
        <v>1196</v>
      </c>
      <c r="B1170" t="s">
        <v>32</v>
      </c>
      <c r="C1170">
        <v>7</v>
      </c>
      <c r="D1170">
        <v>12920782</v>
      </c>
      <c r="E1170">
        <v>1</v>
      </c>
      <c r="F1170">
        <v>22</v>
      </c>
      <c r="G1170">
        <v>338</v>
      </c>
      <c r="H1170">
        <v>79440248</v>
      </c>
      <c r="I1170">
        <v>516459</v>
      </c>
      <c r="J1170" t="s">
        <v>25</v>
      </c>
      <c r="K1170" t="s">
        <v>22</v>
      </c>
      <c r="L1170">
        <v>4</v>
      </c>
      <c r="M1170">
        <v>98.5</v>
      </c>
      <c r="N1170">
        <v>986704</v>
      </c>
      <c r="O1170">
        <v>1</v>
      </c>
    </row>
    <row r="1171" spans="1:15">
      <c r="A1171" t="s">
        <v>1197</v>
      </c>
      <c r="B1171" t="s">
        <v>29</v>
      </c>
      <c r="C1171">
        <v>2</v>
      </c>
      <c r="D1171">
        <v>8606517</v>
      </c>
      <c r="E1171">
        <v>3</v>
      </c>
      <c r="F1171">
        <v>23</v>
      </c>
      <c r="G1171">
        <v>223</v>
      </c>
      <c r="H1171">
        <v>93093367</v>
      </c>
      <c r="I1171">
        <v>332103</v>
      </c>
      <c r="J1171" t="s">
        <v>25</v>
      </c>
      <c r="K1171" t="s">
        <v>30</v>
      </c>
      <c r="L1171">
        <v>8</v>
      </c>
      <c r="M1171">
        <v>16.04</v>
      </c>
      <c r="N1171">
        <v>12238</v>
      </c>
      <c r="O1171">
        <v>1</v>
      </c>
    </row>
    <row r="1172" spans="1:15">
      <c r="A1172" t="s">
        <v>1198</v>
      </c>
      <c r="B1172" t="s">
        <v>32</v>
      </c>
      <c r="C1172">
        <v>1</v>
      </c>
      <c r="D1172">
        <v>13527033</v>
      </c>
      <c r="E1172">
        <v>2</v>
      </c>
      <c r="F1172">
        <v>4</v>
      </c>
      <c r="G1172">
        <v>652</v>
      </c>
      <c r="H1172">
        <v>8709475</v>
      </c>
      <c r="I1172">
        <v>88027</v>
      </c>
      <c r="J1172" t="s">
        <v>21</v>
      </c>
      <c r="K1172" t="s">
        <v>22</v>
      </c>
      <c r="L1172">
        <v>9</v>
      </c>
      <c r="M1172">
        <v>78.13</v>
      </c>
      <c r="N1172">
        <v>391364</v>
      </c>
      <c r="O1172">
        <v>1</v>
      </c>
    </row>
    <row r="1173" spans="1:15">
      <c r="A1173" t="s">
        <v>1199</v>
      </c>
      <c r="B1173" t="s">
        <v>16</v>
      </c>
      <c r="C1173">
        <v>6</v>
      </c>
      <c r="D1173">
        <v>11455227</v>
      </c>
      <c r="E1173">
        <v>3</v>
      </c>
      <c r="F1173">
        <v>17</v>
      </c>
      <c r="G1173">
        <v>274</v>
      </c>
      <c r="H1173">
        <v>20935350</v>
      </c>
      <c r="I1173">
        <v>866153</v>
      </c>
      <c r="J1173" t="s">
        <v>25</v>
      </c>
      <c r="K1173" t="s">
        <v>18</v>
      </c>
      <c r="L1173">
        <v>4</v>
      </c>
      <c r="M1173">
        <v>96.74</v>
      </c>
      <c r="N1173">
        <v>327716</v>
      </c>
      <c r="O1173">
        <v>1</v>
      </c>
    </row>
    <row r="1174" spans="1:15">
      <c r="A1174" t="s">
        <v>1200</v>
      </c>
      <c r="B1174" t="s">
        <v>38</v>
      </c>
      <c r="C1174">
        <v>8</v>
      </c>
      <c r="D1174">
        <v>24661300</v>
      </c>
      <c r="E1174">
        <v>3</v>
      </c>
      <c r="F1174">
        <v>25</v>
      </c>
      <c r="G1174">
        <v>547</v>
      </c>
      <c r="H1174">
        <v>65349777</v>
      </c>
      <c r="I1174">
        <v>967108</v>
      </c>
      <c r="J1174" t="s">
        <v>21</v>
      </c>
      <c r="K1174" t="s">
        <v>18</v>
      </c>
      <c r="L1174">
        <v>5</v>
      </c>
      <c r="M1174">
        <v>99.84</v>
      </c>
      <c r="N1174">
        <v>158545</v>
      </c>
      <c r="O1174">
        <v>1</v>
      </c>
    </row>
    <row r="1175" spans="1:15">
      <c r="A1175" t="s">
        <v>1201</v>
      </c>
      <c r="B1175" t="s">
        <v>24</v>
      </c>
      <c r="C1175">
        <v>6</v>
      </c>
      <c r="D1175">
        <v>38891840</v>
      </c>
      <c r="E1175">
        <v>2</v>
      </c>
      <c r="F1175">
        <v>13</v>
      </c>
      <c r="G1175">
        <v>820</v>
      </c>
      <c r="H1175">
        <v>93114925</v>
      </c>
      <c r="I1175">
        <v>669337</v>
      </c>
      <c r="J1175" t="s">
        <v>17</v>
      </c>
      <c r="K1175" t="s">
        <v>18</v>
      </c>
      <c r="L1175">
        <v>1</v>
      </c>
      <c r="M1175">
        <v>71.650000000000006</v>
      </c>
      <c r="N1175">
        <v>590024</v>
      </c>
      <c r="O1175">
        <v>1</v>
      </c>
    </row>
    <row r="1176" spans="1:15">
      <c r="A1176" t="s">
        <v>1202</v>
      </c>
      <c r="B1176" t="s">
        <v>32</v>
      </c>
      <c r="C1176">
        <v>4</v>
      </c>
      <c r="D1176">
        <v>8577931</v>
      </c>
      <c r="E1176">
        <v>1</v>
      </c>
      <c r="F1176">
        <v>3</v>
      </c>
      <c r="G1176">
        <v>777</v>
      </c>
      <c r="H1176">
        <v>83374575</v>
      </c>
      <c r="I1176">
        <v>914546</v>
      </c>
      <c r="J1176" t="s">
        <v>21</v>
      </c>
      <c r="K1176" t="s">
        <v>22</v>
      </c>
      <c r="L1176">
        <v>2</v>
      </c>
      <c r="M1176">
        <v>43.58</v>
      </c>
      <c r="N1176">
        <v>873907</v>
      </c>
      <c r="O1176">
        <v>1</v>
      </c>
    </row>
    <row r="1177" spans="1:15">
      <c r="A1177" t="s">
        <v>1203</v>
      </c>
      <c r="B1177" t="s">
        <v>16</v>
      </c>
      <c r="C1177">
        <v>2</v>
      </c>
      <c r="D1177">
        <v>11071785</v>
      </c>
      <c r="E1177">
        <v>2</v>
      </c>
      <c r="F1177">
        <v>29</v>
      </c>
      <c r="G1177">
        <v>186</v>
      </c>
      <c r="H1177">
        <v>14228280</v>
      </c>
      <c r="I1177">
        <v>994598</v>
      </c>
      <c r="J1177" t="s">
        <v>25</v>
      </c>
      <c r="K1177" t="s">
        <v>30</v>
      </c>
      <c r="L1177">
        <v>9</v>
      </c>
      <c r="M1177">
        <v>29.69</v>
      </c>
      <c r="N1177">
        <v>183009</v>
      </c>
      <c r="O1177">
        <v>1</v>
      </c>
    </row>
    <row r="1178" spans="1:15">
      <c r="A1178" t="s">
        <v>1204</v>
      </c>
      <c r="B1178" t="s">
        <v>32</v>
      </c>
      <c r="C1178">
        <v>6</v>
      </c>
      <c r="D1178">
        <v>39487876</v>
      </c>
      <c r="E1178">
        <v>3</v>
      </c>
      <c r="F1178">
        <v>18</v>
      </c>
      <c r="G1178">
        <v>42</v>
      </c>
      <c r="H1178">
        <v>5366552</v>
      </c>
      <c r="I1178">
        <v>373155</v>
      </c>
      <c r="J1178" t="s">
        <v>21</v>
      </c>
      <c r="K1178" t="s">
        <v>18</v>
      </c>
      <c r="L1178">
        <v>5</v>
      </c>
      <c r="M1178">
        <v>23.97</v>
      </c>
      <c r="N1178">
        <v>654802</v>
      </c>
      <c r="O1178">
        <v>1</v>
      </c>
    </row>
    <row r="1179" spans="1:15">
      <c r="A1179" t="s">
        <v>1205</v>
      </c>
      <c r="B1179" t="s">
        <v>38</v>
      </c>
      <c r="C1179">
        <v>10</v>
      </c>
      <c r="D1179">
        <v>38456120</v>
      </c>
      <c r="E1179">
        <v>3</v>
      </c>
      <c r="F1179">
        <v>18</v>
      </c>
      <c r="G1179">
        <v>207</v>
      </c>
      <c r="H1179">
        <v>59541234</v>
      </c>
      <c r="I1179">
        <v>512794</v>
      </c>
      <c r="J1179" t="s">
        <v>21</v>
      </c>
      <c r="K1179" t="s">
        <v>22</v>
      </c>
      <c r="L1179">
        <v>7</v>
      </c>
      <c r="M1179">
        <v>27.99</v>
      </c>
      <c r="N1179">
        <v>202978</v>
      </c>
      <c r="O1179">
        <v>1</v>
      </c>
    </row>
    <row r="1180" spans="1:15">
      <c r="A1180" t="s">
        <v>1206</v>
      </c>
      <c r="B1180" t="s">
        <v>38</v>
      </c>
      <c r="C1180">
        <v>13</v>
      </c>
      <c r="D1180">
        <v>46659687</v>
      </c>
      <c r="E1180">
        <v>2</v>
      </c>
      <c r="F1180">
        <v>6</v>
      </c>
      <c r="G1180">
        <v>854</v>
      </c>
      <c r="H1180">
        <v>78880504</v>
      </c>
      <c r="I1180">
        <v>502648</v>
      </c>
      <c r="J1180" t="s">
        <v>21</v>
      </c>
      <c r="K1180" t="s">
        <v>30</v>
      </c>
      <c r="L1180">
        <v>7</v>
      </c>
      <c r="M1180">
        <v>0.81</v>
      </c>
      <c r="N1180">
        <v>845864</v>
      </c>
      <c r="O1180">
        <v>1</v>
      </c>
    </row>
    <row r="1181" spans="1:15">
      <c r="A1181" t="s">
        <v>1207</v>
      </c>
      <c r="B1181" t="s">
        <v>20</v>
      </c>
      <c r="C1181">
        <v>12</v>
      </c>
      <c r="D1181">
        <v>48603210</v>
      </c>
      <c r="E1181">
        <v>3</v>
      </c>
      <c r="F1181">
        <v>19</v>
      </c>
      <c r="G1181">
        <v>615</v>
      </c>
      <c r="H1181">
        <v>47017976</v>
      </c>
      <c r="I1181">
        <v>746591</v>
      </c>
      <c r="J1181" t="s">
        <v>21</v>
      </c>
      <c r="K1181" t="s">
        <v>18</v>
      </c>
      <c r="L1181">
        <v>3</v>
      </c>
      <c r="M1181">
        <v>60.72</v>
      </c>
      <c r="N1181">
        <v>327965</v>
      </c>
      <c r="O1181">
        <v>1</v>
      </c>
    </row>
    <row r="1182" spans="1:15">
      <c r="A1182" t="s">
        <v>1208</v>
      </c>
      <c r="B1182" t="s">
        <v>32</v>
      </c>
      <c r="C1182">
        <v>12</v>
      </c>
      <c r="D1182">
        <v>36660644</v>
      </c>
      <c r="E1182">
        <v>2</v>
      </c>
      <c r="F1182">
        <v>18</v>
      </c>
      <c r="G1182">
        <v>582</v>
      </c>
      <c r="H1182">
        <v>91357911</v>
      </c>
      <c r="I1182">
        <v>214503</v>
      </c>
      <c r="J1182" t="s">
        <v>25</v>
      </c>
      <c r="K1182" t="s">
        <v>18</v>
      </c>
      <c r="L1182">
        <v>9</v>
      </c>
      <c r="M1182">
        <v>40.090000000000003</v>
      </c>
      <c r="N1182">
        <v>652002</v>
      </c>
      <c r="O1182">
        <v>1</v>
      </c>
    </row>
    <row r="1183" spans="1:15">
      <c r="A1183" t="s">
        <v>1209</v>
      </c>
      <c r="B1183" t="s">
        <v>38</v>
      </c>
      <c r="C1183">
        <v>7</v>
      </c>
      <c r="D1183">
        <v>27660712</v>
      </c>
      <c r="E1183">
        <v>1</v>
      </c>
      <c r="F1183">
        <v>20</v>
      </c>
      <c r="G1183">
        <v>965</v>
      </c>
      <c r="H1183">
        <v>84682619</v>
      </c>
      <c r="I1183">
        <v>249644</v>
      </c>
      <c r="J1183" t="s">
        <v>21</v>
      </c>
      <c r="K1183" t="s">
        <v>22</v>
      </c>
      <c r="L1183">
        <v>7</v>
      </c>
      <c r="M1183">
        <v>72.150000000000006</v>
      </c>
      <c r="N1183">
        <v>703005</v>
      </c>
      <c r="O1183">
        <v>1</v>
      </c>
    </row>
    <row r="1184" spans="1:15">
      <c r="A1184" t="s">
        <v>1210</v>
      </c>
      <c r="B1184" t="s">
        <v>32</v>
      </c>
      <c r="C1184">
        <v>1</v>
      </c>
      <c r="D1184">
        <v>49003208</v>
      </c>
      <c r="E1184">
        <v>3</v>
      </c>
      <c r="F1184">
        <v>20</v>
      </c>
      <c r="G1184">
        <v>294</v>
      </c>
      <c r="H1184">
        <v>72776532</v>
      </c>
      <c r="I1184">
        <v>581684</v>
      </c>
      <c r="J1184" t="s">
        <v>21</v>
      </c>
      <c r="K1184" t="s">
        <v>22</v>
      </c>
      <c r="L1184">
        <v>8</v>
      </c>
      <c r="M1184">
        <v>30.29</v>
      </c>
      <c r="N1184">
        <v>371367</v>
      </c>
      <c r="O1184">
        <v>1</v>
      </c>
    </row>
    <row r="1185" spans="1:15">
      <c r="A1185" t="s">
        <v>1211</v>
      </c>
      <c r="B1185" t="s">
        <v>32</v>
      </c>
      <c r="C1185">
        <v>5</v>
      </c>
      <c r="D1185">
        <v>46900712</v>
      </c>
      <c r="E1185">
        <v>3</v>
      </c>
      <c r="F1185">
        <v>1</v>
      </c>
      <c r="G1185">
        <v>583</v>
      </c>
      <c r="H1185">
        <v>9258234</v>
      </c>
      <c r="I1185">
        <v>124465</v>
      </c>
      <c r="J1185" t="s">
        <v>25</v>
      </c>
      <c r="K1185" t="s">
        <v>18</v>
      </c>
      <c r="L1185">
        <v>1</v>
      </c>
      <c r="M1185">
        <v>38.950000000000003</v>
      </c>
      <c r="N1185">
        <v>90748</v>
      </c>
      <c r="O1185">
        <v>1</v>
      </c>
    </row>
    <row r="1186" spans="1:15">
      <c r="A1186" t="s">
        <v>1212</v>
      </c>
      <c r="B1186" t="s">
        <v>32</v>
      </c>
      <c r="C1186">
        <v>7</v>
      </c>
      <c r="D1186">
        <v>47817737</v>
      </c>
      <c r="E1186">
        <v>3</v>
      </c>
      <c r="F1186">
        <v>8</v>
      </c>
      <c r="G1186">
        <v>701</v>
      </c>
      <c r="H1186">
        <v>19166284</v>
      </c>
      <c r="I1186">
        <v>823160</v>
      </c>
      <c r="J1186" t="s">
        <v>25</v>
      </c>
      <c r="K1186" t="s">
        <v>18</v>
      </c>
      <c r="L1186">
        <v>5</v>
      </c>
      <c r="M1186">
        <v>86.79</v>
      </c>
      <c r="N1186">
        <v>882789</v>
      </c>
      <c r="O1186">
        <v>1</v>
      </c>
    </row>
    <row r="1187" spans="1:15">
      <c r="A1187" t="s">
        <v>1213</v>
      </c>
      <c r="B1187" t="s">
        <v>16</v>
      </c>
      <c r="C1187">
        <v>3</v>
      </c>
      <c r="D1187">
        <v>17508712</v>
      </c>
      <c r="E1187">
        <v>4</v>
      </c>
      <c r="F1187">
        <v>14</v>
      </c>
      <c r="G1187">
        <v>377</v>
      </c>
      <c r="H1187">
        <v>90491195</v>
      </c>
      <c r="I1187">
        <v>355219</v>
      </c>
      <c r="J1187" t="s">
        <v>17</v>
      </c>
      <c r="K1187" t="s">
        <v>22</v>
      </c>
      <c r="L1187">
        <v>7</v>
      </c>
      <c r="M1187">
        <v>44.6</v>
      </c>
      <c r="N1187">
        <v>657951</v>
      </c>
      <c r="O1187">
        <v>1</v>
      </c>
    </row>
    <row r="1188" spans="1:15">
      <c r="A1188" t="s">
        <v>1214</v>
      </c>
      <c r="B1188" t="s">
        <v>29</v>
      </c>
      <c r="C1188">
        <v>1</v>
      </c>
      <c r="D1188">
        <v>26350979</v>
      </c>
      <c r="E1188">
        <v>1</v>
      </c>
      <c r="F1188">
        <v>25</v>
      </c>
      <c r="G1188">
        <v>127</v>
      </c>
      <c r="H1188">
        <v>45517323</v>
      </c>
      <c r="I1188">
        <v>60394</v>
      </c>
      <c r="J1188" t="s">
        <v>25</v>
      </c>
      <c r="K1188" t="s">
        <v>22</v>
      </c>
      <c r="L1188">
        <v>6</v>
      </c>
      <c r="M1188">
        <v>81.510000000000005</v>
      </c>
      <c r="N1188">
        <v>334099</v>
      </c>
      <c r="O1188">
        <v>1</v>
      </c>
    </row>
    <row r="1189" spans="1:15">
      <c r="A1189" t="s">
        <v>1215</v>
      </c>
      <c r="B1189" t="s">
        <v>20</v>
      </c>
      <c r="C1189">
        <v>8</v>
      </c>
      <c r="D1189">
        <v>6989946</v>
      </c>
      <c r="E1189">
        <v>4</v>
      </c>
      <c r="F1189">
        <v>3</v>
      </c>
      <c r="G1189">
        <v>546</v>
      </c>
      <c r="H1189">
        <v>87682</v>
      </c>
      <c r="I1189">
        <v>532325</v>
      </c>
      <c r="J1189" t="s">
        <v>21</v>
      </c>
      <c r="K1189" t="s">
        <v>22</v>
      </c>
      <c r="L1189">
        <v>2</v>
      </c>
      <c r="M1189">
        <v>44.69</v>
      </c>
      <c r="N1189">
        <v>929516</v>
      </c>
      <c r="O1189">
        <v>1</v>
      </c>
    </row>
    <row r="1190" spans="1:15">
      <c r="A1190" t="s">
        <v>1216</v>
      </c>
      <c r="B1190" t="s">
        <v>29</v>
      </c>
      <c r="C1190">
        <v>9</v>
      </c>
      <c r="D1190">
        <v>30497004</v>
      </c>
      <c r="E1190">
        <v>2</v>
      </c>
      <c r="F1190">
        <v>16</v>
      </c>
      <c r="G1190">
        <v>662</v>
      </c>
      <c r="H1190">
        <v>29030919</v>
      </c>
      <c r="I1190">
        <v>142637</v>
      </c>
      <c r="J1190" t="s">
        <v>17</v>
      </c>
      <c r="K1190" t="s">
        <v>30</v>
      </c>
      <c r="L1190">
        <v>7</v>
      </c>
      <c r="M1190">
        <v>48.2</v>
      </c>
      <c r="N1190">
        <v>890777</v>
      </c>
      <c r="O1190">
        <v>1</v>
      </c>
    </row>
    <row r="1191" spans="1:15">
      <c r="A1191" t="s">
        <v>1217</v>
      </c>
      <c r="B1191" t="s">
        <v>29</v>
      </c>
      <c r="C1191">
        <v>5</v>
      </c>
      <c r="D1191">
        <v>7415712</v>
      </c>
      <c r="E1191">
        <v>1</v>
      </c>
      <c r="F1191">
        <v>7</v>
      </c>
      <c r="G1191">
        <v>902</v>
      </c>
      <c r="H1191">
        <v>15202658</v>
      </c>
      <c r="I1191">
        <v>661068</v>
      </c>
      <c r="J1191" t="s">
        <v>21</v>
      </c>
      <c r="K1191" t="s">
        <v>22</v>
      </c>
      <c r="L1191">
        <v>5</v>
      </c>
      <c r="M1191">
        <v>92.4</v>
      </c>
      <c r="N1191">
        <v>479014</v>
      </c>
      <c r="O1191">
        <v>1</v>
      </c>
    </row>
    <row r="1192" spans="1:15">
      <c r="A1192" t="s">
        <v>1218</v>
      </c>
      <c r="B1192" t="s">
        <v>24</v>
      </c>
      <c r="C1192">
        <v>13</v>
      </c>
      <c r="D1192">
        <v>28884397</v>
      </c>
      <c r="E1192">
        <v>1</v>
      </c>
      <c r="F1192">
        <v>21</v>
      </c>
      <c r="G1192">
        <v>837</v>
      </c>
      <c r="H1192">
        <v>79884915</v>
      </c>
      <c r="I1192">
        <v>177562</v>
      </c>
      <c r="J1192" t="s">
        <v>21</v>
      </c>
      <c r="K1192" t="s">
        <v>18</v>
      </c>
      <c r="L1192">
        <v>2</v>
      </c>
      <c r="M1192">
        <v>66.06</v>
      </c>
      <c r="N1192">
        <v>590803</v>
      </c>
      <c r="O1192">
        <v>1</v>
      </c>
    </row>
    <row r="1193" spans="1:15">
      <c r="A1193" t="s">
        <v>1219</v>
      </c>
      <c r="B1193" t="s">
        <v>24</v>
      </c>
      <c r="C1193">
        <v>14</v>
      </c>
      <c r="D1193">
        <v>9064237</v>
      </c>
      <c r="E1193">
        <v>2</v>
      </c>
      <c r="F1193">
        <v>14</v>
      </c>
      <c r="G1193">
        <v>293</v>
      </c>
      <c r="H1193">
        <v>47136961</v>
      </c>
      <c r="I1193">
        <v>491563</v>
      </c>
      <c r="J1193" t="s">
        <v>17</v>
      </c>
      <c r="K1193" t="s">
        <v>18</v>
      </c>
      <c r="L1193">
        <v>8</v>
      </c>
      <c r="M1193">
        <v>47.6</v>
      </c>
      <c r="N1193">
        <v>229854</v>
      </c>
      <c r="O1193">
        <v>1</v>
      </c>
    </row>
    <row r="1194" spans="1:15">
      <c r="A1194" t="s">
        <v>1220</v>
      </c>
      <c r="B1194" t="s">
        <v>29</v>
      </c>
      <c r="C1194">
        <v>7</v>
      </c>
      <c r="D1194">
        <v>6960719</v>
      </c>
      <c r="E1194">
        <v>2</v>
      </c>
      <c r="F1194">
        <v>2</v>
      </c>
      <c r="G1194">
        <v>369</v>
      </c>
      <c r="H1194">
        <v>78489595</v>
      </c>
      <c r="I1194">
        <v>883253</v>
      </c>
      <c r="J1194" t="s">
        <v>17</v>
      </c>
      <c r="K1194" t="s">
        <v>18</v>
      </c>
      <c r="L1194">
        <v>6</v>
      </c>
      <c r="M1194">
        <v>32.14</v>
      </c>
      <c r="N1194">
        <v>826897</v>
      </c>
      <c r="O1194">
        <v>1</v>
      </c>
    </row>
    <row r="1195" spans="1:15">
      <c r="A1195" t="s">
        <v>1221</v>
      </c>
      <c r="B1195" t="s">
        <v>32</v>
      </c>
      <c r="C1195">
        <v>7</v>
      </c>
      <c r="D1195">
        <v>878210</v>
      </c>
      <c r="E1195">
        <v>1</v>
      </c>
      <c r="F1195">
        <v>18</v>
      </c>
      <c r="G1195">
        <v>592</v>
      </c>
      <c r="H1195">
        <v>78227884</v>
      </c>
      <c r="I1195">
        <v>689570</v>
      </c>
      <c r="J1195" t="s">
        <v>17</v>
      </c>
      <c r="K1195" t="s">
        <v>30</v>
      </c>
      <c r="L1195">
        <v>1</v>
      </c>
      <c r="M1195">
        <v>76.290000000000006</v>
      </c>
      <c r="N1195">
        <v>902779</v>
      </c>
      <c r="O1195">
        <v>1</v>
      </c>
    </row>
    <row r="1196" spans="1:15">
      <c r="A1196" t="s">
        <v>1222</v>
      </c>
      <c r="B1196" t="s">
        <v>20</v>
      </c>
      <c r="C1196">
        <v>12</v>
      </c>
      <c r="D1196">
        <v>23424842</v>
      </c>
      <c r="E1196">
        <v>4</v>
      </c>
      <c r="F1196">
        <v>8</v>
      </c>
      <c r="G1196">
        <v>967</v>
      </c>
      <c r="H1196">
        <v>33373060</v>
      </c>
      <c r="I1196">
        <v>953655</v>
      </c>
      <c r="J1196" t="s">
        <v>21</v>
      </c>
      <c r="K1196" t="s">
        <v>18</v>
      </c>
      <c r="L1196">
        <v>4</v>
      </c>
      <c r="M1196">
        <v>11.94</v>
      </c>
      <c r="N1196">
        <v>86585</v>
      </c>
      <c r="O1196">
        <v>1</v>
      </c>
    </row>
    <row r="1197" spans="1:15">
      <c r="A1197" t="s">
        <v>1223</v>
      </c>
      <c r="B1197" t="s">
        <v>20</v>
      </c>
      <c r="C1197">
        <v>8</v>
      </c>
      <c r="D1197">
        <v>8940910</v>
      </c>
      <c r="E1197">
        <v>3</v>
      </c>
      <c r="F1197">
        <v>20</v>
      </c>
      <c r="G1197">
        <v>680</v>
      </c>
      <c r="H1197">
        <v>48318704</v>
      </c>
      <c r="I1197">
        <v>120593</v>
      </c>
      <c r="J1197" t="s">
        <v>17</v>
      </c>
      <c r="K1197" t="s">
        <v>18</v>
      </c>
      <c r="L1197">
        <v>9</v>
      </c>
      <c r="M1197">
        <v>67.849999999999994</v>
      </c>
      <c r="N1197">
        <v>617322</v>
      </c>
      <c r="O1197">
        <v>1</v>
      </c>
    </row>
    <row r="1198" spans="1:15">
      <c r="A1198" t="s">
        <v>1224</v>
      </c>
      <c r="B1198" t="s">
        <v>32</v>
      </c>
      <c r="C1198">
        <v>14</v>
      </c>
      <c r="D1198">
        <v>36558210</v>
      </c>
      <c r="E1198">
        <v>4</v>
      </c>
      <c r="F1198">
        <v>26</v>
      </c>
      <c r="G1198">
        <v>536</v>
      </c>
      <c r="H1198">
        <v>90345557</v>
      </c>
      <c r="I1198">
        <v>788321</v>
      </c>
      <c r="J1198" t="s">
        <v>17</v>
      </c>
      <c r="K1198" t="s">
        <v>18</v>
      </c>
      <c r="L1198">
        <v>2</v>
      </c>
      <c r="M1198">
        <v>52.45</v>
      </c>
      <c r="N1198">
        <v>934888</v>
      </c>
      <c r="O1198">
        <v>1</v>
      </c>
    </row>
    <row r="1199" spans="1:15">
      <c r="A1199" t="s">
        <v>1225</v>
      </c>
      <c r="B1199" t="s">
        <v>24</v>
      </c>
      <c r="C1199">
        <v>0</v>
      </c>
      <c r="D1199">
        <v>26641918</v>
      </c>
      <c r="E1199">
        <v>2</v>
      </c>
      <c r="F1199">
        <v>22</v>
      </c>
      <c r="G1199">
        <v>418</v>
      </c>
      <c r="H1199">
        <v>64576172</v>
      </c>
      <c r="I1199">
        <v>512567</v>
      </c>
      <c r="J1199" t="s">
        <v>17</v>
      </c>
      <c r="K1199" t="s">
        <v>22</v>
      </c>
      <c r="L1199">
        <v>4</v>
      </c>
      <c r="M1199">
        <v>97.74</v>
      </c>
      <c r="N1199">
        <v>888959</v>
      </c>
      <c r="O1199">
        <v>1</v>
      </c>
    </row>
    <row r="1200" spans="1:15">
      <c r="A1200" t="s">
        <v>1226</v>
      </c>
      <c r="B1200" t="s">
        <v>38</v>
      </c>
      <c r="C1200">
        <v>7</v>
      </c>
      <c r="D1200">
        <v>17632190</v>
      </c>
      <c r="E1200">
        <v>3</v>
      </c>
      <c r="F1200">
        <v>11</v>
      </c>
      <c r="G1200">
        <v>181</v>
      </c>
      <c r="H1200">
        <v>94825045</v>
      </c>
      <c r="I1200">
        <v>416846</v>
      </c>
      <c r="J1200" t="s">
        <v>21</v>
      </c>
      <c r="K1200" t="s">
        <v>30</v>
      </c>
      <c r="L1200">
        <v>1</v>
      </c>
      <c r="M1200">
        <v>87.82</v>
      </c>
      <c r="N1200">
        <v>291157</v>
      </c>
      <c r="O1200">
        <v>1</v>
      </c>
    </row>
    <row r="1201" spans="1:15">
      <c r="A1201" t="s">
        <v>1227</v>
      </c>
      <c r="B1201" t="s">
        <v>24</v>
      </c>
      <c r="C1201">
        <v>14</v>
      </c>
      <c r="D1201">
        <v>27878803</v>
      </c>
      <c r="E1201">
        <v>2</v>
      </c>
      <c r="F1201">
        <v>27</v>
      </c>
      <c r="G1201">
        <v>11</v>
      </c>
      <c r="H1201">
        <v>79312474</v>
      </c>
      <c r="I1201">
        <v>965239</v>
      </c>
      <c r="J1201" t="s">
        <v>17</v>
      </c>
      <c r="K1201" t="s">
        <v>18</v>
      </c>
      <c r="L1201">
        <v>4</v>
      </c>
      <c r="M1201">
        <v>41.03</v>
      </c>
      <c r="N1201">
        <v>610652</v>
      </c>
      <c r="O1201">
        <v>1</v>
      </c>
    </row>
    <row r="1202" spans="1:15">
      <c r="A1202" t="s">
        <v>1228</v>
      </c>
      <c r="B1202" t="s">
        <v>38</v>
      </c>
      <c r="C1202">
        <v>2</v>
      </c>
      <c r="D1202">
        <v>36265956</v>
      </c>
      <c r="E1202">
        <v>3</v>
      </c>
      <c r="F1202">
        <v>12</v>
      </c>
      <c r="G1202">
        <v>446</v>
      </c>
      <c r="H1202">
        <v>79111018</v>
      </c>
      <c r="I1202">
        <v>8030</v>
      </c>
      <c r="J1202" t="s">
        <v>17</v>
      </c>
      <c r="K1202" t="s">
        <v>30</v>
      </c>
      <c r="L1202">
        <v>3</v>
      </c>
      <c r="M1202">
        <v>55.12</v>
      </c>
      <c r="N1202">
        <v>603732</v>
      </c>
      <c r="O1202">
        <v>1</v>
      </c>
    </row>
    <row r="1203" spans="1:15">
      <c r="A1203" t="s">
        <v>1229</v>
      </c>
      <c r="B1203" t="s">
        <v>27</v>
      </c>
      <c r="C1203">
        <v>13</v>
      </c>
      <c r="D1203">
        <v>39252946</v>
      </c>
      <c r="E1203">
        <v>1</v>
      </c>
      <c r="F1203">
        <v>2</v>
      </c>
      <c r="G1203">
        <v>655</v>
      </c>
      <c r="H1203">
        <v>12186758</v>
      </c>
      <c r="I1203">
        <v>296359</v>
      </c>
      <c r="J1203" t="s">
        <v>21</v>
      </c>
      <c r="K1203" t="s">
        <v>30</v>
      </c>
      <c r="L1203">
        <v>9</v>
      </c>
      <c r="M1203">
        <v>76.47</v>
      </c>
      <c r="N1203">
        <v>275679</v>
      </c>
      <c r="O1203">
        <v>1</v>
      </c>
    </row>
    <row r="1204" spans="1:15">
      <c r="A1204" t="s">
        <v>1230</v>
      </c>
      <c r="B1204" t="s">
        <v>16</v>
      </c>
      <c r="C1204">
        <v>1</v>
      </c>
      <c r="D1204">
        <v>32423284</v>
      </c>
      <c r="E1204">
        <v>1</v>
      </c>
      <c r="F1204">
        <v>13</v>
      </c>
      <c r="G1204">
        <v>190</v>
      </c>
      <c r="H1204">
        <v>64145822</v>
      </c>
      <c r="I1204">
        <v>645002</v>
      </c>
      <c r="J1204" t="s">
        <v>21</v>
      </c>
      <c r="K1204" t="s">
        <v>22</v>
      </c>
      <c r="L1204">
        <v>3</v>
      </c>
      <c r="M1204">
        <v>6.26</v>
      </c>
      <c r="N1204">
        <v>758773</v>
      </c>
      <c r="O1204">
        <v>1</v>
      </c>
    </row>
    <row r="1205" spans="1:15">
      <c r="A1205" t="s">
        <v>1231</v>
      </c>
      <c r="B1205" t="s">
        <v>32</v>
      </c>
      <c r="C1205">
        <v>1</v>
      </c>
      <c r="D1205">
        <v>39305327</v>
      </c>
      <c r="E1205">
        <v>4</v>
      </c>
      <c r="F1205">
        <v>16</v>
      </c>
      <c r="G1205">
        <v>139</v>
      </c>
      <c r="H1205">
        <v>89489722</v>
      </c>
      <c r="I1205">
        <v>123959</v>
      </c>
      <c r="J1205" t="s">
        <v>25</v>
      </c>
      <c r="K1205" t="s">
        <v>22</v>
      </c>
      <c r="L1205">
        <v>7</v>
      </c>
      <c r="M1205">
        <v>61.13</v>
      </c>
      <c r="N1205">
        <v>194131</v>
      </c>
      <c r="O1205">
        <v>1</v>
      </c>
    </row>
    <row r="1206" spans="1:15">
      <c r="A1206" t="s">
        <v>1232</v>
      </c>
      <c r="B1206" t="s">
        <v>27</v>
      </c>
      <c r="C1206">
        <v>8</v>
      </c>
      <c r="D1206">
        <v>16056063</v>
      </c>
      <c r="E1206">
        <v>2</v>
      </c>
      <c r="F1206">
        <v>25</v>
      </c>
      <c r="G1206">
        <v>509</v>
      </c>
      <c r="H1206">
        <v>78426929</v>
      </c>
      <c r="I1206">
        <v>211333</v>
      </c>
      <c r="J1206" t="s">
        <v>21</v>
      </c>
      <c r="K1206" t="s">
        <v>30</v>
      </c>
      <c r="L1206">
        <v>5</v>
      </c>
      <c r="M1206">
        <v>71.87</v>
      </c>
      <c r="N1206">
        <v>994304</v>
      </c>
      <c r="O1206">
        <v>1</v>
      </c>
    </row>
    <row r="1207" spans="1:15">
      <c r="A1207" t="s">
        <v>1233</v>
      </c>
      <c r="B1207" t="s">
        <v>38</v>
      </c>
      <c r="C1207">
        <v>3</v>
      </c>
      <c r="D1207">
        <v>21480932</v>
      </c>
      <c r="E1207">
        <v>2</v>
      </c>
      <c r="F1207">
        <v>12</v>
      </c>
      <c r="G1207">
        <v>325</v>
      </c>
      <c r="H1207">
        <v>59987694</v>
      </c>
      <c r="I1207">
        <v>893223</v>
      </c>
      <c r="J1207" t="s">
        <v>17</v>
      </c>
      <c r="K1207" t="s">
        <v>18</v>
      </c>
      <c r="L1207">
        <v>8</v>
      </c>
      <c r="M1207">
        <v>35.19</v>
      </c>
      <c r="N1207">
        <v>970661</v>
      </c>
      <c r="O1207">
        <v>1</v>
      </c>
    </row>
    <row r="1208" spans="1:15">
      <c r="A1208" t="s">
        <v>1234</v>
      </c>
      <c r="B1208" t="s">
        <v>16</v>
      </c>
      <c r="C1208">
        <v>10</v>
      </c>
      <c r="D1208">
        <v>1927202</v>
      </c>
      <c r="E1208">
        <v>3</v>
      </c>
      <c r="F1208">
        <v>29</v>
      </c>
      <c r="G1208">
        <v>123</v>
      </c>
      <c r="H1208">
        <v>27427367</v>
      </c>
      <c r="I1208">
        <v>378755</v>
      </c>
      <c r="J1208" t="s">
        <v>25</v>
      </c>
      <c r="K1208" t="s">
        <v>30</v>
      </c>
      <c r="L1208">
        <v>6</v>
      </c>
      <c r="M1208">
        <v>39.549999999999997</v>
      </c>
      <c r="N1208">
        <v>530073</v>
      </c>
      <c r="O1208">
        <v>1</v>
      </c>
    </row>
    <row r="1209" spans="1:15">
      <c r="A1209" t="s">
        <v>1235</v>
      </c>
      <c r="B1209" t="s">
        <v>20</v>
      </c>
      <c r="C1209">
        <v>2</v>
      </c>
      <c r="D1209">
        <v>2078504</v>
      </c>
      <c r="E1209">
        <v>1</v>
      </c>
      <c r="F1209">
        <v>8</v>
      </c>
      <c r="G1209">
        <v>912</v>
      </c>
      <c r="H1209">
        <v>68685272</v>
      </c>
      <c r="I1209">
        <v>815107</v>
      </c>
      <c r="J1209" t="s">
        <v>25</v>
      </c>
      <c r="K1209" t="s">
        <v>18</v>
      </c>
      <c r="L1209">
        <v>1</v>
      </c>
      <c r="M1209">
        <v>39.380000000000003</v>
      </c>
      <c r="N1209">
        <v>449679</v>
      </c>
      <c r="O1209">
        <v>1</v>
      </c>
    </row>
    <row r="1210" spans="1:15">
      <c r="A1210" t="s">
        <v>1236</v>
      </c>
      <c r="B1210" t="s">
        <v>16</v>
      </c>
      <c r="C1210">
        <v>6</v>
      </c>
      <c r="D1210">
        <v>5010417</v>
      </c>
      <c r="E1210">
        <v>2</v>
      </c>
      <c r="F1210">
        <v>27</v>
      </c>
      <c r="G1210">
        <v>730</v>
      </c>
      <c r="H1210">
        <v>79730780</v>
      </c>
      <c r="I1210">
        <v>467246</v>
      </c>
      <c r="J1210" t="s">
        <v>21</v>
      </c>
      <c r="K1210" t="s">
        <v>18</v>
      </c>
      <c r="L1210">
        <v>9</v>
      </c>
      <c r="M1210">
        <v>79.17</v>
      </c>
      <c r="N1210">
        <v>786136</v>
      </c>
      <c r="O1210">
        <v>1</v>
      </c>
    </row>
    <row r="1211" spans="1:15">
      <c r="A1211" t="s">
        <v>1237</v>
      </c>
      <c r="B1211" t="s">
        <v>38</v>
      </c>
      <c r="C1211">
        <v>12</v>
      </c>
      <c r="D1211">
        <v>17914830</v>
      </c>
      <c r="E1211">
        <v>3</v>
      </c>
      <c r="F1211">
        <v>11</v>
      </c>
      <c r="G1211">
        <v>910</v>
      </c>
      <c r="H1211">
        <v>49510778</v>
      </c>
      <c r="I1211">
        <v>125077</v>
      </c>
      <c r="J1211" t="s">
        <v>21</v>
      </c>
      <c r="K1211" t="s">
        <v>18</v>
      </c>
      <c r="L1211">
        <v>9</v>
      </c>
      <c r="M1211">
        <v>91.75</v>
      </c>
      <c r="N1211">
        <v>393432</v>
      </c>
      <c r="O1211">
        <v>1</v>
      </c>
    </row>
    <row r="1212" spans="1:15">
      <c r="A1212" t="s">
        <v>1238</v>
      </c>
      <c r="B1212" t="s">
        <v>27</v>
      </c>
      <c r="C1212">
        <v>13</v>
      </c>
      <c r="D1212">
        <v>22187397</v>
      </c>
      <c r="E1212">
        <v>1</v>
      </c>
      <c r="F1212">
        <v>14</v>
      </c>
      <c r="G1212">
        <v>894</v>
      </c>
      <c r="H1212">
        <v>66519381</v>
      </c>
      <c r="I1212">
        <v>66481</v>
      </c>
      <c r="J1212" t="s">
        <v>25</v>
      </c>
      <c r="K1212" t="s">
        <v>22</v>
      </c>
      <c r="L1212">
        <v>6</v>
      </c>
      <c r="M1212">
        <v>80.12</v>
      </c>
      <c r="N1212">
        <v>824782</v>
      </c>
      <c r="O1212">
        <v>1</v>
      </c>
    </row>
    <row r="1213" spans="1:15">
      <c r="A1213" t="s">
        <v>1239</v>
      </c>
      <c r="B1213" t="s">
        <v>27</v>
      </c>
      <c r="C1213">
        <v>6</v>
      </c>
      <c r="D1213">
        <v>11333472</v>
      </c>
      <c r="E1213">
        <v>2</v>
      </c>
      <c r="F1213">
        <v>7</v>
      </c>
      <c r="G1213">
        <v>645</v>
      </c>
      <c r="H1213">
        <v>56960478</v>
      </c>
      <c r="I1213">
        <v>151045</v>
      </c>
      <c r="J1213" t="s">
        <v>25</v>
      </c>
      <c r="K1213" t="s">
        <v>18</v>
      </c>
      <c r="L1213">
        <v>7</v>
      </c>
      <c r="M1213">
        <v>28.87</v>
      </c>
      <c r="N1213">
        <v>960791</v>
      </c>
      <c r="O1213">
        <v>1</v>
      </c>
    </row>
    <row r="1214" spans="1:15">
      <c r="A1214" t="s">
        <v>1240</v>
      </c>
      <c r="B1214" t="s">
        <v>32</v>
      </c>
      <c r="C1214">
        <v>9</v>
      </c>
      <c r="D1214">
        <v>34233143</v>
      </c>
      <c r="E1214">
        <v>2</v>
      </c>
      <c r="F1214">
        <v>2</v>
      </c>
      <c r="G1214">
        <v>479</v>
      </c>
      <c r="H1214">
        <v>68367811</v>
      </c>
      <c r="I1214">
        <v>348147</v>
      </c>
      <c r="J1214" t="s">
        <v>21</v>
      </c>
      <c r="K1214" t="s">
        <v>18</v>
      </c>
      <c r="L1214">
        <v>7</v>
      </c>
      <c r="M1214">
        <v>7.2</v>
      </c>
      <c r="N1214">
        <v>470827</v>
      </c>
      <c r="O1214">
        <v>1</v>
      </c>
    </row>
    <row r="1215" spans="1:15">
      <c r="A1215" t="s">
        <v>1241</v>
      </c>
      <c r="B1215" t="s">
        <v>16</v>
      </c>
      <c r="C1215">
        <v>10</v>
      </c>
      <c r="D1215">
        <v>43049235</v>
      </c>
      <c r="E1215">
        <v>1</v>
      </c>
      <c r="F1215">
        <v>25</v>
      </c>
      <c r="G1215">
        <v>31</v>
      </c>
      <c r="H1215">
        <v>89706985</v>
      </c>
      <c r="I1215">
        <v>256722</v>
      </c>
      <c r="J1215" t="s">
        <v>21</v>
      </c>
      <c r="K1215" t="s">
        <v>18</v>
      </c>
      <c r="L1215">
        <v>9</v>
      </c>
      <c r="M1215">
        <v>48.23</v>
      </c>
      <c r="N1215">
        <v>975424</v>
      </c>
      <c r="O1215">
        <v>1</v>
      </c>
    </row>
    <row r="1216" spans="1:15">
      <c r="A1216" t="s">
        <v>1242</v>
      </c>
      <c r="B1216" t="s">
        <v>20</v>
      </c>
      <c r="C1216">
        <v>11</v>
      </c>
      <c r="D1216">
        <v>35972994</v>
      </c>
      <c r="E1216">
        <v>3</v>
      </c>
      <c r="F1216">
        <v>21</v>
      </c>
      <c r="G1216">
        <v>944</v>
      </c>
      <c r="H1216">
        <v>48158468</v>
      </c>
      <c r="I1216">
        <v>733254</v>
      </c>
      <c r="J1216" t="s">
        <v>25</v>
      </c>
      <c r="K1216" t="s">
        <v>18</v>
      </c>
      <c r="L1216">
        <v>8</v>
      </c>
      <c r="M1216">
        <v>68.900000000000006</v>
      </c>
      <c r="N1216">
        <v>278599</v>
      </c>
      <c r="O1216">
        <v>1</v>
      </c>
    </row>
    <row r="1217" spans="1:15">
      <c r="A1217" t="s">
        <v>1243</v>
      </c>
      <c r="B1217" t="s">
        <v>29</v>
      </c>
      <c r="C1217">
        <v>8</v>
      </c>
      <c r="D1217">
        <v>2238516</v>
      </c>
      <c r="E1217">
        <v>2</v>
      </c>
      <c r="F1217">
        <v>0</v>
      </c>
      <c r="G1217">
        <v>670</v>
      </c>
      <c r="H1217">
        <v>90959009</v>
      </c>
      <c r="I1217">
        <v>443441</v>
      </c>
      <c r="J1217" t="s">
        <v>21</v>
      </c>
      <c r="K1217" t="s">
        <v>30</v>
      </c>
      <c r="L1217">
        <v>9</v>
      </c>
      <c r="M1217">
        <v>69.92</v>
      </c>
      <c r="N1217">
        <v>270326</v>
      </c>
      <c r="O1217">
        <v>1</v>
      </c>
    </row>
    <row r="1218" spans="1:15">
      <c r="A1218" t="s">
        <v>1244</v>
      </c>
      <c r="B1218" t="s">
        <v>38</v>
      </c>
      <c r="C1218">
        <v>6</v>
      </c>
      <c r="D1218">
        <v>49746711</v>
      </c>
      <c r="E1218">
        <v>3</v>
      </c>
      <c r="F1218">
        <v>18</v>
      </c>
      <c r="G1218">
        <v>551</v>
      </c>
      <c r="H1218">
        <v>31127191</v>
      </c>
      <c r="I1218">
        <v>903740</v>
      </c>
      <c r="J1218" t="s">
        <v>25</v>
      </c>
      <c r="K1218" t="s">
        <v>30</v>
      </c>
      <c r="L1218">
        <v>7</v>
      </c>
      <c r="M1218">
        <v>15.47</v>
      </c>
      <c r="N1218">
        <v>574955</v>
      </c>
      <c r="O1218">
        <v>1</v>
      </c>
    </row>
    <row r="1219" spans="1:15">
      <c r="A1219" t="s">
        <v>1245</v>
      </c>
      <c r="B1219" t="s">
        <v>32</v>
      </c>
      <c r="C1219">
        <v>14</v>
      </c>
      <c r="D1219">
        <v>17860268</v>
      </c>
      <c r="E1219">
        <v>1</v>
      </c>
      <c r="F1219">
        <v>11</v>
      </c>
      <c r="G1219">
        <v>532</v>
      </c>
      <c r="H1219">
        <v>63986177</v>
      </c>
      <c r="I1219">
        <v>848075</v>
      </c>
      <c r="J1219" t="s">
        <v>21</v>
      </c>
      <c r="K1219" t="s">
        <v>18</v>
      </c>
      <c r="L1219">
        <v>4</v>
      </c>
      <c r="M1219">
        <v>80.41</v>
      </c>
      <c r="N1219">
        <v>580280</v>
      </c>
      <c r="O1219">
        <v>1</v>
      </c>
    </row>
    <row r="1220" spans="1:15">
      <c r="A1220" t="s">
        <v>1246</v>
      </c>
      <c r="B1220" t="s">
        <v>24</v>
      </c>
      <c r="C1220">
        <v>5</v>
      </c>
      <c r="D1220">
        <v>48189996</v>
      </c>
      <c r="E1220">
        <v>2</v>
      </c>
      <c r="F1220">
        <v>2</v>
      </c>
      <c r="G1220">
        <v>501</v>
      </c>
      <c r="H1220">
        <v>8875681</v>
      </c>
      <c r="I1220">
        <v>477025</v>
      </c>
      <c r="J1220" t="s">
        <v>25</v>
      </c>
      <c r="K1220" t="s">
        <v>22</v>
      </c>
      <c r="L1220">
        <v>8</v>
      </c>
      <c r="M1220">
        <v>59.98</v>
      </c>
      <c r="N1220">
        <v>986066</v>
      </c>
      <c r="O1220">
        <v>1</v>
      </c>
    </row>
    <row r="1221" spans="1:15">
      <c r="A1221" t="s">
        <v>1247</v>
      </c>
      <c r="B1221" t="s">
        <v>16</v>
      </c>
      <c r="C1221">
        <v>2</v>
      </c>
      <c r="D1221">
        <v>42810933</v>
      </c>
      <c r="E1221">
        <v>2</v>
      </c>
      <c r="F1221">
        <v>7</v>
      </c>
      <c r="G1221">
        <v>22</v>
      </c>
      <c r="H1221">
        <v>55827882</v>
      </c>
      <c r="I1221">
        <v>150583</v>
      </c>
      <c r="J1221" t="s">
        <v>21</v>
      </c>
      <c r="K1221" t="s">
        <v>22</v>
      </c>
      <c r="L1221">
        <v>8</v>
      </c>
      <c r="M1221">
        <v>60.93</v>
      </c>
      <c r="N1221">
        <v>559387</v>
      </c>
      <c r="O1221">
        <v>1</v>
      </c>
    </row>
    <row r="1222" spans="1:15">
      <c r="A1222" t="s">
        <v>1248</v>
      </c>
      <c r="B1222" t="s">
        <v>20</v>
      </c>
      <c r="C1222">
        <v>6</v>
      </c>
      <c r="D1222">
        <v>46442631</v>
      </c>
      <c r="E1222">
        <v>4</v>
      </c>
      <c r="F1222">
        <v>0</v>
      </c>
      <c r="G1222">
        <v>698</v>
      </c>
      <c r="H1222">
        <v>32683914</v>
      </c>
      <c r="I1222">
        <v>494748</v>
      </c>
      <c r="J1222" t="s">
        <v>25</v>
      </c>
      <c r="K1222" t="s">
        <v>30</v>
      </c>
      <c r="L1222">
        <v>6</v>
      </c>
      <c r="M1222">
        <v>67.45</v>
      </c>
      <c r="N1222">
        <v>814845</v>
      </c>
      <c r="O1222">
        <v>1</v>
      </c>
    </row>
    <row r="1223" spans="1:15">
      <c r="A1223" t="s">
        <v>1249</v>
      </c>
      <c r="B1223" t="s">
        <v>16</v>
      </c>
      <c r="C1223">
        <v>6</v>
      </c>
      <c r="D1223">
        <v>39737637</v>
      </c>
      <c r="E1223">
        <v>4</v>
      </c>
      <c r="F1223">
        <v>12</v>
      </c>
      <c r="G1223">
        <v>975</v>
      </c>
      <c r="H1223">
        <v>52887428</v>
      </c>
      <c r="I1223">
        <v>356573</v>
      </c>
      <c r="J1223" t="s">
        <v>17</v>
      </c>
      <c r="K1223" t="s">
        <v>22</v>
      </c>
      <c r="L1223">
        <v>9</v>
      </c>
      <c r="M1223">
        <v>55.3</v>
      </c>
      <c r="N1223">
        <v>265613</v>
      </c>
      <c r="O1223">
        <v>1</v>
      </c>
    </row>
    <row r="1224" spans="1:15">
      <c r="A1224" t="s">
        <v>1250</v>
      </c>
      <c r="B1224" t="s">
        <v>32</v>
      </c>
      <c r="C1224">
        <v>7</v>
      </c>
      <c r="D1224">
        <v>31071368</v>
      </c>
      <c r="E1224">
        <v>4</v>
      </c>
      <c r="F1224">
        <v>17</v>
      </c>
      <c r="G1224">
        <v>868</v>
      </c>
      <c r="H1224">
        <v>85152727</v>
      </c>
      <c r="I1224">
        <v>237047</v>
      </c>
      <c r="J1224" t="s">
        <v>21</v>
      </c>
      <c r="K1224" t="s">
        <v>18</v>
      </c>
      <c r="L1224">
        <v>8</v>
      </c>
      <c r="M1224">
        <v>21.09</v>
      </c>
      <c r="N1224">
        <v>159832</v>
      </c>
      <c r="O1224">
        <v>1</v>
      </c>
    </row>
    <row r="1225" spans="1:15">
      <c r="A1225" t="s">
        <v>1251</v>
      </c>
      <c r="B1225" t="s">
        <v>38</v>
      </c>
      <c r="C1225">
        <v>3</v>
      </c>
      <c r="D1225">
        <v>34183583</v>
      </c>
      <c r="E1225">
        <v>3</v>
      </c>
      <c r="F1225">
        <v>16</v>
      </c>
      <c r="G1225">
        <v>231</v>
      </c>
      <c r="H1225">
        <v>19618949</v>
      </c>
      <c r="I1225">
        <v>500107</v>
      </c>
      <c r="J1225" t="s">
        <v>25</v>
      </c>
      <c r="K1225" t="s">
        <v>30</v>
      </c>
      <c r="L1225">
        <v>1</v>
      </c>
      <c r="M1225">
        <v>38.03</v>
      </c>
      <c r="N1225">
        <v>922776</v>
      </c>
      <c r="O1225">
        <v>1</v>
      </c>
    </row>
    <row r="1226" spans="1:15">
      <c r="A1226" t="s">
        <v>1252</v>
      </c>
      <c r="B1226" t="s">
        <v>32</v>
      </c>
      <c r="C1226">
        <v>9</v>
      </c>
      <c r="D1226">
        <v>10968196</v>
      </c>
      <c r="E1226">
        <v>3</v>
      </c>
      <c r="F1226">
        <v>20</v>
      </c>
      <c r="G1226">
        <v>75</v>
      </c>
      <c r="H1226">
        <v>51490080</v>
      </c>
      <c r="I1226">
        <v>977548</v>
      </c>
      <c r="J1226" t="s">
        <v>17</v>
      </c>
      <c r="K1226" t="s">
        <v>22</v>
      </c>
      <c r="L1226">
        <v>1</v>
      </c>
      <c r="M1226">
        <v>39.46</v>
      </c>
      <c r="N1226">
        <v>559621</v>
      </c>
      <c r="O1226">
        <v>1</v>
      </c>
    </row>
    <row r="1227" spans="1:15">
      <c r="A1227" t="s">
        <v>1253</v>
      </c>
      <c r="B1227" t="s">
        <v>38</v>
      </c>
      <c r="C1227">
        <v>10</v>
      </c>
      <c r="D1227">
        <v>11921929</v>
      </c>
      <c r="E1227">
        <v>2</v>
      </c>
      <c r="F1227">
        <v>14</v>
      </c>
      <c r="G1227">
        <v>387</v>
      </c>
      <c r="H1227">
        <v>74527596</v>
      </c>
      <c r="I1227">
        <v>79873</v>
      </c>
      <c r="J1227" t="s">
        <v>21</v>
      </c>
      <c r="K1227" t="s">
        <v>18</v>
      </c>
      <c r="L1227">
        <v>5</v>
      </c>
      <c r="M1227">
        <v>51.51</v>
      </c>
      <c r="N1227">
        <v>536886</v>
      </c>
      <c r="O1227">
        <v>1</v>
      </c>
    </row>
    <row r="1228" spans="1:15">
      <c r="A1228" t="s">
        <v>1254</v>
      </c>
      <c r="B1228" t="s">
        <v>24</v>
      </c>
      <c r="C1228">
        <v>14</v>
      </c>
      <c r="D1228">
        <v>33021474</v>
      </c>
      <c r="E1228">
        <v>1</v>
      </c>
      <c r="F1228">
        <v>21</v>
      </c>
      <c r="G1228">
        <v>300</v>
      </c>
      <c r="H1228">
        <v>82031190</v>
      </c>
      <c r="I1228">
        <v>439741</v>
      </c>
      <c r="J1228" t="s">
        <v>25</v>
      </c>
      <c r="K1228" t="s">
        <v>18</v>
      </c>
      <c r="L1228">
        <v>9</v>
      </c>
      <c r="M1228">
        <v>88.06</v>
      </c>
      <c r="N1228">
        <v>934392</v>
      </c>
      <c r="O1228">
        <v>1</v>
      </c>
    </row>
    <row r="1229" spans="1:15">
      <c r="A1229" t="s">
        <v>1255</v>
      </c>
      <c r="B1229" t="s">
        <v>27</v>
      </c>
      <c r="C1229">
        <v>1</v>
      </c>
      <c r="D1229">
        <v>35694863</v>
      </c>
      <c r="E1229">
        <v>4</v>
      </c>
      <c r="F1229">
        <v>13</v>
      </c>
      <c r="G1229">
        <v>358</v>
      </c>
      <c r="H1229">
        <v>81290318</v>
      </c>
      <c r="I1229">
        <v>166088</v>
      </c>
      <c r="J1229" t="s">
        <v>17</v>
      </c>
      <c r="K1229" t="s">
        <v>22</v>
      </c>
      <c r="L1229">
        <v>4</v>
      </c>
      <c r="M1229">
        <v>88.23</v>
      </c>
      <c r="N1229">
        <v>687301</v>
      </c>
      <c r="O1229">
        <v>1</v>
      </c>
    </row>
    <row r="1230" spans="1:15">
      <c r="A1230" t="s">
        <v>1256</v>
      </c>
      <c r="B1230" t="s">
        <v>38</v>
      </c>
      <c r="C1230">
        <v>5</v>
      </c>
      <c r="D1230">
        <v>48434778</v>
      </c>
      <c r="E1230">
        <v>2</v>
      </c>
      <c r="F1230">
        <v>16</v>
      </c>
      <c r="G1230">
        <v>28</v>
      </c>
      <c r="H1230">
        <v>20435678</v>
      </c>
      <c r="I1230">
        <v>938741</v>
      </c>
      <c r="J1230" t="s">
        <v>25</v>
      </c>
      <c r="K1230" t="s">
        <v>18</v>
      </c>
      <c r="L1230">
        <v>2</v>
      </c>
      <c r="M1230">
        <v>84.24</v>
      </c>
      <c r="N1230">
        <v>294743</v>
      </c>
      <c r="O1230">
        <v>1</v>
      </c>
    </row>
    <row r="1231" spans="1:15">
      <c r="A1231" t="s">
        <v>1257</v>
      </c>
      <c r="B1231" t="s">
        <v>20</v>
      </c>
      <c r="C1231">
        <v>1</v>
      </c>
      <c r="D1231">
        <v>23853643</v>
      </c>
      <c r="E1231">
        <v>1</v>
      </c>
      <c r="F1231">
        <v>24</v>
      </c>
      <c r="G1231">
        <v>311</v>
      </c>
      <c r="H1231">
        <v>19574796</v>
      </c>
      <c r="I1231">
        <v>558391</v>
      </c>
      <c r="J1231" t="s">
        <v>21</v>
      </c>
      <c r="K1231" t="s">
        <v>30</v>
      </c>
      <c r="L1231">
        <v>3</v>
      </c>
      <c r="M1231">
        <v>4.45</v>
      </c>
      <c r="N1231">
        <v>581069</v>
      </c>
      <c r="O1231">
        <v>1</v>
      </c>
    </row>
    <row r="1232" spans="1:15">
      <c r="A1232" t="s">
        <v>1258</v>
      </c>
      <c r="B1232" t="s">
        <v>27</v>
      </c>
      <c r="C1232">
        <v>4</v>
      </c>
      <c r="D1232">
        <v>11618822</v>
      </c>
      <c r="E1232">
        <v>4</v>
      </c>
      <c r="F1232">
        <v>2</v>
      </c>
      <c r="G1232">
        <v>440</v>
      </c>
      <c r="H1232">
        <v>90744690</v>
      </c>
      <c r="I1232">
        <v>730632</v>
      </c>
      <c r="J1232" t="s">
        <v>25</v>
      </c>
      <c r="K1232" t="s">
        <v>22</v>
      </c>
      <c r="L1232">
        <v>1</v>
      </c>
      <c r="M1232">
        <v>76.849999999999994</v>
      </c>
      <c r="N1232">
        <v>625167</v>
      </c>
      <c r="O1232">
        <v>1</v>
      </c>
    </row>
    <row r="1233" spans="1:15">
      <c r="A1233" t="s">
        <v>1259</v>
      </c>
      <c r="B1233" t="s">
        <v>32</v>
      </c>
      <c r="C1233">
        <v>4</v>
      </c>
      <c r="D1233">
        <v>33672731</v>
      </c>
      <c r="E1233">
        <v>1</v>
      </c>
      <c r="F1233">
        <v>19</v>
      </c>
      <c r="G1233">
        <v>787</v>
      </c>
      <c r="H1233">
        <v>94302104</v>
      </c>
      <c r="I1233">
        <v>524923</v>
      </c>
      <c r="J1233" t="s">
        <v>21</v>
      </c>
      <c r="K1233" t="s">
        <v>22</v>
      </c>
      <c r="L1233">
        <v>8</v>
      </c>
      <c r="M1233">
        <v>95.41</v>
      </c>
      <c r="N1233">
        <v>184610</v>
      </c>
      <c r="O1233">
        <v>1</v>
      </c>
    </row>
    <row r="1234" spans="1:15">
      <c r="A1234" t="s">
        <v>1260</v>
      </c>
      <c r="B1234" t="s">
        <v>16</v>
      </c>
      <c r="C1234">
        <v>5</v>
      </c>
      <c r="D1234">
        <v>2531086</v>
      </c>
      <c r="E1234">
        <v>3</v>
      </c>
      <c r="F1234">
        <v>25</v>
      </c>
      <c r="G1234">
        <v>239</v>
      </c>
      <c r="H1234">
        <v>83017516</v>
      </c>
      <c r="I1234">
        <v>787558</v>
      </c>
      <c r="J1234" t="s">
        <v>17</v>
      </c>
      <c r="K1234" t="s">
        <v>22</v>
      </c>
      <c r="L1234">
        <v>8</v>
      </c>
      <c r="M1234">
        <v>37.19</v>
      </c>
      <c r="N1234">
        <v>137151</v>
      </c>
      <c r="O1234">
        <v>1</v>
      </c>
    </row>
    <row r="1235" spans="1:15">
      <c r="A1235" t="s">
        <v>1261</v>
      </c>
      <c r="B1235" t="s">
        <v>16</v>
      </c>
      <c r="C1235">
        <v>5</v>
      </c>
      <c r="D1235">
        <v>21736702</v>
      </c>
      <c r="E1235">
        <v>2</v>
      </c>
      <c r="F1235">
        <v>13</v>
      </c>
      <c r="G1235">
        <v>558</v>
      </c>
      <c r="H1235">
        <v>82098918</v>
      </c>
      <c r="I1235">
        <v>367105</v>
      </c>
      <c r="J1235" t="s">
        <v>25</v>
      </c>
      <c r="K1235" t="s">
        <v>18</v>
      </c>
      <c r="L1235">
        <v>8</v>
      </c>
      <c r="M1235">
        <v>64.510000000000005</v>
      </c>
      <c r="N1235">
        <v>352633</v>
      </c>
      <c r="O1235">
        <v>1</v>
      </c>
    </row>
    <row r="1236" spans="1:15">
      <c r="A1236" t="s">
        <v>1262</v>
      </c>
      <c r="B1236" t="s">
        <v>24</v>
      </c>
      <c r="C1236">
        <v>0</v>
      </c>
      <c r="D1236">
        <v>14573000</v>
      </c>
      <c r="E1236">
        <v>4</v>
      </c>
      <c r="F1236">
        <v>16</v>
      </c>
      <c r="G1236">
        <v>459</v>
      </c>
      <c r="H1236">
        <v>6085315</v>
      </c>
      <c r="I1236">
        <v>96386</v>
      </c>
      <c r="J1236" t="s">
        <v>21</v>
      </c>
      <c r="K1236" t="s">
        <v>18</v>
      </c>
      <c r="L1236">
        <v>5</v>
      </c>
      <c r="M1236">
        <v>66.77</v>
      </c>
      <c r="N1236">
        <v>943475</v>
      </c>
      <c r="O1236">
        <v>1</v>
      </c>
    </row>
    <row r="1237" spans="1:15">
      <c r="A1237" t="s">
        <v>1263</v>
      </c>
      <c r="B1237" t="s">
        <v>16</v>
      </c>
      <c r="C1237">
        <v>3</v>
      </c>
      <c r="D1237">
        <v>38140084</v>
      </c>
      <c r="E1237">
        <v>2</v>
      </c>
      <c r="F1237">
        <v>21</v>
      </c>
      <c r="G1237">
        <v>152</v>
      </c>
      <c r="H1237">
        <v>36936280</v>
      </c>
      <c r="I1237">
        <v>71768</v>
      </c>
      <c r="J1237" t="s">
        <v>25</v>
      </c>
      <c r="K1237" t="s">
        <v>22</v>
      </c>
      <c r="L1237">
        <v>6</v>
      </c>
      <c r="M1237">
        <v>5.35</v>
      </c>
      <c r="N1237">
        <v>40348</v>
      </c>
      <c r="O1237">
        <v>1</v>
      </c>
    </row>
    <row r="1238" spans="1:15">
      <c r="A1238" t="s">
        <v>1264</v>
      </c>
      <c r="B1238" t="s">
        <v>32</v>
      </c>
      <c r="C1238">
        <v>3</v>
      </c>
      <c r="D1238">
        <v>716551</v>
      </c>
      <c r="E1238">
        <v>2</v>
      </c>
      <c r="F1238">
        <v>10</v>
      </c>
      <c r="G1238">
        <v>400</v>
      </c>
      <c r="H1238">
        <v>44485103</v>
      </c>
      <c r="I1238">
        <v>917008</v>
      </c>
      <c r="J1238" t="s">
        <v>21</v>
      </c>
      <c r="K1238" t="s">
        <v>22</v>
      </c>
      <c r="L1238">
        <v>9</v>
      </c>
      <c r="M1238">
        <v>86.38</v>
      </c>
      <c r="N1238">
        <v>847335</v>
      </c>
      <c r="O1238">
        <v>1</v>
      </c>
    </row>
    <row r="1239" spans="1:15">
      <c r="A1239" t="s">
        <v>1265</v>
      </c>
      <c r="B1239" t="s">
        <v>32</v>
      </c>
      <c r="C1239">
        <v>2</v>
      </c>
      <c r="D1239">
        <v>25855362</v>
      </c>
      <c r="E1239">
        <v>2</v>
      </c>
      <c r="F1239">
        <v>29</v>
      </c>
      <c r="G1239">
        <v>931</v>
      </c>
      <c r="H1239">
        <v>13046186</v>
      </c>
      <c r="I1239">
        <v>62740</v>
      </c>
      <c r="J1239" t="s">
        <v>21</v>
      </c>
      <c r="K1239" t="s">
        <v>22</v>
      </c>
      <c r="L1239">
        <v>3</v>
      </c>
      <c r="M1239">
        <v>16.22</v>
      </c>
      <c r="N1239">
        <v>534557</v>
      </c>
      <c r="O1239">
        <v>1</v>
      </c>
    </row>
    <row r="1240" spans="1:15">
      <c r="A1240" t="s">
        <v>1266</v>
      </c>
      <c r="B1240" t="s">
        <v>24</v>
      </c>
      <c r="C1240">
        <v>0</v>
      </c>
      <c r="D1240">
        <v>19634772</v>
      </c>
      <c r="E1240">
        <v>4</v>
      </c>
      <c r="F1240">
        <v>12</v>
      </c>
      <c r="G1240">
        <v>287</v>
      </c>
      <c r="H1240">
        <v>40289383</v>
      </c>
      <c r="I1240">
        <v>321418</v>
      </c>
      <c r="J1240" t="s">
        <v>25</v>
      </c>
      <c r="K1240" t="s">
        <v>30</v>
      </c>
      <c r="L1240">
        <v>3</v>
      </c>
      <c r="M1240">
        <v>3.77</v>
      </c>
      <c r="N1240">
        <v>453986</v>
      </c>
      <c r="O1240">
        <v>1</v>
      </c>
    </row>
    <row r="1241" spans="1:15">
      <c r="A1241" t="s">
        <v>1267</v>
      </c>
      <c r="B1241" t="s">
        <v>16</v>
      </c>
      <c r="C1241">
        <v>1</v>
      </c>
      <c r="D1241">
        <v>11688459</v>
      </c>
      <c r="E1241">
        <v>3</v>
      </c>
      <c r="F1241">
        <v>17</v>
      </c>
      <c r="G1241">
        <v>378</v>
      </c>
      <c r="H1241">
        <v>53300416</v>
      </c>
      <c r="I1241">
        <v>615860</v>
      </c>
      <c r="J1241" t="s">
        <v>21</v>
      </c>
      <c r="K1241" t="s">
        <v>18</v>
      </c>
      <c r="L1241">
        <v>1</v>
      </c>
      <c r="M1241">
        <v>21.47</v>
      </c>
      <c r="N1241">
        <v>322232</v>
      </c>
      <c r="O1241">
        <v>1</v>
      </c>
    </row>
    <row r="1242" spans="1:15">
      <c r="A1242" t="s">
        <v>1268</v>
      </c>
      <c r="B1242" t="s">
        <v>16</v>
      </c>
      <c r="C1242">
        <v>9</v>
      </c>
      <c r="D1242">
        <v>9697317</v>
      </c>
      <c r="E1242">
        <v>4</v>
      </c>
      <c r="F1242">
        <v>7</v>
      </c>
      <c r="G1242">
        <v>211</v>
      </c>
      <c r="H1242">
        <v>98799576</v>
      </c>
      <c r="I1242">
        <v>412537</v>
      </c>
      <c r="J1242" t="s">
        <v>21</v>
      </c>
      <c r="K1242" t="s">
        <v>22</v>
      </c>
      <c r="L1242">
        <v>4</v>
      </c>
      <c r="M1242">
        <v>87.47</v>
      </c>
      <c r="N1242">
        <v>251231</v>
      </c>
      <c r="O1242">
        <v>1</v>
      </c>
    </row>
    <row r="1243" spans="1:15">
      <c r="A1243" t="s">
        <v>1269</v>
      </c>
      <c r="B1243" t="s">
        <v>20</v>
      </c>
      <c r="C1243">
        <v>6</v>
      </c>
      <c r="D1243">
        <v>30010809</v>
      </c>
      <c r="E1243">
        <v>2</v>
      </c>
      <c r="F1243">
        <v>1</v>
      </c>
      <c r="G1243">
        <v>496</v>
      </c>
      <c r="H1243">
        <v>60970206</v>
      </c>
      <c r="I1243">
        <v>901093</v>
      </c>
      <c r="J1243" t="s">
        <v>25</v>
      </c>
      <c r="K1243" t="s">
        <v>18</v>
      </c>
      <c r="L1243">
        <v>1</v>
      </c>
      <c r="M1243">
        <v>84.2</v>
      </c>
      <c r="N1243">
        <v>378635</v>
      </c>
      <c r="O1243">
        <v>1</v>
      </c>
    </row>
    <row r="1244" spans="1:15">
      <c r="A1244" t="s">
        <v>1270</v>
      </c>
      <c r="B1244" t="s">
        <v>27</v>
      </c>
      <c r="C1244">
        <v>0</v>
      </c>
      <c r="D1244">
        <v>28829011</v>
      </c>
      <c r="E1244">
        <v>3</v>
      </c>
      <c r="F1244">
        <v>24</v>
      </c>
      <c r="G1244">
        <v>553</v>
      </c>
      <c r="H1244">
        <v>33643708</v>
      </c>
      <c r="I1244">
        <v>580002</v>
      </c>
      <c r="J1244" t="s">
        <v>17</v>
      </c>
      <c r="K1244" t="s">
        <v>22</v>
      </c>
      <c r="L1244">
        <v>4</v>
      </c>
      <c r="M1244">
        <v>79.25</v>
      </c>
      <c r="N1244">
        <v>917218</v>
      </c>
      <c r="O1244">
        <v>1</v>
      </c>
    </row>
    <row r="1245" spans="1:15">
      <c r="A1245" t="s">
        <v>1271</v>
      </c>
      <c r="B1245" t="s">
        <v>29</v>
      </c>
      <c r="C1245">
        <v>1</v>
      </c>
      <c r="D1245">
        <v>33673606</v>
      </c>
      <c r="E1245">
        <v>2</v>
      </c>
      <c r="F1245">
        <v>0</v>
      </c>
      <c r="G1245">
        <v>133</v>
      </c>
      <c r="H1245">
        <v>37980855</v>
      </c>
      <c r="I1245">
        <v>773313</v>
      </c>
      <c r="J1245" t="s">
        <v>17</v>
      </c>
      <c r="K1245" t="s">
        <v>22</v>
      </c>
      <c r="L1245">
        <v>1</v>
      </c>
      <c r="M1245">
        <v>47.58</v>
      </c>
      <c r="N1245">
        <v>353200</v>
      </c>
      <c r="O1245">
        <v>1</v>
      </c>
    </row>
    <row r="1246" spans="1:15">
      <c r="A1246" t="s">
        <v>1272</v>
      </c>
      <c r="B1246" t="s">
        <v>38</v>
      </c>
      <c r="C1246">
        <v>8</v>
      </c>
      <c r="D1246">
        <v>22853823</v>
      </c>
      <c r="E1246">
        <v>2</v>
      </c>
      <c r="F1246">
        <v>29</v>
      </c>
      <c r="G1246">
        <v>460</v>
      </c>
      <c r="H1246">
        <v>94038363</v>
      </c>
      <c r="I1246">
        <v>615773</v>
      </c>
      <c r="J1246" t="s">
        <v>21</v>
      </c>
      <c r="K1246" t="s">
        <v>30</v>
      </c>
      <c r="L1246">
        <v>3</v>
      </c>
      <c r="M1246">
        <v>93.59</v>
      </c>
      <c r="N1246">
        <v>262419</v>
      </c>
      <c r="O1246">
        <v>1</v>
      </c>
    </row>
    <row r="1247" spans="1:15">
      <c r="A1247" t="s">
        <v>1273</v>
      </c>
      <c r="B1247" t="s">
        <v>32</v>
      </c>
      <c r="C1247">
        <v>6</v>
      </c>
      <c r="D1247">
        <v>29058876</v>
      </c>
      <c r="E1247">
        <v>1</v>
      </c>
      <c r="F1247">
        <v>22</v>
      </c>
      <c r="G1247">
        <v>225</v>
      </c>
      <c r="H1247">
        <v>68282353</v>
      </c>
      <c r="I1247">
        <v>203759</v>
      </c>
      <c r="J1247" t="s">
        <v>25</v>
      </c>
      <c r="K1247" t="s">
        <v>18</v>
      </c>
      <c r="L1247">
        <v>8</v>
      </c>
      <c r="M1247">
        <v>85.72</v>
      </c>
      <c r="N1247">
        <v>643355</v>
      </c>
      <c r="O1247">
        <v>1</v>
      </c>
    </row>
    <row r="1248" spans="1:15">
      <c r="A1248" t="s">
        <v>1274</v>
      </c>
      <c r="B1248" t="s">
        <v>20</v>
      </c>
      <c r="C1248">
        <v>2</v>
      </c>
      <c r="D1248">
        <v>46211575</v>
      </c>
      <c r="E1248">
        <v>3</v>
      </c>
      <c r="F1248">
        <v>0</v>
      </c>
      <c r="G1248">
        <v>651</v>
      </c>
      <c r="H1248">
        <v>30553312</v>
      </c>
      <c r="I1248">
        <v>269623</v>
      </c>
      <c r="J1248" t="s">
        <v>21</v>
      </c>
      <c r="K1248" t="s">
        <v>22</v>
      </c>
      <c r="L1248">
        <v>5</v>
      </c>
      <c r="M1248">
        <v>99.65</v>
      </c>
      <c r="N1248">
        <v>745782</v>
      </c>
      <c r="O1248">
        <v>1</v>
      </c>
    </row>
    <row r="1249" spans="1:15">
      <c r="A1249" t="s">
        <v>1275</v>
      </c>
      <c r="B1249" t="s">
        <v>32</v>
      </c>
      <c r="C1249">
        <v>6</v>
      </c>
      <c r="D1249">
        <v>11271604</v>
      </c>
      <c r="E1249">
        <v>2</v>
      </c>
      <c r="F1249">
        <v>23</v>
      </c>
      <c r="G1249">
        <v>159</v>
      </c>
      <c r="H1249">
        <v>28303146</v>
      </c>
      <c r="I1249">
        <v>755657</v>
      </c>
      <c r="J1249" t="s">
        <v>17</v>
      </c>
      <c r="K1249" t="s">
        <v>30</v>
      </c>
      <c r="L1249">
        <v>5</v>
      </c>
      <c r="M1249">
        <v>55.72</v>
      </c>
      <c r="N1249">
        <v>757244</v>
      </c>
      <c r="O1249">
        <v>1</v>
      </c>
    </row>
    <row r="1250" spans="1:15">
      <c r="A1250" t="s">
        <v>1276</v>
      </c>
      <c r="B1250" t="s">
        <v>32</v>
      </c>
      <c r="C1250">
        <v>4</v>
      </c>
      <c r="D1250">
        <v>44277091</v>
      </c>
      <c r="E1250">
        <v>1</v>
      </c>
      <c r="F1250">
        <v>12</v>
      </c>
      <c r="G1250">
        <v>834</v>
      </c>
      <c r="H1250">
        <v>25110283</v>
      </c>
      <c r="I1250">
        <v>775044</v>
      </c>
      <c r="J1250" t="s">
        <v>21</v>
      </c>
      <c r="K1250" t="s">
        <v>22</v>
      </c>
      <c r="L1250">
        <v>4</v>
      </c>
      <c r="M1250">
        <v>91.29</v>
      </c>
      <c r="N1250">
        <v>363142</v>
      </c>
      <c r="O1250">
        <v>1</v>
      </c>
    </row>
    <row r="1251" spans="1:15">
      <c r="A1251" t="s">
        <v>1277</v>
      </c>
      <c r="B1251" t="s">
        <v>32</v>
      </c>
      <c r="C1251">
        <v>13</v>
      </c>
      <c r="D1251">
        <v>18255592</v>
      </c>
      <c r="E1251">
        <v>1</v>
      </c>
      <c r="F1251">
        <v>24</v>
      </c>
      <c r="G1251">
        <v>954</v>
      </c>
      <c r="H1251">
        <v>55541865</v>
      </c>
      <c r="I1251">
        <v>286971</v>
      </c>
      <c r="J1251" t="s">
        <v>21</v>
      </c>
      <c r="K1251" t="s">
        <v>30</v>
      </c>
      <c r="L1251">
        <v>9</v>
      </c>
      <c r="M1251">
        <v>78.069999999999993</v>
      </c>
      <c r="N1251">
        <v>644487</v>
      </c>
      <c r="O1251">
        <v>1</v>
      </c>
    </row>
    <row r="1252" spans="1:15">
      <c r="A1252" t="s">
        <v>1278</v>
      </c>
      <c r="B1252" t="s">
        <v>24</v>
      </c>
      <c r="C1252">
        <v>5</v>
      </c>
      <c r="D1252">
        <v>10559003</v>
      </c>
      <c r="E1252">
        <v>1</v>
      </c>
      <c r="F1252">
        <v>4</v>
      </c>
      <c r="G1252">
        <v>644</v>
      </c>
      <c r="H1252">
        <v>39806059</v>
      </c>
      <c r="I1252">
        <v>838045</v>
      </c>
      <c r="J1252" t="s">
        <v>21</v>
      </c>
      <c r="K1252" t="s">
        <v>30</v>
      </c>
      <c r="L1252">
        <v>1</v>
      </c>
      <c r="M1252">
        <v>94.6</v>
      </c>
      <c r="N1252">
        <v>335682</v>
      </c>
      <c r="O1252">
        <v>1</v>
      </c>
    </row>
    <row r="1253" spans="1:15">
      <c r="A1253" t="s">
        <v>1279</v>
      </c>
      <c r="B1253" t="s">
        <v>16</v>
      </c>
      <c r="C1253">
        <v>10</v>
      </c>
      <c r="D1253">
        <v>2180476</v>
      </c>
      <c r="E1253">
        <v>2</v>
      </c>
      <c r="F1253">
        <v>5</v>
      </c>
      <c r="G1253">
        <v>654</v>
      </c>
      <c r="H1253">
        <v>10387826</v>
      </c>
      <c r="I1253">
        <v>363767</v>
      </c>
      <c r="J1253" t="s">
        <v>21</v>
      </c>
      <c r="K1253" t="s">
        <v>22</v>
      </c>
      <c r="L1253">
        <v>3</v>
      </c>
      <c r="M1253">
        <v>92.23</v>
      </c>
      <c r="N1253">
        <v>813104</v>
      </c>
      <c r="O1253">
        <v>1</v>
      </c>
    </row>
    <row r="1254" spans="1:15">
      <c r="A1254" t="s">
        <v>1280</v>
      </c>
      <c r="B1254" t="s">
        <v>27</v>
      </c>
      <c r="C1254">
        <v>10</v>
      </c>
      <c r="D1254">
        <v>18229901</v>
      </c>
      <c r="E1254">
        <v>3</v>
      </c>
      <c r="F1254">
        <v>21</v>
      </c>
      <c r="G1254">
        <v>19</v>
      </c>
      <c r="H1254">
        <v>77060797</v>
      </c>
      <c r="I1254">
        <v>408705</v>
      </c>
      <c r="J1254" t="s">
        <v>25</v>
      </c>
      <c r="K1254" t="s">
        <v>22</v>
      </c>
      <c r="L1254">
        <v>8</v>
      </c>
      <c r="M1254">
        <v>32.81</v>
      </c>
      <c r="N1254">
        <v>526698</v>
      </c>
      <c r="O1254">
        <v>1</v>
      </c>
    </row>
    <row r="1255" spans="1:15">
      <c r="A1255" t="s">
        <v>1281</v>
      </c>
      <c r="B1255" t="s">
        <v>38</v>
      </c>
      <c r="C1255">
        <v>9</v>
      </c>
      <c r="D1255">
        <v>5982384</v>
      </c>
      <c r="E1255">
        <v>2</v>
      </c>
      <c r="F1255">
        <v>16</v>
      </c>
      <c r="G1255">
        <v>364</v>
      </c>
      <c r="H1255">
        <v>34318847</v>
      </c>
      <c r="I1255">
        <v>773439</v>
      </c>
      <c r="J1255" t="s">
        <v>25</v>
      </c>
      <c r="K1255" t="s">
        <v>22</v>
      </c>
      <c r="L1255">
        <v>4</v>
      </c>
      <c r="M1255">
        <v>49.77</v>
      </c>
      <c r="N1255">
        <v>948458</v>
      </c>
      <c r="O1255">
        <v>1</v>
      </c>
    </row>
    <row r="1256" spans="1:15">
      <c r="A1256" t="s">
        <v>1282</v>
      </c>
      <c r="B1256" t="s">
        <v>27</v>
      </c>
      <c r="C1256">
        <v>1</v>
      </c>
      <c r="D1256">
        <v>23064673</v>
      </c>
      <c r="E1256">
        <v>2</v>
      </c>
      <c r="F1256">
        <v>11</v>
      </c>
      <c r="G1256">
        <v>381</v>
      </c>
      <c r="H1256">
        <v>94917854</v>
      </c>
      <c r="I1256">
        <v>207881</v>
      </c>
      <c r="J1256" t="s">
        <v>21</v>
      </c>
      <c r="K1256" t="s">
        <v>30</v>
      </c>
      <c r="L1256">
        <v>5</v>
      </c>
      <c r="M1256">
        <v>64.2</v>
      </c>
      <c r="N1256">
        <v>626004</v>
      </c>
      <c r="O1256">
        <v>1</v>
      </c>
    </row>
    <row r="1257" spans="1:15">
      <c r="A1257" t="s">
        <v>1283</v>
      </c>
      <c r="B1257" t="s">
        <v>20</v>
      </c>
      <c r="C1257">
        <v>7</v>
      </c>
      <c r="D1257">
        <v>6192989</v>
      </c>
      <c r="E1257">
        <v>2</v>
      </c>
      <c r="F1257">
        <v>14</v>
      </c>
      <c r="G1257">
        <v>111</v>
      </c>
      <c r="H1257">
        <v>31356729</v>
      </c>
      <c r="I1257">
        <v>372559</v>
      </c>
      <c r="J1257" t="s">
        <v>21</v>
      </c>
      <c r="K1257" t="s">
        <v>18</v>
      </c>
      <c r="L1257">
        <v>9</v>
      </c>
      <c r="M1257">
        <v>37.18</v>
      </c>
      <c r="N1257">
        <v>972527</v>
      </c>
      <c r="O1257">
        <v>1</v>
      </c>
    </row>
    <row r="1258" spans="1:15">
      <c r="A1258" t="s">
        <v>1284</v>
      </c>
      <c r="B1258" t="s">
        <v>16</v>
      </c>
      <c r="C1258">
        <v>12</v>
      </c>
      <c r="D1258">
        <v>40975158</v>
      </c>
      <c r="E1258">
        <v>2</v>
      </c>
      <c r="F1258">
        <v>23</v>
      </c>
      <c r="G1258">
        <v>921</v>
      </c>
      <c r="H1258">
        <v>10910641</v>
      </c>
      <c r="I1258">
        <v>65810</v>
      </c>
      <c r="J1258" t="s">
        <v>25</v>
      </c>
      <c r="K1258" t="s">
        <v>18</v>
      </c>
      <c r="L1258">
        <v>2</v>
      </c>
      <c r="M1258">
        <v>71.58</v>
      </c>
      <c r="N1258">
        <v>722570</v>
      </c>
      <c r="O1258">
        <v>1</v>
      </c>
    </row>
    <row r="1259" spans="1:15">
      <c r="A1259" t="s">
        <v>1285</v>
      </c>
      <c r="B1259" t="s">
        <v>29</v>
      </c>
      <c r="C1259">
        <v>10</v>
      </c>
      <c r="D1259">
        <v>13859523</v>
      </c>
      <c r="E1259">
        <v>3</v>
      </c>
      <c r="F1259">
        <v>23</v>
      </c>
      <c r="G1259">
        <v>225</v>
      </c>
      <c r="H1259">
        <v>51794579</v>
      </c>
      <c r="I1259">
        <v>971087</v>
      </c>
      <c r="J1259" t="s">
        <v>17</v>
      </c>
      <c r="K1259" t="s">
        <v>22</v>
      </c>
      <c r="L1259">
        <v>2</v>
      </c>
      <c r="M1259">
        <v>79.16</v>
      </c>
      <c r="N1259">
        <v>217663</v>
      </c>
      <c r="O1259">
        <v>1</v>
      </c>
    </row>
    <row r="1260" spans="1:15">
      <c r="A1260" t="s">
        <v>1286</v>
      </c>
      <c r="B1260" t="s">
        <v>38</v>
      </c>
      <c r="C1260">
        <v>0</v>
      </c>
      <c r="D1260">
        <v>45680160</v>
      </c>
      <c r="E1260">
        <v>2</v>
      </c>
      <c r="F1260">
        <v>13</v>
      </c>
      <c r="G1260">
        <v>977</v>
      </c>
      <c r="H1260">
        <v>1566522</v>
      </c>
      <c r="I1260">
        <v>888774</v>
      </c>
      <c r="J1260" t="s">
        <v>17</v>
      </c>
      <c r="K1260" t="s">
        <v>18</v>
      </c>
      <c r="L1260">
        <v>1</v>
      </c>
      <c r="M1260">
        <v>72.569999999999993</v>
      </c>
      <c r="N1260">
        <v>408243</v>
      </c>
      <c r="O1260">
        <v>1</v>
      </c>
    </row>
    <row r="1261" spans="1:15">
      <c r="A1261" t="s">
        <v>1287</v>
      </c>
      <c r="B1261" t="s">
        <v>38</v>
      </c>
      <c r="C1261">
        <v>1</v>
      </c>
      <c r="D1261">
        <v>44034558</v>
      </c>
      <c r="E1261">
        <v>3</v>
      </c>
      <c r="F1261">
        <v>27</v>
      </c>
      <c r="G1261">
        <v>432</v>
      </c>
      <c r="H1261">
        <v>65329590</v>
      </c>
      <c r="I1261">
        <v>971337</v>
      </c>
      <c r="J1261" t="s">
        <v>21</v>
      </c>
      <c r="K1261" t="s">
        <v>18</v>
      </c>
      <c r="L1261">
        <v>4</v>
      </c>
      <c r="M1261">
        <v>7.56</v>
      </c>
      <c r="N1261">
        <v>897032</v>
      </c>
      <c r="O1261">
        <v>1</v>
      </c>
    </row>
    <row r="1262" spans="1:15">
      <c r="A1262" t="s">
        <v>1288</v>
      </c>
      <c r="B1262" t="s">
        <v>20</v>
      </c>
      <c r="C1262">
        <v>7</v>
      </c>
      <c r="D1262">
        <v>47819174</v>
      </c>
      <c r="E1262">
        <v>4</v>
      </c>
      <c r="F1262">
        <v>11</v>
      </c>
      <c r="G1262">
        <v>643</v>
      </c>
      <c r="H1262">
        <v>47232727</v>
      </c>
      <c r="I1262">
        <v>326111</v>
      </c>
      <c r="J1262" t="s">
        <v>17</v>
      </c>
      <c r="K1262" t="s">
        <v>18</v>
      </c>
      <c r="L1262">
        <v>9</v>
      </c>
      <c r="M1262">
        <v>89.56</v>
      </c>
      <c r="N1262">
        <v>350584</v>
      </c>
      <c r="O1262">
        <v>1</v>
      </c>
    </row>
    <row r="1263" spans="1:15">
      <c r="A1263" t="s">
        <v>1289</v>
      </c>
      <c r="B1263" t="s">
        <v>27</v>
      </c>
      <c r="C1263">
        <v>2</v>
      </c>
      <c r="D1263">
        <v>12233147</v>
      </c>
      <c r="E1263">
        <v>2</v>
      </c>
      <c r="F1263">
        <v>19</v>
      </c>
      <c r="G1263">
        <v>89</v>
      </c>
      <c r="H1263">
        <v>52262714</v>
      </c>
      <c r="I1263">
        <v>441050</v>
      </c>
      <c r="J1263" t="s">
        <v>21</v>
      </c>
      <c r="K1263" t="s">
        <v>22</v>
      </c>
      <c r="L1263">
        <v>2</v>
      </c>
      <c r="M1263">
        <v>76.02</v>
      </c>
      <c r="N1263">
        <v>990862</v>
      </c>
      <c r="O1263">
        <v>1</v>
      </c>
    </row>
    <row r="1264" spans="1:15">
      <c r="A1264" t="s">
        <v>1290</v>
      </c>
      <c r="B1264" t="s">
        <v>38</v>
      </c>
      <c r="C1264">
        <v>13</v>
      </c>
      <c r="D1264">
        <v>16713394</v>
      </c>
      <c r="E1264">
        <v>2</v>
      </c>
      <c r="F1264">
        <v>18</v>
      </c>
      <c r="G1264">
        <v>325</v>
      </c>
      <c r="H1264">
        <v>77931846</v>
      </c>
      <c r="I1264">
        <v>90552</v>
      </c>
      <c r="J1264" t="s">
        <v>21</v>
      </c>
      <c r="K1264" t="s">
        <v>22</v>
      </c>
      <c r="L1264">
        <v>4</v>
      </c>
      <c r="M1264">
        <v>12.75</v>
      </c>
      <c r="N1264">
        <v>221855</v>
      </c>
      <c r="O1264">
        <v>1</v>
      </c>
    </row>
    <row r="1265" spans="1:15">
      <c r="A1265" t="s">
        <v>1291</v>
      </c>
      <c r="B1265" t="s">
        <v>32</v>
      </c>
      <c r="C1265">
        <v>5</v>
      </c>
      <c r="D1265">
        <v>39049029</v>
      </c>
      <c r="E1265">
        <v>2</v>
      </c>
      <c r="F1265">
        <v>9</v>
      </c>
      <c r="G1265">
        <v>750</v>
      </c>
      <c r="H1265">
        <v>31809984</v>
      </c>
      <c r="I1265">
        <v>155873</v>
      </c>
      <c r="J1265" t="s">
        <v>21</v>
      </c>
      <c r="K1265" t="s">
        <v>18</v>
      </c>
      <c r="L1265">
        <v>2</v>
      </c>
      <c r="M1265">
        <v>32.700000000000003</v>
      </c>
      <c r="N1265">
        <v>417387</v>
      </c>
      <c r="O1265">
        <v>1</v>
      </c>
    </row>
    <row r="1266" spans="1:15">
      <c r="A1266" t="s">
        <v>1292</v>
      </c>
      <c r="B1266" t="s">
        <v>38</v>
      </c>
      <c r="C1266">
        <v>3</v>
      </c>
      <c r="D1266">
        <v>31420164</v>
      </c>
      <c r="E1266">
        <v>4</v>
      </c>
      <c r="F1266">
        <v>26</v>
      </c>
      <c r="G1266">
        <v>93</v>
      </c>
      <c r="H1266">
        <v>10849805</v>
      </c>
      <c r="I1266">
        <v>323518</v>
      </c>
      <c r="J1266" t="s">
        <v>21</v>
      </c>
      <c r="K1266" t="s">
        <v>18</v>
      </c>
      <c r="L1266">
        <v>8</v>
      </c>
      <c r="M1266">
        <v>21.45</v>
      </c>
      <c r="N1266">
        <v>930250</v>
      </c>
      <c r="O1266">
        <v>1</v>
      </c>
    </row>
    <row r="1267" spans="1:15">
      <c r="A1267" t="s">
        <v>1293</v>
      </c>
      <c r="B1267" t="s">
        <v>20</v>
      </c>
      <c r="C1267">
        <v>11</v>
      </c>
      <c r="D1267">
        <v>11070786</v>
      </c>
      <c r="E1267">
        <v>3</v>
      </c>
      <c r="F1267">
        <v>19</v>
      </c>
      <c r="G1267">
        <v>178</v>
      </c>
      <c r="H1267">
        <v>59130739</v>
      </c>
      <c r="I1267">
        <v>314986</v>
      </c>
      <c r="J1267" t="s">
        <v>25</v>
      </c>
      <c r="K1267" t="s">
        <v>30</v>
      </c>
      <c r="L1267">
        <v>1</v>
      </c>
      <c r="M1267">
        <v>65.540000000000006</v>
      </c>
      <c r="N1267">
        <v>317519</v>
      </c>
      <c r="O1267">
        <v>1</v>
      </c>
    </row>
    <row r="1268" spans="1:15">
      <c r="A1268" t="s">
        <v>1294</v>
      </c>
      <c r="B1268" t="s">
        <v>16</v>
      </c>
      <c r="C1268">
        <v>3</v>
      </c>
      <c r="D1268">
        <v>23162944</v>
      </c>
      <c r="E1268">
        <v>4</v>
      </c>
      <c r="F1268">
        <v>5</v>
      </c>
      <c r="G1268">
        <v>996</v>
      </c>
      <c r="H1268">
        <v>87118220</v>
      </c>
      <c r="I1268">
        <v>738093</v>
      </c>
      <c r="J1268" t="s">
        <v>17</v>
      </c>
      <c r="K1268" t="s">
        <v>30</v>
      </c>
      <c r="L1268">
        <v>1</v>
      </c>
      <c r="M1268">
        <v>99.86</v>
      </c>
      <c r="N1268">
        <v>98069</v>
      </c>
      <c r="O1268">
        <v>1</v>
      </c>
    </row>
    <row r="1269" spans="1:15">
      <c r="A1269" t="s">
        <v>1295</v>
      </c>
      <c r="B1269" t="s">
        <v>16</v>
      </c>
      <c r="C1269">
        <v>13</v>
      </c>
      <c r="D1269">
        <v>46218290</v>
      </c>
      <c r="E1269">
        <v>1</v>
      </c>
      <c r="F1269">
        <v>22</v>
      </c>
      <c r="G1269">
        <v>129</v>
      </c>
      <c r="H1269">
        <v>65673829</v>
      </c>
      <c r="I1269">
        <v>921004</v>
      </c>
      <c r="J1269" t="s">
        <v>25</v>
      </c>
      <c r="K1269" t="s">
        <v>18</v>
      </c>
      <c r="L1269">
        <v>3</v>
      </c>
      <c r="M1269">
        <v>79.099999999999994</v>
      </c>
      <c r="N1269">
        <v>842011</v>
      </c>
      <c r="O1269">
        <v>1</v>
      </c>
    </row>
    <row r="1270" spans="1:15">
      <c r="A1270" t="s">
        <v>1296</v>
      </c>
      <c r="B1270" t="s">
        <v>27</v>
      </c>
      <c r="C1270">
        <v>10</v>
      </c>
      <c r="D1270">
        <v>42083543</v>
      </c>
      <c r="E1270">
        <v>2</v>
      </c>
      <c r="F1270">
        <v>11</v>
      </c>
      <c r="G1270">
        <v>879</v>
      </c>
      <c r="H1270">
        <v>49453614</v>
      </c>
      <c r="I1270">
        <v>688310</v>
      </c>
      <c r="J1270" t="s">
        <v>21</v>
      </c>
      <c r="K1270" t="s">
        <v>18</v>
      </c>
      <c r="L1270">
        <v>8</v>
      </c>
      <c r="M1270">
        <v>81.849999999999994</v>
      </c>
      <c r="N1270">
        <v>794599</v>
      </c>
      <c r="O1270">
        <v>1</v>
      </c>
    </row>
    <row r="1271" spans="1:15">
      <c r="A1271" t="s">
        <v>1297</v>
      </c>
      <c r="B1271" t="s">
        <v>20</v>
      </c>
      <c r="C1271">
        <v>3</v>
      </c>
      <c r="D1271">
        <v>12535584</v>
      </c>
      <c r="E1271">
        <v>4</v>
      </c>
      <c r="F1271">
        <v>2</v>
      </c>
      <c r="G1271">
        <v>782</v>
      </c>
      <c r="H1271">
        <v>76623325</v>
      </c>
      <c r="I1271">
        <v>601355</v>
      </c>
      <c r="J1271" t="s">
        <v>17</v>
      </c>
      <c r="K1271" t="s">
        <v>22</v>
      </c>
      <c r="L1271">
        <v>4</v>
      </c>
      <c r="M1271">
        <v>22.17</v>
      </c>
      <c r="N1271">
        <v>651488</v>
      </c>
      <c r="O1271">
        <v>1</v>
      </c>
    </row>
    <row r="1272" spans="1:15">
      <c r="A1272" t="s">
        <v>1298</v>
      </c>
      <c r="B1272" t="s">
        <v>32</v>
      </c>
      <c r="C1272">
        <v>4</v>
      </c>
      <c r="D1272">
        <v>19457304</v>
      </c>
      <c r="E1272">
        <v>3</v>
      </c>
      <c r="F1272">
        <v>0</v>
      </c>
      <c r="G1272">
        <v>255</v>
      </c>
      <c r="H1272">
        <v>75763141</v>
      </c>
      <c r="I1272">
        <v>257019</v>
      </c>
      <c r="J1272" t="s">
        <v>17</v>
      </c>
      <c r="K1272" t="s">
        <v>22</v>
      </c>
      <c r="L1272">
        <v>5</v>
      </c>
      <c r="M1272">
        <v>10.130000000000001</v>
      </c>
      <c r="N1272">
        <v>802293</v>
      </c>
      <c r="O1272">
        <v>1</v>
      </c>
    </row>
    <row r="1273" spans="1:15">
      <c r="A1273" t="s">
        <v>1299</v>
      </c>
      <c r="B1273" t="s">
        <v>29</v>
      </c>
      <c r="C1273">
        <v>1</v>
      </c>
      <c r="D1273">
        <v>6597981</v>
      </c>
      <c r="E1273">
        <v>3</v>
      </c>
      <c r="F1273">
        <v>21</v>
      </c>
      <c r="G1273">
        <v>801</v>
      </c>
      <c r="H1273">
        <v>56497087</v>
      </c>
      <c r="I1273">
        <v>739306</v>
      </c>
      <c r="J1273" t="s">
        <v>17</v>
      </c>
      <c r="K1273" t="s">
        <v>30</v>
      </c>
      <c r="L1273">
        <v>3</v>
      </c>
      <c r="M1273">
        <v>54.31</v>
      </c>
      <c r="N1273">
        <v>756558</v>
      </c>
      <c r="O1273">
        <v>1</v>
      </c>
    </row>
    <row r="1274" spans="1:15">
      <c r="A1274" t="s">
        <v>1300</v>
      </c>
      <c r="B1274" t="s">
        <v>27</v>
      </c>
      <c r="C1274">
        <v>3</v>
      </c>
      <c r="D1274">
        <v>44616608</v>
      </c>
      <c r="E1274">
        <v>4</v>
      </c>
      <c r="F1274">
        <v>26</v>
      </c>
      <c r="G1274">
        <v>849</v>
      </c>
      <c r="H1274">
        <v>16175640</v>
      </c>
      <c r="I1274">
        <v>394236</v>
      </c>
      <c r="J1274" t="s">
        <v>25</v>
      </c>
      <c r="K1274" t="s">
        <v>18</v>
      </c>
      <c r="L1274">
        <v>5</v>
      </c>
      <c r="M1274">
        <v>63.61</v>
      </c>
      <c r="N1274">
        <v>753433</v>
      </c>
      <c r="O1274">
        <v>1</v>
      </c>
    </row>
    <row r="1275" spans="1:15">
      <c r="A1275" t="s">
        <v>1301</v>
      </c>
      <c r="B1275" t="s">
        <v>29</v>
      </c>
      <c r="C1275">
        <v>10</v>
      </c>
      <c r="D1275">
        <v>42864141</v>
      </c>
      <c r="E1275">
        <v>4</v>
      </c>
      <c r="F1275">
        <v>21</v>
      </c>
      <c r="G1275">
        <v>997</v>
      </c>
      <c r="H1275">
        <v>96611150</v>
      </c>
      <c r="I1275">
        <v>668337</v>
      </c>
      <c r="J1275" t="s">
        <v>17</v>
      </c>
      <c r="K1275" t="s">
        <v>18</v>
      </c>
      <c r="L1275">
        <v>8</v>
      </c>
      <c r="M1275">
        <v>21.88</v>
      </c>
      <c r="N1275">
        <v>893109</v>
      </c>
      <c r="O1275">
        <v>1</v>
      </c>
    </row>
    <row r="1276" spans="1:15">
      <c r="A1276" t="s">
        <v>1302</v>
      </c>
      <c r="B1276" t="s">
        <v>20</v>
      </c>
      <c r="C1276">
        <v>9</v>
      </c>
      <c r="D1276">
        <v>274923</v>
      </c>
      <c r="E1276">
        <v>3</v>
      </c>
      <c r="F1276">
        <v>25</v>
      </c>
      <c r="G1276">
        <v>971</v>
      </c>
      <c r="H1276">
        <v>52499102</v>
      </c>
      <c r="I1276">
        <v>14574</v>
      </c>
      <c r="J1276" t="s">
        <v>17</v>
      </c>
      <c r="K1276" t="s">
        <v>30</v>
      </c>
      <c r="L1276">
        <v>7</v>
      </c>
      <c r="M1276">
        <v>34.82</v>
      </c>
      <c r="N1276">
        <v>552079</v>
      </c>
      <c r="O1276">
        <v>1</v>
      </c>
    </row>
    <row r="1277" spans="1:15">
      <c r="A1277" t="s">
        <v>1303</v>
      </c>
      <c r="B1277" t="s">
        <v>24</v>
      </c>
      <c r="C1277">
        <v>1</v>
      </c>
      <c r="D1277">
        <v>17145175</v>
      </c>
      <c r="E1277">
        <v>3</v>
      </c>
      <c r="F1277">
        <v>10</v>
      </c>
      <c r="G1277">
        <v>482</v>
      </c>
      <c r="H1277">
        <v>22726501</v>
      </c>
      <c r="I1277">
        <v>816568</v>
      </c>
      <c r="J1277" t="s">
        <v>21</v>
      </c>
      <c r="K1277" t="s">
        <v>30</v>
      </c>
      <c r="L1277">
        <v>9</v>
      </c>
      <c r="M1277">
        <v>99.76</v>
      </c>
      <c r="N1277">
        <v>527215</v>
      </c>
      <c r="O1277">
        <v>1</v>
      </c>
    </row>
    <row r="1278" spans="1:15">
      <c r="A1278" t="s">
        <v>1304</v>
      </c>
      <c r="B1278" t="s">
        <v>20</v>
      </c>
      <c r="C1278">
        <v>8</v>
      </c>
      <c r="D1278">
        <v>13291333</v>
      </c>
      <c r="E1278">
        <v>2</v>
      </c>
      <c r="F1278">
        <v>2</v>
      </c>
      <c r="G1278">
        <v>228</v>
      </c>
      <c r="H1278">
        <v>51774947</v>
      </c>
      <c r="I1278">
        <v>40011</v>
      </c>
      <c r="J1278" t="s">
        <v>17</v>
      </c>
      <c r="K1278" t="s">
        <v>22</v>
      </c>
      <c r="L1278">
        <v>2</v>
      </c>
      <c r="M1278">
        <v>20.97</v>
      </c>
      <c r="N1278">
        <v>56048</v>
      </c>
      <c r="O1278">
        <v>1</v>
      </c>
    </row>
    <row r="1279" spans="1:15">
      <c r="A1279" t="s">
        <v>1305</v>
      </c>
      <c r="B1279" t="s">
        <v>29</v>
      </c>
      <c r="C1279">
        <v>0</v>
      </c>
      <c r="D1279">
        <v>12998595</v>
      </c>
      <c r="E1279">
        <v>4</v>
      </c>
      <c r="F1279">
        <v>28</v>
      </c>
      <c r="G1279">
        <v>997</v>
      </c>
      <c r="H1279">
        <v>83455800</v>
      </c>
      <c r="I1279">
        <v>571761</v>
      </c>
      <c r="J1279" t="s">
        <v>25</v>
      </c>
      <c r="K1279" t="s">
        <v>18</v>
      </c>
      <c r="L1279">
        <v>3</v>
      </c>
      <c r="M1279">
        <v>43.07</v>
      </c>
      <c r="N1279">
        <v>590085</v>
      </c>
      <c r="O1279">
        <v>1</v>
      </c>
    </row>
    <row r="1280" spans="1:15">
      <c r="A1280" t="s">
        <v>1306</v>
      </c>
      <c r="B1280" t="s">
        <v>16</v>
      </c>
      <c r="C1280">
        <v>12</v>
      </c>
      <c r="D1280">
        <v>36001417</v>
      </c>
      <c r="E1280">
        <v>4</v>
      </c>
      <c r="F1280">
        <v>6</v>
      </c>
      <c r="G1280">
        <v>795</v>
      </c>
      <c r="H1280">
        <v>64476711</v>
      </c>
      <c r="I1280">
        <v>839510</v>
      </c>
      <c r="J1280" t="s">
        <v>25</v>
      </c>
      <c r="K1280" t="s">
        <v>18</v>
      </c>
      <c r="L1280">
        <v>1</v>
      </c>
      <c r="M1280">
        <v>77.03</v>
      </c>
      <c r="N1280">
        <v>343322</v>
      </c>
      <c r="O1280">
        <v>1</v>
      </c>
    </row>
    <row r="1281" spans="1:15">
      <c r="A1281" t="s">
        <v>1307</v>
      </c>
      <c r="B1281" t="s">
        <v>29</v>
      </c>
      <c r="C1281">
        <v>8</v>
      </c>
      <c r="D1281">
        <v>29898297</v>
      </c>
      <c r="E1281">
        <v>4</v>
      </c>
      <c r="F1281">
        <v>21</v>
      </c>
      <c r="G1281">
        <v>115</v>
      </c>
      <c r="H1281">
        <v>66278904</v>
      </c>
      <c r="I1281">
        <v>534377</v>
      </c>
      <c r="J1281" t="s">
        <v>21</v>
      </c>
      <c r="K1281" t="s">
        <v>30</v>
      </c>
      <c r="L1281">
        <v>6</v>
      </c>
      <c r="M1281">
        <v>31.71</v>
      </c>
      <c r="N1281">
        <v>74595</v>
      </c>
      <c r="O1281">
        <v>1</v>
      </c>
    </row>
    <row r="1282" spans="1:15">
      <c r="A1282" t="s">
        <v>1308</v>
      </c>
      <c r="B1282" t="s">
        <v>27</v>
      </c>
      <c r="C1282">
        <v>12</v>
      </c>
      <c r="D1282">
        <v>40989916</v>
      </c>
      <c r="E1282">
        <v>4</v>
      </c>
      <c r="F1282">
        <v>14</v>
      </c>
      <c r="G1282">
        <v>803</v>
      </c>
      <c r="H1282">
        <v>9960997</v>
      </c>
      <c r="I1282">
        <v>789480</v>
      </c>
      <c r="J1282" t="s">
        <v>17</v>
      </c>
      <c r="K1282" t="s">
        <v>18</v>
      </c>
      <c r="L1282">
        <v>7</v>
      </c>
      <c r="M1282">
        <v>88.58</v>
      </c>
      <c r="N1282">
        <v>653300</v>
      </c>
      <c r="O1282">
        <v>1</v>
      </c>
    </row>
    <row r="1283" spans="1:15">
      <c r="A1283" t="s">
        <v>1309</v>
      </c>
      <c r="B1283" t="s">
        <v>38</v>
      </c>
      <c r="C1283">
        <v>10</v>
      </c>
      <c r="D1283">
        <v>48229891</v>
      </c>
      <c r="E1283">
        <v>2</v>
      </c>
      <c r="F1283">
        <v>4</v>
      </c>
      <c r="G1283">
        <v>125</v>
      </c>
      <c r="H1283">
        <v>88746827</v>
      </c>
      <c r="I1283">
        <v>796518</v>
      </c>
      <c r="J1283" t="s">
        <v>17</v>
      </c>
      <c r="K1283" t="s">
        <v>30</v>
      </c>
      <c r="L1283">
        <v>7</v>
      </c>
      <c r="M1283">
        <v>65.36</v>
      </c>
      <c r="N1283">
        <v>208566</v>
      </c>
      <c r="O1283">
        <v>1</v>
      </c>
    </row>
    <row r="1284" spans="1:15">
      <c r="A1284" t="s">
        <v>1310</v>
      </c>
      <c r="B1284" t="s">
        <v>24</v>
      </c>
      <c r="C1284">
        <v>11</v>
      </c>
      <c r="D1284">
        <v>45401047</v>
      </c>
      <c r="E1284">
        <v>2</v>
      </c>
      <c r="F1284">
        <v>18</v>
      </c>
      <c r="G1284">
        <v>791</v>
      </c>
      <c r="H1284">
        <v>18407381</v>
      </c>
      <c r="I1284">
        <v>41368</v>
      </c>
      <c r="J1284" t="s">
        <v>21</v>
      </c>
      <c r="K1284" t="s">
        <v>22</v>
      </c>
      <c r="L1284">
        <v>2</v>
      </c>
      <c r="M1284">
        <v>65.3</v>
      </c>
      <c r="N1284">
        <v>993348</v>
      </c>
      <c r="O1284">
        <v>1</v>
      </c>
    </row>
    <row r="1285" spans="1:15">
      <c r="A1285" t="s">
        <v>1311</v>
      </c>
      <c r="B1285" t="s">
        <v>27</v>
      </c>
      <c r="C1285">
        <v>1</v>
      </c>
      <c r="D1285">
        <v>7804113</v>
      </c>
      <c r="E1285">
        <v>2</v>
      </c>
      <c r="F1285">
        <v>26</v>
      </c>
      <c r="G1285">
        <v>87</v>
      </c>
      <c r="H1285">
        <v>85093464</v>
      </c>
      <c r="I1285">
        <v>52388</v>
      </c>
      <c r="J1285" t="s">
        <v>17</v>
      </c>
      <c r="K1285" t="s">
        <v>18</v>
      </c>
      <c r="L1285">
        <v>6</v>
      </c>
      <c r="M1285">
        <v>52.06</v>
      </c>
      <c r="N1285">
        <v>885899</v>
      </c>
      <c r="O1285">
        <v>1</v>
      </c>
    </row>
    <row r="1286" spans="1:15">
      <c r="A1286" t="s">
        <v>1312</v>
      </c>
      <c r="B1286" t="s">
        <v>16</v>
      </c>
      <c r="C1286">
        <v>6</v>
      </c>
      <c r="D1286">
        <v>21318040</v>
      </c>
      <c r="E1286">
        <v>4</v>
      </c>
      <c r="F1286">
        <v>7</v>
      </c>
      <c r="G1286">
        <v>29</v>
      </c>
      <c r="H1286">
        <v>8603054</v>
      </c>
      <c r="I1286">
        <v>248374</v>
      </c>
      <c r="J1286" t="s">
        <v>21</v>
      </c>
      <c r="K1286" t="s">
        <v>18</v>
      </c>
      <c r="L1286">
        <v>9</v>
      </c>
      <c r="M1286">
        <v>93.73</v>
      </c>
      <c r="N1286">
        <v>443030</v>
      </c>
      <c r="O1286">
        <v>1</v>
      </c>
    </row>
    <row r="1287" spans="1:15">
      <c r="A1287" t="s">
        <v>1313</v>
      </c>
      <c r="B1287" t="s">
        <v>16</v>
      </c>
      <c r="C1287">
        <v>10</v>
      </c>
      <c r="D1287">
        <v>41777323</v>
      </c>
      <c r="E1287">
        <v>2</v>
      </c>
      <c r="F1287">
        <v>20</v>
      </c>
      <c r="G1287">
        <v>691</v>
      </c>
      <c r="H1287">
        <v>50409840</v>
      </c>
      <c r="I1287">
        <v>773753</v>
      </c>
      <c r="J1287" t="s">
        <v>25</v>
      </c>
      <c r="K1287" t="s">
        <v>30</v>
      </c>
      <c r="L1287">
        <v>6</v>
      </c>
      <c r="M1287">
        <v>38.520000000000003</v>
      </c>
      <c r="N1287">
        <v>598663</v>
      </c>
      <c r="O1287">
        <v>1</v>
      </c>
    </row>
    <row r="1288" spans="1:15">
      <c r="A1288" t="s">
        <v>1314</v>
      </c>
      <c r="B1288" t="s">
        <v>20</v>
      </c>
      <c r="C1288">
        <v>0</v>
      </c>
      <c r="D1288">
        <v>31036544</v>
      </c>
      <c r="E1288">
        <v>1</v>
      </c>
      <c r="F1288">
        <v>27</v>
      </c>
      <c r="G1288">
        <v>665</v>
      </c>
      <c r="H1288">
        <v>17824589</v>
      </c>
      <c r="I1288">
        <v>39458</v>
      </c>
      <c r="J1288" t="s">
        <v>17</v>
      </c>
      <c r="K1288" t="s">
        <v>30</v>
      </c>
      <c r="L1288">
        <v>3</v>
      </c>
      <c r="M1288">
        <v>22.55</v>
      </c>
      <c r="N1288">
        <v>434706</v>
      </c>
      <c r="O1288">
        <v>1</v>
      </c>
    </row>
    <row r="1289" spans="1:15">
      <c r="A1289" t="s">
        <v>1315</v>
      </c>
      <c r="B1289" t="s">
        <v>27</v>
      </c>
      <c r="C1289">
        <v>0</v>
      </c>
      <c r="D1289">
        <v>34488212</v>
      </c>
      <c r="E1289">
        <v>3</v>
      </c>
      <c r="F1289">
        <v>16</v>
      </c>
      <c r="G1289">
        <v>86</v>
      </c>
      <c r="H1289">
        <v>32203945</v>
      </c>
      <c r="I1289">
        <v>853560</v>
      </c>
      <c r="J1289" t="s">
        <v>21</v>
      </c>
      <c r="K1289" t="s">
        <v>18</v>
      </c>
      <c r="L1289">
        <v>5</v>
      </c>
      <c r="M1289">
        <v>23.88</v>
      </c>
      <c r="N1289">
        <v>798167</v>
      </c>
      <c r="O1289">
        <v>1</v>
      </c>
    </row>
    <row r="1290" spans="1:15">
      <c r="A1290" t="s">
        <v>1316</v>
      </c>
      <c r="B1290" t="s">
        <v>38</v>
      </c>
      <c r="C1290">
        <v>1</v>
      </c>
      <c r="D1290">
        <v>47259033</v>
      </c>
      <c r="E1290">
        <v>3</v>
      </c>
      <c r="F1290">
        <v>15</v>
      </c>
      <c r="G1290">
        <v>504</v>
      </c>
      <c r="H1290">
        <v>10576071</v>
      </c>
      <c r="I1290">
        <v>965186</v>
      </c>
      <c r="J1290" t="s">
        <v>21</v>
      </c>
      <c r="K1290" t="s">
        <v>18</v>
      </c>
      <c r="L1290">
        <v>5</v>
      </c>
      <c r="M1290">
        <v>86.94</v>
      </c>
      <c r="N1290">
        <v>957537</v>
      </c>
      <c r="O1290">
        <v>1</v>
      </c>
    </row>
    <row r="1291" spans="1:15">
      <c r="A1291" t="s">
        <v>1317</v>
      </c>
      <c r="B1291" t="s">
        <v>16</v>
      </c>
      <c r="C1291">
        <v>1</v>
      </c>
      <c r="D1291">
        <v>5675432</v>
      </c>
      <c r="E1291">
        <v>2</v>
      </c>
      <c r="F1291">
        <v>3</v>
      </c>
      <c r="G1291">
        <v>970</v>
      </c>
      <c r="H1291">
        <v>59695623</v>
      </c>
      <c r="I1291">
        <v>771616</v>
      </c>
      <c r="J1291" t="s">
        <v>25</v>
      </c>
      <c r="K1291" t="s">
        <v>30</v>
      </c>
      <c r="L1291">
        <v>2</v>
      </c>
      <c r="M1291">
        <v>59.72</v>
      </c>
      <c r="N1291">
        <v>469730</v>
      </c>
      <c r="O1291">
        <v>1</v>
      </c>
    </row>
    <row r="1292" spans="1:15">
      <c r="A1292" t="s">
        <v>1318</v>
      </c>
      <c r="B1292" t="s">
        <v>32</v>
      </c>
      <c r="C1292">
        <v>14</v>
      </c>
      <c r="D1292">
        <v>37949058</v>
      </c>
      <c r="E1292">
        <v>1</v>
      </c>
      <c r="F1292">
        <v>14</v>
      </c>
      <c r="G1292">
        <v>397</v>
      </c>
      <c r="H1292">
        <v>70579741</v>
      </c>
      <c r="I1292">
        <v>199414</v>
      </c>
      <c r="J1292" t="s">
        <v>21</v>
      </c>
      <c r="K1292" t="s">
        <v>30</v>
      </c>
      <c r="L1292">
        <v>3</v>
      </c>
      <c r="M1292">
        <v>76.44</v>
      </c>
      <c r="N1292">
        <v>520557</v>
      </c>
      <c r="O1292">
        <v>1</v>
      </c>
    </row>
    <row r="1293" spans="1:15">
      <c r="A1293" t="s">
        <v>1319</v>
      </c>
      <c r="B1293" t="s">
        <v>27</v>
      </c>
      <c r="C1293">
        <v>14</v>
      </c>
      <c r="D1293">
        <v>25149263</v>
      </c>
      <c r="E1293">
        <v>2</v>
      </c>
      <c r="F1293">
        <v>14</v>
      </c>
      <c r="G1293">
        <v>853</v>
      </c>
      <c r="H1293">
        <v>67834473</v>
      </c>
      <c r="I1293">
        <v>592201</v>
      </c>
      <c r="J1293" t="s">
        <v>17</v>
      </c>
      <c r="K1293" t="s">
        <v>30</v>
      </c>
      <c r="L1293">
        <v>3</v>
      </c>
      <c r="M1293">
        <v>59.32</v>
      </c>
      <c r="N1293">
        <v>594291</v>
      </c>
      <c r="O1293">
        <v>1</v>
      </c>
    </row>
    <row r="1294" spans="1:15">
      <c r="A1294" t="s">
        <v>1320</v>
      </c>
      <c r="B1294" t="s">
        <v>27</v>
      </c>
      <c r="C1294">
        <v>10</v>
      </c>
      <c r="D1294">
        <v>46389737</v>
      </c>
      <c r="E1294">
        <v>3</v>
      </c>
      <c r="F1294">
        <v>27</v>
      </c>
      <c r="G1294">
        <v>676</v>
      </c>
      <c r="H1294">
        <v>89692020</v>
      </c>
      <c r="I1294">
        <v>5872</v>
      </c>
      <c r="J1294" t="s">
        <v>25</v>
      </c>
      <c r="K1294" t="s">
        <v>22</v>
      </c>
      <c r="L1294">
        <v>8</v>
      </c>
      <c r="M1294">
        <v>88.27</v>
      </c>
      <c r="N1294">
        <v>956790</v>
      </c>
      <c r="O1294">
        <v>1</v>
      </c>
    </row>
    <row r="1295" spans="1:15">
      <c r="A1295" t="s">
        <v>1321</v>
      </c>
      <c r="B1295" t="s">
        <v>32</v>
      </c>
      <c r="C1295">
        <v>11</v>
      </c>
      <c r="D1295">
        <v>12393998</v>
      </c>
      <c r="E1295">
        <v>3</v>
      </c>
      <c r="F1295">
        <v>7</v>
      </c>
      <c r="G1295">
        <v>560</v>
      </c>
      <c r="H1295">
        <v>14671843</v>
      </c>
      <c r="I1295">
        <v>344066</v>
      </c>
      <c r="J1295" t="s">
        <v>21</v>
      </c>
      <c r="K1295" t="s">
        <v>30</v>
      </c>
      <c r="L1295">
        <v>9</v>
      </c>
      <c r="M1295">
        <v>94.46</v>
      </c>
      <c r="N1295">
        <v>785143</v>
      </c>
      <c r="O1295">
        <v>1</v>
      </c>
    </row>
    <row r="1296" spans="1:15">
      <c r="A1296" t="s">
        <v>1322</v>
      </c>
      <c r="B1296" t="s">
        <v>38</v>
      </c>
      <c r="C1296">
        <v>12</v>
      </c>
      <c r="D1296">
        <v>24879044</v>
      </c>
      <c r="E1296">
        <v>1</v>
      </c>
      <c r="F1296">
        <v>12</v>
      </c>
      <c r="G1296">
        <v>531</v>
      </c>
      <c r="H1296">
        <v>622652</v>
      </c>
      <c r="I1296">
        <v>617859</v>
      </c>
      <c r="J1296" t="s">
        <v>17</v>
      </c>
      <c r="K1296" t="s">
        <v>22</v>
      </c>
      <c r="L1296">
        <v>7</v>
      </c>
      <c r="M1296">
        <v>25.84</v>
      </c>
      <c r="N1296">
        <v>879164</v>
      </c>
      <c r="O1296">
        <v>1</v>
      </c>
    </row>
    <row r="1297" spans="1:15">
      <c r="A1297" t="s">
        <v>1323</v>
      </c>
      <c r="B1297" t="s">
        <v>20</v>
      </c>
      <c r="C1297">
        <v>4</v>
      </c>
      <c r="D1297">
        <v>2969141</v>
      </c>
      <c r="E1297">
        <v>4</v>
      </c>
      <c r="F1297">
        <v>20</v>
      </c>
      <c r="G1297">
        <v>377</v>
      </c>
      <c r="H1297">
        <v>5383612</v>
      </c>
      <c r="I1297">
        <v>962722</v>
      </c>
      <c r="J1297" t="s">
        <v>17</v>
      </c>
      <c r="K1297" t="s">
        <v>30</v>
      </c>
      <c r="L1297">
        <v>7</v>
      </c>
      <c r="M1297">
        <v>44.77</v>
      </c>
      <c r="N1297">
        <v>388211</v>
      </c>
      <c r="O1297">
        <v>1</v>
      </c>
    </row>
    <row r="1298" spans="1:15">
      <c r="A1298" t="s">
        <v>1324</v>
      </c>
      <c r="B1298" t="s">
        <v>20</v>
      </c>
      <c r="C1298">
        <v>11</v>
      </c>
      <c r="D1298">
        <v>33297200</v>
      </c>
      <c r="E1298">
        <v>1</v>
      </c>
      <c r="F1298">
        <v>7</v>
      </c>
      <c r="G1298">
        <v>97</v>
      </c>
      <c r="H1298">
        <v>25210147</v>
      </c>
      <c r="I1298">
        <v>887289</v>
      </c>
      <c r="J1298" t="s">
        <v>25</v>
      </c>
      <c r="K1298" t="s">
        <v>18</v>
      </c>
      <c r="L1298">
        <v>3</v>
      </c>
      <c r="M1298">
        <v>12.26</v>
      </c>
      <c r="N1298">
        <v>291336</v>
      </c>
      <c r="O1298">
        <v>1</v>
      </c>
    </row>
    <row r="1299" spans="1:15">
      <c r="A1299" t="s">
        <v>1325</v>
      </c>
      <c r="B1299" t="s">
        <v>29</v>
      </c>
      <c r="C1299">
        <v>4</v>
      </c>
      <c r="D1299">
        <v>49314240</v>
      </c>
      <c r="E1299">
        <v>4</v>
      </c>
      <c r="F1299">
        <v>20</v>
      </c>
      <c r="G1299">
        <v>387</v>
      </c>
      <c r="H1299">
        <v>33668867</v>
      </c>
      <c r="I1299">
        <v>72786</v>
      </c>
      <c r="J1299" t="s">
        <v>17</v>
      </c>
      <c r="K1299" t="s">
        <v>30</v>
      </c>
      <c r="L1299">
        <v>1</v>
      </c>
      <c r="M1299">
        <v>66.09</v>
      </c>
      <c r="N1299">
        <v>657657</v>
      </c>
      <c r="O1299">
        <v>1</v>
      </c>
    </row>
    <row r="1300" spans="1:15">
      <c r="A1300" t="s">
        <v>1326</v>
      </c>
      <c r="B1300" t="s">
        <v>16</v>
      </c>
      <c r="C1300">
        <v>11</v>
      </c>
      <c r="D1300">
        <v>1708621</v>
      </c>
      <c r="E1300">
        <v>3</v>
      </c>
      <c r="F1300">
        <v>0</v>
      </c>
      <c r="G1300">
        <v>968</v>
      </c>
      <c r="H1300">
        <v>481238</v>
      </c>
      <c r="I1300">
        <v>842682</v>
      </c>
      <c r="J1300" t="s">
        <v>17</v>
      </c>
      <c r="K1300" t="s">
        <v>22</v>
      </c>
      <c r="L1300">
        <v>4</v>
      </c>
      <c r="M1300">
        <v>40.340000000000003</v>
      </c>
      <c r="N1300">
        <v>361112</v>
      </c>
      <c r="O1300">
        <v>1</v>
      </c>
    </row>
    <row r="1301" spans="1:15">
      <c r="A1301" t="s">
        <v>1327</v>
      </c>
      <c r="B1301" t="s">
        <v>20</v>
      </c>
      <c r="C1301">
        <v>8</v>
      </c>
      <c r="D1301">
        <v>44466891</v>
      </c>
      <c r="E1301">
        <v>1</v>
      </c>
      <c r="F1301">
        <v>27</v>
      </c>
      <c r="G1301">
        <v>816</v>
      </c>
      <c r="H1301">
        <v>35839862</v>
      </c>
      <c r="I1301">
        <v>8599</v>
      </c>
      <c r="J1301" t="s">
        <v>25</v>
      </c>
      <c r="K1301" t="s">
        <v>30</v>
      </c>
      <c r="L1301">
        <v>4</v>
      </c>
      <c r="M1301">
        <v>99.26</v>
      </c>
      <c r="N1301">
        <v>799962</v>
      </c>
      <c r="O1301">
        <v>1</v>
      </c>
    </row>
    <row r="1302" spans="1:15">
      <c r="A1302" t="s">
        <v>1328</v>
      </c>
      <c r="B1302" t="s">
        <v>32</v>
      </c>
      <c r="C1302">
        <v>7</v>
      </c>
      <c r="D1302">
        <v>7214948</v>
      </c>
      <c r="E1302">
        <v>4</v>
      </c>
      <c r="F1302">
        <v>14</v>
      </c>
      <c r="G1302">
        <v>405</v>
      </c>
      <c r="H1302">
        <v>22835540</v>
      </c>
      <c r="I1302">
        <v>197236</v>
      </c>
      <c r="J1302" t="s">
        <v>21</v>
      </c>
      <c r="K1302" t="s">
        <v>22</v>
      </c>
      <c r="L1302">
        <v>6</v>
      </c>
      <c r="M1302">
        <v>74.260000000000005</v>
      </c>
      <c r="N1302">
        <v>315057</v>
      </c>
      <c r="O1302">
        <v>1</v>
      </c>
    </row>
    <row r="1303" spans="1:15">
      <c r="A1303" t="s">
        <v>1329</v>
      </c>
      <c r="B1303" t="s">
        <v>38</v>
      </c>
      <c r="C1303">
        <v>13</v>
      </c>
      <c r="D1303">
        <v>42835133</v>
      </c>
      <c r="E1303">
        <v>4</v>
      </c>
      <c r="F1303">
        <v>23</v>
      </c>
      <c r="G1303">
        <v>513</v>
      </c>
      <c r="H1303">
        <v>46822146</v>
      </c>
      <c r="I1303">
        <v>902216</v>
      </c>
      <c r="J1303" t="s">
        <v>17</v>
      </c>
      <c r="K1303" t="s">
        <v>22</v>
      </c>
      <c r="L1303">
        <v>1</v>
      </c>
      <c r="M1303">
        <v>24.79</v>
      </c>
      <c r="N1303">
        <v>263845</v>
      </c>
      <c r="O1303">
        <v>1</v>
      </c>
    </row>
    <row r="1304" spans="1:15">
      <c r="A1304" t="s">
        <v>1330</v>
      </c>
      <c r="B1304" t="s">
        <v>27</v>
      </c>
      <c r="C1304">
        <v>2</v>
      </c>
      <c r="D1304">
        <v>32214447</v>
      </c>
      <c r="E1304">
        <v>4</v>
      </c>
      <c r="F1304">
        <v>16</v>
      </c>
      <c r="G1304">
        <v>170</v>
      </c>
      <c r="H1304">
        <v>54889185</v>
      </c>
      <c r="I1304">
        <v>805362</v>
      </c>
      <c r="J1304" t="s">
        <v>25</v>
      </c>
      <c r="K1304" t="s">
        <v>30</v>
      </c>
      <c r="L1304">
        <v>8</v>
      </c>
      <c r="M1304">
        <v>85.79</v>
      </c>
      <c r="N1304">
        <v>943100</v>
      </c>
      <c r="O1304">
        <v>1</v>
      </c>
    </row>
    <row r="1305" spans="1:15">
      <c r="A1305" t="s">
        <v>1331</v>
      </c>
      <c r="B1305" t="s">
        <v>32</v>
      </c>
      <c r="C1305">
        <v>6</v>
      </c>
      <c r="D1305">
        <v>38291514</v>
      </c>
      <c r="E1305">
        <v>4</v>
      </c>
      <c r="F1305">
        <v>25</v>
      </c>
      <c r="G1305">
        <v>339</v>
      </c>
      <c r="H1305">
        <v>80659009</v>
      </c>
      <c r="I1305">
        <v>73030</v>
      </c>
      <c r="J1305" t="s">
        <v>25</v>
      </c>
      <c r="K1305" t="s">
        <v>22</v>
      </c>
      <c r="L1305">
        <v>4</v>
      </c>
      <c r="M1305">
        <v>17.850000000000001</v>
      </c>
      <c r="N1305">
        <v>282280</v>
      </c>
      <c r="O1305">
        <v>1</v>
      </c>
    </row>
    <row r="1306" spans="1:15">
      <c r="A1306" t="s">
        <v>1332</v>
      </c>
      <c r="B1306" t="s">
        <v>38</v>
      </c>
      <c r="C1306">
        <v>6</v>
      </c>
      <c r="D1306">
        <v>27217492</v>
      </c>
      <c r="E1306">
        <v>3</v>
      </c>
      <c r="F1306">
        <v>23</v>
      </c>
      <c r="G1306">
        <v>522</v>
      </c>
      <c r="H1306">
        <v>67353570</v>
      </c>
      <c r="I1306">
        <v>542591</v>
      </c>
      <c r="J1306" t="s">
        <v>25</v>
      </c>
      <c r="K1306" t="s">
        <v>22</v>
      </c>
      <c r="L1306">
        <v>4</v>
      </c>
      <c r="M1306">
        <v>48.57</v>
      </c>
      <c r="N1306">
        <v>7245</v>
      </c>
      <c r="O1306">
        <v>1</v>
      </c>
    </row>
    <row r="1307" spans="1:15">
      <c r="A1307" t="s">
        <v>1333</v>
      </c>
      <c r="B1307" t="s">
        <v>27</v>
      </c>
      <c r="C1307">
        <v>2</v>
      </c>
      <c r="D1307">
        <v>43766144</v>
      </c>
      <c r="E1307">
        <v>4</v>
      </c>
      <c r="F1307">
        <v>6</v>
      </c>
      <c r="G1307">
        <v>475</v>
      </c>
      <c r="H1307">
        <v>67778410</v>
      </c>
      <c r="I1307">
        <v>402683</v>
      </c>
      <c r="J1307" t="s">
        <v>25</v>
      </c>
      <c r="K1307" t="s">
        <v>18</v>
      </c>
      <c r="L1307">
        <v>9</v>
      </c>
      <c r="M1307">
        <v>63.85</v>
      </c>
      <c r="N1307">
        <v>156195</v>
      </c>
      <c r="O1307">
        <v>1</v>
      </c>
    </row>
    <row r="1308" spans="1:15">
      <c r="A1308" t="s">
        <v>1334</v>
      </c>
      <c r="B1308" t="s">
        <v>32</v>
      </c>
      <c r="C1308">
        <v>12</v>
      </c>
      <c r="D1308">
        <v>3466808</v>
      </c>
      <c r="E1308">
        <v>1</v>
      </c>
      <c r="F1308">
        <v>24</v>
      </c>
      <c r="G1308">
        <v>394</v>
      </c>
      <c r="H1308">
        <v>86076237</v>
      </c>
      <c r="I1308">
        <v>290436</v>
      </c>
      <c r="J1308" t="s">
        <v>25</v>
      </c>
      <c r="K1308" t="s">
        <v>30</v>
      </c>
      <c r="L1308">
        <v>4</v>
      </c>
      <c r="M1308">
        <v>57.94</v>
      </c>
      <c r="N1308">
        <v>154321</v>
      </c>
      <c r="O1308">
        <v>1</v>
      </c>
    </row>
    <row r="1309" spans="1:15">
      <c r="A1309" t="s">
        <v>1335</v>
      </c>
      <c r="B1309" t="s">
        <v>20</v>
      </c>
      <c r="C1309">
        <v>3</v>
      </c>
      <c r="D1309">
        <v>16160328</v>
      </c>
      <c r="E1309">
        <v>4</v>
      </c>
      <c r="F1309">
        <v>26</v>
      </c>
      <c r="G1309">
        <v>710</v>
      </c>
      <c r="H1309">
        <v>98503990</v>
      </c>
      <c r="I1309">
        <v>13890</v>
      </c>
      <c r="J1309" t="s">
        <v>25</v>
      </c>
      <c r="K1309" t="s">
        <v>30</v>
      </c>
      <c r="L1309">
        <v>6</v>
      </c>
      <c r="M1309">
        <v>89.15</v>
      </c>
      <c r="N1309">
        <v>541813</v>
      </c>
      <c r="O1309">
        <v>1</v>
      </c>
    </row>
    <row r="1310" spans="1:15">
      <c r="A1310" t="s">
        <v>1336</v>
      </c>
      <c r="B1310" t="s">
        <v>32</v>
      </c>
      <c r="C1310">
        <v>6</v>
      </c>
      <c r="D1310">
        <v>1312848</v>
      </c>
      <c r="E1310">
        <v>4</v>
      </c>
      <c r="F1310">
        <v>10</v>
      </c>
      <c r="G1310">
        <v>505</v>
      </c>
      <c r="H1310">
        <v>59767795</v>
      </c>
      <c r="I1310">
        <v>912094</v>
      </c>
      <c r="J1310" t="s">
        <v>21</v>
      </c>
      <c r="K1310" t="s">
        <v>18</v>
      </c>
      <c r="L1310">
        <v>1</v>
      </c>
      <c r="M1310">
        <v>52.56</v>
      </c>
      <c r="N1310">
        <v>566956</v>
      </c>
      <c r="O1310">
        <v>1</v>
      </c>
    </row>
    <row r="1311" spans="1:15">
      <c r="A1311" t="s">
        <v>1337</v>
      </c>
      <c r="B1311" t="s">
        <v>32</v>
      </c>
      <c r="C1311">
        <v>7</v>
      </c>
      <c r="D1311">
        <v>24761821</v>
      </c>
      <c r="E1311">
        <v>2</v>
      </c>
      <c r="F1311">
        <v>6</v>
      </c>
      <c r="G1311">
        <v>708</v>
      </c>
      <c r="H1311">
        <v>97617774</v>
      </c>
      <c r="I1311">
        <v>549806</v>
      </c>
      <c r="J1311" t="s">
        <v>17</v>
      </c>
      <c r="K1311" t="s">
        <v>30</v>
      </c>
      <c r="L1311">
        <v>2</v>
      </c>
      <c r="M1311">
        <v>83.54</v>
      </c>
      <c r="N1311">
        <v>642326</v>
      </c>
      <c r="O1311">
        <v>1</v>
      </c>
    </row>
    <row r="1312" spans="1:15">
      <c r="A1312" t="s">
        <v>1338</v>
      </c>
      <c r="B1312" t="s">
        <v>16</v>
      </c>
      <c r="C1312">
        <v>5</v>
      </c>
      <c r="D1312">
        <v>46480945</v>
      </c>
      <c r="E1312">
        <v>4</v>
      </c>
      <c r="F1312">
        <v>4</v>
      </c>
      <c r="G1312">
        <v>688</v>
      </c>
      <c r="H1312">
        <v>86227322</v>
      </c>
      <c r="I1312">
        <v>989099</v>
      </c>
      <c r="J1312" t="s">
        <v>17</v>
      </c>
      <c r="K1312" t="s">
        <v>30</v>
      </c>
      <c r="L1312">
        <v>4</v>
      </c>
      <c r="M1312">
        <v>19.47</v>
      </c>
      <c r="N1312">
        <v>902015</v>
      </c>
      <c r="O1312">
        <v>1</v>
      </c>
    </row>
    <row r="1313" spans="1:15">
      <c r="A1313" t="s">
        <v>1339</v>
      </c>
      <c r="B1313" t="s">
        <v>27</v>
      </c>
      <c r="C1313">
        <v>2</v>
      </c>
      <c r="D1313">
        <v>23725770</v>
      </c>
      <c r="E1313">
        <v>1</v>
      </c>
      <c r="F1313">
        <v>26</v>
      </c>
      <c r="G1313">
        <v>933</v>
      </c>
      <c r="H1313">
        <v>34184100</v>
      </c>
      <c r="I1313">
        <v>948159</v>
      </c>
      <c r="J1313" t="s">
        <v>21</v>
      </c>
      <c r="K1313" t="s">
        <v>22</v>
      </c>
      <c r="L1313">
        <v>3</v>
      </c>
      <c r="M1313">
        <v>60.46</v>
      </c>
      <c r="N1313">
        <v>875672</v>
      </c>
      <c r="O1313">
        <v>1</v>
      </c>
    </row>
    <row r="1314" spans="1:15">
      <c r="A1314" t="s">
        <v>1340</v>
      </c>
      <c r="B1314" t="s">
        <v>29</v>
      </c>
      <c r="C1314">
        <v>11</v>
      </c>
      <c r="D1314">
        <v>23612074</v>
      </c>
      <c r="E1314">
        <v>4</v>
      </c>
      <c r="F1314">
        <v>25</v>
      </c>
      <c r="G1314">
        <v>382</v>
      </c>
      <c r="H1314">
        <v>1307731</v>
      </c>
      <c r="I1314">
        <v>112175</v>
      </c>
      <c r="J1314" t="s">
        <v>21</v>
      </c>
      <c r="K1314" t="s">
        <v>18</v>
      </c>
      <c r="L1314">
        <v>3</v>
      </c>
      <c r="M1314">
        <v>31.6</v>
      </c>
      <c r="N1314">
        <v>427813</v>
      </c>
      <c r="O1314">
        <v>1</v>
      </c>
    </row>
    <row r="1315" spans="1:15">
      <c r="A1315" t="s">
        <v>1341</v>
      </c>
      <c r="B1315" t="s">
        <v>16</v>
      </c>
      <c r="C1315">
        <v>1</v>
      </c>
      <c r="D1315">
        <v>18839214</v>
      </c>
      <c r="E1315">
        <v>4</v>
      </c>
      <c r="F1315">
        <v>2</v>
      </c>
      <c r="G1315">
        <v>182</v>
      </c>
      <c r="H1315">
        <v>94147165</v>
      </c>
      <c r="I1315">
        <v>68755</v>
      </c>
      <c r="J1315" t="s">
        <v>25</v>
      </c>
      <c r="K1315" t="s">
        <v>18</v>
      </c>
      <c r="L1315">
        <v>9</v>
      </c>
      <c r="M1315">
        <v>54.37</v>
      </c>
      <c r="N1315">
        <v>846000</v>
      </c>
      <c r="O1315">
        <v>1</v>
      </c>
    </row>
    <row r="1316" spans="1:15">
      <c r="A1316" t="s">
        <v>1342</v>
      </c>
      <c r="B1316" t="s">
        <v>29</v>
      </c>
      <c r="C1316">
        <v>0</v>
      </c>
      <c r="D1316">
        <v>13230617</v>
      </c>
      <c r="E1316">
        <v>1</v>
      </c>
      <c r="F1316">
        <v>0</v>
      </c>
      <c r="G1316">
        <v>239</v>
      </c>
      <c r="H1316">
        <v>69567976</v>
      </c>
      <c r="I1316">
        <v>259599</v>
      </c>
      <c r="J1316" t="s">
        <v>17</v>
      </c>
      <c r="K1316" t="s">
        <v>22</v>
      </c>
      <c r="L1316">
        <v>6</v>
      </c>
      <c r="M1316">
        <v>82.04</v>
      </c>
      <c r="N1316">
        <v>295072</v>
      </c>
      <c r="O1316">
        <v>1</v>
      </c>
    </row>
    <row r="1317" spans="1:15">
      <c r="A1317" t="s">
        <v>1343</v>
      </c>
      <c r="B1317" t="s">
        <v>29</v>
      </c>
      <c r="C1317">
        <v>1</v>
      </c>
      <c r="D1317">
        <v>16995521</v>
      </c>
      <c r="E1317">
        <v>4</v>
      </c>
      <c r="F1317">
        <v>12</v>
      </c>
      <c r="G1317">
        <v>251</v>
      </c>
      <c r="H1317">
        <v>80496738</v>
      </c>
      <c r="I1317">
        <v>669961</v>
      </c>
      <c r="J1317" t="s">
        <v>21</v>
      </c>
      <c r="K1317" t="s">
        <v>22</v>
      </c>
      <c r="L1317">
        <v>7</v>
      </c>
      <c r="M1317">
        <v>91.24</v>
      </c>
      <c r="N1317">
        <v>767948</v>
      </c>
      <c r="O1317">
        <v>1</v>
      </c>
    </row>
    <row r="1318" spans="1:15">
      <c r="A1318" t="s">
        <v>1344</v>
      </c>
      <c r="B1318" t="s">
        <v>27</v>
      </c>
      <c r="C1318">
        <v>9</v>
      </c>
      <c r="D1318">
        <v>1699490</v>
      </c>
      <c r="E1318">
        <v>1</v>
      </c>
      <c r="F1318">
        <v>6</v>
      </c>
      <c r="G1318">
        <v>297</v>
      </c>
      <c r="H1318">
        <v>64331308</v>
      </c>
      <c r="I1318">
        <v>213023</v>
      </c>
      <c r="J1318" t="s">
        <v>17</v>
      </c>
      <c r="K1318" t="s">
        <v>30</v>
      </c>
      <c r="L1318">
        <v>4</v>
      </c>
      <c r="M1318">
        <v>86.8</v>
      </c>
      <c r="N1318">
        <v>66835</v>
      </c>
      <c r="O1318">
        <v>1</v>
      </c>
    </row>
    <row r="1319" spans="1:15">
      <c r="A1319" t="s">
        <v>1345</v>
      </c>
      <c r="B1319" t="s">
        <v>16</v>
      </c>
      <c r="C1319">
        <v>3</v>
      </c>
      <c r="D1319">
        <v>47410603</v>
      </c>
      <c r="E1319">
        <v>2</v>
      </c>
      <c r="F1319">
        <v>5</v>
      </c>
      <c r="G1319">
        <v>368</v>
      </c>
      <c r="H1319">
        <v>60124710</v>
      </c>
      <c r="I1319">
        <v>893701</v>
      </c>
      <c r="J1319" t="s">
        <v>17</v>
      </c>
      <c r="K1319" t="s">
        <v>30</v>
      </c>
      <c r="L1319">
        <v>7</v>
      </c>
      <c r="M1319">
        <v>16.12</v>
      </c>
      <c r="N1319">
        <v>825822</v>
      </c>
      <c r="O1319">
        <v>1</v>
      </c>
    </row>
    <row r="1320" spans="1:15">
      <c r="A1320" t="s">
        <v>1346</v>
      </c>
      <c r="B1320" t="s">
        <v>24</v>
      </c>
      <c r="C1320">
        <v>11</v>
      </c>
      <c r="D1320">
        <v>16766326</v>
      </c>
      <c r="E1320">
        <v>3</v>
      </c>
      <c r="F1320">
        <v>3</v>
      </c>
      <c r="G1320">
        <v>241</v>
      </c>
      <c r="H1320">
        <v>96241288</v>
      </c>
      <c r="I1320">
        <v>296308</v>
      </c>
      <c r="J1320" t="s">
        <v>17</v>
      </c>
      <c r="K1320" t="s">
        <v>18</v>
      </c>
      <c r="L1320">
        <v>2</v>
      </c>
      <c r="M1320">
        <v>46.03</v>
      </c>
      <c r="N1320">
        <v>453802</v>
      </c>
      <c r="O1320">
        <v>1</v>
      </c>
    </row>
    <row r="1321" spans="1:15">
      <c r="A1321" t="s">
        <v>1347</v>
      </c>
      <c r="B1321" t="s">
        <v>16</v>
      </c>
      <c r="C1321">
        <v>11</v>
      </c>
      <c r="D1321">
        <v>12532321</v>
      </c>
      <c r="E1321">
        <v>4</v>
      </c>
      <c r="F1321">
        <v>27</v>
      </c>
      <c r="G1321">
        <v>511</v>
      </c>
      <c r="H1321">
        <v>34980533</v>
      </c>
      <c r="I1321">
        <v>862941</v>
      </c>
      <c r="J1321" t="s">
        <v>25</v>
      </c>
      <c r="K1321" t="s">
        <v>30</v>
      </c>
      <c r="L1321">
        <v>4</v>
      </c>
      <c r="M1321">
        <v>79.72</v>
      </c>
      <c r="N1321">
        <v>925365</v>
      </c>
      <c r="O1321">
        <v>1</v>
      </c>
    </row>
    <row r="1322" spans="1:15">
      <c r="A1322" t="s">
        <v>1348</v>
      </c>
      <c r="B1322" t="s">
        <v>27</v>
      </c>
      <c r="C1322">
        <v>12</v>
      </c>
      <c r="D1322">
        <v>5190351</v>
      </c>
      <c r="E1322">
        <v>3</v>
      </c>
      <c r="F1322">
        <v>23</v>
      </c>
      <c r="G1322">
        <v>806</v>
      </c>
      <c r="H1322">
        <v>7109305</v>
      </c>
      <c r="I1322">
        <v>76106</v>
      </c>
      <c r="J1322" t="s">
        <v>25</v>
      </c>
      <c r="K1322" t="s">
        <v>22</v>
      </c>
      <c r="L1322">
        <v>2</v>
      </c>
      <c r="M1322">
        <v>61.32</v>
      </c>
      <c r="N1322">
        <v>985249</v>
      </c>
      <c r="O1322">
        <v>1</v>
      </c>
    </row>
    <row r="1323" spans="1:15">
      <c r="A1323" t="s">
        <v>1349</v>
      </c>
      <c r="B1323" t="s">
        <v>32</v>
      </c>
      <c r="C1323">
        <v>8</v>
      </c>
      <c r="D1323">
        <v>36692529</v>
      </c>
      <c r="E1323">
        <v>1</v>
      </c>
      <c r="F1323">
        <v>3</v>
      </c>
      <c r="G1323">
        <v>988</v>
      </c>
      <c r="H1323">
        <v>93970180</v>
      </c>
      <c r="I1323">
        <v>928721</v>
      </c>
      <c r="J1323" t="s">
        <v>25</v>
      </c>
      <c r="K1323" t="s">
        <v>30</v>
      </c>
      <c r="L1323">
        <v>2</v>
      </c>
      <c r="M1323">
        <v>42.05</v>
      </c>
      <c r="N1323">
        <v>65468</v>
      </c>
      <c r="O1323">
        <v>1</v>
      </c>
    </row>
    <row r="1324" spans="1:15">
      <c r="A1324" t="s">
        <v>1350</v>
      </c>
      <c r="B1324" t="s">
        <v>29</v>
      </c>
      <c r="C1324">
        <v>3</v>
      </c>
      <c r="D1324">
        <v>47277359</v>
      </c>
      <c r="E1324">
        <v>1</v>
      </c>
      <c r="F1324">
        <v>23</v>
      </c>
      <c r="G1324">
        <v>54</v>
      </c>
      <c r="H1324">
        <v>66162706</v>
      </c>
      <c r="I1324">
        <v>293373</v>
      </c>
      <c r="J1324" t="s">
        <v>17</v>
      </c>
      <c r="K1324" t="s">
        <v>22</v>
      </c>
      <c r="L1324">
        <v>3</v>
      </c>
      <c r="M1324">
        <v>24.77</v>
      </c>
      <c r="N1324">
        <v>341859</v>
      </c>
      <c r="O1324">
        <v>1</v>
      </c>
    </row>
    <row r="1325" spans="1:15">
      <c r="A1325" t="s">
        <v>1351</v>
      </c>
      <c r="B1325" t="s">
        <v>27</v>
      </c>
      <c r="C1325">
        <v>5</v>
      </c>
      <c r="D1325">
        <v>49447635</v>
      </c>
      <c r="E1325">
        <v>2</v>
      </c>
      <c r="F1325">
        <v>4</v>
      </c>
      <c r="G1325">
        <v>807</v>
      </c>
      <c r="H1325">
        <v>31968724</v>
      </c>
      <c r="I1325">
        <v>218843</v>
      </c>
      <c r="J1325" t="s">
        <v>21</v>
      </c>
      <c r="K1325" t="s">
        <v>18</v>
      </c>
      <c r="L1325">
        <v>4</v>
      </c>
      <c r="M1325">
        <v>67.180000000000007</v>
      </c>
      <c r="N1325">
        <v>868776</v>
      </c>
      <c r="O1325">
        <v>1</v>
      </c>
    </row>
    <row r="1326" spans="1:15">
      <c r="A1326" t="s">
        <v>1352</v>
      </c>
      <c r="B1326" t="s">
        <v>38</v>
      </c>
      <c r="C1326">
        <v>14</v>
      </c>
      <c r="D1326">
        <v>47039992</v>
      </c>
      <c r="E1326">
        <v>1</v>
      </c>
      <c r="F1326">
        <v>11</v>
      </c>
      <c r="G1326">
        <v>37</v>
      </c>
      <c r="H1326">
        <v>4546777</v>
      </c>
      <c r="I1326">
        <v>405679</v>
      </c>
      <c r="J1326" t="s">
        <v>17</v>
      </c>
      <c r="K1326" t="s">
        <v>18</v>
      </c>
      <c r="L1326">
        <v>8</v>
      </c>
      <c r="M1326">
        <v>21.83</v>
      </c>
      <c r="N1326">
        <v>105961</v>
      </c>
      <c r="O1326">
        <v>1</v>
      </c>
    </row>
    <row r="1327" spans="1:15">
      <c r="A1327" t="s">
        <v>1353</v>
      </c>
      <c r="B1327" t="s">
        <v>24</v>
      </c>
      <c r="C1327">
        <v>1</v>
      </c>
      <c r="D1327">
        <v>32598797</v>
      </c>
      <c r="E1327">
        <v>3</v>
      </c>
      <c r="F1327">
        <v>4</v>
      </c>
      <c r="G1327">
        <v>452</v>
      </c>
      <c r="H1327">
        <v>19835012</v>
      </c>
      <c r="I1327">
        <v>412142</v>
      </c>
      <c r="J1327" t="s">
        <v>17</v>
      </c>
      <c r="K1327" t="s">
        <v>22</v>
      </c>
      <c r="L1327">
        <v>1</v>
      </c>
      <c r="M1327">
        <v>93.86</v>
      </c>
      <c r="N1327">
        <v>602758</v>
      </c>
      <c r="O1327">
        <v>1</v>
      </c>
    </row>
    <row r="1328" spans="1:15">
      <c r="A1328" t="s">
        <v>1354</v>
      </c>
      <c r="B1328" t="s">
        <v>24</v>
      </c>
      <c r="C1328">
        <v>11</v>
      </c>
      <c r="D1328">
        <v>48412160</v>
      </c>
      <c r="E1328">
        <v>4</v>
      </c>
      <c r="F1328">
        <v>19</v>
      </c>
      <c r="G1328">
        <v>910</v>
      </c>
      <c r="H1328">
        <v>55083285</v>
      </c>
      <c r="I1328">
        <v>235410</v>
      </c>
      <c r="J1328" t="s">
        <v>25</v>
      </c>
      <c r="K1328" t="s">
        <v>18</v>
      </c>
      <c r="L1328">
        <v>9</v>
      </c>
      <c r="M1328">
        <v>36.31</v>
      </c>
      <c r="N1328">
        <v>961699</v>
      </c>
      <c r="O1328">
        <v>1</v>
      </c>
    </row>
    <row r="1329" spans="1:15">
      <c r="A1329" t="s">
        <v>1355</v>
      </c>
      <c r="B1329" t="s">
        <v>32</v>
      </c>
      <c r="C1329">
        <v>6</v>
      </c>
      <c r="D1329">
        <v>29325773</v>
      </c>
      <c r="E1329">
        <v>4</v>
      </c>
      <c r="F1329">
        <v>19</v>
      </c>
      <c r="G1329">
        <v>650</v>
      </c>
      <c r="H1329">
        <v>699893</v>
      </c>
      <c r="I1329">
        <v>941272</v>
      </c>
      <c r="J1329" t="s">
        <v>17</v>
      </c>
      <c r="K1329" t="s">
        <v>30</v>
      </c>
      <c r="L1329">
        <v>6</v>
      </c>
      <c r="M1329">
        <v>50.6</v>
      </c>
      <c r="N1329">
        <v>438957</v>
      </c>
      <c r="O1329">
        <v>1</v>
      </c>
    </row>
    <row r="1330" spans="1:15">
      <c r="A1330" t="s">
        <v>1356</v>
      </c>
      <c r="B1330" t="s">
        <v>20</v>
      </c>
      <c r="C1330">
        <v>1</v>
      </c>
      <c r="D1330">
        <v>41223789</v>
      </c>
      <c r="E1330">
        <v>1</v>
      </c>
      <c r="F1330">
        <v>1</v>
      </c>
      <c r="G1330">
        <v>614</v>
      </c>
      <c r="H1330">
        <v>67531070</v>
      </c>
      <c r="I1330">
        <v>248423</v>
      </c>
      <c r="J1330" t="s">
        <v>17</v>
      </c>
      <c r="K1330" t="s">
        <v>22</v>
      </c>
      <c r="L1330">
        <v>6</v>
      </c>
      <c r="M1330">
        <v>93.78</v>
      </c>
      <c r="N1330">
        <v>537402</v>
      </c>
      <c r="O1330">
        <v>1</v>
      </c>
    </row>
    <row r="1331" spans="1:15">
      <c r="A1331" t="s">
        <v>1357</v>
      </c>
      <c r="B1331" t="s">
        <v>38</v>
      </c>
      <c r="C1331">
        <v>10</v>
      </c>
      <c r="D1331">
        <v>16088820</v>
      </c>
      <c r="E1331">
        <v>1</v>
      </c>
      <c r="F1331">
        <v>18</v>
      </c>
      <c r="G1331">
        <v>546</v>
      </c>
      <c r="H1331">
        <v>40375466</v>
      </c>
      <c r="I1331">
        <v>141706</v>
      </c>
      <c r="J1331" t="s">
        <v>21</v>
      </c>
      <c r="K1331" t="s">
        <v>18</v>
      </c>
      <c r="L1331">
        <v>4</v>
      </c>
      <c r="M1331">
        <v>21.91</v>
      </c>
      <c r="N1331">
        <v>731098</v>
      </c>
      <c r="O1331">
        <v>1</v>
      </c>
    </row>
    <row r="1332" spans="1:15">
      <c r="A1332" t="s">
        <v>1358</v>
      </c>
      <c r="B1332" t="s">
        <v>16</v>
      </c>
      <c r="C1332">
        <v>12</v>
      </c>
      <c r="D1332">
        <v>49707729</v>
      </c>
      <c r="E1332">
        <v>4</v>
      </c>
      <c r="F1332">
        <v>16</v>
      </c>
      <c r="G1332">
        <v>899</v>
      </c>
      <c r="H1332">
        <v>73842920</v>
      </c>
      <c r="I1332">
        <v>305942</v>
      </c>
      <c r="J1332" t="s">
        <v>17</v>
      </c>
      <c r="K1332" t="s">
        <v>30</v>
      </c>
      <c r="L1332">
        <v>7</v>
      </c>
      <c r="M1332">
        <v>10.86</v>
      </c>
      <c r="N1332">
        <v>854537</v>
      </c>
      <c r="O1332">
        <v>1</v>
      </c>
    </row>
    <row r="1333" spans="1:15">
      <c r="A1333" t="s">
        <v>1359</v>
      </c>
      <c r="B1333" t="s">
        <v>16</v>
      </c>
      <c r="C1333">
        <v>14</v>
      </c>
      <c r="D1333">
        <v>8696306</v>
      </c>
      <c r="E1333">
        <v>2</v>
      </c>
      <c r="F1333">
        <v>5</v>
      </c>
      <c r="G1333">
        <v>788</v>
      </c>
      <c r="H1333">
        <v>46593006</v>
      </c>
      <c r="I1333">
        <v>257842</v>
      </c>
      <c r="J1333" t="s">
        <v>21</v>
      </c>
      <c r="K1333" t="s">
        <v>22</v>
      </c>
      <c r="L1333">
        <v>6</v>
      </c>
      <c r="M1333">
        <v>97.59</v>
      </c>
      <c r="N1333">
        <v>671727</v>
      </c>
      <c r="O1333">
        <v>1</v>
      </c>
    </row>
    <row r="1334" spans="1:15">
      <c r="A1334" t="s">
        <v>1360</v>
      </c>
      <c r="B1334" t="s">
        <v>38</v>
      </c>
      <c r="C1334">
        <v>7</v>
      </c>
      <c r="D1334">
        <v>15075515</v>
      </c>
      <c r="E1334">
        <v>2</v>
      </c>
      <c r="F1334">
        <v>25</v>
      </c>
      <c r="G1334">
        <v>575</v>
      </c>
      <c r="H1334">
        <v>54258466</v>
      </c>
      <c r="I1334">
        <v>644212</v>
      </c>
      <c r="J1334" t="s">
        <v>21</v>
      </c>
      <c r="K1334" t="s">
        <v>30</v>
      </c>
      <c r="L1334">
        <v>7</v>
      </c>
      <c r="M1334">
        <v>9.3000000000000007</v>
      </c>
      <c r="N1334">
        <v>420091</v>
      </c>
      <c r="O1334">
        <v>1</v>
      </c>
    </row>
    <row r="1335" spans="1:15">
      <c r="A1335" t="s">
        <v>1361</v>
      </c>
      <c r="B1335" t="s">
        <v>24</v>
      </c>
      <c r="C1335">
        <v>8</v>
      </c>
      <c r="D1335">
        <v>1408785</v>
      </c>
      <c r="E1335">
        <v>1</v>
      </c>
      <c r="F1335">
        <v>11</v>
      </c>
      <c r="G1335">
        <v>104</v>
      </c>
      <c r="H1335">
        <v>33422735</v>
      </c>
      <c r="I1335">
        <v>521786</v>
      </c>
      <c r="J1335" t="s">
        <v>21</v>
      </c>
      <c r="K1335" t="s">
        <v>30</v>
      </c>
      <c r="L1335">
        <v>3</v>
      </c>
      <c r="M1335">
        <v>57.01</v>
      </c>
      <c r="N1335">
        <v>276387</v>
      </c>
      <c r="O1335">
        <v>1</v>
      </c>
    </row>
    <row r="1336" spans="1:15">
      <c r="A1336" t="s">
        <v>1362</v>
      </c>
      <c r="B1336" t="s">
        <v>32</v>
      </c>
      <c r="C1336">
        <v>11</v>
      </c>
      <c r="D1336">
        <v>10996894</v>
      </c>
      <c r="E1336">
        <v>1</v>
      </c>
      <c r="F1336">
        <v>2</v>
      </c>
      <c r="G1336">
        <v>493</v>
      </c>
      <c r="H1336">
        <v>52090175</v>
      </c>
      <c r="I1336">
        <v>787151</v>
      </c>
      <c r="J1336" t="s">
        <v>25</v>
      </c>
      <c r="K1336" t="s">
        <v>22</v>
      </c>
      <c r="L1336">
        <v>7</v>
      </c>
      <c r="M1336">
        <v>47.66</v>
      </c>
      <c r="N1336">
        <v>671136</v>
      </c>
      <c r="O1336">
        <v>1</v>
      </c>
    </row>
    <row r="1337" spans="1:15">
      <c r="A1337" t="s">
        <v>1363</v>
      </c>
      <c r="B1337" t="s">
        <v>29</v>
      </c>
      <c r="C1337">
        <v>12</v>
      </c>
      <c r="D1337">
        <v>15916414</v>
      </c>
      <c r="E1337">
        <v>4</v>
      </c>
      <c r="F1337">
        <v>28</v>
      </c>
      <c r="G1337">
        <v>288</v>
      </c>
      <c r="H1337">
        <v>15474492</v>
      </c>
      <c r="I1337">
        <v>203959</v>
      </c>
      <c r="J1337" t="s">
        <v>17</v>
      </c>
      <c r="K1337" t="s">
        <v>22</v>
      </c>
      <c r="L1337">
        <v>4</v>
      </c>
      <c r="M1337">
        <v>84.3</v>
      </c>
      <c r="N1337">
        <v>661884</v>
      </c>
      <c r="O1337">
        <v>1</v>
      </c>
    </row>
    <row r="1338" spans="1:15">
      <c r="A1338" t="s">
        <v>1364</v>
      </c>
      <c r="B1338" t="s">
        <v>29</v>
      </c>
      <c r="C1338">
        <v>13</v>
      </c>
      <c r="D1338">
        <v>45022713</v>
      </c>
      <c r="E1338">
        <v>3</v>
      </c>
      <c r="F1338">
        <v>19</v>
      </c>
      <c r="G1338">
        <v>807</v>
      </c>
      <c r="H1338">
        <v>30677688</v>
      </c>
      <c r="I1338">
        <v>696650</v>
      </c>
      <c r="J1338" t="s">
        <v>17</v>
      </c>
      <c r="K1338" t="s">
        <v>22</v>
      </c>
      <c r="L1338">
        <v>6</v>
      </c>
      <c r="M1338">
        <v>47.23</v>
      </c>
      <c r="N1338">
        <v>535120</v>
      </c>
      <c r="O1338">
        <v>1</v>
      </c>
    </row>
    <row r="1339" spans="1:15">
      <c r="A1339" t="s">
        <v>1365</v>
      </c>
      <c r="B1339" t="s">
        <v>20</v>
      </c>
      <c r="C1339">
        <v>2</v>
      </c>
      <c r="D1339">
        <v>42721359</v>
      </c>
      <c r="E1339">
        <v>3</v>
      </c>
      <c r="F1339">
        <v>3</v>
      </c>
      <c r="G1339">
        <v>442</v>
      </c>
      <c r="H1339">
        <v>62568552</v>
      </c>
      <c r="I1339">
        <v>668872</v>
      </c>
      <c r="J1339" t="s">
        <v>17</v>
      </c>
      <c r="K1339" t="s">
        <v>22</v>
      </c>
      <c r="L1339">
        <v>6</v>
      </c>
      <c r="M1339">
        <v>78.52</v>
      </c>
      <c r="N1339">
        <v>321554</v>
      </c>
      <c r="O1339">
        <v>1</v>
      </c>
    </row>
    <row r="1340" spans="1:15">
      <c r="A1340" t="s">
        <v>1366</v>
      </c>
      <c r="B1340" t="s">
        <v>29</v>
      </c>
      <c r="C1340">
        <v>8</v>
      </c>
      <c r="D1340">
        <v>21311303</v>
      </c>
      <c r="E1340">
        <v>2</v>
      </c>
      <c r="F1340">
        <v>19</v>
      </c>
      <c r="G1340">
        <v>492</v>
      </c>
      <c r="H1340">
        <v>77631077</v>
      </c>
      <c r="I1340">
        <v>895742</v>
      </c>
      <c r="J1340" t="s">
        <v>21</v>
      </c>
      <c r="K1340" t="s">
        <v>30</v>
      </c>
      <c r="L1340">
        <v>6</v>
      </c>
      <c r="M1340">
        <v>95.26</v>
      </c>
      <c r="N1340">
        <v>973001</v>
      </c>
      <c r="O1340">
        <v>1</v>
      </c>
    </row>
    <row r="1341" spans="1:15">
      <c r="A1341" t="s">
        <v>1367</v>
      </c>
      <c r="B1341" t="s">
        <v>16</v>
      </c>
      <c r="C1341">
        <v>9</v>
      </c>
      <c r="D1341">
        <v>8575377</v>
      </c>
      <c r="E1341">
        <v>4</v>
      </c>
      <c r="F1341">
        <v>24</v>
      </c>
      <c r="G1341">
        <v>715</v>
      </c>
      <c r="H1341">
        <v>2189267</v>
      </c>
      <c r="I1341">
        <v>625640</v>
      </c>
      <c r="J1341" t="s">
        <v>25</v>
      </c>
      <c r="K1341" t="s">
        <v>30</v>
      </c>
      <c r="L1341">
        <v>9</v>
      </c>
      <c r="M1341">
        <v>64.34</v>
      </c>
      <c r="N1341">
        <v>274761</v>
      </c>
      <c r="O1341">
        <v>1</v>
      </c>
    </row>
    <row r="1342" spans="1:15">
      <c r="A1342" t="s">
        <v>1368</v>
      </c>
      <c r="B1342" t="s">
        <v>20</v>
      </c>
      <c r="C1342">
        <v>7</v>
      </c>
      <c r="D1342">
        <v>18074492</v>
      </c>
      <c r="E1342">
        <v>1</v>
      </c>
      <c r="F1342">
        <v>6</v>
      </c>
      <c r="G1342">
        <v>499</v>
      </c>
      <c r="H1342">
        <v>45545525</v>
      </c>
      <c r="I1342">
        <v>398312</v>
      </c>
      <c r="J1342" t="s">
        <v>21</v>
      </c>
      <c r="K1342" t="s">
        <v>18</v>
      </c>
      <c r="L1342">
        <v>9</v>
      </c>
      <c r="M1342">
        <v>58.64</v>
      </c>
      <c r="N1342">
        <v>679187</v>
      </c>
      <c r="O1342">
        <v>1</v>
      </c>
    </row>
    <row r="1343" spans="1:15">
      <c r="A1343" t="s">
        <v>1369</v>
      </c>
      <c r="B1343" t="s">
        <v>38</v>
      </c>
      <c r="C1343">
        <v>9</v>
      </c>
      <c r="D1343">
        <v>32896685</v>
      </c>
      <c r="E1343">
        <v>4</v>
      </c>
      <c r="F1343">
        <v>0</v>
      </c>
      <c r="G1343">
        <v>385</v>
      </c>
      <c r="H1343">
        <v>51864748</v>
      </c>
      <c r="I1343">
        <v>544176</v>
      </c>
      <c r="J1343" t="s">
        <v>25</v>
      </c>
      <c r="K1343" t="s">
        <v>30</v>
      </c>
      <c r="L1343">
        <v>1</v>
      </c>
      <c r="M1343">
        <v>19.05</v>
      </c>
      <c r="N1343">
        <v>857664</v>
      </c>
      <c r="O1343">
        <v>1</v>
      </c>
    </row>
    <row r="1344" spans="1:15">
      <c r="A1344" t="s">
        <v>1370</v>
      </c>
      <c r="B1344" t="s">
        <v>16</v>
      </c>
      <c r="C1344">
        <v>4</v>
      </c>
      <c r="D1344">
        <v>15496117</v>
      </c>
      <c r="E1344">
        <v>4</v>
      </c>
      <c r="F1344">
        <v>20</v>
      </c>
      <c r="G1344">
        <v>826</v>
      </c>
      <c r="H1344">
        <v>32830155</v>
      </c>
      <c r="I1344">
        <v>373008</v>
      </c>
      <c r="J1344" t="s">
        <v>21</v>
      </c>
      <c r="K1344" t="s">
        <v>30</v>
      </c>
      <c r="L1344">
        <v>7</v>
      </c>
      <c r="M1344">
        <v>80.239999999999995</v>
      </c>
      <c r="N1344">
        <v>900622</v>
      </c>
      <c r="O1344">
        <v>1</v>
      </c>
    </row>
    <row r="1345" spans="1:15">
      <c r="A1345" t="s">
        <v>1371</v>
      </c>
      <c r="B1345" t="s">
        <v>38</v>
      </c>
      <c r="C1345">
        <v>4</v>
      </c>
      <c r="D1345">
        <v>6357995</v>
      </c>
      <c r="E1345">
        <v>3</v>
      </c>
      <c r="F1345">
        <v>29</v>
      </c>
      <c r="G1345">
        <v>346</v>
      </c>
      <c r="H1345">
        <v>36559101</v>
      </c>
      <c r="I1345">
        <v>457253</v>
      </c>
      <c r="J1345" t="s">
        <v>21</v>
      </c>
      <c r="K1345" t="s">
        <v>30</v>
      </c>
      <c r="L1345">
        <v>2</v>
      </c>
      <c r="M1345">
        <v>79.34</v>
      </c>
      <c r="N1345">
        <v>976018</v>
      </c>
      <c r="O1345">
        <v>1</v>
      </c>
    </row>
    <row r="1346" spans="1:15">
      <c r="A1346" t="s">
        <v>1372</v>
      </c>
      <c r="B1346" t="s">
        <v>38</v>
      </c>
      <c r="C1346">
        <v>1</v>
      </c>
      <c r="D1346">
        <v>47748657</v>
      </c>
      <c r="E1346">
        <v>4</v>
      </c>
      <c r="F1346">
        <v>12</v>
      </c>
      <c r="G1346">
        <v>153</v>
      </c>
      <c r="H1346">
        <v>47669713</v>
      </c>
      <c r="I1346">
        <v>493058</v>
      </c>
      <c r="J1346" t="s">
        <v>25</v>
      </c>
      <c r="K1346" t="s">
        <v>18</v>
      </c>
      <c r="L1346">
        <v>7</v>
      </c>
      <c r="M1346">
        <v>80.03</v>
      </c>
      <c r="N1346">
        <v>928424</v>
      </c>
      <c r="O1346">
        <v>1</v>
      </c>
    </row>
    <row r="1347" spans="1:15">
      <c r="A1347" t="s">
        <v>1373</v>
      </c>
      <c r="B1347" t="s">
        <v>29</v>
      </c>
      <c r="C1347">
        <v>1</v>
      </c>
      <c r="D1347">
        <v>39949888</v>
      </c>
      <c r="E1347">
        <v>4</v>
      </c>
      <c r="F1347">
        <v>26</v>
      </c>
      <c r="G1347">
        <v>107</v>
      </c>
      <c r="H1347">
        <v>65383378</v>
      </c>
      <c r="I1347">
        <v>692283</v>
      </c>
      <c r="J1347" t="s">
        <v>21</v>
      </c>
      <c r="K1347" t="s">
        <v>18</v>
      </c>
      <c r="L1347">
        <v>6</v>
      </c>
      <c r="M1347">
        <v>38.22</v>
      </c>
      <c r="N1347">
        <v>624064</v>
      </c>
      <c r="O1347">
        <v>1</v>
      </c>
    </row>
    <row r="1348" spans="1:15">
      <c r="A1348" t="s">
        <v>1374</v>
      </c>
      <c r="B1348" t="s">
        <v>38</v>
      </c>
      <c r="C1348">
        <v>9</v>
      </c>
      <c r="D1348">
        <v>4089800</v>
      </c>
      <c r="E1348">
        <v>3</v>
      </c>
      <c r="F1348">
        <v>0</v>
      </c>
      <c r="G1348">
        <v>464</v>
      </c>
      <c r="H1348">
        <v>58982324</v>
      </c>
      <c r="I1348">
        <v>104398</v>
      </c>
      <c r="J1348" t="s">
        <v>25</v>
      </c>
      <c r="K1348" t="s">
        <v>18</v>
      </c>
      <c r="L1348">
        <v>4</v>
      </c>
      <c r="M1348">
        <v>11.15</v>
      </c>
      <c r="N1348">
        <v>633374</v>
      </c>
      <c r="O1348">
        <v>1</v>
      </c>
    </row>
    <row r="1349" spans="1:15">
      <c r="A1349" t="s">
        <v>1375</v>
      </c>
      <c r="B1349" t="s">
        <v>16</v>
      </c>
      <c r="C1349">
        <v>8</v>
      </c>
      <c r="D1349">
        <v>27590831</v>
      </c>
      <c r="E1349">
        <v>4</v>
      </c>
      <c r="F1349">
        <v>17</v>
      </c>
      <c r="G1349">
        <v>487</v>
      </c>
      <c r="H1349">
        <v>1336246</v>
      </c>
      <c r="I1349">
        <v>729243</v>
      </c>
      <c r="J1349" t="s">
        <v>17</v>
      </c>
      <c r="K1349" t="s">
        <v>30</v>
      </c>
      <c r="L1349">
        <v>4</v>
      </c>
      <c r="M1349">
        <v>3.51</v>
      </c>
      <c r="N1349">
        <v>276193</v>
      </c>
      <c r="O1349">
        <v>1</v>
      </c>
    </row>
    <row r="1350" spans="1:15">
      <c r="A1350" t="s">
        <v>1376</v>
      </c>
      <c r="B1350" t="s">
        <v>16</v>
      </c>
      <c r="C1350">
        <v>5</v>
      </c>
      <c r="D1350">
        <v>3314871</v>
      </c>
      <c r="E1350">
        <v>2</v>
      </c>
      <c r="F1350">
        <v>20</v>
      </c>
      <c r="G1350">
        <v>147</v>
      </c>
      <c r="H1350">
        <v>15839136</v>
      </c>
      <c r="I1350">
        <v>132553</v>
      </c>
      <c r="J1350" t="s">
        <v>17</v>
      </c>
      <c r="K1350" t="s">
        <v>30</v>
      </c>
      <c r="L1350">
        <v>4</v>
      </c>
      <c r="M1350">
        <v>95.71</v>
      </c>
      <c r="N1350">
        <v>256003</v>
      </c>
      <c r="O1350">
        <v>1</v>
      </c>
    </row>
    <row r="1351" spans="1:15">
      <c r="A1351" t="s">
        <v>1377</v>
      </c>
      <c r="B1351" t="s">
        <v>38</v>
      </c>
      <c r="C1351">
        <v>5</v>
      </c>
      <c r="D1351">
        <v>46274713</v>
      </c>
      <c r="E1351">
        <v>3</v>
      </c>
      <c r="F1351">
        <v>9</v>
      </c>
      <c r="G1351">
        <v>1</v>
      </c>
      <c r="H1351">
        <v>60822065</v>
      </c>
      <c r="I1351">
        <v>971479</v>
      </c>
      <c r="J1351" t="s">
        <v>25</v>
      </c>
      <c r="K1351" t="s">
        <v>22</v>
      </c>
      <c r="L1351">
        <v>6</v>
      </c>
      <c r="M1351">
        <v>53.87</v>
      </c>
      <c r="N1351">
        <v>662012</v>
      </c>
      <c r="O1351">
        <v>1</v>
      </c>
    </row>
    <row r="1352" spans="1:15">
      <c r="A1352" t="s">
        <v>1378</v>
      </c>
      <c r="B1352" t="s">
        <v>20</v>
      </c>
      <c r="C1352">
        <v>8</v>
      </c>
      <c r="D1352">
        <v>31959170</v>
      </c>
      <c r="E1352">
        <v>4</v>
      </c>
      <c r="F1352">
        <v>8</v>
      </c>
      <c r="G1352">
        <v>400</v>
      </c>
      <c r="H1352">
        <v>56568007</v>
      </c>
      <c r="I1352">
        <v>326003</v>
      </c>
      <c r="J1352" t="s">
        <v>21</v>
      </c>
      <c r="K1352" t="s">
        <v>22</v>
      </c>
      <c r="L1352">
        <v>3</v>
      </c>
      <c r="M1352">
        <v>93.33</v>
      </c>
      <c r="N1352">
        <v>138399</v>
      </c>
      <c r="O1352">
        <v>1</v>
      </c>
    </row>
    <row r="1353" spans="1:15">
      <c r="A1353" t="s">
        <v>1379</v>
      </c>
      <c r="B1353" t="s">
        <v>27</v>
      </c>
      <c r="C1353">
        <v>3</v>
      </c>
      <c r="D1353">
        <v>2841698</v>
      </c>
      <c r="E1353">
        <v>2</v>
      </c>
      <c r="F1353">
        <v>24</v>
      </c>
      <c r="G1353">
        <v>838</v>
      </c>
      <c r="H1353">
        <v>10814004</v>
      </c>
      <c r="I1353">
        <v>367080</v>
      </c>
      <c r="J1353" t="s">
        <v>25</v>
      </c>
      <c r="K1353" t="s">
        <v>18</v>
      </c>
      <c r="L1353">
        <v>4</v>
      </c>
      <c r="M1353">
        <v>62.31</v>
      </c>
      <c r="N1353">
        <v>8138</v>
      </c>
      <c r="O1353">
        <v>1</v>
      </c>
    </row>
    <row r="1354" spans="1:15">
      <c r="A1354" t="s">
        <v>1380</v>
      </c>
      <c r="B1354" t="s">
        <v>27</v>
      </c>
      <c r="C1354">
        <v>10</v>
      </c>
      <c r="D1354">
        <v>31357176</v>
      </c>
      <c r="E1354">
        <v>4</v>
      </c>
      <c r="F1354">
        <v>2</v>
      </c>
      <c r="G1354">
        <v>196</v>
      </c>
      <c r="H1354">
        <v>45124762</v>
      </c>
      <c r="I1354">
        <v>243675</v>
      </c>
      <c r="J1354" t="s">
        <v>25</v>
      </c>
      <c r="K1354" t="s">
        <v>22</v>
      </c>
      <c r="L1354">
        <v>9</v>
      </c>
      <c r="M1354">
        <v>51.68</v>
      </c>
      <c r="N1354">
        <v>209445</v>
      </c>
      <c r="O1354">
        <v>1</v>
      </c>
    </row>
    <row r="1355" spans="1:15">
      <c r="A1355" t="s">
        <v>1381</v>
      </c>
      <c r="B1355" t="s">
        <v>32</v>
      </c>
      <c r="C1355">
        <v>1</v>
      </c>
      <c r="D1355">
        <v>9374948</v>
      </c>
      <c r="E1355">
        <v>2</v>
      </c>
      <c r="F1355">
        <v>5</v>
      </c>
      <c r="G1355">
        <v>618</v>
      </c>
      <c r="H1355">
        <v>51675125</v>
      </c>
      <c r="I1355">
        <v>512008</v>
      </c>
      <c r="J1355" t="s">
        <v>25</v>
      </c>
      <c r="K1355" t="s">
        <v>22</v>
      </c>
      <c r="L1355">
        <v>7</v>
      </c>
      <c r="M1355">
        <v>50.44</v>
      </c>
      <c r="N1355">
        <v>837230</v>
      </c>
      <c r="O1355">
        <v>1</v>
      </c>
    </row>
    <row r="1356" spans="1:15">
      <c r="A1356" t="s">
        <v>1382</v>
      </c>
      <c r="B1356" t="s">
        <v>38</v>
      </c>
      <c r="C1356">
        <v>5</v>
      </c>
      <c r="D1356">
        <v>45550617</v>
      </c>
      <c r="E1356">
        <v>3</v>
      </c>
      <c r="F1356">
        <v>12</v>
      </c>
      <c r="G1356">
        <v>269</v>
      </c>
      <c r="H1356">
        <v>51674642</v>
      </c>
      <c r="I1356">
        <v>780046</v>
      </c>
      <c r="J1356" t="s">
        <v>21</v>
      </c>
      <c r="K1356" t="s">
        <v>18</v>
      </c>
      <c r="L1356">
        <v>4</v>
      </c>
      <c r="M1356">
        <v>95.75</v>
      </c>
      <c r="N1356">
        <v>454070</v>
      </c>
      <c r="O1356">
        <v>1</v>
      </c>
    </row>
    <row r="1357" spans="1:15">
      <c r="A1357" t="s">
        <v>1383</v>
      </c>
      <c r="B1357" t="s">
        <v>32</v>
      </c>
      <c r="C1357">
        <v>13</v>
      </c>
      <c r="D1357">
        <v>18837223</v>
      </c>
      <c r="E1357">
        <v>3</v>
      </c>
      <c r="F1357">
        <v>15</v>
      </c>
      <c r="G1357">
        <v>96</v>
      </c>
      <c r="H1357">
        <v>22777842</v>
      </c>
      <c r="I1357">
        <v>786503</v>
      </c>
      <c r="J1357" t="s">
        <v>17</v>
      </c>
      <c r="K1357" t="s">
        <v>22</v>
      </c>
      <c r="L1357">
        <v>6</v>
      </c>
      <c r="M1357">
        <v>4.66</v>
      </c>
      <c r="N1357">
        <v>213672</v>
      </c>
      <c r="O1357">
        <v>1</v>
      </c>
    </row>
    <row r="1358" spans="1:15">
      <c r="A1358" t="s">
        <v>1384</v>
      </c>
      <c r="B1358" t="s">
        <v>38</v>
      </c>
      <c r="C1358">
        <v>6</v>
      </c>
      <c r="D1358">
        <v>19419593</v>
      </c>
      <c r="E1358">
        <v>3</v>
      </c>
      <c r="F1358">
        <v>18</v>
      </c>
      <c r="G1358">
        <v>652</v>
      </c>
      <c r="H1358">
        <v>43135764</v>
      </c>
      <c r="I1358">
        <v>973622</v>
      </c>
      <c r="J1358" t="s">
        <v>17</v>
      </c>
      <c r="K1358" t="s">
        <v>22</v>
      </c>
      <c r="L1358">
        <v>8</v>
      </c>
      <c r="M1358">
        <v>61.93</v>
      </c>
      <c r="N1358">
        <v>330464</v>
      </c>
      <c r="O1358">
        <v>1</v>
      </c>
    </row>
    <row r="1359" spans="1:15">
      <c r="A1359" t="s">
        <v>1385</v>
      </c>
      <c r="B1359" t="s">
        <v>29</v>
      </c>
      <c r="C1359">
        <v>1</v>
      </c>
      <c r="D1359">
        <v>11025599</v>
      </c>
      <c r="E1359">
        <v>1</v>
      </c>
      <c r="F1359">
        <v>18</v>
      </c>
      <c r="G1359">
        <v>263</v>
      </c>
      <c r="H1359">
        <v>65717415</v>
      </c>
      <c r="I1359">
        <v>208955</v>
      </c>
      <c r="J1359" t="s">
        <v>17</v>
      </c>
      <c r="K1359" t="s">
        <v>22</v>
      </c>
      <c r="L1359">
        <v>7</v>
      </c>
      <c r="M1359">
        <v>39.43</v>
      </c>
      <c r="N1359">
        <v>155880</v>
      </c>
      <c r="O1359">
        <v>1</v>
      </c>
    </row>
    <row r="1360" spans="1:15">
      <c r="A1360" t="s">
        <v>1386</v>
      </c>
      <c r="B1360" t="s">
        <v>38</v>
      </c>
      <c r="C1360">
        <v>8</v>
      </c>
      <c r="D1360">
        <v>8219530</v>
      </c>
      <c r="E1360">
        <v>2</v>
      </c>
      <c r="F1360">
        <v>26</v>
      </c>
      <c r="G1360">
        <v>113</v>
      </c>
      <c r="H1360">
        <v>69986141</v>
      </c>
      <c r="I1360">
        <v>789183</v>
      </c>
      <c r="J1360" t="s">
        <v>25</v>
      </c>
      <c r="K1360" t="s">
        <v>18</v>
      </c>
      <c r="L1360">
        <v>6</v>
      </c>
      <c r="M1360">
        <v>15.41</v>
      </c>
      <c r="N1360">
        <v>661841</v>
      </c>
      <c r="O1360">
        <v>1</v>
      </c>
    </row>
    <row r="1361" spans="1:15">
      <c r="A1361" t="s">
        <v>1387</v>
      </c>
      <c r="B1361" t="s">
        <v>24</v>
      </c>
      <c r="C1361">
        <v>8</v>
      </c>
      <c r="D1361">
        <v>15443615</v>
      </c>
      <c r="E1361">
        <v>1</v>
      </c>
      <c r="F1361">
        <v>0</v>
      </c>
      <c r="G1361">
        <v>198</v>
      </c>
      <c r="H1361">
        <v>94694727</v>
      </c>
      <c r="I1361">
        <v>905658</v>
      </c>
      <c r="J1361" t="s">
        <v>17</v>
      </c>
      <c r="K1361" t="s">
        <v>18</v>
      </c>
      <c r="L1361">
        <v>9</v>
      </c>
      <c r="M1361">
        <v>46.99</v>
      </c>
      <c r="N1361">
        <v>758615</v>
      </c>
      <c r="O1361">
        <v>1</v>
      </c>
    </row>
    <row r="1362" spans="1:15">
      <c r="A1362" t="s">
        <v>1388</v>
      </c>
      <c r="B1362" t="s">
        <v>29</v>
      </c>
      <c r="C1362">
        <v>1</v>
      </c>
      <c r="D1362">
        <v>26902506</v>
      </c>
      <c r="E1362">
        <v>2</v>
      </c>
      <c r="F1362">
        <v>6</v>
      </c>
      <c r="G1362">
        <v>111</v>
      </c>
      <c r="H1362">
        <v>65436649</v>
      </c>
      <c r="I1362">
        <v>741219</v>
      </c>
      <c r="J1362" t="s">
        <v>21</v>
      </c>
      <c r="K1362" t="s">
        <v>22</v>
      </c>
      <c r="L1362">
        <v>5</v>
      </c>
      <c r="M1362">
        <v>98.23</v>
      </c>
      <c r="N1362">
        <v>397801</v>
      </c>
      <c r="O1362">
        <v>1</v>
      </c>
    </row>
    <row r="1363" spans="1:15">
      <c r="A1363" t="s">
        <v>1389</v>
      </c>
      <c r="B1363" t="s">
        <v>29</v>
      </c>
      <c r="C1363">
        <v>9</v>
      </c>
      <c r="D1363">
        <v>25923457</v>
      </c>
      <c r="E1363">
        <v>2</v>
      </c>
      <c r="F1363">
        <v>7</v>
      </c>
      <c r="G1363">
        <v>5</v>
      </c>
      <c r="H1363">
        <v>42025853</v>
      </c>
      <c r="I1363">
        <v>869851</v>
      </c>
      <c r="J1363" t="s">
        <v>25</v>
      </c>
      <c r="K1363" t="s">
        <v>30</v>
      </c>
      <c r="L1363">
        <v>5</v>
      </c>
      <c r="M1363">
        <v>93.97</v>
      </c>
      <c r="N1363">
        <v>452988</v>
      </c>
      <c r="O1363">
        <v>1</v>
      </c>
    </row>
    <row r="1364" spans="1:15">
      <c r="A1364" t="s">
        <v>1390</v>
      </c>
      <c r="B1364" t="s">
        <v>16</v>
      </c>
      <c r="C1364">
        <v>7</v>
      </c>
      <c r="D1364">
        <v>21674222</v>
      </c>
      <c r="E1364">
        <v>3</v>
      </c>
      <c r="F1364">
        <v>20</v>
      </c>
      <c r="G1364">
        <v>163</v>
      </c>
      <c r="H1364">
        <v>52845112</v>
      </c>
      <c r="I1364">
        <v>988391</v>
      </c>
      <c r="J1364" t="s">
        <v>25</v>
      </c>
      <c r="K1364" t="s">
        <v>30</v>
      </c>
      <c r="L1364">
        <v>9</v>
      </c>
      <c r="M1364">
        <v>12.68</v>
      </c>
      <c r="N1364">
        <v>164346</v>
      </c>
      <c r="O1364">
        <v>1</v>
      </c>
    </row>
    <row r="1365" spans="1:15">
      <c r="A1365" t="s">
        <v>1391</v>
      </c>
      <c r="B1365" t="s">
        <v>38</v>
      </c>
      <c r="C1365">
        <v>12</v>
      </c>
      <c r="D1365">
        <v>23362964</v>
      </c>
      <c r="E1365">
        <v>4</v>
      </c>
      <c r="F1365">
        <v>6</v>
      </c>
      <c r="G1365">
        <v>711</v>
      </c>
      <c r="H1365">
        <v>79516328</v>
      </c>
      <c r="I1365">
        <v>352141</v>
      </c>
      <c r="J1365" t="s">
        <v>25</v>
      </c>
      <c r="K1365" t="s">
        <v>30</v>
      </c>
      <c r="L1365">
        <v>8</v>
      </c>
      <c r="M1365">
        <v>92.47</v>
      </c>
      <c r="N1365">
        <v>684689</v>
      </c>
      <c r="O1365">
        <v>1</v>
      </c>
    </row>
    <row r="1366" spans="1:15">
      <c r="A1366" t="s">
        <v>1392</v>
      </c>
      <c r="B1366" t="s">
        <v>29</v>
      </c>
      <c r="C1366">
        <v>3</v>
      </c>
      <c r="D1366">
        <v>21444603</v>
      </c>
      <c r="E1366">
        <v>3</v>
      </c>
      <c r="F1366">
        <v>8</v>
      </c>
      <c r="G1366">
        <v>976</v>
      </c>
      <c r="H1366">
        <v>47304659</v>
      </c>
      <c r="I1366">
        <v>355704</v>
      </c>
      <c r="J1366" t="s">
        <v>25</v>
      </c>
      <c r="K1366" t="s">
        <v>30</v>
      </c>
      <c r="L1366">
        <v>2</v>
      </c>
      <c r="M1366">
        <v>94.6</v>
      </c>
      <c r="N1366">
        <v>93780</v>
      </c>
      <c r="O1366">
        <v>1</v>
      </c>
    </row>
    <row r="1367" spans="1:15">
      <c r="A1367" t="s">
        <v>1393</v>
      </c>
      <c r="B1367" t="s">
        <v>29</v>
      </c>
      <c r="C1367">
        <v>5</v>
      </c>
      <c r="D1367">
        <v>35357127</v>
      </c>
      <c r="E1367">
        <v>1</v>
      </c>
      <c r="F1367">
        <v>6</v>
      </c>
      <c r="G1367">
        <v>601</v>
      </c>
      <c r="H1367">
        <v>15929862</v>
      </c>
      <c r="I1367">
        <v>54054</v>
      </c>
      <c r="J1367" t="s">
        <v>25</v>
      </c>
      <c r="K1367" t="s">
        <v>18</v>
      </c>
      <c r="L1367">
        <v>7</v>
      </c>
      <c r="M1367">
        <v>7.04</v>
      </c>
      <c r="N1367">
        <v>204963</v>
      </c>
      <c r="O1367">
        <v>1</v>
      </c>
    </row>
    <row r="1368" spans="1:15">
      <c r="A1368" t="s">
        <v>1394</v>
      </c>
      <c r="B1368" t="s">
        <v>20</v>
      </c>
      <c r="C1368">
        <v>14</v>
      </c>
      <c r="D1368">
        <v>41977702</v>
      </c>
      <c r="E1368">
        <v>1</v>
      </c>
      <c r="F1368">
        <v>22</v>
      </c>
      <c r="G1368">
        <v>514</v>
      </c>
      <c r="H1368">
        <v>95052241</v>
      </c>
      <c r="I1368">
        <v>121675</v>
      </c>
      <c r="J1368" t="s">
        <v>21</v>
      </c>
      <c r="K1368" t="s">
        <v>18</v>
      </c>
      <c r="L1368">
        <v>6</v>
      </c>
      <c r="M1368">
        <v>13.8</v>
      </c>
      <c r="N1368">
        <v>175463</v>
      </c>
      <c r="O1368">
        <v>1</v>
      </c>
    </row>
    <row r="1369" spans="1:15">
      <c r="A1369" t="s">
        <v>1395</v>
      </c>
      <c r="B1369" t="s">
        <v>24</v>
      </c>
      <c r="C1369">
        <v>9</v>
      </c>
      <c r="D1369">
        <v>8269964</v>
      </c>
      <c r="E1369">
        <v>4</v>
      </c>
      <c r="F1369">
        <v>19</v>
      </c>
      <c r="G1369">
        <v>140</v>
      </c>
      <c r="H1369">
        <v>60110326</v>
      </c>
      <c r="I1369">
        <v>819528</v>
      </c>
      <c r="J1369" t="s">
        <v>17</v>
      </c>
      <c r="K1369" t="s">
        <v>30</v>
      </c>
      <c r="L1369">
        <v>6</v>
      </c>
      <c r="M1369">
        <v>52.88</v>
      </c>
      <c r="N1369">
        <v>131976</v>
      </c>
      <c r="O1369">
        <v>1</v>
      </c>
    </row>
    <row r="1370" spans="1:15">
      <c r="A1370" t="s">
        <v>1396</v>
      </c>
      <c r="B1370" t="s">
        <v>20</v>
      </c>
      <c r="C1370">
        <v>12</v>
      </c>
      <c r="D1370">
        <v>8474168</v>
      </c>
      <c r="E1370">
        <v>1</v>
      </c>
      <c r="F1370">
        <v>1</v>
      </c>
      <c r="G1370">
        <v>110</v>
      </c>
      <c r="H1370">
        <v>10697310</v>
      </c>
      <c r="I1370">
        <v>701934</v>
      </c>
      <c r="J1370" t="s">
        <v>25</v>
      </c>
      <c r="K1370" t="s">
        <v>18</v>
      </c>
      <c r="L1370">
        <v>8</v>
      </c>
      <c r="M1370">
        <v>43.5</v>
      </c>
      <c r="N1370">
        <v>47809</v>
      </c>
      <c r="O1370">
        <v>1</v>
      </c>
    </row>
    <row r="1371" spans="1:15">
      <c r="A1371" t="s">
        <v>1397</v>
      </c>
      <c r="B1371" t="s">
        <v>16</v>
      </c>
      <c r="C1371">
        <v>1</v>
      </c>
      <c r="D1371">
        <v>43826118</v>
      </c>
      <c r="E1371">
        <v>4</v>
      </c>
      <c r="F1371">
        <v>8</v>
      </c>
      <c r="G1371">
        <v>884</v>
      </c>
      <c r="H1371">
        <v>78345974</v>
      </c>
      <c r="I1371">
        <v>806419</v>
      </c>
      <c r="J1371" t="s">
        <v>21</v>
      </c>
      <c r="K1371" t="s">
        <v>22</v>
      </c>
      <c r="L1371">
        <v>5</v>
      </c>
      <c r="M1371">
        <v>46.27</v>
      </c>
      <c r="N1371">
        <v>223114</v>
      </c>
      <c r="O1371">
        <v>1</v>
      </c>
    </row>
    <row r="1372" spans="1:15">
      <c r="A1372" t="s">
        <v>1398</v>
      </c>
      <c r="B1372" t="s">
        <v>24</v>
      </c>
      <c r="C1372">
        <v>10</v>
      </c>
      <c r="D1372">
        <v>38252297</v>
      </c>
      <c r="E1372">
        <v>3</v>
      </c>
      <c r="F1372">
        <v>17</v>
      </c>
      <c r="G1372">
        <v>808</v>
      </c>
      <c r="H1372">
        <v>1773624</v>
      </c>
      <c r="I1372">
        <v>35377</v>
      </c>
      <c r="J1372" t="s">
        <v>25</v>
      </c>
      <c r="K1372" t="s">
        <v>30</v>
      </c>
      <c r="L1372">
        <v>7</v>
      </c>
      <c r="M1372">
        <v>55.37</v>
      </c>
      <c r="N1372">
        <v>599546</v>
      </c>
      <c r="O1372">
        <v>1</v>
      </c>
    </row>
    <row r="1373" spans="1:15">
      <c r="A1373" t="s">
        <v>1399</v>
      </c>
      <c r="B1373" t="s">
        <v>27</v>
      </c>
      <c r="C1373">
        <v>12</v>
      </c>
      <c r="D1373">
        <v>33718870</v>
      </c>
      <c r="E1373">
        <v>3</v>
      </c>
      <c r="F1373">
        <v>14</v>
      </c>
      <c r="G1373">
        <v>404</v>
      </c>
      <c r="H1373">
        <v>49419862</v>
      </c>
      <c r="I1373">
        <v>693155</v>
      </c>
      <c r="J1373" t="s">
        <v>25</v>
      </c>
      <c r="K1373" t="s">
        <v>22</v>
      </c>
      <c r="L1373">
        <v>2</v>
      </c>
      <c r="M1373">
        <v>75.86</v>
      </c>
      <c r="N1373">
        <v>284987</v>
      </c>
      <c r="O1373">
        <v>1</v>
      </c>
    </row>
    <row r="1374" spans="1:15">
      <c r="A1374" t="s">
        <v>1400</v>
      </c>
      <c r="B1374" t="s">
        <v>20</v>
      </c>
      <c r="C1374">
        <v>5</v>
      </c>
      <c r="D1374">
        <v>14326684</v>
      </c>
      <c r="E1374">
        <v>4</v>
      </c>
      <c r="F1374">
        <v>29</v>
      </c>
      <c r="G1374">
        <v>309</v>
      </c>
      <c r="H1374">
        <v>59049929</v>
      </c>
      <c r="I1374">
        <v>5717</v>
      </c>
      <c r="J1374" t="s">
        <v>21</v>
      </c>
      <c r="K1374" t="s">
        <v>22</v>
      </c>
      <c r="L1374">
        <v>7</v>
      </c>
      <c r="M1374">
        <v>14.91</v>
      </c>
      <c r="N1374">
        <v>306629</v>
      </c>
      <c r="O1374">
        <v>1</v>
      </c>
    </row>
    <row r="1375" spans="1:15">
      <c r="A1375" t="s">
        <v>1401</v>
      </c>
      <c r="B1375" t="s">
        <v>24</v>
      </c>
      <c r="C1375">
        <v>6</v>
      </c>
      <c r="D1375">
        <v>3819716</v>
      </c>
      <c r="E1375">
        <v>2</v>
      </c>
      <c r="F1375">
        <v>11</v>
      </c>
      <c r="G1375">
        <v>660</v>
      </c>
      <c r="H1375">
        <v>73463105</v>
      </c>
      <c r="I1375">
        <v>906299</v>
      </c>
      <c r="J1375" t="s">
        <v>21</v>
      </c>
      <c r="K1375" t="s">
        <v>22</v>
      </c>
      <c r="L1375">
        <v>7</v>
      </c>
      <c r="M1375">
        <v>5.5</v>
      </c>
      <c r="N1375">
        <v>794129</v>
      </c>
      <c r="O1375">
        <v>1</v>
      </c>
    </row>
    <row r="1376" spans="1:15">
      <c r="A1376" t="s">
        <v>1402</v>
      </c>
      <c r="B1376" t="s">
        <v>27</v>
      </c>
      <c r="C1376">
        <v>5</v>
      </c>
      <c r="D1376">
        <v>15241404</v>
      </c>
      <c r="E1376">
        <v>1</v>
      </c>
      <c r="F1376">
        <v>11</v>
      </c>
      <c r="G1376">
        <v>179</v>
      </c>
      <c r="H1376">
        <v>98485604</v>
      </c>
      <c r="I1376">
        <v>30621</v>
      </c>
      <c r="J1376" t="s">
        <v>25</v>
      </c>
      <c r="K1376" t="s">
        <v>22</v>
      </c>
      <c r="L1376">
        <v>4</v>
      </c>
      <c r="M1376">
        <v>54.63</v>
      </c>
      <c r="N1376">
        <v>864461</v>
      </c>
      <c r="O1376">
        <v>1</v>
      </c>
    </row>
    <row r="1377" spans="1:15">
      <c r="A1377" t="s">
        <v>1403</v>
      </c>
      <c r="B1377" t="s">
        <v>38</v>
      </c>
      <c r="C1377">
        <v>14</v>
      </c>
      <c r="D1377">
        <v>49901535</v>
      </c>
      <c r="E1377">
        <v>2</v>
      </c>
      <c r="F1377">
        <v>3</v>
      </c>
      <c r="G1377">
        <v>671</v>
      </c>
      <c r="H1377">
        <v>77424713</v>
      </c>
      <c r="I1377">
        <v>737052</v>
      </c>
      <c r="J1377" t="s">
        <v>21</v>
      </c>
      <c r="K1377" t="s">
        <v>18</v>
      </c>
      <c r="L1377">
        <v>8</v>
      </c>
      <c r="M1377">
        <v>97.89</v>
      </c>
      <c r="N1377">
        <v>878927</v>
      </c>
      <c r="O1377">
        <v>1</v>
      </c>
    </row>
    <row r="1378" spans="1:15">
      <c r="A1378" t="s">
        <v>1404</v>
      </c>
      <c r="B1378" t="s">
        <v>24</v>
      </c>
      <c r="C1378">
        <v>8</v>
      </c>
      <c r="D1378">
        <v>34231222</v>
      </c>
      <c r="E1378">
        <v>2</v>
      </c>
      <c r="F1378">
        <v>13</v>
      </c>
      <c r="G1378">
        <v>838</v>
      </c>
      <c r="H1378">
        <v>9686610</v>
      </c>
      <c r="I1378">
        <v>182577</v>
      </c>
      <c r="J1378" t="s">
        <v>21</v>
      </c>
      <c r="K1378" t="s">
        <v>22</v>
      </c>
      <c r="L1378">
        <v>3</v>
      </c>
      <c r="M1378">
        <v>39.53</v>
      </c>
      <c r="N1378">
        <v>302227</v>
      </c>
      <c r="O1378">
        <v>1</v>
      </c>
    </row>
    <row r="1379" spans="1:15">
      <c r="A1379" t="s">
        <v>1405</v>
      </c>
      <c r="B1379" t="s">
        <v>20</v>
      </c>
      <c r="C1379">
        <v>13</v>
      </c>
      <c r="D1379">
        <v>5031001</v>
      </c>
      <c r="E1379">
        <v>1</v>
      </c>
      <c r="F1379">
        <v>25</v>
      </c>
      <c r="G1379">
        <v>557</v>
      </c>
      <c r="H1379">
        <v>96848911</v>
      </c>
      <c r="I1379">
        <v>696921</v>
      </c>
      <c r="J1379" t="s">
        <v>25</v>
      </c>
      <c r="K1379" t="s">
        <v>22</v>
      </c>
      <c r="L1379">
        <v>7</v>
      </c>
      <c r="M1379">
        <v>6.27</v>
      </c>
      <c r="N1379">
        <v>40875</v>
      </c>
      <c r="O1379">
        <v>1</v>
      </c>
    </row>
    <row r="1380" spans="1:15">
      <c r="A1380" t="s">
        <v>1406</v>
      </c>
      <c r="B1380" t="s">
        <v>27</v>
      </c>
      <c r="C1380">
        <v>3</v>
      </c>
      <c r="D1380">
        <v>43186688</v>
      </c>
      <c r="E1380">
        <v>4</v>
      </c>
      <c r="F1380">
        <v>0</v>
      </c>
      <c r="G1380">
        <v>375</v>
      </c>
      <c r="H1380">
        <v>2706378</v>
      </c>
      <c r="I1380">
        <v>247956</v>
      </c>
      <c r="J1380" t="s">
        <v>21</v>
      </c>
      <c r="K1380" t="s">
        <v>22</v>
      </c>
      <c r="L1380">
        <v>3</v>
      </c>
      <c r="M1380">
        <v>19.38</v>
      </c>
      <c r="N1380">
        <v>866966</v>
      </c>
      <c r="O1380">
        <v>1</v>
      </c>
    </row>
    <row r="1381" spans="1:15">
      <c r="A1381" t="s">
        <v>1407</v>
      </c>
      <c r="B1381" t="s">
        <v>20</v>
      </c>
      <c r="C1381">
        <v>8</v>
      </c>
      <c r="D1381">
        <v>36834995</v>
      </c>
      <c r="E1381">
        <v>4</v>
      </c>
      <c r="F1381">
        <v>25</v>
      </c>
      <c r="G1381">
        <v>496</v>
      </c>
      <c r="H1381">
        <v>44929407</v>
      </c>
      <c r="I1381">
        <v>451190</v>
      </c>
      <c r="J1381" t="s">
        <v>21</v>
      </c>
      <c r="K1381" t="s">
        <v>30</v>
      </c>
      <c r="L1381">
        <v>4</v>
      </c>
      <c r="M1381">
        <v>6.01</v>
      </c>
      <c r="N1381">
        <v>806834</v>
      </c>
      <c r="O1381">
        <v>1</v>
      </c>
    </row>
    <row r="1382" spans="1:15">
      <c r="A1382" t="s">
        <v>1408</v>
      </c>
      <c r="B1382" t="s">
        <v>27</v>
      </c>
      <c r="C1382">
        <v>2</v>
      </c>
      <c r="D1382">
        <v>42990053</v>
      </c>
      <c r="E1382">
        <v>1</v>
      </c>
      <c r="F1382">
        <v>1</v>
      </c>
      <c r="G1382">
        <v>55</v>
      </c>
      <c r="H1382">
        <v>14029756</v>
      </c>
      <c r="I1382">
        <v>101743</v>
      </c>
      <c r="J1382" t="s">
        <v>17</v>
      </c>
      <c r="K1382" t="s">
        <v>22</v>
      </c>
      <c r="L1382">
        <v>9</v>
      </c>
      <c r="M1382">
        <v>31.01</v>
      </c>
      <c r="N1382">
        <v>808067</v>
      </c>
      <c r="O1382">
        <v>1</v>
      </c>
    </row>
    <row r="1383" spans="1:15">
      <c r="A1383" t="s">
        <v>1409</v>
      </c>
      <c r="B1383" t="s">
        <v>32</v>
      </c>
      <c r="C1383">
        <v>2</v>
      </c>
      <c r="D1383">
        <v>25806457</v>
      </c>
      <c r="E1383">
        <v>2</v>
      </c>
      <c r="F1383">
        <v>21</v>
      </c>
      <c r="G1383">
        <v>957</v>
      </c>
      <c r="H1383">
        <v>44391727</v>
      </c>
      <c r="I1383">
        <v>158714</v>
      </c>
      <c r="J1383" t="s">
        <v>21</v>
      </c>
      <c r="K1383" t="s">
        <v>30</v>
      </c>
      <c r="L1383">
        <v>2</v>
      </c>
      <c r="M1383">
        <v>14.39</v>
      </c>
      <c r="N1383">
        <v>452666</v>
      </c>
      <c r="O1383">
        <v>1</v>
      </c>
    </row>
    <row r="1384" spans="1:15">
      <c r="A1384" t="s">
        <v>1410</v>
      </c>
      <c r="B1384" t="s">
        <v>20</v>
      </c>
      <c r="C1384">
        <v>9</v>
      </c>
      <c r="D1384">
        <v>9157005</v>
      </c>
      <c r="E1384">
        <v>4</v>
      </c>
      <c r="F1384">
        <v>15</v>
      </c>
      <c r="G1384">
        <v>942</v>
      </c>
      <c r="H1384">
        <v>432273</v>
      </c>
      <c r="I1384">
        <v>712563</v>
      </c>
      <c r="J1384" t="s">
        <v>25</v>
      </c>
      <c r="K1384" t="s">
        <v>30</v>
      </c>
      <c r="L1384">
        <v>6</v>
      </c>
      <c r="M1384">
        <v>7.11</v>
      </c>
      <c r="N1384">
        <v>941155</v>
      </c>
      <c r="O1384">
        <v>1</v>
      </c>
    </row>
    <row r="1385" spans="1:15">
      <c r="A1385" t="s">
        <v>1411</v>
      </c>
      <c r="B1385" t="s">
        <v>27</v>
      </c>
      <c r="C1385">
        <v>6</v>
      </c>
      <c r="D1385">
        <v>11376834</v>
      </c>
      <c r="E1385">
        <v>1</v>
      </c>
      <c r="F1385">
        <v>0</v>
      </c>
      <c r="G1385">
        <v>968</v>
      </c>
      <c r="H1385">
        <v>14629108</v>
      </c>
      <c r="I1385">
        <v>434388</v>
      </c>
      <c r="J1385" t="s">
        <v>21</v>
      </c>
      <c r="K1385" t="s">
        <v>30</v>
      </c>
      <c r="L1385">
        <v>9</v>
      </c>
      <c r="M1385">
        <v>87.5</v>
      </c>
      <c r="N1385">
        <v>690516</v>
      </c>
      <c r="O1385">
        <v>1</v>
      </c>
    </row>
    <row r="1386" spans="1:15">
      <c r="A1386" t="s">
        <v>1412</v>
      </c>
      <c r="B1386" t="s">
        <v>20</v>
      </c>
      <c r="C1386">
        <v>7</v>
      </c>
      <c r="D1386">
        <v>15064420</v>
      </c>
      <c r="E1386">
        <v>2</v>
      </c>
      <c r="F1386">
        <v>11</v>
      </c>
      <c r="G1386">
        <v>774</v>
      </c>
      <c r="H1386">
        <v>97367622</v>
      </c>
      <c r="I1386">
        <v>544608</v>
      </c>
      <c r="J1386" t="s">
        <v>25</v>
      </c>
      <c r="K1386" t="s">
        <v>18</v>
      </c>
      <c r="L1386">
        <v>1</v>
      </c>
      <c r="M1386">
        <v>8.74</v>
      </c>
      <c r="N1386">
        <v>171192</v>
      </c>
      <c r="O1386">
        <v>1</v>
      </c>
    </row>
    <row r="1387" spans="1:15">
      <c r="A1387" t="s">
        <v>1413</v>
      </c>
      <c r="B1387" t="s">
        <v>24</v>
      </c>
      <c r="C1387">
        <v>10</v>
      </c>
      <c r="D1387">
        <v>13694337</v>
      </c>
      <c r="E1387">
        <v>4</v>
      </c>
      <c r="F1387">
        <v>9</v>
      </c>
      <c r="G1387">
        <v>239</v>
      </c>
      <c r="H1387">
        <v>7123788</v>
      </c>
      <c r="I1387">
        <v>493928</v>
      </c>
      <c r="J1387" t="s">
        <v>21</v>
      </c>
      <c r="K1387" t="s">
        <v>18</v>
      </c>
      <c r="L1387">
        <v>8</v>
      </c>
      <c r="M1387">
        <v>50.7</v>
      </c>
      <c r="N1387">
        <v>872459</v>
      </c>
      <c r="O1387">
        <v>1</v>
      </c>
    </row>
    <row r="1388" spans="1:15">
      <c r="A1388" t="s">
        <v>1414</v>
      </c>
      <c r="B1388" t="s">
        <v>32</v>
      </c>
      <c r="C1388">
        <v>10</v>
      </c>
      <c r="D1388">
        <v>46612206</v>
      </c>
      <c r="E1388">
        <v>2</v>
      </c>
      <c r="F1388">
        <v>23</v>
      </c>
      <c r="G1388">
        <v>718</v>
      </c>
      <c r="H1388">
        <v>98739103</v>
      </c>
      <c r="I1388">
        <v>604283</v>
      </c>
      <c r="J1388" t="s">
        <v>17</v>
      </c>
      <c r="K1388" t="s">
        <v>18</v>
      </c>
      <c r="L1388">
        <v>6</v>
      </c>
      <c r="M1388">
        <v>69.61</v>
      </c>
      <c r="N1388">
        <v>673402</v>
      </c>
      <c r="O1388">
        <v>1</v>
      </c>
    </row>
    <row r="1389" spans="1:15">
      <c r="A1389" t="s">
        <v>1415</v>
      </c>
      <c r="B1389" t="s">
        <v>32</v>
      </c>
      <c r="C1389">
        <v>11</v>
      </c>
      <c r="D1389">
        <v>39398765</v>
      </c>
      <c r="E1389">
        <v>1</v>
      </c>
      <c r="F1389">
        <v>0</v>
      </c>
      <c r="G1389">
        <v>344</v>
      </c>
      <c r="H1389">
        <v>20359539</v>
      </c>
      <c r="I1389">
        <v>94917</v>
      </c>
      <c r="J1389" t="s">
        <v>17</v>
      </c>
      <c r="K1389" t="s">
        <v>22</v>
      </c>
      <c r="L1389">
        <v>1</v>
      </c>
      <c r="M1389">
        <v>3.24</v>
      </c>
      <c r="N1389">
        <v>788248</v>
      </c>
      <c r="O1389">
        <v>1</v>
      </c>
    </row>
    <row r="1390" spans="1:15">
      <c r="A1390" t="s">
        <v>1416</v>
      </c>
      <c r="B1390" t="s">
        <v>29</v>
      </c>
      <c r="C1390">
        <v>12</v>
      </c>
      <c r="D1390">
        <v>11523067</v>
      </c>
      <c r="E1390">
        <v>2</v>
      </c>
      <c r="F1390">
        <v>26</v>
      </c>
      <c r="G1390">
        <v>764</v>
      </c>
      <c r="H1390">
        <v>52186164</v>
      </c>
      <c r="I1390">
        <v>260920</v>
      </c>
      <c r="J1390" t="s">
        <v>25</v>
      </c>
      <c r="K1390" t="s">
        <v>18</v>
      </c>
      <c r="L1390">
        <v>3</v>
      </c>
      <c r="M1390">
        <v>57.55</v>
      </c>
      <c r="N1390">
        <v>146252</v>
      </c>
      <c r="O1390">
        <v>1</v>
      </c>
    </row>
    <row r="1391" spans="1:15">
      <c r="A1391" t="s">
        <v>1417</v>
      </c>
      <c r="B1391" t="s">
        <v>32</v>
      </c>
      <c r="C1391">
        <v>3</v>
      </c>
      <c r="D1391">
        <v>1487195</v>
      </c>
      <c r="E1391">
        <v>4</v>
      </c>
      <c r="F1391">
        <v>14</v>
      </c>
      <c r="G1391">
        <v>77</v>
      </c>
      <c r="H1391">
        <v>61721763</v>
      </c>
      <c r="I1391">
        <v>794738</v>
      </c>
      <c r="J1391" t="s">
        <v>21</v>
      </c>
      <c r="K1391" t="s">
        <v>22</v>
      </c>
      <c r="L1391">
        <v>7</v>
      </c>
      <c r="M1391">
        <v>92.83</v>
      </c>
      <c r="N1391">
        <v>181096</v>
      </c>
      <c r="O1391">
        <v>1</v>
      </c>
    </row>
    <row r="1392" spans="1:15">
      <c r="A1392" t="s">
        <v>1418</v>
      </c>
      <c r="B1392" t="s">
        <v>29</v>
      </c>
      <c r="C1392">
        <v>13</v>
      </c>
      <c r="D1392">
        <v>41870811</v>
      </c>
      <c r="E1392">
        <v>4</v>
      </c>
      <c r="F1392">
        <v>29</v>
      </c>
      <c r="G1392">
        <v>715</v>
      </c>
      <c r="H1392">
        <v>20445192</v>
      </c>
      <c r="I1392">
        <v>257597</v>
      </c>
      <c r="J1392" t="s">
        <v>25</v>
      </c>
      <c r="K1392" t="s">
        <v>22</v>
      </c>
      <c r="L1392">
        <v>1</v>
      </c>
      <c r="M1392">
        <v>84.48</v>
      </c>
      <c r="N1392">
        <v>640950</v>
      </c>
      <c r="O1392">
        <v>1</v>
      </c>
    </row>
    <row r="1393" spans="1:15">
      <c r="A1393" t="s">
        <v>1419</v>
      </c>
      <c r="B1393" t="s">
        <v>29</v>
      </c>
      <c r="C1393">
        <v>6</v>
      </c>
      <c r="D1393">
        <v>2270316</v>
      </c>
      <c r="E1393">
        <v>1</v>
      </c>
      <c r="F1393">
        <v>20</v>
      </c>
      <c r="G1393">
        <v>991</v>
      </c>
      <c r="H1393">
        <v>72192791</v>
      </c>
      <c r="I1393">
        <v>471575</v>
      </c>
      <c r="J1393" t="s">
        <v>21</v>
      </c>
      <c r="K1393" t="s">
        <v>30</v>
      </c>
      <c r="L1393">
        <v>2</v>
      </c>
      <c r="M1393">
        <v>87.99</v>
      </c>
      <c r="N1393">
        <v>894073</v>
      </c>
      <c r="O1393">
        <v>1</v>
      </c>
    </row>
    <row r="1394" spans="1:15">
      <c r="A1394" t="s">
        <v>1420</v>
      </c>
      <c r="B1394" t="s">
        <v>38</v>
      </c>
      <c r="C1394">
        <v>12</v>
      </c>
      <c r="D1394">
        <v>41050054</v>
      </c>
      <c r="E1394">
        <v>2</v>
      </c>
      <c r="F1394">
        <v>28</v>
      </c>
      <c r="G1394">
        <v>735</v>
      </c>
      <c r="H1394">
        <v>72900455</v>
      </c>
      <c r="I1394">
        <v>383959</v>
      </c>
      <c r="J1394" t="s">
        <v>17</v>
      </c>
      <c r="K1394" t="s">
        <v>18</v>
      </c>
      <c r="L1394">
        <v>7</v>
      </c>
      <c r="M1394">
        <v>48.54</v>
      </c>
      <c r="N1394">
        <v>335106</v>
      </c>
      <c r="O1394">
        <v>1</v>
      </c>
    </row>
    <row r="1395" spans="1:15">
      <c r="A1395" t="s">
        <v>1421</v>
      </c>
      <c r="B1395" t="s">
        <v>24</v>
      </c>
      <c r="C1395">
        <v>4</v>
      </c>
      <c r="D1395">
        <v>1162762</v>
      </c>
      <c r="E1395">
        <v>4</v>
      </c>
      <c r="F1395">
        <v>8</v>
      </c>
      <c r="G1395">
        <v>553</v>
      </c>
      <c r="H1395">
        <v>76162085</v>
      </c>
      <c r="I1395">
        <v>523466</v>
      </c>
      <c r="J1395" t="s">
        <v>25</v>
      </c>
      <c r="K1395" t="s">
        <v>22</v>
      </c>
      <c r="L1395">
        <v>2</v>
      </c>
      <c r="M1395">
        <v>70.73</v>
      </c>
      <c r="N1395">
        <v>42463</v>
      </c>
      <c r="O1395">
        <v>1</v>
      </c>
    </row>
    <row r="1396" spans="1:15">
      <c r="A1396" t="s">
        <v>1422</v>
      </c>
      <c r="B1396" t="s">
        <v>24</v>
      </c>
      <c r="C1396">
        <v>6</v>
      </c>
      <c r="D1396">
        <v>31869291</v>
      </c>
      <c r="E1396">
        <v>4</v>
      </c>
      <c r="F1396">
        <v>7</v>
      </c>
      <c r="G1396">
        <v>424</v>
      </c>
      <c r="H1396">
        <v>51985195</v>
      </c>
      <c r="I1396">
        <v>480850</v>
      </c>
      <c r="J1396" t="s">
        <v>25</v>
      </c>
      <c r="K1396" t="s">
        <v>30</v>
      </c>
      <c r="L1396">
        <v>7</v>
      </c>
      <c r="M1396">
        <v>11.36</v>
      </c>
      <c r="N1396">
        <v>613574</v>
      </c>
      <c r="O1396">
        <v>1</v>
      </c>
    </row>
    <row r="1397" spans="1:15">
      <c r="A1397" t="s">
        <v>1423</v>
      </c>
      <c r="B1397" t="s">
        <v>20</v>
      </c>
      <c r="C1397">
        <v>13</v>
      </c>
      <c r="D1397">
        <v>44924258</v>
      </c>
      <c r="E1397">
        <v>1</v>
      </c>
      <c r="F1397">
        <v>1</v>
      </c>
      <c r="G1397">
        <v>115</v>
      </c>
      <c r="H1397">
        <v>97935319</v>
      </c>
      <c r="I1397">
        <v>132324</v>
      </c>
      <c r="J1397" t="s">
        <v>17</v>
      </c>
      <c r="K1397" t="s">
        <v>18</v>
      </c>
      <c r="L1397">
        <v>7</v>
      </c>
      <c r="M1397">
        <v>49.11</v>
      </c>
      <c r="N1397">
        <v>551638</v>
      </c>
      <c r="O1397">
        <v>1</v>
      </c>
    </row>
    <row r="1398" spans="1:15">
      <c r="A1398" t="s">
        <v>1424</v>
      </c>
      <c r="B1398" t="s">
        <v>20</v>
      </c>
      <c r="C1398">
        <v>13</v>
      </c>
      <c r="D1398">
        <v>42574551</v>
      </c>
      <c r="E1398">
        <v>4</v>
      </c>
      <c r="F1398">
        <v>23</v>
      </c>
      <c r="G1398">
        <v>526</v>
      </c>
      <c r="H1398">
        <v>67362687</v>
      </c>
      <c r="I1398">
        <v>880605</v>
      </c>
      <c r="J1398" t="s">
        <v>25</v>
      </c>
      <c r="K1398" t="s">
        <v>18</v>
      </c>
      <c r="L1398">
        <v>3</v>
      </c>
      <c r="M1398">
        <v>24.2</v>
      </c>
      <c r="N1398">
        <v>724024</v>
      </c>
      <c r="O1398">
        <v>1</v>
      </c>
    </row>
    <row r="1399" spans="1:15">
      <c r="A1399" t="s">
        <v>1425</v>
      </c>
      <c r="B1399" t="s">
        <v>32</v>
      </c>
      <c r="C1399">
        <v>5</v>
      </c>
      <c r="D1399">
        <v>20400508</v>
      </c>
      <c r="E1399">
        <v>3</v>
      </c>
      <c r="F1399">
        <v>23</v>
      </c>
      <c r="G1399">
        <v>643</v>
      </c>
      <c r="H1399">
        <v>35035606</v>
      </c>
      <c r="I1399">
        <v>830844</v>
      </c>
      <c r="J1399" t="s">
        <v>25</v>
      </c>
      <c r="K1399" t="s">
        <v>18</v>
      </c>
      <c r="L1399">
        <v>4</v>
      </c>
      <c r="M1399">
        <v>24.06</v>
      </c>
      <c r="N1399">
        <v>242273</v>
      </c>
      <c r="O1399">
        <v>1</v>
      </c>
    </row>
    <row r="1400" spans="1:15">
      <c r="A1400" t="s">
        <v>1426</v>
      </c>
      <c r="B1400" t="s">
        <v>38</v>
      </c>
      <c r="C1400">
        <v>1</v>
      </c>
      <c r="D1400">
        <v>9375988</v>
      </c>
      <c r="E1400">
        <v>1</v>
      </c>
      <c r="F1400">
        <v>7</v>
      </c>
      <c r="G1400">
        <v>7</v>
      </c>
      <c r="H1400">
        <v>79361976</v>
      </c>
      <c r="I1400">
        <v>573628</v>
      </c>
      <c r="J1400" t="s">
        <v>17</v>
      </c>
      <c r="K1400" t="s">
        <v>22</v>
      </c>
      <c r="L1400">
        <v>5</v>
      </c>
      <c r="M1400">
        <v>54.22</v>
      </c>
      <c r="N1400">
        <v>381931</v>
      </c>
      <c r="O1400">
        <v>1</v>
      </c>
    </row>
    <row r="1401" spans="1:15">
      <c r="A1401" t="s">
        <v>1427</v>
      </c>
      <c r="B1401" t="s">
        <v>20</v>
      </c>
      <c r="C1401">
        <v>7</v>
      </c>
      <c r="D1401">
        <v>15353495</v>
      </c>
      <c r="E1401">
        <v>4</v>
      </c>
      <c r="F1401">
        <v>5</v>
      </c>
      <c r="G1401">
        <v>722</v>
      </c>
      <c r="H1401">
        <v>79982916</v>
      </c>
      <c r="I1401">
        <v>207235</v>
      </c>
      <c r="J1401" t="s">
        <v>25</v>
      </c>
      <c r="K1401" t="s">
        <v>18</v>
      </c>
      <c r="L1401">
        <v>3</v>
      </c>
      <c r="M1401">
        <v>98.51</v>
      </c>
      <c r="N1401">
        <v>665371</v>
      </c>
      <c r="O1401">
        <v>1</v>
      </c>
    </row>
    <row r="1402" spans="1:15">
      <c r="A1402" t="s">
        <v>1428</v>
      </c>
      <c r="B1402" t="s">
        <v>38</v>
      </c>
      <c r="C1402">
        <v>14</v>
      </c>
      <c r="D1402">
        <v>3968039</v>
      </c>
      <c r="E1402">
        <v>3</v>
      </c>
      <c r="F1402">
        <v>24</v>
      </c>
      <c r="G1402">
        <v>957</v>
      </c>
      <c r="H1402">
        <v>49223027</v>
      </c>
      <c r="I1402">
        <v>807726</v>
      </c>
      <c r="J1402" t="s">
        <v>25</v>
      </c>
      <c r="K1402" t="s">
        <v>18</v>
      </c>
      <c r="L1402">
        <v>2</v>
      </c>
      <c r="M1402">
        <v>57.25</v>
      </c>
      <c r="N1402">
        <v>892720</v>
      </c>
      <c r="O1402">
        <v>1</v>
      </c>
    </row>
    <row r="1403" spans="1:15">
      <c r="A1403" t="s">
        <v>1429</v>
      </c>
      <c r="B1403" t="s">
        <v>16</v>
      </c>
      <c r="C1403">
        <v>6</v>
      </c>
      <c r="D1403">
        <v>27121081</v>
      </c>
      <c r="E1403">
        <v>4</v>
      </c>
      <c r="F1403">
        <v>5</v>
      </c>
      <c r="G1403">
        <v>715</v>
      </c>
      <c r="H1403">
        <v>54813606</v>
      </c>
      <c r="I1403">
        <v>27303</v>
      </c>
      <c r="J1403" t="s">
        <v>17</v>
      </c>
      <c r="K1403" t="s">
        <v>18</v>
      </c>
      <c r="L1403">
        <v>9</v>
      </c>
      <c r="M1403">
        <v>4.62</v>
      </c>
      <c r="N1403">
        <v>734289</v>
      </c>
      <c r="O1403">
        <v>1</v>
      </c>
    </row>
    <row r="1404" spans="1:15">
      <c r="A1404" t="s">
        <v>1430</v>
      </c>
      <c r="B1404" t="s">
        <v>32</v>
      </c>
      <c r="C1404">
        <v>12</v>
      </c>
      <c r="D1404">
        <v>17989686</v>
      </c>
      <c r="E1404">
        <v>3</v>
      </c>
      <c r="F1404">
        <v>17</v>
      </c>
      <c r="G1404">
        <v>92</v>
      </c>
      <c r="H1404">
        <v>98547920</v>
      </c>
      <c r="I1404">
        <v>875951</v>
      </c>
      <c r="J1404" t="s">
        <v>21</v>
      </c>
      <c r="K1404" t="s">
        <v>18</v>
      </c>
      <c r="L1404">
        <v>3</v>
      </c>
      <c r="M1404">
        <v>12.8</v>
      </c>
      <c r="N1404">
        <v>190640</v>
      </c>
      <c r="O1404">
        <v>1</v>
      </c>
    </row>
    <row r="1405" spans="1:15">
      <c r="A1405" t="s">
        <v>1431</v>
      </c>
      <c r="B1405" t="s">
        <v>29</v>
      </c>
      <c r="C1405">
        <v>9</v>
      </c>
      <c r="D1405">
        <v>45482999</v>
      </c>
      <c r="E1405">
        <v>4</v>
      </c>
      <c r="F1405">
        <v>27</v>
      </c>
      <c r="G1405">
        <v>348</v>
      </c>
      <c r="H1405">
        <v>51049474</v>
      </c>
      <c r="I1405">
        <v>837025</v>
      </c>
      <c r="J1405" t="s">
        <v>17</v>
      </c>
      <c r="K1405" t="s">
        <v>18</v>
      </c>
      <c r="L1405">
        <v>1</v>
      </c>
      <c r="M1405">
        <v>18.52</v>
      </c>
      <c r="N1405">
        <v>30234</v>
      </c>
      <c r="O1405">
        <v>1</v>
      </c>
    </row>
    <row r="1406" spans="1:15">
      <c r="A1406" t="s">
        <v>1432</v>
      </c>
      <c r="B1406" t="s">
        <v>27</v>
      </c>
      <c r="C1406">
        <v>4</v>
      </c>
      <c r="D1406">
        <v>25071180</v>
      </c>
      <c r="E1406">
        <v>1</v>
      </c>
      <c r="F1406">
        <v>18</v>
      </c>
      <c r="G1406">
        <v>599</v>
      </c>
      <c r="H1406">
        <v>51186073</v>
      </c>
      <c r="I1406">
        <v>99274</v>
      </c>
      <c r="J1406" t="s">
        <v>17</v>
      </c>
      <c r="K1406" t="s">
        <v>18</v>
      </c>
      <c r="L1406">
        <v>4</v>
      </c>
      <c r="M1406">
        <v>38.32</v>
      </c>
      <c r="N1406">
        <v>713939</v>
      </c>
      <c r="O1406">
        <v>1</v>
      </c>
    </row>
    <row r="1407" spans="1:15">
      <c r="A1407" t="s">
        <v>1433</v>
      </c>
      <c r="B1407" t="s">
        <v>24</v>
      </c>
      <c r="C1407">
        <v>0</v>
      </c>
      <c r="D1407">
        <v>19793810</v>
      </c>
      <c r="E1407">
        <v>2</v>
      </c>
      <c r="F1407">
        <v>28</v>
      </c>
      <c r="G1407">
        <v>678</v>
      </c>
      <c r="H1407">
        <v>11593730</v>
      </c>
      <c r="I1407">
        <v>958685</v>
      </c>
      <c r="J1407" t="s">
        <v>21</v>
      </c>
      <c r="K1407" t="s">
        <v>18</v>
      </c>
      <c r="L1407">
        <v>3</v>
      </c>
      <c r="M1407">
        <v>55.93</v>
      </c>
      <c r="N1407">
        <v>721280</v>
      </c>
      <c r="O1407">
        <v>1</v>
      </c>
    </row>
    <row r="1408" spans="1:15">
      <c r="A1408" t="s">
        <v>1434</v>
      </c>
      <c r="B1408" t="s">
        <v>20</v>
      </c>
      <c r="C1408">
        <v>1</v>
      </c>
      <c r="D1408">
        <v>16773445</v>
      </c>
      <c r="E1408">
        <v>1</v>
      </c>
      <c r="F1408">
        <v>2</v>
      </c>
      <c r="G1408">
        <v>276</v>
      </c>
      <c r="H1408">
        <v>50520791</v>
      </c>
      <c r="I1408">
        <v>241503</v>
      </c>
      <c r="J1408" t="s">
        <v>21</v>
      </c>
      <c r="K1408" t="s">
        <v>22</v>
      </c>
      <c r="L1408">
        <v>1</v>
      </c>
      <c r="M1408">
        <v>82.31</v>
      </c>
      <c r="N1408">
        <v>757247</v>
      </c>
      <c r="O1408">
        <v>1</v>
      </c>
    </row>
    <row r="1409" spans="1:15">
      <c r="A1409" t="s">
        <v>1435</v>
      </c>
      <c r="B1409" t="s">
        <v>16</v>
      </c>
      <c r="C1409">
        <v>8</v>
      </c>
      <c r="D1409">
        <v>43434048</v>
      </c>
      <c r="E1409">
        <v>1</v>
      </c>
      <c r="F1409">
        <v>12</v>
      </c>
      <c r="G1409">
        <v>316</v>
      </c>
      <c r="H1409">
        <v>1744429</v>
      </c>
      <c r="I1409">
        <v>236740</v>
      </c>
      <c r="J1409" t="s">
        <v>17</v>
      </c>
      <c r="K1409" t="s">
        <v>30</v>
      </c>
      <c r="L1409">
        <v>3</v>
      </c>
      <c r="M1409">
        <v>88.46</v>
      </c>
      <c r="N1409">
        <v>962307</v>
      </c>
      <c r="O1409">
        <v>1</v>
      </c>
    </row>
    <row r="1410" spans="1:15">
      <c r="A1410" t="s">
        <v>1436</v>
      </c>
      <c r="B1410" t="s">
        <v>32</v>
      </c>
      <c r="C1410">
        <v>1</v>
      </c>
      <c r="D1410">
        <v>8250079</v>
      </c>
      <c r="E1410">
        <v>2</v>
      </c>
      <c r="F1410">
        <v>23</v>
      </c>
      <c r="G1410">
        <v>511</v>
      </c>
      <c r="H1410">
        <v>96292251</v>
      </c>
      <c r="I1410">
        <v>472821</v>
      </c>
      <c r="J1410" t="s">
        <v>25</v>
      </c>
      <c r="K1410" t="s">
        <v>30</v>
      </c>
      <c r="L1410">
        <v>5</v>
      </c>
      <c r="M1410">
        <v>75.75</v>
      </c>
      <c r="N1410">
        <v>758379</v>
      </c>
      <c r="O1410">
        <v>1</v>
      </c>
    </row>
    <row r="1411" spans="1:15">
      <c r="A1411" t="s">
        <v>1437</v>
      </c>
      <c r="B1411" t="s">
        <v>32</v>
      </c>
      <c r="C1411">
        <v>3</v>
      </c>
      <c r="D1411">
        <v>33327268</v>
      </c>
      <c r="E1411">
        <v>4</v>
      </c>
      <c r="F1411">
        <v>23</v>
      </c>
      <c r="G1411">
        <v>229</v>
      </c>
      <c r="H1411">
        <v>11381351</v>
      </c>
      <c r="I1411">
        <v>563552</v>
      </c>
      <c r="J1411" t="s">
        <v>17</v>
      </c>
      <c r="K1411" t="s">
        <v>30</v>
      </c>
      <c r="L1411">
        <v>3</v>
      </c>
      <c r="M1411">
        <v>8.23</v>
      </c>
      <c r="N1411">
        <v>846472</v>
      </c>
      <c r="O1411">
        <v>1</v>
      </c>
    </row>
    <row r="1412" spans="1:15">
      <c r="A1412" t="s">
        <v>1438</v>
      </c>
      <c r="B1412" t="s">
        <v>16</v>
      </c>
      <c r="C1412">
        <v>0</v>
      </c>
      <c r="D1412">
        <v>43584149</v>
      </c>
      <c r="E1412">
        <v>2</v>
      </c>
      <c r="F1412">
        <v>20</v>
      </c>
      <c r="G1412">
        <v>463</v>
      </c>
      <c r="H1412">
        <v>24389206</v>
      </c>
      <c r="I1412">
        <v>284762</v>
      </c>
      <c r="J1412" t="s">
        <v>17</v>
      </c>
      <c r="K1412" t="s">
        <v>30</v>
      </c>
      <c r="L1412">
        <v>9</v>
      </c>
      <c r="M1412">
        <v>21.72</v>
      </c>
      <c r="N1412">
        <v>722392</v>
      </c>
      <c r="O1412">
        <v>1</v>
      </c>
    </row>
    <row r="1413" spans="1:15">
      <c r="A1413" t="s">
        <v>1439</v>
      </c>
      <c r="B1413" t="s">
        <v>27</v>
      </c>
      <c r="C1413">
        <v>11</v>
      </c>
      <c r="D1413">
        <v>47151000</v>
      </c>
      <c r="E1413">
        <v>1</v>
      </c>
      <c r="F1413">
        <v>16</v>
      </c>
      <c r="G1413">
        <v>2</v>
      </c>
      <c r="H1413">
        <v>86785077</v>
      </c>
      <c r="I1413">
        <v>5016</v>
      </c>
      <c r="J1413" t="s">
        <v>21</v>
      </c>
      <c r="K1413" t="s">
        <v>18</v>
      </c>
      <c r="L1413">
        <v>7</v>
      </c>
      <c r="M1413">
        <v>24.44</v>
      </c>
      <c r="N1413">
        <v>14108</v>
      </c>
      <c r="O1413">
        <v>1</v>
      </c>
    </row>
    <row r="1414" spans="1:15">
      <c r="A1414" t="s">
        <v>1440</v>
      </c>
      <c r="B1414" t="s">
        <v>27</v>
      </c>
      <c r="C1414">
        <v>9</v>
      </c>
      <c r="D1414">
        <v>13267707</v>
      </c>
      <c r="E1414">
        <v>4</v>
      </c>
      <c r="F1414">
        <v>27</v>
      </c>
      <c r="G1414">
        <v>824</v>
      </c>
      <c r="H1414">
        <v>41325534</v>
      </c>
      <c r="I1414">
        <v>414953</v>
      </c>
      <c r="J1414" t="s">
        <v>25</v>
      </c>
      <c r="K1414" t="s">
        <v>22</v>
      </c>
      <c r="L1414">
        <v>9</v>
      </c>
      <c r="M1414">
        <v>50.11</v>
      </c>
      <c r="N1414">
        <v>227363</v>
      </c>
      <c r="O1414">
        <v>1</v>
      </c>
    </row>
    <row r="1415" spans="1:15">
      <c r="A1415" t="s">
        <v>1441</v>
      </c>
      <c r="B1415" t="s">
        <v>29</v>
      </c>
      <c r="C1415">
        <v>1</v>
      </c>
      <c r="D1415">
        <v>16729731</v>
      </c>
      <c r="E1415">
        <v>4</v>
      </c>
      <c r="F1415">
        <v>19</v>
      </c>
      <c r="G1415">
        <v>718</v>
      </c>
      <c r="H1415">
        <v>91538201</v>
      </c>
      <c r="I1415">
        <v>637400</v>
      </c>
      <c r="J1415" t="s">
        <v>17</v>
      </c>
      <c r="K1415" t="s">
        <v>18</v>
      </c>
      <c r="L1415">
        <v>5</v>
      </c>
      <c r="M1415">
        <v>16.739999999999998</v>
      </c>
      <c r="N1415">
        <v>524664</v>
      </c>
      <c r="O1415">
        <v>1</v>
      </c>
    </row>
    <row r="1416" spans="1:15">
      <c r="A1416" t="s">
        <v>1442</v>
      </c>
      <c r="B1416" t="s">
        <v>29</v>
      </c>
      <c r="C1416">
        <v>7</v>
      </c>
      <c r="D1416">
        <v>33847124</v>
      </c>
      <c r="E1416">
        <v>2</v>
      </c>
      <c r="F1416">
        <v>16</v>
      </c>
      <c r="G1416">
        <v>546</v>
      </c>
      <c r="H1416">
        <v>81702093</v>
      </c>
      <c r="I1416">
        <v>62552</v>
      </c>
      <c r="J1416" t="s">
        <v>25</v>
      </c>
      <c r="K1416" t="s">
        <v>18</v>
      </c>
      <c r="L1416">
        <v>1</v>
      </c>
      <c r="M1416">
        <v>31.93</v>
      </c>
      <c r="N1416">
        <v>253923</v>
      </c>
      <c r="O1416">
        <v>1</v>
      </c>
    </row>
    <row r="1417" spans="1:15">
      <c r="A1417" t="s">
        <v>1443</v>
      </c>
      <c r="B1417" t="s">
        <v>24</v>
      </c>
      <c r="C1417">
        <v>3</v>
      </c>
      <c r="D1417">
        <v>42800139</v>
      </c>
      <c r="E1417">
        <v>3</v>
      </c>
      <c r="F1417">
        <v>25</v>
      </c>
      <c r="G1417">
        <v>451</v>
      </c>
      <c r="H1417">
        <v>44790420</v>
      </c>
      <c r="I1417">
        <v>85350</v>
      </c>
      <c r="J1417" t="s">
        <v>17</v>
      </c>
      <c r="K1417" t="s">
        <v>30</v>
      </c>
      <c r="L1417">
        <v>1</v>
      </c>
      <c r="M1417">
        <v>23.87</v>
      </c>
      <c r="N1417">
        <v>224879</v>
      </c>
      <c r="O1417">
        <v>1</v>
      </c>
    </row>
    <row r="1418" spans="1:15">
      <c r="A1418" t="s">
        <v>1444</v>
      </c>
      <c r="B1418" t="s">
        <v>20</v>
      </c>
      <c r="C1418">
        <v>5</v>
      </c>
      <c r="D1418">
        <v>43384349</v>
      </c>
      <c r="E1418">
        <v>2</v>
      </c>
      <c r="F1418">
        <v>3</v>
      </c>
      <c r="G1418">
        <v>528</v>
      </c>
      <c r="H1418">
        <v>1078327</v>
      </c>
      <c r="I1418">
        <v>522007</v>
      </c>
      <c r="J1418" t="s">
        <v>21</v>
      </c>
      <c r="K1418" t="s">
        <v>18</v>
      </c>
      <c r="L1418">
        <v>3</v>
      </c>
      <c r="M1418">
        <v>93.08</v>
      </c>
      <c r="N1418">
        <v>162304</v>
      </c>
      <c r="O1418">
        <v>1</v>
      </c>
    </row>
    <row r="1419" spans="1:15">
      <c r="A1419" t="s">
        <v>1445</v>
      </c>
      <c r="B1419" t="s">
        <v>20</v>
      </c>
      <c r="C1419">
        <v>12</v>
      </c>
      <c r="D1419">
        <v>21374858</v>
      </c>
      <c r="E1419">
        <v>3</v>
      </c>
      <c r="F1419">
        <v>1</v>
      </c>
      <c r="G1419">
        <v>92</v>
      </c>
      <c r="H1419">
        <v>89167820</v>
      </c>
      <c r="I1419">
        <v>992788</v>
      </c>
      <c r="J1419" t="s">
        <v>25</v>
      </c>
      <c r="K1419" t="s">
        <v>30</v>
      </c>
      <c r="L1419">
        <v>2</v>
      </c>
      <c r="M1419">
        <v>11.32</v>
      </c>
      <c r="N1419">
        <v>812764</v>
      </c>
      <c r="O1419">
        <v>1</v>
      </c>
    </row>
    <row r="1420" spans="1:15">
      <c r="A1420" t="s">
        <v>1446</v>
      </c>
      <c r="B1420" t="s">
        <v>27</v>
      </c>
      <c r="C1420">
        <v>3</v>
      </c>
      <c r="D1420">
        <v>33808080</v>
      </c>
      <c r="E1420">
        <v>2</v>
      </c>
      <c r="F1420">
        <v>26</v>
      </c>
      <c r="G1420">
        <v>474</v>
      </c>
      <c r="H1420">
        <v>46063493</v>
      </c>
      <c r="I1420">
        <v>480660</v>
      </c>
      <c r="J1420" t="s">
        <v>25</v>
      </c>
      <c r="K1420" t="s">
        <v>22</v>
      </c>
      <c r="L1420">
        <v>9</v>
      </c>
      <c r="M1420">
        <v>23.29</v>
      </c>
      <c r="N1420">
        <v>920341</v>
      </c>
      <c r="O1420">
        <v>1</v>
      </c>
    </row>
    <row r="1421" spans="1:15">
      <c r="A1421" t="s">
        <v>1447</v>
      </c>
      <c r="B1421" t="s">
        <v>32</v>
      </c>
      <c r="C1421">
        <v>0</v>
      </c>
      <c r="D1421">
        <v>24566922</v>
      </c>
      <c r="E1421">
        <v>3</v>
      </c>
      <c r="F1421">
        <v>14</v>
      </c>
      <c r="G1421">
        <v>863</v>
      </c>
      <c r="H1421">
        <v>81521729</v>
      </c>
      <c r="I1421">
        <v>486220</v>
      </c>
      <c r="J1421" t="s">
        <v>25</v>
      </c>
      <c r="K1421" t="s">
        <v>22</v>
      </c>
      <c r="L1421">
        <v>4</v>
      </c>
      <c r="M1421">
        <v>3.94</v>
      </c>
      <c r="N1421">
        <v>221582</v>
      </c>
      <c r="O1421">
        <v>1</v>
      </c>
    </row>
    <row r="1422" spans="1:15">
      <c r="A1422" t="s">
        <v>1448</v>
      </c>
      <c r="B1422" t="s">
        <v>32</v>
      </c>
      <c r="C1422">
        <v>9</v>
      </c>
      <c r="D1422">
        <v>6587424</v>
      </c>
      <c r="E1422">
        <v>3</v>
      </c>
      <c r="F1422">
        <v>26</v>
      </c>
      <c r="G1422">
        <v>775</v>
      </c>
      <c r="H1422">
        <v>50504964</v>
      </c>
      <c r="I1422">
        <v>726064</v>
      </c>
      <c r="J1422" t="s">
        <v>21</v>
      </c>
      <c r="K1422" t="s">
        <v>30</v>
      </c>
      <c r="L1422">
        <v>5</v>
      </c>
      <c r="M1422">
        <v>8.7100000000000009</v>
      </c>
      <c r="N1422">
        <v>333644</v>
      </c>
      <c r="O1422">
        <v>1</v>
      </c>
    </row>
    <row r="1423" spans="1:15">
      <c r="A1423" t="s">
        <v>1449</v>
      </c>
      <c r="B1423" t="s">
        <v>24</v>
      </c>
      <c r="C1423">
        <v>10</v>
      </c>
      <c r="D1423">
        <v>2730145</v>
      </c>
      <c r="E1423">
        <v>2</v>
      </c>
      <c r="F1423">
        <v>17</v>
      </c>
      <c r="G1423">
        <v>118</v>
      </c>
      <c r="H1423">
        <v>21426853</v>
      </c>
      <c r="I1423">
        <v>497697</v>
      </c>
      <c r="J1423" t="s">
        <v>17</v>
      </c>
      <c r="K1423" t="s">
        <v>30</v>
      </c>
      <c r="L1423">
        <v>2</v>
      </c>
      <c r="M1423">
        <v>8.39</v>
      </c>
      <c r="N1423">
        <v>499633</v>
      </c>
      <c r="O1423">
        <v>1</v>
      </c>
    </row>
    <row r="1424" spans="1:15">
      <c r="A1424" t="s">
        <v>1450</v>
      </c>
      <c r="B1424" t="s">
        <v>24</v>
      </c>
      <c r="C1424">
        <v>13</v>
      </c>
      <c r="D1424">
        <v>1872903</v>
      </c>
      <c r="E1424">
        <v>2</v>
      </c>
      <c r="F1424">
        <v>1</v>
      </c>
      <c r="G1424">
        <v>625</v>
      </c>
      <c r="H1424">
        <v>54859385</v>
      </c>
      <c r="I1424">
        <v>502062</v>
      </c>
      <c r="J1424" t="s">
        <v>17</v>
      </c>
      <c r="K1424" t="s">
        <v>22</v>
      </c>
      <c r="L1424">
        <v>4</v>
      </c>
      <c r="M1424">
        <v>23.18</v>
      </c>
      <c r="N1424">
        <v>696665</v>
      </c>
      <c r="O1424">
        <v>1</v>
      </c>
    </row>
    <row r="1425" spans="1:15">
      <c r="A1425" t="s">
        <v>1451</v>
      </c>
      <c r="B1425" t="s">
        <v>27</v>
      </c>
      <c r="C1425">
        <v>13</v>
      </c>
      <c r="D1425">
        <v>14469786</v>
      </c>
      <c r="E1425">
        <v>2</v>
      </c>
      <c r="F1425">
        <v>5</v>
      </c>
      <c r="G1425">
        <v>887</v>
      </c>
      <c r="H1425">
        <v>95727433</v>
      </c>
      <c r="I1425">
        <v>453202</v>
      </c>
      <c r="J1425" t="s">
        <v>17</v>
      </c>
      <c r="K1425" t="s">
        <v>30</v>
      </c>
      <c r="L1425">
        <v>7</v>
      </c>
      <c r="M1425">
        <v>56.44</v>
      </c>
      <c r="N1425">
        <v>146639</v>
      </c>
      <c r="O1425">
        <v>1</v>
      </c>
    </row>
    <row r="1426" spans="1:15">
      <c r="A1426" t="s">
        <v>1452</v>
      </c>
      <c r="B1426" t="s">
        <v>16</v>
      </c>
      <c r="C1426">
        <v>1</v>
      </c>
      <c r="D1426">
        <v>20540884</v>
      </c>
      <c r="E1426">
        <v>4</v>
      </c>
      <c r="F1426">
        <v>10</v>
      </c>
      <c r="G1426">
        <v>547</v>
      </c>
      <c r="H1426">
        <v>93686168</v>
      </c>
      <c r="I1426">
        <v>99053</v>
      </c>
      <c r="J1426" t="s">
        <v>17</v>
      </c>
      <c r="K1426" t="s">
        <v>22</v>
      </c>
      <c r="L1426">
        <v>7</v>
      </c>
      <c r="M1426">
        <v>12.58</v>
      </c>
      <c r="N1426">
        <v>55420</v>
      </c>
      <c r="O1426">
        <v>1</v>
      </c>
    </row>
    <row r="1427" spans="1:15">
      <c r="A1427" t="s">
        <v>1453</v>
      </c>
      <c r="B1427" t="s">
        <v>16</v>
      </c>
      <c r="C1427">
        <v>2</v>
      </c>
      <c r="D1427">
        <v>8805312</v>
      </c>
      <c r="E1427">
        <v>4</v>
      </c>
      <c r="F1427">
        <v>3</v>
      </c>
      <c r="G1427">
        <v>933</v>
      </c>
      <c r="H1427">
        <v>14225798</v>
      </c>
      <c r="I1427">
        <v>358613</v>
      </c>
      <c r="J1427" t="s">
        <v>21</v>
      </c>
      <c r="K1427" t="s">
        <v>30</v>
      </c>
      <c r="L1427">
        <v>7</v>
      </c>
      <c r="M1427">
        <v>7.67</v>
      </c>
      <c r="N1427">
        <v>941777</v>
      </c>
      <c r="O1427">
        <v>1</v>
      </c>
    </row>
    <row r="1428" spans="1:15">
      <c r="A1428" t="s">
        <v>1454</v>
      </c>
      <c r="B1428" t="s">
        <v>16</v>
      </c>
      <c r="C1428">
        <v>3</v>
      </c>
      <c r="D1428">
        <v>46380248</v>
      </c>
      <c r="E1428">
        <v>1</v>
      </c>
      <c r="F1428">
        <v>1</v>
      </c>
      <c r="G1428">
        <v>991</v>
      </c>
      <c r="H1428">
        <v>73237603</v>
      </c>
      <c r="I1428">
        <v>640964</v>
      </c>
      <c r="J1428" t="s">
        <v>17</v>
      </c>
      <c r="K1428" t="s">
        <v>18</v>
      </c>
      <c r="L1428">
        <v>4</v>
      </c>
      <c r="M1428">
        <v>27.05</v>
      </c>
      <c r="N1428">
        <v>904958</v>
      </c>
      <c r="O1428">
        <v>1</v>
      </c>
    </row>
    <row r="1429" spans="1:15">
      <c r="A1429" t="s">
        <v>1455</v>
      </c>
      <c r="B1429" t="s">
        <v>16</v>
      </c>
      <c r="C1429">
        <v>8</v>
      </c>
      <c r="D1429">
        <v>11953887</v>
      </c>
      <c r="E1429">
        <v>3</v>
      </c>
      <c r="F1429">
        <v>22</v>
      </c>
      <c r="G1429">
        <v>41</v>
      </c>
      <c r="H1429">
        <v>22358747</v>
      </c>
      <c r="I1429">
        <v>389073</v>
      </c>
      <c r="J1429" t="s">
        <v>17</v>
      </c>
      <c r="K1429" t="s">
        <v>22</v>
      </c>
      <c r="L1429">
        <v>7</v>
      </c>
      <c r="M1429">
        <v>3.41</v>
      </c>
      <c r="N1429">
        <v>942123</v>
      </c>
      <c r="O1429">
        <v>1</v>
      </c>
    </row>
    <row r="1430" spans="1:15">
      <c r="A1430" t="s">
        <v>1456</v>
      </c>
      <c r="B1430" t="s">
        <v>24</v>
      </c>
      <c r="C1430">
        <v>7</v>
      </c>
      <c r="D1430">
        <v>32226425</v>
      </c>
      <c r="E1430">
        <v>4</v>
      </c>
      <c r="F1430">
        <v>11</v>
      </c>
      <c r="G1430">
        <v>436</v>
      </c>
      <c r="H1430">
        <v>59140754</v>
      </c>
      <c r="I1430">
        <v>425730</v>
      </c>
      <c r="J1430" t="s">
        <v>17</v>
      </c>
      <c r="K1430" t="s">
        <v>18</v>
      </c>
      <c r="L1430">
        <v>7</v>
      </c>
      <c r="M1430">
        <v>18.66</v>
      </c>
      <c r="N1430">
        <v>859250</v>
      </c>
      <c r="O1430">
        <v>1</v>
      </c>
    </row>
    <row r="1431" spans="1:15">
      <c r="A1431" t="s">
        <v>1457</v>
      </c>
      <c r="B1431" t="s">
        <v>24</v>
      </c>
      <c r="C1431">
        <v>14</v>
      </c>
      <c r="D1431">
        <v>47173183</v>
      </c>
      <c r="E1431">
        <v>3</v>
      </c>
      <c r="F1431">
        <v>11</v>
      </c>
      <c r="G1431">
        <v>35</v>
      </c>
      <c r="H1431">
        <v>60701656</v>
      </c>
      <c r="I1431">
        <v>542353</v>
      </c>
      <c r="J1431" t="s">
        <v>21</v>
      </c>
      <c r="K1431" t="s">
        <v>18</v>
      </c>
      <c r="L1431">
        <v>1</v>
      </c>
      <c r="M1431">
        <v>8.33</v>
      </c>
      <c r="N1431">
        <v>662940</v>
      </c>
      <c r="O1431">
        <v>1</v>
      </c>
    </row>
    <row r="1432" spans="1:15">
      <c r="A1432" t="s">
        <v>1458</v>
      </c>
      <c r="B1432" t="s">
        <v>32</v>
      </c>
      <c r="C1432">
        <v>11</v>
      </c>
      <c r="D1432">
        <v>46605172</v>
      </c>
      <c r="E1432">
        <v>3</v>
      </c>
      <c r="F1432">
        <v>17</v>
      </c>
      <c r="G1432">
        <v>591</v>
      </c>
      <c r="H1432">
        <v>29054072</v>
      </c>
      <c r="I1432">
        <v>734212</v>
      </c>
      <c r="J1432" t="s">
        <v>21</v>
      </c>
      <c r="K1432" t="s">
        <v>18</v>
      </c>
      <c r="L1432">
        <v>8</v>
      </c>
      <c r="M1432">
        <v>43.08</v>
      </c>
      <c r="N1432">
        <v>397474</v>
      </c>
      <c r="O1432">
        <v>1</v>
      </c>
    </row>
    <row r="1433" spans="1:15">
      <c r="A1433" t="s">
        <v>1459</v>
      </c>
      <c r="B1433" t="s">
        <v>16</v>
      </c>
      <c r="C1433">
        <v>12</v>
      </c>
      <c r="D1433">
        <v>40352668</v>
      </c>
      <c r="E1433">
        <v>2</v>
      </c>
      <c r="F1433">
        <v>21</v>
      </c>
      <c r="G1433">
        <v>773</v>
      </c>
      <c r="H1433">
        <v>90141503</v>
      </c>
      <c r="I1433">
        <v>798708</v>
      </c>
      <c r="J1433" t="s">
        <v>17</v>
      </c>
      <c r="K1433" t="s">
        <v>30</v>
      </c>
      <c r="L1433">
        <v>6</v>
      </c>
      <c r="M1433">
        <v>12.87</v>
      </c>
      <c r="N1433">
        <v>495122</v>
      </c>
      <c r="O1433">
        <v>1</v>
      </c>
    </row>
    <row r="1434" spans="1:15">
      <c r="A1434" t="s">
        <v>1460</v>
      </c>
      <c r="B1434" t="s">
        <v>38</v>
      </c>
      <c r="C1434">
        <v>9</v>
      </c>
      <c r="D1434">
        <v>9940241</v>
      </c>
      <c r="E1434">
        <v>2</v>
      </c>
      <c r="F1434">
        <v>2</v>
      </c>
      <c r="G1434">
        <v>586</v>
      </c>
      <c r="H1434">
        <v>89546926</v>
      </c>
      <c r="I1434">
        <v>200427</v>
      </c>
      <c r="J1434" t="s">
        <v>25</v>
      </c>
      <c r="K1434" t="s">
        <v>30</v>
      </c>
      <c r="L1434">
        <v>4</v>
      </c>
      <c r="M1434">
        <v>98.77</v>
      </c>
      <c r="N1434">
        <v>640785</v>
      </c>
      <c r="O1434">
        <v>1</v>
      </c>
    </row>
    <row r="1435" spans="1:15">
      <c r="A1435" t="s">
        <v>1461</v>
      </c>
      <c r="B1435" t="s">
        <v>32</v>
      </c>
      <c r="C1435">
        <v>2</v>
      </c>
      <c r="D1435">
        <v>1050715</v>
      </c>
      <c r="E1435">
        <v>1</v>
      </c>
      <c r="F1435">
        <v>13</v>
      </c>
      <c r="G1435">
        <v>185</v>
      </c>
      <c r="H1435">
        <v>18300330</v>
      </c>
      <c r="I1435">
        <v>159925</v>
      </c>
      <c r="J1435" t="s">
        <v>17</v>
      </c>
      <c r="K1435" t="s">
        <v>30</v>
      </c>
      <c r="L1435">
        <v>6</v>
      </c>
      <c r="M1435">
        <v>85.74</v>
      </c>
      <c r="N1435">
        <v>323487</v>
      </c>
      <c r="O1435">
        <v>1</v>
      </c>
    </row>
    <row r="1436" spans="1:15">
      <c r="A1436" t="s">
        <v>1462</v>
      </c>
      <c r="B1436" t="s">
        <v>16</v>
      </c>
      <c r="C1436">
        <v>11</v>
      </c>
      <c r="D1436">
        <v>26290762</v>
      </c>
      <c r="E1436">
        <v>3</v>
      </c>
      <c r="F1436">
        <v>29</v>
      </c>
      <c r="G1436">
        <v>625</v>
      </c>
      <c r="H1436">
        <v>80445277</v>
      </c>
      <c r="I1436">
        <v>70531</v>
      </c>
      <c r="J1436" t="s">
        <v>17</v>
      </c>
      <c r="K1436" t="s">
        <v>22</v>
      </c>
      <c r="L1436">
        <v>3</v>
      </c>
      <c r="M1436">
        <v>83.95</v>
      </c>
      <c r="N1436">
        <v>347877</v>
      </c>
      <c r="O1436">
        <v>1</v>
      </c>
    </row>
    <row r="1437" spans="1:15">
      <c r="A1437" t="s">
        <v>1463</v>
      </c>
      <c r="B1437" t="s">
        <v>24</v>
      </c>
      <c r="C1437">
        <v>5</v>
      </c>
      <c r="D1437">
        <v>32651733</v>
      </c>
      <c r="E1437">
        <v>4</v>
      </c>
      <c r="F1437">
        <v>11</v>
      </c>
      <c r="G1437">
        <v>228</v>
      </c>
      <c r="H1437">
        <v>54634904</v>
      </c>
      <c r="I1437">
        <v>532606</v>
      </c>
      <c r="J1437" t="s">
        <v>21</v>
      </c>
      <c r="K1437" t="s">
        <v>18</v>
      </c>
      <c r="L1437">
        <v>5</v>
      </c>
      <c r="M1437">
        <v>98.74</v>
      </c>
      <c r="N1437">
        <v>922601</v>
      </c>
      <c r="O1437">
        <v>1</v>
      </c>
    </row>
    <row r="1438" spans="1:15">
      <c r="A1438" t="s">
        <v>1464</v>
      </c>
      <c r="B1438" t="s">
        <v>24</v>
      </c>
      <c r="C1438">
        <v>7</v>
      </c>
      <c r="D1438">
        <v>29934931</v>
      </c>
      <c r="E1438">
        <v>4</v>
      </c>
      <c r="F1438">
        <v>6</v>
      </c>
      <c r="G1438">
        <v>982</v>
      </c>
      <c r="H1438">
        <v>92491318</v>
      </c>
      <c r="I1438">
        <v>197983</v>
      </c>
      <c r="J1438" t="s">
        <v>17</v>
      </c>
      <c r="K1438" t="s">
        <v>30</v>
      </c>
      <c r="L1438">
        <v>2</v>
      </c>
      <c r="M1438">
        <v>2.65</v>
      </c>
      <c r="N1438">
        <v>64340</v>
      </c>
      <c r="O1438">
        <v>1</v>
      </c>
    </row>
    <row r="1439" spans="1:15">
      <c r="A1439" t="s">
        <v>1465</v>
      </c>
      <c r="B1439" t="s">
        <v>29</v>
      </c>
      <c r="C1439">
        <v>2</v>
      </c>
      <c r="D1439">
        <v>39742020</v>
      </c>
      <c r="E1439">
        <v>2</v>
      </c>
      <c r="F1439">
        <v>9</v>
      </c>
      <c r="G1439">
        <v>390</v>
      </c>
      <c r="H1439">
        <v>41770038</v>
      </c>
      <c r="I1439">
        <v>559470</v>
      </c>
      <c r="J1439" t="s">
        <v>25</v>
      </c>
      <c r="K1439" t="s">
        <v>30</v>
      </c>
      <c r="L1439">
        <v>7</v>
      </c>
      <c r="M1439">
        <v>9.2899999999999991</v>
      </c>
      <c r="N1439">
        <v>809550</v>
      </c>
      <c r="O1439">
        <v>1</v>
      </c>
    </row>
    <row r="1440" spans="1:15">
      <c r="A1440" t="s">
        <v>1466</v>
      </c>
      <c r="B1440" t="s">
        <v>27</v>
      </c>
      <c r="C1440">
        <v>0</v>
      </c>
      <c r="D1440">
        <v>406425</v>
      </c>
      <c r="E1440">
        <v>3</v>
      </c>
      <c r="F1440">
        <v>1</v>
      </c>
      <c r="G1440">
        <v>591</v>
      </c>
      <c r="H1440">
        <v>42482754</v>
      </c>
      <c r="I1440">
        <v>677423</v>
      </c>
      <c r="J1440" t="s">
        <v>25</v>
      </c>
      <c r="K1440" t="s">
        <v>22</v>
      </c>
      <c r="L1440">
        <v>8</v>
      </c>
      <c r="M1440">
        <v>99.91</v>
      </c>
      <c r="N1440">
        <v>7366</v>
      </c>
      <c r="O1440">
        <v>1</v>
      </c>
    </row>
    <row r="1441" spans="1:15">
      <c r="A1441" t="s">
        <v>1467</v>
      </c>
      <c r="B1441" t="s">
        <v>29</v>
      </c>
      <c r="C1441">
        <v>9</v>
      </c>
      <c r="D1441">
        <v>31179774</v>
      </c>
      <c r="E1441">
        <v>4</v>
      </c>
      <c r="F1441">
        <v>4</v>
      </c>
      <c r="G1441">
        <v>930</v>
      </c>
      <c r="H1441">
        <v>20489663</v>
      </c>
      <c r="I1441">
        <v>486652</v>
      </c>
      <c r="J1441" t="s">
        <v>21</v>
      </c>
      <c r="K1441" t="s">
        <v>22</v>
      </c>
      <c r="L1441">
        <v>3</v>
      </c>
      <c r="M1441">
        <v>85.43</v>
      </c>
      <c r="N1441">
        <v>824869</v>
      </c>
      <c r="O1441">
        <v>1</v>
      </c>
    </row>
    <row r="1442" spans="1:15">
      <c r="A1442" t="s">
        <v>1468</v>
      </c>
      <c r="B1442" t="s">
        <v>24</v>
      </c>
      <c r="C1442">
        <v>7</v>
      </c>
      <c r="D1442">
        <v>3276182</v>
      </c>
      <c r="E1442">
        <v>4</v>
      </c>
      <c r="F1442">
        <v>16</v>
      </c>
      <c r="G1442">
        <v>758</v>
      </c>
      <c r="H1442">
        <v>84202317</v>
      </c>
      <c r="I1442">
        <v>60797</v>
      </c>
      <c r="J1442" t="s">
        <v>21</v>
      </c>
      <c r="K1442" t="s">
        <v>30</v>
      </c>
      <c r="L1442">
        <v>6</v>
      </c>
      <c r="M1442">
        <v>6.54</v>
      </c>
      <c r="N1442">
        <v>905857</v>
      </c>
      <c r="O1442">
        <v>1</v>
      </c>
    </row>
    <row r="1443" spans="1:15">
      <c r="A1443" t="s">
        <v>1469</v>
      </c>
      <c r="B1443" t="s">
        <v>24</v>
      </c>
      <c r="C1443">
        <v>9</v>
      </c>
      <c r="D1443">
        <v>8392130</v>
      </c>
      <c r="E1443">
        <v>4</v>
      </c>
      <c r="F1443">
        <v>11</v>
      </c>
      <c r="G1443">
        <v>211</v>
      </c>
      <c r="H1443">
        <v>96538370</v>
      </c>
      <c r="I1443">
        <v>759699</v>
      </c>
      <c r="J1443" t="s">
        <v>25</v>
      </c>
      <c r="K1443" t="s">
        <v>30</v>
      </c>
      <c r="L1443">
        <v>8</v>
      </c>
      <c r="M1443">
        <v>87.16</v>
      </c>
      <c r="N1443">
        <v>779136</v>
      </c>
      <c r="O1443">
        <v>1</v>
      </c>
    </row>
    <row r="1444" spans="1:15">
      <c r="A1444" t="s">
        <v>1470</v>
      </c>
      <c r="B1444" t="s">
        <v>38</v>
      </c>
      <c r="C1444">
        <v>0</v>
      </c>
      <c r="D1444">
        <v>11150945</v>
      </c>
      <c r="E1444">
        <v>1</v>
      </c>
      <c r="F1444">
        <v>22</v>
      </c>
      <c r="G1444">
        <v>102</v>
      </c>
      <c r="H1444">
        <v>93719127</v>
      </c>
      <c r="I1444">
        <v>562427</v>
      </c>
      <c r="J1444" t="s">
        <v>21</v>
      </c>
      <c r="K1444" t="s">
        <v>30</v>
      </c>
      <c r="L1444">
        <v>2</v>
      </c>
      <c r="M1444">
        <v>65.17</v>
      </c>
      <c r="N1444">
        <v>250467</v>
      </c>
      <c r="O1444">
        <v>1</v>
      </c>
    </row>
    <row r="1445" spans="1:15">
      <c r="A1445" t="s">
        <v>1471</v>
      </c>
      <c r="B1445" t="s">
        <v>27</v>
      </c>
      <c r="C1445">
        <v>13</v>
      </c>
      <c r="D1445">
        <v>626354</v>
      </c>
      <c r="E1445">
        <v>4</v>
      </c>
      <c r="F1445">
        <v>23</v>
      </c>
      <c r="G1445">
        <v>677</v>
      </c>
      <c r="H1445">
        <v>11671185</v>
      </c>
      <c r="I1445">
        <v>974144</v>
      </c>
      <c r="J1445" t="s">
        <v>25</v>
      </c>
      <c r="K1445" t="s">
        <v>18</v>
      </c>
      <c r="L1445">
        <v>8</v>
      </c>
      <c r="M1445">
        <v>71.42</v>
      </c>
      <c r="N1445">
        <v>578813</v>
      </c>
      <c r="O1445">
        <v>1</v>
      </c>
    </row>
    <row r="1446" spans="1:15">
      <c r="A1446" t="s">
        <v>1472</v>
      </c>
      <c r="B1446" t="s">
        <v>27</v>
      </c>
      <c r="C1446">
        <v>0</v>
      </c>
      <c r="D1446">
        <v>15928237</v>
      </c>
      <c r="E1446">
        <v>4</v>
      </c>
      <c r="F1446">
        <v>13</v>
      </c>
      <c r="G1446">
        <v>659</v>
      </c>
      <c r="H1446">
        <v>45308891</v>
      </c>
      <c r="I1446">
        <v>739959</v>
      </c>
      <c r="J1446" t="s">
        <v>17</v>
      </c>
      <c r="K1446" t="s">
        <v>18</v>
      </c>
      <c r="L1446">
        <v>5</v>
      </c>
      <c r="M1446">
        <v>2.71</v>
      </c>
      <c r="N1446">
        <v>115502</v>
      </c>
      <c r="O1446">
        <v>1</v>
      </c>
    </row>
    <row r="1447" spans="1:15">
      <c r="A1447" t="s">
        <v>1473</v>
      </c>
      <c r="B1447" t="s">
        <v>16</v>
      </c>
      <c r="C1447">
        <v>1</v>
      </c>
      <c r="D1447">
        <v>33357437</v>
      </c>
      <c r="E1447">
        <v>2</v>
      </c>
      <c r="F1447">
        <v>20</v>
      </c>
      <c r="G1447">
        <v>95</v>
      </c>
      <c r="H1447">
        <v>80288187</v>
      </c>
      <c r="I1447">
        <v>537990</v>
      </c>
      <c r="J1447" t="s">
        <v>25</v>
      </c>
      <c r="K1447" t="s">
        <v>22</v>
      </c>
      <c r="L1447">
        <v>1</v>
      </c>
      <c r="M1447">
        <v>70.2</v>
      </c>
      <c r="N1447">
        <v>216854</v>
      </c>
      <c r="O1447">
        <v>1</v>
      </c>
    </row>
    <row r="1448" spans="1:15">
      <c r="A1448" t="s">
        <v>1474</v>
      </c>
      <c r="B1448" t="s">
        <v>24</v>
      </c>
      <c r="C1448">
        <v>1</v>
      </c>
      <c r="D1448">
        <v>40255455</v>
      </c>
      <c r="E1448">
        <v>2</v>
      </c>
      <c r="F1448">
        <v>24</v>
      </c>
      <c r="G1448">
        <v>54</v>
      </c>
      <c r="H1448">
        <v>39843012</v>
      </c>
      <c r="I1448">
        <v>628301</v>
      </c>
      <c r="J1448" t="s">
        <v>17</v>
      </c>
      <c r="K1448" t="s">
        <v>30</v>
      </c>
      <c r="L1448">
        <v>6</v>
      </c>
      <c r="M1448">
        <v>65.959999999999994</v>
      </c>
      <c r="N1448">
        <v>755124</v>
      </c>
      <c r="O1448">
        <v>1</v>
      </c>
    </row>
    <row r="1449" spans="1:15">
      <c r="A1449" t="s">
        <v>1475</v>
      </c>
      <c r="B1449" t="s">
        <v>20</v>
      </c>
      <c r="C1449">
        <v>7</v>
      </c>
      <c r="D1449">
        <v>37731201</v>
      </c>
      <c r="E1449">
        <v>1</v>
      </c>
      <c r="F1449">
        <v>24</v>
      </c>
      <c r="G1449">
        <v>336</v>
      </c>
      <c r="H1449">
        <v>77405769</v>
      </c>
      <c r="I1449">
        <v>964678</v>
      </c>
      <c r="J1449" t="s">
        <v>17</v>
      </c>
      <c r="K1449" t="s">
        <v>22</v>
      </c>
      <c r="L1449">
        <v>4</v>
      </c>
      <c r="M1449">
        <v>86.99</v>
      </c>
      <c r="N1449">
        <v>506167</v>
      </c>
      <c r="O1449">
        <v>1</v>
      </c>
    </row>
    <row r="1450" spans="1:15">
      <c r="A1450" t="s">
        <v>1476</v>
      </c>
      <c r="B1450" t="s">
        <v>27</v>
      </c>
      <c r="C1450">
        <v>1</v>
      </c>
      <c r="D1450">
        <v>5248532</v>
      </c>
      <c r="E1450">
        <v>3</v>
      </c>
      <c r="F1450">
        <v>28</v>
      </c>
      <c r="G1450">
        <v>547</v>
      </c>
      <c r="H1450">
        <v>49086270</v>
      </c>
      <c r="I1450">
        <v>866146</v>
      </c>
      <c r="J1450" t="s">
        <v>17</v>
      </c>
      <c r="K1450" t="s">
        <v>22</v>
      </c>
      <c r="L1450">
        <v>2</v>
      </c>
      <c r="M1450">
        <v>76.64</v>
      </c>
      <c r="N1450">
        <v>242603</v>
      </c>
      <c r="O1450">
        <v>1</v>
      </c>
    </row>
    <row r="1451" spans="1:15">
      <c r="A1451" t="s">
        <v>1477</v>
      </c>
      <c r="B1451" t="s">
        <v>20</v>
      </c>
      <c r="C1451">
        <v>0</v>
      </c>
      <c r="D1451">
        <v>27459059</v>
      </c>
      <c r="E1451">
        <v>4</v>
      </c>
      <c r="F1451">
        <v>4</v>
      </c>
      <c r="G1451">
        <v>948</v>
      </c>
      <c r="H1451">
        <v>53306492</v>
      </c>
      <c r="I1451">
        <v>927176</v>
      </c>
      <c r="J1451" t="s">
        <v>21</v>
      </c>
      <c r="K1451" t="s">
        <v>30</v>
      </c>
      <c r="L1451">
        <v>2</v>
      </c>
      <c r="M1451">
        <v>42.71</v>
      </c>
      <c r="N1451">
        <v>202747</v>
      </c>
      <c r="O1451">
        <v>1</v>
      </c>
    </row>
    <row r="1452" spans="1:15">
      <c r="A1452" t="s">
        <v>1478</v>
      </c>
      <c r="B1452" t="s">
        <v>29</v>
      </c>
      <c r="C1452">
        <v>9</v>
      </c>
      <c r="D1452">
        <v>30360836</v>
      </c>
      <c r="E1452">
        <v>4</v>
      </c>
      <c r="F1452">
        <v>15</v>
      </c>
      <c r="G1452">
        <v>76</v>
      </c>
      <c r="H1452">
        <v>82918557</v>
      </c>
      <c r="I1452">
        <v>88392</v>
      </c>
      <c r="J1452" t="s">
        <v>25</v>
      </c>
      <c r="K1452" t="s">
        <v>18</v>
      </c>
      <c r="L1452">
        <v>1</v>
      </c>
      <c r="M1452">
        <v>29.59</v>
      </c>
      <c r="N1452">
        <v>542647</v>
      </c>
      <c r="O1452">
        <v>1</v>
      </c>
    </row>
    <row r="1453" spans="1:15">
      <c r="A1453" t="s">
        <v>1479</v>
      </c>
      <c r="B1453" t="s">
        <v>16</v>
      </c>
      <c r="C1453">
        <v>14</v>
      </c>
      <c r="D1453">
        <v>408189</v>
      </c>
      <c r="E1453">
        <v>4</v>
      </c>
      <c r="F1453">
        <v>24</v>
      </c>
      <c r="G1453">
        <v>976</v>
      </c>
      <c r="H1453">
        <v>9982082</v>
      </c>
      <c r="I1453">
        <v>755542</v>
      </c>
      <c r="J1453" t="s">
        <v>21</v>
      </c>
      <c r="K1453" t="s">
        <v>18</v>
      </c>
      <c r="L1453">
        <v>4</v>
      </c>
      <c r="M1453">
        <v>81.99</v>
      </c>
      <c r="N1453">
        <v>662351</v>
      </c>
      <c r="O1453">
        <v>1</v>
      </c>
    </row>
    <row r="1454" spans="1:15">
      <c r="A1454" t="s">
        <v>1480</v>
      </c>
      <c r="B1454" t="s">
        <v>27</v>
      </c>
      <c r="C1454">
        <v>13</v>
      </c>
      <c r="D1454">
        <v>35637560</v>
      </c>
      <c r="E1454">
        <v>1</v>
      </c>
      <c r="F1454">
        <v>10</v>
      </c>
      <c r="G1454">
        <v>817</v>
      </c>
      <c r="H1454">
        <v>30538463</v>
      </c>
      <c r="I1454">
        <v>968937</v>
      </c>
      <c r="J1454" t="s">
        <v>25</v>
      </c>
      <c r="K1454" t="s">
        <v>22</v>
      </c>
      <c r="L1454">
        <v>3</v>
      </c>
      <c r="M1454">
        <v>4.57</v>
      </c>
      <c r="N1454">
        <v>467120</v>
      </c>
      <c r="O1454">
        <v>1</v>
      </c>
    </row>
    <row r="1455" spans="1:15">
      <c r="A1455" t="s">
        <v>1481</v>
      </c>
      <c r="B1455" t="s">
        <v>29</v>
      </c>
      <c r="C1455">
        <v>14</v>
      </c>
      <c r="D1455">
        <v>25331883</v>
      </c>
      <c r="E1455">
        <v>2</v>
      </c>
      <c r="F1455">
        <v>7</v>
      </c>
      <c r="G1455">
        <v>869</v>
      </c>
      <c r="H1455">
        <v>836771</v>
      </c>
      <c r="I1455">
        <v>969436</v>
      </c>
      <c r="J1455" t="s">
        <v>21</v>
      </c>
      <c r="K1455" t="s">
        <v>22</v>
      </c>
      <c r="L1455">
        <v>8</v>
      </c>
      <c r="M1455">
        <v>39.58</v>
      </c>
      <c r="N1455">
        <v>352849</v>
      </c>
      <c r="O1455">
        <v>1</v>
      </c>
    </row>
    <row r="1456" spans="1:15">
      <c r="A1456" t="s">
        <v>1482</v>
      </c>
      <c r="B1456" t="s">
        <v>32</v>
      </c>
      <c r="C1456">
        <v>5</v>
      </c>
      <c r="D1456">
        <v>15597730</v>
      </c>
      <c r="E1456">
        <v>4</v>
      </c>
      <c r="F1456">
        <v>13</v>
      </c>
      <c r="G1456">
        <v>850</v>
      </c>
      <c r="H1456">
        <v>30239967</v>
      </c>
      <c r="I1456">
        <v>606604</v>
      </c>
      <c r="J1456" t="s">
        <v>21</v>
      </c>
      <c r="K1456" t="s">
        <v>30</v>
      </c>
      <c r="L1456">
        <v>5</v>
      </c>
      <c r="M1456">
        <v>37.42</v>
      </c>
      <c r="N1456">
        <v>456120</v>
      </c>
      <c r="O1456">
        <v>1</v>
      </c>
    </row>
    <row r="1457" spans="1:15">
      <c r="A1457" t="s">
        <v>1483</v>
      </c>
      <c r="B1457" t="s">
        <v>29</v>
      </c>
      <c r="C1457">
        <v>0</v>
      </c>
      <c r="D1457">
        <v>1362532</v>
      </c>
      <c r="E1457">
        <v>2</v>
      </c>
      <c r="F1457">
        <v>3</v>
      </c>
      <c r="G1457">
        <v>9</v>
      </c>
      <c r="H1457">
        <v>29388371</v>
      </c>
      <c r="I1457">
        <v>937404</v>
      </c>
      <c r="J1457" t="s">
        <v>25</v>
      </c>
      <c r="K1457" t="s">
        <v>18</v>
      </c>
      <c r="L1457">
        <v>3</v>
      </c>
      <c r="M1457">
        <v>58.67</v>
      </c>
      <c r="N1457">
        <v>540226</v>
      </c>
      <c r="O1457">
        <v>1</v>
      </c>
    </row>
    <row r="1458" spans="1:15">
      <c r="A1458" t="s">
        <v>1484</v>
      </c>
      <c r="B1458" t="s">
        <v>24</v>
      </c>
      <c r="C1458">
        <v>4</v>
      </c>
      <c r="D1458">
        <v>25223682</v>
      </c>
      <c r="E1458">
        <v>3</v>
      </c>
      <c r="F1458">
        <v>19</v>
      </c>
      <c r="G1458">
        <v>852</v>
      </c>
      <c r="H1458">
        <v>92452652</v>
      </c>
      <c r="I1458">
        <v>76240</v>
      </c>
      <c r="J1458" t="s">
        <v>21</v>
      </c>
      <c r="K1458" t="s">
        <v>30</v>
      </c>
      <c r="L1458">
        <v>7</v>
      </c>
      <c r="M1458">
        <v>17.87</v>
      </c>
      <c r="N1458">
        <v>778274</v>
      </c>
      <c r="O1458">
        <v>1</v>
      </c>
    </row>
    <row r="1459" spans="1:15">
      <c r="A1459" t="s">
        <v>1485</v>
      </c>
      <c r="B1459" t="s">
        <v>16</v>
      </c>
      <c r="C1459">
        <v>11</v>
      </c>
      <c r="D1459">
        <v>7012732</v>
      </c>
      <c r="E1459">
        <v>3</v>
      </c>
      <c r="F1459">
        <v>13</v>
      </c>
      <c r="G1459">
        <v>682</v>
      </c>
      <c r="H1459">
        <v>25736692</v>
      </c>
      <c r="I1459">
        <v>468599</v>
      </c>
      <c r="J1459" t="s">
        <v>21</v>
      </c>
      <c r="K1459" t="s">
        <v>18</v>
      </c>
      <c r="L1459">
        <v>6</v>
      </c>
      <c r="M1459">
        <v>35.9</v>
      </c>
      <c r="N1459">
        <v>804751</v>
      </c>
      <c r="O1459">
        <v>1</v>
      </c>
    </row>
    <row r="1460" spans="1:15">
      <c r="A1460" t="s">
        <v>1486</v>
      </c>
      <c r="B1460" t="s">
        <v>27</v>
      </c>
      <c r="C1460">
        <v>3</v>
      </c>
      <c r="D1460">
        <v>1924599</v>
      </c>
      <c r="E1460">
        <v>4</v>
      </c>
      <c r="F1460">
        <v>19</v>
      </c>
      <c r="G1460">
        <v>586</v>
      </c>
      <c r="H1460">
        <v>87896393</v>
      </c>
      <c r="I1460">
        <v>854637</v>
      </c>
      <c r="J1460" t="s">
        <v>17</v>
      </c>
      <c r="K1460" t="s">
        <v>30</v>
      </c>
      <c r="L1460">
        <v>7</v>
      </c>
      <c r="M1460">
        <v>40.56</v>
      </c>
      <c r="N1460">
        <v>147323</v>
      </c>
      <c r="O1460">
        <v>1</v>
      </c>
    </row>
    <row r="1461" spans="1:15">
      <c r="A1461" t="s">
        <v>1487</v>
      </c>
      <c r="B1461" t="s">
        <v>24</v>
      </c>
      <c r="C1461">
        <v>7</v>
      </c>
      <c r="D1461">
        <v>24440437</v>
      </c>
      <c r="E1461">
        <v>2</v>
      </c>
      <c r="F1461">
        <v>4</v>
      </c>
      <c r="G1461">
        <v>298</v>
      </c>
      <c r="H1461">
        <v>63632604</v>
      </c>
      <c r="I1461">
        <v>70302</v>
      </c>
      <c r="J1461" t="s">
        <v>21</v>
      </c>
      <c r="K1461" t="s">
        <v>18</v>
      </c>
      <c r="L1461">
        <v>6</v>
      </c>
      <c r="M1461">
        <v>17.93</v>
      </c>
      <c r="N1461">
        <v>973206</v>
      </c>
      <c r="O1461">
        <v>1</v>
      </c>
    </row>
    <row r="1462" spans="1:15">
      <c r="A1462" t="s">
        <v>1488</v>
      </c>
      <c r="B1462" t="s">
        <v>29</v>
      </c>
      <c r="C1462">
        <v>8</v>
      </c>
      <c r="D1462">
        <v>45748733</v>
      </c>
      <c r="E1462">
        <v>4</v>
      </c>
      <c r="F1462">
        <v>19</v>
      </c>
      <c r="G1462">
        <v>710</v>
      </c>
      <c r="H1462">
        <v>25521195</v>
      </c>
      <c r="I1462">
        <v>154016</v>
      </c>
      <c r="J1462" t="s">
        <v>17</v>
      </c>
      <c r="K1462" t="s">
        <v>22</v>
      </c>
      <c r="L1462">
        <v>7</v>
      </c>
      <c r="M1462">
        <v>75.3</v>
      </c>
      <c r="N1462">
        <v>235056</v>
      </c>
      <c r="O1462">
        <v>1</v>
      </c>
    </row>
    <row r="1463" spans="1:15">
      <c r="A1463" t="s">
        <v>1489</v>
      </c>
      <c r="B1463" t="s">
        <v>29</v>
      </c>
      <c r="C1463">
        <v>3</v>
      </c>
      <c r="D1463">
        <v>5328022</v>
      </c>
      <c r="E1463">
        <v>2</v>
      </c>
      <c r="F1463">
        <v>0</v>
      </c>
      <c r="G1463">
        <v>461</v>
      </c>
      <c r="H1463">
        <v>42418829</v>
      </c>
      <c r="I1463">
        <v>470015</v>
      </c>
      <c r="J1463" t="s">
        <v>17</v>
      </c>
      <c r="K1463" t="s">
        <v>22</v>
      </c>
      <c r="L1463">
        <v>1</v>
      </c>
      <c r="M1463">
        <v>14.47</v>
      </c>
      <c r="N1463">
        <v>971299</v>
      </c>
      <c r="O1463">
        <v>1</v>
      </c>
    </row>
    <row r="1464" spans="1:15">
      <c r="A1464" t="s">
        <v>1490</v>
      </c>
      <c r="B1464" t="s">
        <v>32</v>
      </c>
      <c r="C1464">
        <v>9</v>
      </c>
      <c r="D1464">
        <v>26196292</v>
      </c>
      <c r="E1464">
        <v>2</v>
      </c>
      <c r="F1464">
        <v>5</v>
      </c>
      <c r="G1464">
        <v>540</v>
      </c>
      <c r="H1464">
        <v>2923300</v>
      </c>
      <c r="I1464">
        <v>203314</v>
      </c>
      <c r="J1464" t="s">
        <v>25</v>
      </c>
      <c r="K1464" t="s">
        <v>18</v>
      </c>
      <c r="L1464">
        <v>2</v>
      </c>
      <c r="M1464">
        <v>37.68</v>
      </c>
      <c r="N1464">
        <v>448182</v>
      </c>
      <c r="O1464">
        <v>1</v>
      </c>
    </row>
    <row r="1465" spans="1:15">
      <c r="A1465" t="s">
        <v>1491</v>
      </c>
      <c r="B1465" t="s">
        <v>16</v>
      </c>
      <c r="C1465">
        <v>9</v>
      </c>
      <c r="D1465">
        <v>27904706</v>
      </c>
      <c r="E1465">
        <v>4</v>
      </c>
      <c r="F1465">
        <v>1</v>
      </c>
      <c r="G1465">
        <v>426</v>
      </c>
      <c r="H1465">
        <v>40195368</v>
      </c>
      <c r="I1465">
        <v>899840</v>
      </c>
      <c r="J1465" t="s">
        <v>21</v>
      </c>
      <c r="K1465" t="s">
        <v>22</v>
      </c>
      <c r="L1465">
        <v>5</v>
      </c>
      <c r="M1465">
        <v>27.64</v>
      </c>
      <c r="N1465">
        <v>592287</v>
      </c>
      <c r="O1465">
        <v>1</v>
      </c>
    </row>
    <row r="1466" spans="1:15">
      <c r="A1466" t="s">
        <v>1492</v>
      </c>
      <c r="B1466" t="s">
        <v>38</v>
      </c>
      <c r="C1466">
        <v>3</v>
      </c>
      <c r="D1466">
        <v>30162456</v>
      </c>
      <c r="E1466">
        <v>3</v>
      </c>
      <c r="F1466">
        <v>3</v>
      </c>
      <c r="G1466">
        <v>892</v>
      </c>
      <c r="H1466">
        <v>10943985</v>
      </c>
      <c r="I1466">
        <v>470373</v>
      </c>
      <c r="J1466" t="s">
        <v>25</v>
      </c>
      <c r="K1466" t="s">
        <v>18</v>
      </c>
      <c r="L1466">
        <v>4</v>
      </c>
      <c r="M1466">
        <v>1.1100000000000001</v>
      </c>
      <c r="N1466">
        <v>289597</v>
      </c>
      <c r="O1466">
        <v>1</v>
      </c>
    </row>
    <row r="1467" spans="1:15">
      <c r="A1467" t="s">
        <v>1493</v>
      </c>
      <c r="B1467" t="s">
        <v>32</v>
      </c>
      <c r="C1467">
        <v>13</v>
      </c>
      <c r="D1467">
        <v>17261764</v>
      </c>
      <c r="E1467">
        <v>1</v>
      </c>
      <c r="F1467">
        <v>2</v>
      </c>
      <c r="G1467">
        <v>214</v>
      </c>
      <c r="H1467">
        <v>8939956</v>
      </c>
      <c r="I1467">
        <v>546534</v>
      </c>
      <c r="J1467" t="s">
        <v>21</v>
      </c>
      <c r="K1467" t="s">
        <v>30</v>
      </c>
      <c r="L1467">
        <v>3</v>
      </c>
      <c r="M1467">
        <v>42.31</v>
      </c>
      <c r="N1467">
        <v>713134</v>
      </c>
      <c r="O1467">
        <v>1</v>
      </c>
    </row>
    <row r="1468" spans="1:15">
      <c r="A1468" t="s">
        <v>1494</v>
      </c>
      <c r="B1468" t="s">
        <v>32</v>
      </c>
      <c r="C1468">
        <v>8</v>
      </c>
      <c r="D1468">
        <v>6106439</v>
      </c>
      <c r="E1468">
        <v>2</v>
      </c>
      <c r="F1468">
        <v>16</v>
      </c>
      <c r="G1468">
        <v>511</v>
      </c>
      <c r="H1468">
        <v>54056126</v>
      </c>
      <c r="I1468">
        <v>349069</v>
      </c>
      <c r="J1468" t="s">
        <v>25</v>
      </c>
      <c r="K1468" t="s">
        <v>30</v>
      </c>
      <c r="L1468">
        <v>2</v>
      </c>
      <c r="M1468">
        <v>4.88</v>
      </c>
      <c r="N1468">
        <v>770065</v>
      </c>
      <c r="O1468">
        <v>1</v>
      </c>
    </row>
    <row r="1469" spans="1:15">
      <c r="A1469" t="s">
        <v>1495</v>
      </c>
      <c r="B1469" t="s">
        <v>16</v>
      </c>
      <c r="C1469">
        <v>10</v>
      </c>
      <c r="D1469">
        <v>23216715</v>
      </c>
      <c r="E1469">
        <v>1</v>
      </c>
      <c r="F1469">
        <v>11</v>
      </c>
      <c r="G1469">
        <v>441</v>
      </c>
      <c r="H1469">
        <v>74964757</v>
      </c>
      <c r="I1469">
        <v>320311</v>
      </c>
      <c r="J1469" t="s">
        <v>17</v>
      </c>
      <c r="K1469" t="s">
        <v>22</v>
      </c>
      <c r="L1469">
        <v>3</v>
      </c>
      <c r="M1469">
        <v>40.020000000000003</v>
      </c>
      <c r="N1469">
        <v>823674</v>
      </c>
      <c r="O1469">
        <v>1</v>
      </c>
    </row>
    <row r="1470" spans="1:15">
      <c r="A1470" t="s">
        <v>1496</v>
      </c>
      <c r="B1470" t="s">
        <v>27</v>
      </c>
      <c r="C1470">
        <v>2</v>
      </c>
      <c r="D1470">
        <v>32200867</v>
      </c>
      <c r="E1470">
        <v>3</v>
      </c>
      <c r="F1470">
        <v>13</v>
      </c>
      <c r="G1470">
        <v>646</v>
      </c>
      <c r="H1470">
        <v>72570589</v>
      </c>
      <c r="I1470">
        <v>538364</v>
      </c>
      <c r="J1470" t="s">
        <v>21</v>
      </c>
      <c r="K1470" t="s">
        <v>18</v>
      </c>
      <c r="L1470">
        <v>9</v>
      </c>
      <c r="M1470">
        <v>92.9</v>
      </c>
      <c r="N1470">
        <v>801087</v>
      </c>
      <c r="O1470">
        <v>1</v>
      </c>
    </row>
    <row r="1471" spans="1:15">
      <c r="A1471" t="s">
        <v>1497</v>
      </c>
      <c r="B1471" t="s">
        <v>16</v>
      </c>
      <c r="C1471">
        <v>14</v>
      </c>
      <c r="D1471">
        <v>4893638</v>
      </c>
      <c r="E1471">
        <v>1</v>
      </c>
      <c r="F1471">
        <v>27</v>
      </c>
      <c r="G1471">
        <v>620</v>
      </c>
      <c r="H1471">
        <v>25559970</v>
      </c>
      <c r="I1471">
        <v>217711</v>
      </c>
      <c r="J1471" t="s">
        <v>17</v>
      </c>
      <c r="K1471" t="s">
        <v>18</v>
      </c>
      <c r="L1471">
        <v>7</v>
      </c>
      <c r="M1471">
        <v>34.020000000000003</v>
      </c>
      <c r="N1471">
        <v>558832</v>
      </c>
      <c r="O1471">
        <v>1</v>
      </c>
    </row>
    <row r="1472" spans="1:15">
      <c r="A1472" t="s">
        <v>1498</v>
      </c>
      <c r="B1472" t="s">
        <v>20</v>
      </c>
      <c r="C1472">
        <v>14</v>
      </c>
      <c r="D1472">
        <v>47812716</v>
      </c>
      <c r="E1472">
        <v>3</v>
      </c>
      <c r="F1472">
        <v>19</v>
      </c>
      <c r="G1472">
        <v>856</v>
      </c>
      <c r="H1472">
        <v>94118011</v>
      </c>
      <c r="I1472">
        <v>278842</v>
      </c>
      <c r="J1472" t="s">
        <v>21</v>
      </c>
      <c r="K1472" t="s">
        <v>22</v>
      </c>
      <c r="L1472">
        <v>1</v>
      </c>
      <c r="M1472">
        <v>68.58</v>
      </c>
      <c r="N1472">
        <v>782984</v>
      </c>
      <c r="O1472">
        <v>1</v>
      </c>
    </row>
    <row r="1473" spans="1:15">
      <c r="A1473" t="s">
        <v>1499</v>
      </c>
      <c r="B1473" t="s">
        <v>38</v>
      </c>
      <c r="C1473">
        <v>5</v>
      </c>
      <c r="D1473">
        <v>36404843</v>
      </c>
      <c r="E1473">
        <v>4</v>
      </c>
      <c r="F1473">
        <v>19</v>
      </c>
      <c r="G1473">
        <v>944</v>
      </c>
      <c r="H1473">
        <v>89930363</v>
      </c>
      <c r="I1473">
        <v>496204</v>
      </c>
      <c r="J1473" t="s">
        <v>25</v>
      </c>
      <c r="K1473" t="s">
        <v>18</v>
      </c>
      <c r="L1473">
        <v>4</v>
      </c>
      <c r="M1473">
        <v>9.94</v>
      </c>
      <c r="N1473">
        <v>639496</v>
      </c>
      <c r="O1473">
        <v>1</v>
      </c>
    </row>
    <row r="1474" spans="1:15">
      <c r="A1474" t="s">
        <v>1500</v>
      </c>
      <c r="B1474" t="s">
        <v>29</v>
      </c>
      <c r="C1474">
        <v>12</v>
      </c>
      <c r="D1474">
        <v>4759464</v>
      </c>
      <c r="E1474">
        <v>1</v>
      </c>
      <c r="F1474">
        <v>22</v>
      </c>
      <c r="G1474">
        <v>583</v>
      </c>
      <c r="H1474">
        <v>32386020</v>
      </c>
      <c r="I1474">
        <v>510332</v>
      </c>
      <c r="J1474" t="s">
        <v>25</v>
      </c>
      <c r="K1474" t="s">
        <v>18</v>
      </c>
      <c r="L1474">
        <v>5</v>
      </c>
      <c r="M1474">
        <v>86.47</v>
      </c>
      <c r="N1474">
        <v>382642</v>
      </c>
      <c r="O1474">
        <v>1</v>
      </c>
    </row>
    <row r="1475" spans="1:15">
      <c r="A1475" t="s">
        <v>1501</v>
      </c>
      <c r="B1475" t="s">
        <v>20</v>
      </c>
      <c r="C1475">
        <v>9</v>
      </c>
      <c r="D1475">
        <v>46389138</v>
      </c>
      <c r="E1475">
        <v>4</v>
      </c>
      <c r="F1475">
        <v>28</v>
      </c>
      <c r="G1475">
        <v>722</v>
      </c>
      <c r="H1475">
        <v>84613925</v>
      </c>
      <c r="I1475">
        <v>161959</v>
      </c>
      <c r="J1475" t="s">
        <v>25</v>
      </c>
      <c r="K1475" t="s">
        <v>30</v>
      </c>
      <c r="L1475">
        <v>4</v>
      </c>
      <c r="M1475">
        <v>73.61</v>
      </c>
      <c r="N1475">
        <v>874751</v>
      </c>
      <c r="O1475">
        <v>1</v>
      </c>
    </row>
    <row r="1476" spans="1:15">
      <c r="A1476" t="s">
        <v>1502</v>
      </c>
      <c r="B1476" t="s">
        <v>20</v>
      </c>
      <c r="C1476">
        <v>3</v>
      </c>
      <c r="D1476">
        <v>49341495</v>
      </c>
      <c r="E1476">
        <v>1</v>
      </c>
      <c r="F1476">
        <v>18</v>
      </c>
      <c r="G1476">
        <v>60</v>
      </c>
      <c r="H1476">
        <v>52448050</v>
      </c>
      <c r="I1476">
        <v>87474</v>
      </c>
      <c r="J1476" t="s">
        <v>25</v>
      </c>
      <c r="K1476" t="s">
        <v>30</v>
      </c>
      <c r="L1476">
        <v>4</v>
      </c>
      <c r="M1476">
        <v>58.75</v>
      </c>
      <c r="N1476">
        <v>86174</v>
      </c>
      <c r="O1476">
        <v>1</v>
      </c>
    </row>
    <row r="1477" spans="1:15">
      <c r="A1477" t="s">
        <v>1503</v>
      </c>
      <c r="B1477" t="s">
        <v>24</v>
      </c>
      <c r="C1477">
        <v>13</v>
      </c>
      <c r="D1477">
        <v>7756514</v>
      </c>
      <c r="E1477">
        <v>2</v>
      </c>
      <c r="F1477">
        <v>14</v>
      </c>
      <c r="G1477">
        <v>513</v>
      </c>
      <c r="H1477">
        <v>96224635</v>
      </c>
      <c r="I1477">
        <v>227390</v>
      </c>
      <c r="J1477" t="s">
        <v>25</v>
      </c>
      <c r="K1477" t="s">
        <v>18</v>
      </c>
      <c r="L1477">
        <v>3</v>
      </c>
      <c r="M1477">
        <v>32.54</v>
      </c>
      <c r="N1477">
        <v>90439</v>
      </c>
      <c r="O1477">
        <v>1</v>
      </c>
    </row>
    <row r="1478" spans="1:15">
      <c r="A1478" t="s">
        <v>1504</v>
      </c>
      <c r="B1478" t="s">
        <v>27</v>
      </c>
      <c r="C1478">
        <v>5</v>
      </c>
      <c r="D1478">
        <v>2430357</v>
      </c>
      <c r="E1478">
        <v>3</v>
      </c>
      <c r="F1478">
        <v>16</v>
      </c>
      <c r="G1478">
        <v>810</v>
      </c>
      <c r="H1478">
        <v>95548259</v>
      </c>
      <c r="I1478">
        <v>540495</v>
      </c>
      <c r="J1478" t="s">
        <v>17</v>
      </c>
      <c r="K1478" t="s">
        <v>18</v>
      </c>
      <c r="L1478">
        <v>3</v>
      </c>
      <c r="M1478">
        <v>39.36</v>
      </c>
      <c r="N1478">
        <v>982001</v>
      </c>
      <c r="O1478">
        <v>1</v>
      </c>
    </row>
    <row r="1479" spans="1:15">
      <c r="A1479" t="s">
        <v>1505</v>
      </c>
      <c r="B1479" t="s">
        <v>16</v>
      </c>
      <c r="C1479">
        <v>8</v>
      </c>
      <c r="D1479">
        <v>23952846</v>
      </c>
      <c r="E1479">
        <v>2</v>
      </c>
      <c r="F1479">
        <v>3</v>
      </c>
      <c r="G1479">
        <v>532</v>
      </c>
      <c r="H1479">
        <v>72522964</v>
      </c>
      <c r="I1479">
        <v>477231</v>
      </c>
      <c r="J1479" t="s">
        <v>17</v>
      </c>
      <c r="K1479" t="s">
        <v>30</v>
      </c>
      <c r="L1479">
        <v>7</v>
      </c>
      <c r="M1479">
        <v>43.73</v>
      </c>
      <c r="N1479">
        <v>654958</v>
      </c>
      <c r="O1479">
        <v>1</v>
      </c>
    </row>
    <row r="1480" spans="1:15">
      <c r="A1480" t="s">
        <v>1506</v>
      </c>
      <c r="B1480" t="s">
        <v>27</v>
      </c>
      <c r="C1480">
        <v>8</v>
      </c>
      <c r="D1480">
        <v>45866064</v>
      </c>
      <c r="E1480">
        <v>3</v>
      </c>
      <c r="F1480">
        <v>27</v>
      </c>
      <c r="G1480">
        <v>917</v>
      </c>
      <c r="H1480">
        <v>27781680</v>
      </c>
      <c r="I1480">
        <v>28701</v>
      </c>
      <c r="J1480" t="s">
        <v>25</v>
      </c>
      <c r="K1480" t="s">
        <v>18</v>
      </c>
      <c r="L1480">
        <v>1</v>
      </c>
      <c r="M1480">
        <v>46.95</v>
      </c>
      <c r="N1480">
        <v>451434</v>
      </c>
      <c r="O1480">
        <v>1</v>
      </c>
    </row>
    <row r="1481" spans="1:15">
      <c r="A1481" t="s">
        <v>1507</v>
      </c>
      <c r="B1481" t="s">
        <v>27</v>
      </c>
      <c r="C1481">
        <v>13</v>
      </c>
      <c r="D1481">
        <v>22915360</v>
      </c>
      <c r="E1481">
        <v>2</v>
      </c>
      <c r="F1481">
        <v>29</v>
      </c>
      <c r="G1481">
        <v>511</v>
      </c>
      <c r="H1481">
        <v>74936593</v>
      </c>
      <c r="I1481">
        <v>665467</v>
      </c>
      <c r="J1481" t="s">
        <v>25</v>
      </c>
      <c r="K1481" t="s">
        <v>22</v>
      </c>
      <c r="L1481">
        <v>1</v>
      </c>
      <c r="M1481">
        <v>16.89</v>
      </c>
      <c r="N1481">
        <v>197634</v>
      </c>
      <c r="O1481">
        <v>1</v>
      </c>
    </row>
    <row r="1482" spans="1:15">
      <c r="A1482" t="s">
        <v>1508</v>
      </c>
      <c r="B1482" t="s">
        <v>29</v>
      </c>
      <c r="C1482">
        <v>4</v>
      </c>
      <c r="D1482">
        <v>17957915</v>
      </c>
      <c r="E1482">
        <v>1</v>
      </c>
      <c r="F1482">
        <v>5</v>
      </c>
      <c r="G1482">
        <v>199</v>
      </c>
      <c r="H1482">
        <v>14895286</v>
      </c>
      <c r="I1482">
        <v>887364</v>
      </c>
      <c r="J1482" t="s">
        <v>25</v>
      </c>
      <c r="K1482" t="s">
        <v>22</v>
      </c>
      <c r="L1482">
        <v>4</v>
      </c>
      <c r="M1482">
        <v>82.15</v>
      </c>
      <c r="N1482">
        <v>892612</v>
      </c>
      <c r="O1482">
        <v>1</v>
      </c>
    </row>
    <row r="1483" spans="1:15">
      <c r="A1483" t="s">
        <v>1509</v>
      </c>
      <c r="B1483" t="s">
        <v>29</v>
      </c>
      <c r="C1483">
        <v>2</v>
      </c>
      <c r="D1483">
        <v>12994781</v>
      </c>
      <c r="E1483">
        <v>4</v>
      </c>
      <c r="F1483">
        <v>5</v>
      </c>
      <c r="G1483">
        <v>339</v>
      </c>
      <c r="H1483">
        <v>99701990</v>
      </c>
      <c r="I1483">
        <v>559260</v>
      </c>
      <c r="J1483" t="s">
        <v>17</v>
      </c>
      <c r="K1483" t="s">
        <v>22</v>
      </c>
      <c r="L1483">
        <v>1</v>
      </c>
      <c r="M1483">
        <v>87.34</v>
      </c>
      <c r="N1483">
        <v>193334</v>
      </c>
      <c r="O1483">
        <v>1</v>
      </c>
    </row>
    <row r="1484" spans="1:15">
      <c r="A1484" t="s">
        <v>1510</v>
      </c>
      <c r="B1484" t="s">
        <v>24</v>
      </c>
      <c r="C1484">
        <v>7</v>
      </c>
      <c r="D1484">
        <v>47633468</v>
      </c>
      <c r="E1484">
        <v>4</v>
      </c>
      <c r="F1484">
        <v>18</v>
      </c>
      <c r="G1484">
        <v>968</v>
      </c>
      <c r="H1484">
        <v>68171888</v>
      </c>
      <c r="I1484">
        <v>881967</v>
      </c>
      <c r="J1484" t="s">
        <v>25</v>
      </c>
      <c r="K1484" t="s">
        <v>18</v>
      </c>
      <c r="L1484">
        <v>3</v>
      </c>
      <c r="M1484">
        <v>30.4</v>
      </c>
      <c r="N1484">
        <v>941804</v>
      </c>
      <c r="O1484">
        <v>1</v>
      </c>
    </row>
    <row r="1485" spans="1:15">
      <c r="A1485" t="s">
        <v>1511</v>
      </c>
      <c r="B1485" t="s">
        <v>38</v>
      </c>
      <c r="C1485">
        <v>9</v>
      </c>
      <c r="D1485">
        <v>47916908</v>
      </c>
      <c r="E1485">
        <v>2</v>
      </c>
      <c r="F1485">
        <v>3</v>
      </c>
      <c r="G1485">
        <v>672</v>
      </c>
      <c r="H1485">
        <v>81365626</v>
      </c>
      <c r="I1485">
        <v>30838</v>
      </c>
      <c r="J1485" t="s">
        <v>25</v>
      </c>
      <c r="K1485" t="s">
        <v>22</v>
      </c>
      <c r="L1485">
        <v>8</v>
      </c>
      <c r="M1485">
        <v>64.17</v>
      </c>
      <c r="N1485">
        <v>423518</v>
      </c>
      <c r="O1485">
        <v>1</v>
      </c>
    </row>
    <row r="1486" spans="1:15">
      <c r="A1486" t="s">
        <v>1512</v>
      </c>
      <c r="B1486" t="s">
        <v>27</v>
      </c>
      <c r="C1486">
        <v>3</v>
      </c>
      <c r="D1486">
        <v>30233375</v>
      </c>
      <c r="E1486">
        <v>1</v>
      </c>
      <c r="F1486">
        <v>10</v>
      </c>
      <c r="G1486">
        <v>610</v>
      </c>
      <c r="H1486">
        <v>75136854</v>
      </c>
      <c r="I1486">
        <v>662797</v>
      </c>
      <c r="J1486" t="s">
        <v>17</v>
      </c>
      <c r="K1486" t="s">
        <v>22</v>
      </c>
      <c r="L1486">
        <v>6</v>
      </c>
      <c r="M1486">
        <v>40.43</v>
      </c>
      <c r="N1486">
        <v>623388</v>
      </c>
      <c r="O1486">
        <v>1</v>
      </c>
    </row>
    <row r="1487" spans="1:15">
      <c r="A1487" t="s">
        <v>1513</v>
      </c>
      <c r="B1487" t="s">
        <v>24</v>
      </c>
      <c r="C1487">
        <v>12</v>
      </c>
      <c r="D1487">
        <v>27958441</v>
      </c>
      <c r="E1487">
        <v>1</v>
      </c>
      <c r="F1487">
        <v>11</v>
      </c>
      <c r="G1487">
        <v>890</v>
      </c>
      <c r="H1487">
        <v>52413091</v>
      </c>
      <c r="I1487">
        <v>304356</v>
      </c>
      <c r="J1487" t="s">
        <v>21</v>
      </c>
      <c r="K1487" t="s">
        <v>22</v>
      </c>
      <c r="L1487">
        <v>9</v>
      </c>
      <c r="M1487">
        <v>37.22</v>
      </c>
      <c r="N1487">
        <v>203577</v>
      </c>
      <c r="O1487">
        <v>1</v>
      </c>
    </row>
    <row r="1488" spans="1:15">
      <c r="A1488" t="s">
        <v>1514</v>
      </c>
      <c r="B1488" t="s">
        <v>29</v>
      </c>
      <c r="C1488">
        <v>2</v>
      </c>
      <c r="D1488">
        <v>36136865</v>
      </c>
      <c r="E1488">
        <v>3</v>
      </c>
      <c r="F1488">
        <v>12</v>
      </c>
      <c r="G1488">
        <v>731</v>
      </c>
      <c r="H1488">
        <v>49338166</v>
      </c>
      <c r="I1488">
        <v>248305</v>
      </c>
      <c r="J1488" t="s">
        <v>21</v>
      </c>
      <c r="K1488" t="s">
        <v>18</v>
      </c>
      <c r="L1488">
        <v>5</v>
      </c>
      <c r="M1488">
        <v>81.41</v>
      </c>
      <c r="N1488">
        <v>517586</v>
      </c>
      <c r="O1488">
        <v>1</v>
      </c>
    </row>
    <row r="1489" spans="1:15">
      <c r="A1489" t="s">
        <v>1515</v>
      </c>
      <c r="B1489" t="s">
        <v>29</v>
      </c>
      <c r="C1489">
        <v>3</v>
      </c>
      <c r="D1489">
        <v>22879893</v>
      </c>
      <c r="E1489">
        <v>1</v>
      </c>
      <c r="F1489">
        <v>17</v>
      </c>
      <c r="G1489">
        <v>486</v>
      </c>
      <c r="H1489">
        <v>81014975</v>
      </c>
      <c r="I1489">
        <v>46902</v>
      </c>
      <c r="J1489" t="s">
        <v>21</v>
      </c>
      <c r="K1489" t="s">
        <v>18</v>
      </c>
      <c r="L1489">
        <v>2</v>
      </c>
      <c r="M1489">
        <v>47.92</v>
      </c>
      <c r="N1489">
        <v>893625</v>
      </c>
      <c r="O1489">
        <v>1</v>
      </c>
    </row>
    <row r="1490" spans="1:15">
      <c r="A1490" t="s">
        <v>1516</v>
      </c>
      <c r="B1490" t="s">
        <v>16</v>
      </c>
      <c r="C1490">
        <v>2</v>
      </c>
      <c r="D1490">
        <v>5946312</v>
      </c>
      <c r="E1490">
        <v>2</v>
      </c>
      <c r="F1490">
        <v>13</v>
      </c>
      <c r="G1490">
        <v>957</v>
      </c>
      <c r="H1490">
        <v>12181796</v>
      </c>
      <c r="I1490">
        <v>569359</v>
      </c>
      <c r="J1490" t="s">
        <v>25</v>
      </c>
      <c r="K1490" t="s">
        <v>30</v>
      </c>
      <c r="L1490">
        <v>6</v>
      </c>
      <c r="M1490">
        <v>85.2</v>
      </c>
      <c r="N1490">
        <v>914788</v>
      </c>
      <c r="O1490">
        <v>1</v>
      </c>
    </row>
    <row r="1491" spans="1:15">
      <c r="A1491" t="s">
        <v>1517</v>
      </c>
      <c r="B1491" t="s">
        <v>27</v>
      </c>
      <c r="C1491">
        <v>5</v>
      </c>
      <c r="D1491">
        <v>4853687</v>
      </c>
      <c r="E1491">
        <v>2</v>
      </c>
      <c r="F1491">
        <v>17</v>
      </c>
      <c r="G1491">
        <v>142</v>
      </c>
      <c r="H1491">
        <v>36082014</v>
      </c>
      <c r="I1491">
        <v>434583</v>
      </c>
      <c r="J1491" t="s">
        <v>25</v>
      </c>
      <c r="K1491" t="s">
        <v>22</v>
      </c>
      <c r="L1491">
        <v>4</v>
      </c>
      <c r="M1491">
        <v>58.54</v>
      </c>
      <c r="N1491">
        <v>336524</v>
      </c>
      <c r="O1491">
        <v>1</v>
      </c>
    </row>
    <row r="1492" spans="1:15">
      <c r="A1492" t="s">
        <v>1518</v>
      </c>
      <c r="B1492" t="s">
        <v>38</v>
      </c>
      <c r="C1492">
        <v>1</v>
      </c>
      <c r="D1492">
        <v>7394208</v>
      </c>
      <c r="E1492">
        <v>2</v>
      </c>
      <c r="F1492">
        <v>3</v>
      </c>
      <c r="G1492">
        <v>58</v>
      </c>
      <c r="H1492">
        <v>27115711</v>
      </c>
      <c r="I1492">
        <v>366314</v>
      </c>
      <c r="J1492" t="s">
        <v>21</v>
      </c>
      <c r="K1492" t="s">
        <v>22</v>
      </c>
      <c r="L1492">
        <v>4</v>
      </c>
      <c r="M1492">
        <v>39.03</v>
      </c>
      <c r="N1492">
        <v>797570</v>
      </c>
      <c r="O1492">
        <v>1</v>
      </c>
    </row>
    <row r="1493" spans="1:15">
      <c r="A1493" t="s">
        <v>1519</v>
      </c>
      <c r="B1493" t="s">
        <v>32</v>
      </c>
      <c r="C1493">
        <v>5</v>
      </c>
      <c r="D1493">
        <v>38564126</v>
      </c>
      <c r="E1493">
        <v>2</v>
      </c>
      <c r="F1493">
        <v>16</v>
      </c>
      <c r="G1493">
        <v>595</v>
      </c>
      <c r="H1493">
        <v>99282783</v>
      </c>
      <c r="I1493">
        <v>212914</v>
      </c>
      <c r="J1493" t="s">
        <v>25</v>
      </c>
      <c r="K1493" t="s">
        <v>18</v>
      </c>
      <c r="L1493">
        <v>4</v>
      </c>
      <c r="M1493">
        <v>60.37</v>
      </c>
      <c r="N1493">
        <v>26742</v>
      </c>
      <c r="O1493">
        <v>1</v>
      </c>
    </row>
    <row r="1494" spans="1:15">
      <c r="A1494" t="s">
        <v>1520</v>
      </c>
      <c r="B1494" t="s">
        <v>24</v>
      </c>
      <c r="C1494">
        <v>11</v>
      </c>
      <c r="D1494">
        <v>40739061</v>
      </c>
      <c r="E1494">
        <v>4</v>
      </c>
      <c r="F1494">
        <v>12</v>
      </c>
      <c r="G1494">
        <v>894</v>
      </c>
      <c r="H1494">
        <v>80457326</v>
      </c>
      <c r="I1494">
        <v>143539</v>
      </c>
      <c r="J1494" t="s">
        <v>17</v>
      </c>
      <c r="K1494" t="s">
        <v>30</v>
      </c>
      <c r="L1494">
        <v>9</v>
      </c>
      <c r="M1494">
        <v>62.15</v>
      </c>
      <c r="N1494">
        <v>819531</v>
      </c>
      <c r="O1494">
        <v>1</v>
      </c>
    </row>
    <row r="1495" spans="1:15">
      <c r="A1495" t="s">
        <v>1521</v>
      </c>
      <c r="B1495" t="s">
        <v>29</v>
      </c>
      <c r="C1495">
        <v>7</v>
      </c>
      <c r="D1495">
        <v>40566647</v>
      </c>
      <c r="E1495">
        <v>3</v>
      </c>
      <c r="F1495">
        <v>15</v>
      </c>
      <c r="G1495">
        <v>96</v>
      </c>
      <c r="H1495">
        <v>61374349</v>
      </c>
      <c r="I1495">
        <v>940896</v>
      </c>
      <c r="J1495" t="s">
        <v>25</v>
      </c>
      <c r="K1495" t="s">
        <v>30</v>
      </c>
      <c r="L1495">
        <v>9</v>
      </c>
      <c r="M1495">
        <v>84.65</v>
      </c>
      <c r="N1495">
        <v>296186</v>
      </c>
      <c r="O1495">
        <v>1</v>
      </c>
    </row>
    <row r="1496" spans="1:15">
      <c r="A1496" t="s">
        <v>1522</v>
      </c>
      <c r="B1496" t="s">
        <v>24</v>
      </c>
      <c r="C1496">
        <v>11</v>
      </c>
      <c r="D1496">
        <v>20754188</v>
      </c>
      <c r="E1496">
        <v>3</v>
      </c>
      <c r="F1496">
        <v>18</v>
      </c>
      <c r="G1496">
        <v>634</v>
      </c>
      <c r="H1496">
        <v>97462127</v>
      </c>
      <c r="I1496">
        <v>584340</v>
      </c>
      <c r="J1496" t="s">
        <v>21</v>
      </c>
      <c r="K1496" t="s">
        <v>18</v>
      </c>
      <c r="L1496">
        <v>9</v>
      </c>
      <c r="M1496">
        <v>59.88</v>
      </c>
      <c r="N1496">
        <v>770062</v>
      </c>
      <c r="O1496">
        <v>1</v>
      </c>
    </row>
    <row r="1497" spans="1:15">
      <c r="A1497" t="s">
        <v>1523</v>
      </c>
      <c r="B1497" t="s">
        <v>32</v>
      </c>
      <c r="C1497">
        <v>4</v>
      </c>
      <c r="D1497">
        <v>46421478</v>
      </c>
      <c r="E1497">
        <v>3</v>
      </c>
      <c r="F1497">
        <v>6</v>
      </c>
      <c r="G1497">
        <v>412</v>
      </c>
      <c r="H1497">
        <v>73357945</v>
      </c>
      <c r="I1497">
        <v>447737</v>
      </c>
      <c r="J1497" t="s">
        <v>17</v>
      </c>
      <c r="K1497" t="s">
        <v>22</v>
      </c>
      <c r="L1497">
        <v>4</v>
      </c>
      <c r="M1497">
        <v>4.12</v>
      </c>
      <c r="N1497">
        <v>505323</v>
      </c>
      <c r="O1497">
        <v>1</v>
      </c>
    </row>
    <row r="1498" spans="1:15">
      <c r="A1498" t="s">
        <v>1524</v>
      </c>
      <c r="B1498" t="s">
        <v>38</v>
      </c>
      <c r="C1498">
        <v>11</v>
      </c>
      <c r="D1498">
        <v>30326533</v>
      </c>
      <c r="E1498">
        <v>4</v>
      </c>
      <c r="F1498">
        <v>23</v>
      </c>
      <c r="G1498">
        <v>275</v>
      </c>
      <c r="H1498">
        <v>99704022</v>
      </c>
      <c r="I1498">
        <v>52592</v>
      </c>
      <c r="J1498" t="s">
        <v>21</v>
      </c>
      <c r="K1498" t="s">
        <v>22</v>
      </c>
      <c r="L1498">
        <v>5</v>
      </c>
      <c r="M1498">
        <v>51.94</v>
      </c>
      <c r="N1498">
        <v>456131</v>
      </c>
      <c r="O1498">
        <v>1</v>
      </c>
    </row>
    <row r="1499" spans="1:15">
      <c r="A1499" t="s">
        <v>1525</v>
      </c>
      <c r="B1499" t="s">
        <v>32</v>
      </c>
      <c r="C1499">
        <v>9</v>
      </c>
      <c r="D1499">
        <v>1346830</v>
      </c>
      <c r="E1499">
        <v>2</v>
      </c>
      <c r="F1499">
        <v>28</v>
      </c>
      <c r="G1499">
        <v>376</v>
      </c>
      <c r="H1499">
        <v>81101573</v>
      </c>
      <c r="I1499">
        <v>281973</v>
      </c>
      <c r="J1499" t="s">
        <v>17</v>
      </c>
      <c r="K1499" t="s">
        <v>30</v>
      </c>
      <c r="L1499">
        <v>4</v>
      </c>
      <c r="M1499">
        <v>46.39</v>
      </c>
      <c r="N1499">
        <v>520591</v>
      </c>
      <c r="O1499">
        <v>1</v>
      </c>
    </row>
    <row r="1500" spans="1:15">
      <c r="A1500" t="s">
        <v>1526</v>
      </c>
      <c r="B1500" t="s">
        <v>29</v>
      </c>
      <c r="C1500">
        <v>10</v>
      </c>
      <c r="D1500">
        <v>19840158</v>
      </c>
      <c r="E1500">
        <v>1</v>
      </c>
      <c r="F1500">
        <v>0</v>
      </c>
      <c r="G1500">
        <v>155</v>
      </c>
      <c r="H1500">
        <v>70661226</v>
      </c>
      <c r="I1500">
        <v>155552</v>
      </c>
      <c r="J1500" t="s">
        <v>25</v>
      </c>
      <c r="K1500" t="s">
        <v>18</v>
      </c>
      <c r="L1500">
        <v>7</v>
      </c>
      <c r="M1500">
        <v>16.96</v>
      </c>
      <c r="N1500">
        <v>31285</v>
      </c>
      <c r="O1500">
        <v>1</v>
      </c>
    </row>
    <row r="1501" spans="1:15">
      <c r="A1501" t="s">
        <v>1527</v>
      </c>
      <c r="B1501" t="s">
        <v>24</v>
      </c>
      <c r="C1501">
        <v>11</v>
      </c>
      <c r="D1501">
        <v>23965658</v>
      </c>
      <c r="E1501">
        <v>1</v>
      </c>
      <c r="F1501">
        <v>1</v>
      </c>
      <c r="G1501">
        <v>977</v>
      </c>
      <c r="H1501">
        <v>53153642</v>
      </c>
      <c r="I1501">
        <v>834169</v>
      </c>
      <c r="J1501" t="s">
        <v>21</v>
      </c>
      <c r="K1501" t="s">
        <v>30</v>
      </c>
      <c r="L1501">
        <v>5</v>
      </c>
      <c r="M1501">
        <v>41.38</v>
      </c>
      <c r="N1501">
        <v>488842</v>
      </c>
      <c r="O1501">
        <v>1</v>
      </c>
    </row>
    <row r="1502" spans="1:15">
      <c r="A1502" t="s">
        <v>1528</v>
      </c>
      <c r="B1502" t="s">
        <v>29</v>
      </c>
      <c r="C1502">
        <v>13</v>
      </c>
      <c r="D1502">
        <v>9873906</v>
      </c>
      <c r="E1502">
        <v>1</v>
      </c>
      <c r="F1502">
        <v>0</v>
      </c>
      <c r="G1502">
        <v>315</v>
      </c>
      <c r="H1502">
        <v>78479681</v>
      </c>
      <c r="I1502">
        <v>224974</v>
      </c>
      <c r="J1502" t="s">
        <v>21</v>
      </c>
      <c r="K1502" t="s">
        <v>18</v>
      </c>
      <c r="L1502">
        <v>3</v>
      </c>
      <c r="M1502">
        <v>85.45</v>
      </c>
      <c r="N1502">
        <v>801157</v>
      </c>
      <c r="O1502">
        <v>1</v>
      </c>
    </row>
    <row r="1503" spans="1:15">
      <c r="A1503" t="s">
        <v>1529</v>
      </c>
      <c r="B1503" t="s">
        <v>32</v>
      </c>
      <c r="C1503">
        <v>13</v>
      </c>
      <c r="D1503">
        <v>36528007</v>
      </c>
      <c r="E1503">
        <v>1</v>
      </c>
      <c r="F1503">
        <v>15</v>
      </c>
      <c r="G1503">
        <v>970</v>
      </c>
      <c r="H1503">
        <v>95166672</v>
      </c>
      <c r="I1503">
        <v>699876</v>
      </c>
      <c r="J1503" t="s">
        <v>17</v>
      </c>
      <c r="K1503" t="s">
        <v>30</v>
      </c>
      <c r="L1503">
        <v>3</v>
      </c>
      <c r="M1503">
        <v>31.26</v>
      </c>
      <c r="N1503">
        <v>204840</v>
      </c>
      <c r="O1503">
        <v>1</v>
      </c>
    </row>
    <row r="1504" spans="1:15">
      <c r="A1504" t="s">
        <v>1530</v>
      </c>
      <c r="B1504" t="s">
        <v>38</v>
      </c>
      <c r="C1504">
        <v>10</v>
      </c>
      <c r="D1504">
        <v>5339719</v>
      </c>
      <c r="E1504">
        <v>1</v>
      </c>
      <c r="F1504">
        <v>21</v>
      </c>
      <c r="G1504">
        <v>25</v>
      </c>
      <c r="H1504">
        <v>6514227</v>
      </c>
      <c r="I1504">
        <v>319880</v>
      </c>
      <c r="J1504" t="s">
        <v>17</v>
      </c>
      <c r="K1504" t="s">
        <v>22</v>
      </c>
      <c r="L1504">
        <v>2</v>
      </c>
      <c r="M1504">
        <v>19.41</v>
      </c>
      <c r="N1504">
        <v>793958</v>
      </c>
      <c r="O1504">
        <v>1</v>
      </c>
    </row>
    <row r="1505" spans="1:15">
      <c r="A1505" t="s">
        <v>1531</v>
      </c>
      <c r="B1505" t="s">
        <v>24</v>
      </c>
      <c r="C1505">
        <v>5</v>
      </c>
      <c r="D1505">
        <v>30904668</v>
      </c>
      <c r="E1505">
        <v>3</v>
      </c>
      <c r="F1505">
        <v>9</v>
      </c>
      <c r="G1505">
        <v>469</v>
      </c>
      <c r="H1505">
        <v>32833345</v>
      </c>
      <c r="I1505">
        <v>731843</v>
      </c>
      <c r="J1505" t="s">
        <v>25</v>
      </c>
      <c r="K1505" t="s">
        <v>30</v>
      </c>
      <c r="L1505">
        <v>1</v>
      </c>
      <c r="M1505">
        <v>62.35</v>
      </c>
      <c r="N1505">
        <v>677616</v>
      </c>
      <c r="O1505">
        <v>1</v>
      </c>
    </row>
    <row r="1506" spans="1:15">
      <c r="A1506" t="s">
        <v>1532</v>
      </c>
      <c r="B1506" t="s">
        <v>29</v>
      </c>
      <c r="C1506">
        <v>14</v>
      </c>
      <c r="D1506">
        <v>1176090</v>
      </c>
      <c r="E1506">
        <v>4</v>
      </c>
      <c r="F1506">
        <v>7</v>
      </c>
      <c r="G1506">
        <v>827</v>
      </c>
      <c r="H1506">
        <v>33336259</v>
      </c>
      <c r="I1506">
        <v>362265</v>
      </c>
      <c r="J1506" t="s">
        <v>17</v>
      </c>
      <c r="K1506" t="s">
        <v>22</v>
      </c>
      <c r="L1506">
        <v>3</v>
      </c>
      <c r="M1506">
        <v>32.979999999999997</v>
      </c>
      <c r="N1506">
        <v>484007</v>
      </c>
      <c r="O1506">
        <v>1</v>
      </c>
    </row>
    <row r="1507" spans="1:15">
      <c r="A1507" t="s">
        <v>1533</v>
      </c>
      <c r="B1507" t="s">
        <v>27</v>
      </c>
      <c r="C1507">
        <v>2</v>
      </c>
      <c r="D1507">
        <v>5274701</v>
      </c>
      <c r="E1507">
        <v>4</v>
      </c>
      <c r="F1507">
        <v>14</v>
      </c>
      <c r="G1507">
        <v>356</v>
      </c>
      <c r="H1507">
        <v>79984686</v>
      </c>
      <c r="I1507">
        <v>104282</v>
      </c>
      <c r="J1507" t="s">
        <v>21</v>
      </c>
      <c r="K1507" t="s">
        <v>22</v>
      </c>
      <c r="L1507">
        <v>7</v>
      </c>
      <c r="M1507">
        <v>31.59</v>
      </c>
      <c r="N1507">
        <v>422675</v>
      </c>
      <c r="O1507">
        <v>1</v>
      </c>
    </row>
    <row r="1508" spans="1:15">
      <c r="A1508" t="s">
        <v>1534</v>
      </c>
      <c r="B1508" t="s">
        <v>24</v>
      </c>
      <c r="C1508">
        <v>7</v>
      </c>
      <c r="D1508">
        <v>7323280</v>
      </c>
      <c r="E1508">
        <v>4</v>
      </c>
      <c r="F1508">
        <v>8</v>
      </c>
      <c r="G1508">
        <v>35</v>
      </c>
      <c r="H1508">
        <v>85897860</v>
      </c>
      <c r="I1508">
        <v>609338</v>
      </c>
      <c r="J1508" t="s">
        <v>25</v>
      </c>
      <c r="K1508" t="s">
        <v>18</v>
      </c>
      <c r="L1508">
        <v>8</v>
      </c>
      <c r="M1508">
        <v>93.4</v>
      </c>
      <c r="N1508">
        <v>481855</v>
      </c>
      <c r="O1508">
        <v>1</v>
      </c>
    </row>
    <row r="1509" spans="1:15">
      <c r="A1509" t="s">
        <v>1535</v>
      </c>
      <c r="B1509" t="s">
        <v>32</v>
      </c>
      <c r="C1509">
        <v>0</v>
      </c>
      <c r="D1509">
        <v>15704281</v>
      </c>
      <c r="E1509">
        <v>2</v>
      </c>
      <c r="F1509">
        <v>3</v>
      </c>
      <c r="G1509">
        <v>230</v>
      </c>
      <c r="H1509">
        <v>61465512</v>
      </c>
      <c r="I1509">
        <v>44193</v>
      </c>
      <c r="J1509" t="s">
        <v>25</v>
      </c>
      <c r="K1509" t="s">
        <v>30</v>
      </c>
      <c r="L1509">
        <v>8</v>
      </c>
      <c r="M1509">
        <v>1.66</v>
      </c>
      <c r="N1509">
        <v>794830</v>
      </c>
      <c r="O1509">
        <v>1</v>
      </c>
    </row>
    <row r="1510" spans="1:15">
      <c r="A1510" t="s">
        <v>1536</v>
      </c>
      <c r="B1510" t="s">
        <v>20</v>
      </c>
      <c r="C1510">
        <v>8</v>
      </c>
      <c r="D1510">
        <v>40682894</v>
      </c>
      <c r="E1510">
        <v>1</v>
      </c>
      <c r="F1510">
        <v>13</v>
      </c>
      <c r="G1510">
        <v>692</v>
      </c>
      <c r="H1510">
        <v>37628191</v>
      </c>
      <c r="I1510">
        <v>523192</v>
      </c>
      <c r="J1510" t="s">
        <v>25</v>
      </c>
      <c r="K1510" t="s">
        <v>30</v>
      </c>
      <c r="L1510">
        <v>7</v>
      </c>
      <c r="M1510">
        <v>38.42</v>
      </c>
      <c r="N1510">
        <v>742310</v>
      </c>
      <c r="O1510">
        <v>1</v>
      </c>
    </row>
    <row r="1511" spans="1:15">
      <c r="A1511" t="s">
        <v>1537</v>
      </c>
      <c r="B1511" t="s">
        <v>16</v>
      </c>
      <c r="C1511">
        <v>12</v>
      </c>
      <c r="D1511">
        <v>36775212</v>
      </c>
      <c r="E1511">
        <v>4</v>
      </c>
      <c r="F1511">
        <v>29</v>
      </c>
      <c r="G1511">
        <v>597</v>
      </c>
      <c r="H1511">
        <v>64073204</v>
      </c>
      <c r="I1511">
        <v>743292</v>
      </c>
      <c r="J1511" t="s">
        <v>21</v>
      </c>
      <c r="K1511" t="s">
        <v>30</v>
      </c>
      <c r="L1511">
        <v>8</v>
      </c>
      <c r="M1511">
        <v>33.15</v>
      </c>
      <c r="N1511">
        <v>540358</v>
      </c>
      <c r="O1511">
        <v>1</v>
      </c>
    </row>
    <row r="1512" spans="1:15">
      <c r="A1512" t="s">
        <v>1538</v>
      </c>
      <c r="B1512" t="s">
        <v>29</v>
      </c>
      <c r="C1512">
        <v>5</v>
      </c>
      <c r="D1512">
        <v>10930385</v>
      </c>
      <c r="E1512">
        <v>4</v>
      </c>
      <c r="F1512">
        <v>28</v>
      </c>
      <c r="G1512">
        <v>904</v>
      </c>
      <c r="H1512">
        <v>97548413</v>
      </c>
      <c r="I1512">
        <v>851071</v>
      </c>
      <c r="J1512" t="s">
        <v>21</v>
      </c>
      <c r="K1512" t="s">
        <v>22</v>
      </c>
      <c r="L1512">
        <v>7</v>
      </c>
      <c r="M1512">
        <v>90.71</v>
      </c>
      <c r="N1512">
        <v>9035</v>
      </c>
      <c r="O1512">
        <v>1</v>
      </c>
    </row>
    <row r="1513" spans="1:15">
      <c r="A1513" t="s">
        <v>1539</v>
      </c>
      <c r="B1513" t="s">
        <v>27</v>
      </c>
      <c r="C1513">
        <v>5</v>
      </c>
      <c r="D1513">
        <v>21181820</v>
      </c>
      <c r="E1513">
        <v>1</v>
      </c>
      <c r="F1513">
        <v>23</v>
      </c>
      <c r="G1513">
        <v>803</v>
      </c>
      <c r="H1513">
        <v>87152378</v>
      </c>
      <c r="I1513">
        <v>703854</v>
      </c>
      <c r="J1513" t="s">
        <v>25</v>
      </c>
      <c r="K1513" t="s">
        <v>22</v>
      </c>
      <c r="L1513">
        <v>8</v>
      </c>
      <c r="M1513">
        <v>2.44</v>
      </c>
      <c r="N1513">
        <v>740635</v>
      </c>
      <c r="O1513">
        <v>1</v>
      </c>
    </row>
    <row r="1514" spans="1:15">
      <c r="A1514" t="s">
        <v>1540</v>
      </c>
      <c r="B1514" t="s">
        <v>20</v>
      </c>
      <c r="C1514">
        <v>12</v>
      </c>
      <c r="D1514">
        <v>13252731</v>
      </c>
      <c r="E1514">
        <v>1</v>
      </c>
      <c r="F1514">
        <v>6</v>
      </c>
      <c r="G1514">
        <v>978</v>
      </c>
      <c r="H1514">
        <v>23993516</v>
      </c>
      <c r="I1514">
        <v>664825</v>
      </c>
      <c r="J1514" t="s">
        <v>21</v>
      </c>
      <c r="K1514" t="s">
        <v>30</v>
      </c>
      <c r="L1514">
        <v>8</v>
      </c>
      <c r="M1514">
        <v>12.87</v>
      </c>
      <c r="N1514">
        <v>498781</v>
      </c>
      <c r="O1514">
        <v>1</v>
      </c>
    </row>
    <row r="1515" spans="1:15">
      <c r="A1515" t="s">
        <v>1541</v>
      </c>
      <c r="B1515" t="s">
        <v>16</v>
      </c>
      <c r="C1515">
        <v>6</v>
      </c>
      <c r="D1515">
        <v>45651862</v>
      </c>
      <c r="E1515">
        <v>3</v>
      </c>
      <c r="F1515">
        <v>13</v>
      </c>
      <c r="G1515">
        <v>315</v>
      </c>
      <c r="H1515">
        <v>69997622</v>
      </c>
      <c r="I1515">
        <v>492709</v>
      </c>
      <c r="J1515" t="s">
        <v>21</v>
      </c>
      <c r="K1515" t="s">
        <v>18</v>
      </c>
      <c r="L1515">
        <v>1</v>
      </c>
      <c r="M1515">
        <v>20.09</v>
      </c>
      <c r="N1515">
        <v>784587</v>
      </c>
      <c r="O1515">
        <v>1</v>
      </c>
    </row>
    <row r="1516" spans="1:15">
      <c r="A1516" t="s">
        <v>1542</v>
      </c>
      <c r="B1516" t="s">
        <v>24</v>
      </c>
      <c r="C1516">
        <v>5</v>
      </c>
      <c r="D1516">
        <v>1521472</v>
      </c>
      <c r="E1516">
        <v>2</v>
      </c>
      <c r="F1516">
        <v>7</v>
      </c>
      <c r="G1516">
        <v>978</v>
      </c>
      <c r="H1516">
        <v>88294602</v>
      </c>
      <c r="I1516">
        <v>618377</v>
      </c>
      <c r="J1516" t="s">
        <v>21</v>
      </c>
      <c r="K1516" t="s">
        <v>30</v>
      </c>
      <c r="L1516">
        <v>5</v>
      </c>
      <c r="M1516">
        <v>18.13</v>
      </c>
      <c r="N1516">
        <v>778835</v>
      </c>
      <c r="O1516">
        <v>1</v>
      </c>
    </row>
    <row r="1517" spans="1:15">
      <c r="A1517" t="s">
        <v>1543</v>
      </c>
      <c r="B1517" t="s">
        <v>38</v>
      </c>
      <c r="C1517">
        <v>8</v>
      </c>
      <c r="D1517">
        <v>21597903</v>
      </c>
      <c r="E1517">
        <v>4</v>
      </c>
      <c r="F1517">
        <v>29</v>
      </c>
      <c r="G1517">
        <v>881</v>
      </c>
      <c r="H1517">
        <v>82997065</v>
      </c>
      <c r="I1517">
        <v>148517</v>
      </c>
      <c r="J1517" t="s">
        <v>25</v>
      </c>
      <c r="K1517" t="s">
        <v>30</v>
      </c>
      <c r="L1517">
        <v>9</v>
      </c>
      <c r="M1517">
        <v>50.96</v>
      </c>
      <c r="N1517">
        <v>699994</v>
      </c>
      <c r="O1517">
        <v>1</v>
      </c>
    </row>
    <row r="1518" spans="1:15">
      <c r="A1518" t="s">
        <v>1544</v>
      </c>
      <c r="B1518" t="s">
        <v>32</v>
      </c>
      <c r="C1518">
        <v>2</v>
      </c>
      <c r="D1518">
        <v>17321997</v>
      </c>
      <c r="E1518">
        <v>1</v>
      </c>
      <c r="F1518">
        <v>12</v>
      </c>
      <c r="G1518">
        <v>678</v>
      </c>
      <c r="H1518">
        <v>79621086</v>
      </c>
      <c r="I1518">
        <v>872392</v>
      </c>
      <c r="J1518" t="s">
        <v>17</v>
      </c>
      <c r="K1518" t="s">
        <v>30</v>
      </c>
      <c r="L1518">
        <v>3</v>
      </c>
      <c r="M1518">
        <v>15.42</v>
      </c>
      <c r="N1518">
        <v>553418</v>
      </c>
      <c r="O1518">
        <v>1</v>
      </c>
    </row>
    <row r="1519" spans="1:15">
      <c r="A1519" t="s">
        <v>1545</v>
      </c>
      <c r="B1519" t="s">
        <v>32</v>
      </c>
      <c r="C1519">
        <v>12</v>
      </c>
      <c r="D1519">
        <v>11802349</v>
      </c>
      <c r="E1519">
        <v>2</v>
      </c>
      <c r="F1519">
        <v>29</v>
      </c>
      <c r="G1519">
        <v>972</v>
      </c>
      <c r="H1519">
        <v>83241999</v>
      </c>
      <c r="I1519">
        <v>69309</v>
      </c>
      <c r="J1519" t="s">
        <v>21</v>
      </c>
      <c r="K1519" t="s">
        <v>18</v>
      </c>
      <c r="L1519">
        <v>6</v>
      </c>
      <c r="M1519">
        <v>77.69</v>
      </c>
      <c r="N1519">
        <v>309844</v>
      </c>
      <c r="O1519">
        <v>1</v>
      </c>
    </row>
    <row r="1520" spans="1:15">
      <c r="A1520" t="s">
        <v>1546</v>
      </c>
      <c r="B1520" t="s">
        <v>38</v>
      </c>
      <c r="C1520">
        <v>11</v>
      </c>
      <c r="D1520">
        <v>1651579</v>
      </c>
      <c r="E1520">
        <v>2</v>
      </c>
      <c r="F1520">
        <v>2</v>
      </c>
      <c r="G1520">
        <v>819</v>
      </c>
      <c r="H1520">
        <v>11290237</v>
      </c>
      <c r="I1520">
        <v>19722</v>
      </c>
      <c r="J1520" t="s">
        <v>17</v>
      </c>
      <c r="K1520" t="s">
        <v>18</v>
      </c>
      <c r="L1520">
        <v>6</v>
      </c>
      <c r="M1520">
        <v>97.47</v>
      </c>
      <c r="N1520">
        <v>799377</v>
      </c>
      <c r="O1520">
        <v>1</v>
      </c>
    </row>
    <row r="1521" spans="1:15">
      <c r="A1521" t="s">
        <v>1547</v>
      </c>
      <c r="B1521" t="s">
        <v>20</v>
      </c>
      <c r="C1521">
        <v>10</v>
      </c>
      <c r="D1521">
        <v>38850403</v>
      </c>
      <c r="E1521">
        <v>1</v>
      </c>
      <c r="F1521">
        <v>29</v>
      </c>
      <c r="G1521">
        <v>887</v>
      </c>
      <c r="H1521">
        <v>56040618</v>
      </c>
      <c r="I1521">
        <v>41505</v>
      </c>
      <c r="J1521" t="s">
        <v>17</v>
      </c>
      <c r="K1521" t="s">
        <v>18</v>
      </c>
      <c r="L1521">
        <v>1</v>
      </c>
      <c r="M1521">
        <v>87.04</v>
      </c>
      <c r="N1521">
        <v>760855</v>
      </c>
      <c r="O1521">
        <v>1</v>
      </c>
    </row>
    <row r="1522" spans="1:15">
      <c r="A1522" t="s">
        <v>1548</v>
      </c>
      <c r="B1522" t="s">
        <v>16</v>
      </c>
      <c r="C1522">
        <v>4</v>
      </c>
      <c r="D1522">
        <v>39923499</v>
      </c>
      <c r="E1522">
        <v>4</v>
      </c>
      <c r="F1522">
        <v>18</v>
      </c>
      <c r="G1522">
        <v>332</v>
      </c>
      <c r="H1522">
        <v>54311670</v>
      </c>
      <c r="I1522">
        <v>529786</v>
      </c>
      <c r="J1522" t="s">
        <v>17</v>
      </c>
      <c r="K1522" t="s">
        <v>18</v>
      </c>
      <c r="L1522">
        <v>1</v>
      </c>
      <c r="M1522">
        <v>17.670000000000002</v>
      </c>
      <c r="N1522">
        <v>495958</v>
      </c>
      <c r="O1522">
        <v>1</v>
      </c>
    </row>
    <row r="1523" spans="1:15">
      <c r="A1523" t="s">
        <v>1549</v>
      </c>
      <c r="B1523" t="s">
        <v>38</v>
      </c>
      <c r="C1523">
        <v>4</v>
      </c>
      <c r="D1523">
        <v>42394556</v>
      </c>
      <c r="E1523">
        <v>2</v>
      </c>
      <c r="F1523">
        <v>4</v>
      </c>
      <c r="G1523">
        <v>918</v>
      </c>
      <c r="H1523">
        <v>24924747</v>
      </c>
      <c r="I1523">
        <v>187614</v>
      </c>
      <c r="J1523" t="s">
        <v>25</v>
      </c>
      <c r="K1523" t="s">
        <v>18</v>
      </c>
      <c r="L1523">
        <v>4</v>
      </c>
      <c r="M1523">
        <v>14.03</v>
      </c>
      <c r="N1523">
        <v>922800</v>
      </c>
      <c r="O1523">
        <v>1</v>
      </c>
    </row>
    <row r="1524" spans="1:15">
      <c r="A1524" t="s">
        <v>1550</v>
      </c>
      <c r="B1524" t="s">
        <v>38</v>
      </c>
      <c r="C1524">
        <v>9</v>
      </c>
      <c r="D1524">
        <v>31798777</v>
      </c>
      <c r="E1524">
        <v>2</v>
      </c>
      <c r="F1524">
        <v>1</v>
      </c>
      <c r="G1524">
        <v>59</v>
      </c>
      <c r="H1524">
        <v>80971415</v>
      </c>
      <c r="I1524">
        <v>635191</v>
      </c>
      <c r="J1524" t="s">
        <v>17</v>
      </c>
      <c r="K1524" t="s">
        <v>18</v>
      </c>
      <c r="L1524">
        <v>9</v>
      </c>
      <c r="M1524">
        <v>85.46</v>
      </c>
      <c r="N1524">
        <v>675446</v>
      </c>
      <c r="O1524">
        <v>1</v>
      </c>
    </row>
    <row r="1525" spans="1:15">
      <c r="A1525" t="s">
        <v>1551</v>
      </c>
      <c r="B1525" t="s">
        <v>32</v>
      </c>
      <c r="C1525">
        <v>14</v>
      </c>
      <c r="D1525">
        <v>10271732</v>
      </c>
      <c r="E1525">
        <v>3</v>
      </c>
      <c r="F1525">
        <v>3</v>
      </c>
      <c r="G1525">
        <v>660</v>
      </c>
      <c r="H1525">
        <v>58006718</v>
      </c>
      <c r="I1525">
        <v>616383</v>
      </c>
      <c r="J1525" t="s">
        <v>17</v>
      </c>
      <c r="K1525" t="s">
        <v>18</v>
      </c>
      <c r="L1525">
        <v>6</v>
      </c>
      <c r="M1525">
        <v>51.7</v>
      </c>
      <c r="N1525">
        <v>70972</v>
      </c>
      <c r="O1525">
        <v>1</v>
      </c>
    </row>
    <row r="1526" spans="1:15">
      <c r="A1526" t="s">
        <v>1552</v>
      </c>
      <c r="B1526" t="s">
        <v>29</v>
      </c>
      <c r="C1526">
        <v>4</v>
      </c>
      <c r="D1526">
        <v>2749416</v>
      </c>
      <c r="E1526">
        <v>3</v>
      </c>
      <c r="F1526">
        <v>26</v>
      </c>
      <c r="G1526">
        <v>744</v>
      </c>
      <c r="H1526">
        <v>23032450</v>
      </c>
      <c r="I1526">
        <v>294842</v>
      </c>
      <c r="J1526" t="s">
        <v>17</v>
      </c>
      <c r="K1526" t="s">
        <v>18</v>
      </c>
      <c r="L1526">
        <v>3</v>
      </c>
      <c r="M1526">
        <v>4.25</v>
      </c>
      <c r="N1526">
        <v>144397</v>
      </c>
      <c r="O1526">
        <v>1</v>
      </c>
    </row>
    <row r="1527" spans="1:15">
      <c r="A1527" t="s">
        <v>1553</v>
      </c>
      <c r="B1527" t="s">
        <v>20</v>
      </c>
      <c r="C1527">
        <v>1</v>
      </c>
      <c r="D1527">
        <v>35725505</v>
      </c>
      <c r="E1527">
        <v>4</v>
      </c>
      <c r="F1527">
        <v>7</v>
      </c>
      <c r="G1527">
        <v>959</v>
      </c>
      <c r="H1527">
        <v>60760943</v>
      </c>
      <c r="I1527">
        <v>560839</v>
      </c>
      <c r="J1527" t="s">
        <v>25</v>
      </c>
      <c r="K1527" t="s">
        <v>18</v>
      </c>
      <c r="L1527">
        <v>5</v>
      </c>
      <c r="M1527">
        <v>5.95</v>
      </c>
      <c r="N1527">
        <v>740393</v>
      </c>
      <c r="O1527">
        <v>1</v>
      </c>
    </row>
    <row r="1528" spans="1:15">
      <c r="A1528" t="s">
        <v>1554</v>
      </c>
      <c r="B1528" t="s">
        <v>20</v>
      </c>
      <c r="C1528">
        <v>4</v>
      </c>
      <c r="D1528">
        <v>44372653</v>
      </c>
      <c r="E1528">
        <v>2</v>
      </c>
      <c r="F1528">
        <v>14</v>
      </c>
      <c r="G1528">
        <v>266</v>
      </c>
      <c r="H1528">
        <v>81702141</v>
      </c>
      <c r="I1528">
        <v>78064</v>
      </c>
      <c r="J1528" t="s">
        <v>25</v>
      </c>
      <c r="K1528" t="s">
        <v>30</v>
      </c>
      <c r="L1528">
        <v>7</v>
      </c>
      <c r="M1528">
        <v>22.53</v>
      </c>
      <c r="N1528">
        <v>305670</v>
      </c>
      <c r="O1528">
        <v>1</v>
      </c>
    </row>
    <row r="1529" spans="1:15">
      <c r="A1529" t="s">
        <v>1555</v>
      </c>
      <c r="B1529" t="s">
        <v>32</v>
      </c>
      <c r="C1529">
        <v>6</v>
      </c>
      <c r="D1529">
        <v>7460895</v>
      </c>
      <c r="E1529">
        <v>1</v>
      </c>
      <c r="F1529">
        <v>15</v>
      </c>
      <c r="G1529">
        <v>600</v>
      </c>
      <c r="H1529">
        <v>61195859</v>
      </c>
      <c r="I1529">
        <v>672648</v>
      </c>
      <c r="J1529" t="s">
        <v>25</v>
      </c>
      <c r="K1529" t="s">
        <v>30</v>
      </c>
      <c r="L1529">
        <v>3</v>
      </c>
      <c r="M1529">
        <v>22.06</v>
      </c>
      <c r="N1529">
        <v>451152</v>
      </c>
      <c r="O1529">
        <v>1</v>
      </c>
    </row>
    <row r="1530" spans="1:15">
      <c r="A1530" t="s">
        <v>1556</v>
      </c>
      <c r="B1530" t="s">
        <v>27</v>
      </c>
      <c r="C1530">
        <v>2</v>
      </c>
      <c r="D1530">
        <v>48857917</v>
      </c>
      <c r="E1530">
        <v>4</v>
      </c>
      <c r="F1530">
        <v>24</v>
      </c>
      <c r="G1530">
        <v>738</v>
      </c>
      <c r="H1530">
        <v>26213727</v>
      </c>
      <c r="I1530">
        <v>796760</v>
      </c>
      <c r="J1530" t="s">
        <v>17</v>
      </c>
      <c r="K1530" t="s">
        <v>22</v>
      </c>
      <c r="L1530">
        <v>2</v>
      </c>
      <c r="M1530">
        <v>11.58</v>
      </c>
      <c r="N1530">
        <v>815303</v>
      </c>
      <c r="O1530">
        <v>1</v>
      </c>
    </row>
    <row r="1531" spans="1:15">
      <c r="A1531" t="s">
        <v>1557</v>
      </c>
      <c r="B1531" t="s">
        <v>32</v>
      </c>
      <c r="C1531">
        <v>2</v>
      </c>
      <c r="D1531">
        <v>413067</v>
      </c>
      <c r="E1531">
        <v>1</v>
      </c>
      <c r="F1531">
        <v>27</v>
      </c>
      <c r="G1531">
        <v>340</v>
      </c>
      <c r="H1531">
        <v>24001138</v>
      </c>
      <c r="I1531">
        <v>445989</v>
      </c>
      <c r="J1531" t="s">
        <v>25</v>
      </c>
      <c r="K1531" t="s">
        <v>18</v>
      </c>
      <c r="L1531">
        <v>9</v>
      </c>
      <c r="M1531">
        <v>66.23</v>
      </c>
      <c r="N1531">
        <v>205104</v>
      </c>
      <c r="O1531">
        <v>1</v>
      </c>
    </row>
    <row r="1532" spans="1:15">
      <c r="A1532" t="s">
        <v>1558</v>
      </c>
      <c r="B1532" t="s">
        <v>27</v>
      </c>
      <c r="C1532">
        <v>9</v>
      </c>
      <c r="D1532">
        <v>42178379</v>
      </c>
      <c r="E1532">
        <v>1</v>
      </c>
      <c r="F1532">
        <v>26</v>
      </c>
      <c r="G1532">
        <v>579</v>
      </c>
      <c r="H1532">
        <v>69067350</v>
      </c>
      <c r="I1532">
        <v>500389</v>
      </c>
      <c r="J1532" t="s">
        <v>21</v>
      </c>
      <c r="K1532" t="s">
        <v>30</v>
      </c>
      <c r="L1532">
        <v>8</v>
      </c>
      <c r="M1532">
        <v>3.61</v>
      </c>
      <c r="N1532">
        <v>64926</v>
      </c>
      <c r="O1532">
        <v>1</v>
      </c>
    </row>
    <row r="1533" spans="1:15">
      <c r="A1533" t="s">
        <v>1559</v>
      </c>
      <c r="B1533" t="s">
        <v>20</v>
      </c>
      <c r="C1533">
        <v>4</v>
      </c>
      <c r="D1533">
        <v>43841688</v>
      </c>
      <c r="E1533">
        <v>2</v>
      </c>
      <c r="F1533">
        <v>10</v>
      </c>
      <c r="G1533">
        <v>808</v>
      </c>
      <c r="H1533">
        <v>31613031</v>
      </c>
      <c r="I1533">
        <v>55104</v>
      </c>
      <c r="J1533" t="s">
        <v>21</v>
      </c>
      <c r="K1533" t="s">
        <v>18</v>
      </c>
      <c r="L1533">
        <v>1</v>
      </c>
      <c r="M1533">
        <v>74.290000000000006</v>
      </c>
      <c r="N1533">
        <v>941622</v>
      </c>
      <c r="O1533">
        <v>1</v>
      </c>
    </row>
    <row r="1534" spans="1:15">
      <c r="A1534" t="s">
        <v>1560</v>
      </c>
      <c r="B1534" t="s">
        <v>20</v>
      </c>
      <c r="C1534">
        <v>8</v>
      </c>
      <c r="D1534">
        <v>13420477</v>
      </c>
      <c r="E1534">
        <v>2</v>
      </c>
      <c r="F1534">
        <v>3</v>
      </c>
      <c r="G1534">
        <v>482</v>
      </c>
      <c r="H1534">
        <v>35504637</v>
      </c>
      <c r="I1534">
        <v>853144</v>
      </c>
      <c r="J1534" t="s">
        <v>21</v>
      </c>
      <c r="K1534" t="s">
        <v>18</v>
      </c>
      <c r="L1534">
        <v>4</v>
      </c>
      <c r="M1534">
        <v>95.22</v>
      </c>
      <c r="N1534">
        <v>271180</v>
      </c>
      <c r="O1534">
        <v>1</v>
      </c>
    </row>
    <row r="1535" spans="1:15">
      <c r="A1535" t="s">
        <v>1561</v>
      </c>
      <c r="B1535" t="s">
        <v>38</v>
      </c>
      <c r="C1535">
        <v>6</v>
      </c>
      <c r="D1535">
        <v>25362066</v>
      </c>
      <c r="E1535">
        <v>4</v>
      </c>
      <c r="F1535">
        <v>9</v>
      </c>
      <c r="G1535">
        <v>582</v>
      </c>
      <c r="H1535">
        <v>12210560</v>
      </c>
      <c r="I1535">
        <v>490744</v>
      </c>
      <c r="J1535" t="s">
        <v>25</v>
      </c>
      <c r="K1535" t="s">
        <v>18</v>
      </c>
      <c r="L1535">
        <v>6</v>
      </c>
      <c r="M1535">
        <v>51.11</v>
      </c>
      <c r="N1535">
        <v>509324</v>
      </c>
      <c r="O1535">
        <v>1</v>
      </c>
    </row>
    <row r="1536" spans="1:15">
      <c r="A1536" t="s">
        <v>1562</v>
      </c>
      <c r="B1536" t="s">
        <v>20</v>
      </c>
      <c r="C1536">
        <v>5</v>
      </c>
      <c r="D1536">
        <v>2067125</v>
      </c>
      <c r="E1536">
        <v>1</v>
      </c>
      <c r="F1536">
        <v>22</v>
      </c>
      <c r="G1536">
        <v>640</v>
      </c>
      <c r="H1536">
        <v>31369050</v>
      </c>
      <c r="I1536">
        <v>431471</v>
      </c>
      <c r="J1536" t="s">
        <v>17</v>
      </c>
      <c r="K1536" t="s">
        <v>18</v>
      </c>
      <c r="L1536">
        <v>1</v>
      </c>
      <c r="M1536">
        <v>10.73</v>
      </c>
      <c r="N1536">
        <v>248077</v>
      </c>
      <c r="O1536">
        <v>1</v>
      </c>
    </row>
    <row r="1537" spans="1:15">
      <c r="A1537" t="s">
        <v>1563</v>
      </c>
      <c r="B1537" t="s">
        <v>38</v>
      </c>
      <c r="C1537">
        <v>0</v>
      </c>
      <c r="D1537">
        <v>1267799</v>
      </c>
      <c r="E1537">
        <v>1</v>
      </c>
      <c r="F1537">
        <v>16</v>
      </c>
      <c r="G1537">
        <v>726</v>
      </c>
      <c r="H1537">
        <v>57067425</v>
      </c>
      <c r="I1537">
        <v>642307</v>
      </c>
      <c r="J1537" t="s">
        <v>17</v>
      </c>
      <c r="K1537" t="s">
        <v>30</v>
      </c>
      <c r="L1537">
        <v>5</v>
      </c>
      <c r="M1537">
        <v>66.98</v>
      </c>
      <c r="N1537">
        <v>520810</v>
      </c>
      <c r="O1537">
        <v>1</v>
      </c>
    </row>
    <row r="1538" spans="1:15">
      <c r="A1538" t="s">
        <v>1564</v>
      </c>
      <c r="B1538" t="s">
        <v>24</v>
      </c>
      <c r="C1538">
        <v>11</v>
      </c>
      <c r="D1538">
        <v>35420035</v>
      </c>
      <c r="E1538">
        <v>2</v>
      </c>
      <c r="F1538">
        <v>10</v>
      </c>
      <c r="G1538">
        <v>470</v>
      </c>
      <c r="H1538">
        <v>34261703</v>
      </c>
      <c r="I1538">
        <v>146682</v>
      </c>
      <c r="J1538" t="s">
        <v>21</v>
      </c>
      <c r="K1538" t="s">
        <v>18</v>
      </c>
      <c r="L1538">
        <v>9</v>
      </c>
      <c r="M1538">
        <v>16.21</v>
      </c>
      <c r="N1538">
        <v>114895</v>
      </c>
      <c r="O1538">
        <v>1</v>
      </c>
    </row>
    <row r="1539" spans="1:15">
      <c r="A1539" t="s">
        <v>1565</v>
      </c>
      <c r="B1539" t="s">
        <v>29</v>
      </c>
      <c r="C1539">
        <v>7</v>
      </c>
      <c r="D1539">
        <v>30741805</v>
      </c>
      <c r="E1539">
        <v>2</v>
      </c>
      <c r="F1539">
        <v>11</v>
      </c>
      <c r="G1539">
        <v>959</v>
      </c>
      <c r="H1539">
        <v>67766683</v>
      </c>
      <c r="I1539">
        <v>730618</v>
      </c>
      <c r="J1539" t="s">
        <v>25</v>
      </c>
      <c r="K1539" t="s">
        <v>30</v>
      </c>
      <c r="L1539">
        <v>3</v>
      </c>
      <c r="M1539">
        <v>57.65</v>
      </c>
      <c r="N1539">
        <v>719623</v>
      </c>
      <c r="O1539">
        <v>1</v>
      </c>
    </row>
    <row r="1540" spans="1:15">
      <c r="A1540" t="s">
        <v>1566</v>
      </c>
      <c r="B1540" t="s">
        <v>27</v>
      </c>
      <c r="C1540">
        <v>9</v>
      </c>
      <c r="D1540">
        <v>14568492</v>
      </c>
      <c r="E1540">
        <v>3</v>
      </c>
      <c r="F1540">
        <v>21</v>
      </c>
      <c r="G1540">
        <v>484</v>
      </c>
      <c r="H1540">
        <v>94004140</v>
      </c>
      <c r="I1540">
        <v>266293</v>
      </c>
      <c r="J1540" t="s">
        <v>25</v>
      </c>
      <c r="K1540" t="s">
        <v>30</v>
      </c>
      <c r="L1540">
        <v>8</v>
      </c>
      <c r="M1540">
        <v>56.08</v>
      </c>
      <c r="N1540">
        <v>66133</v>
      </c>
      <c r="O1540">
        <v>1</v>
      </c>
    </row>
    <row r="1541" spans="1:15">
      <c r="A1541" t="s">
        <v>1567</v>
      </c>
      <c r="B1541" t="s">
        <v>24</v>
      </c>
      <c r="C1541">
        <v>2</v>
      </c>
      <c r="D1541">
        <v>34876829</v>
      </c>
      <c r="E1541">
        <v>2</v>
      </c>
      <c r="F1541">
        <v>2</v>
      </c>
      <c r="G1541">
        <v>196</v>
      </c>
      <c r="H1541">
        <v>68545147</v>
      </c>
      <c r="I1541">
        <v>704446</v>
      </c>
      <c r="J1541" t="s">
        <v>25</v>
      </c>
      <c r="K1541" t="s">
        <v>30</v>
      </c>
      <c r="L1541">
        <v>3</v>
      </c>
      <c r="M1541">
        <v>71.53</v>
      </c>
      <c r="N1541">
        <v>537487</v>
      </c>
      <c r="O1541">
        <v>1</v>
      </c>
    </row>
    <row r="1542" spans="1:15">
      <c r="A1542" t="s">
        <v>1568</v>
      </c>
      <c r="B1542" t="s">
        <v>27</v>
      </c>
      <c r="C1542">
        <v>1</v>
      </c>
      <c r="D1542">
        <v>15641295</v>
      </c>
      <c r="E1542">
        <v>4</v>
      </c>
      <c r="F1542">
        <v>29</v>
      </c>
      <c r="G1542">
        <v>119</v>
      </c>
      <c r="H1542">
        <v>87511027</v>
      </c>
      <c r="I1542">
        <v>406615</v>
      </c>
      <c r="J1542" t="s">
        <v>17</v>
      </c>
      <c r="K1542" t="s">
        <v>18</v>
      </c>
      <c r="L1542">
        <v>9</v>
      </c>
      <c r="M1542">
        <v>90.36</v>
      </c>
      <c r="N1542">
        <v>971947</v>
      </c>
      <c r="O1542">
        <v>1</v>
      </c>
    </row>
    <row r="1543" spans="1:15">
      <c r="A1543" t="s">
        <v>1569</v>
      </c>
      <c r="B1543" t="s">
        <v>38</v>
      </c>
      <c r="C1543">
        <v>8</v>
      </c>
      <c r="D1543">
        <v>28699413</v>
      </c>
      <c r="E1543">
        <v>3</v>
      </c>
      <c r="F1543">
        <v>5</v>
      </c>
      <c r="G1543">
        <v>68</v>
      </c>
      <c r="H1543">
        <v>38117389</v>
      </c>
      <c r="I1543">
        <v>719135</v>
      </c>
      <c r="J1543" t="s">
        <v>21</v>
      </c>
      <c r="K1543" t="s">
        <v>30</v>
      </c>
      <c r="L1543">
        <v>8</v>
      </c>
      <c r="M1543">
        <v>81.849999999999994</v>
      </c>
      <c r="N1543">
        <v>432254</v>
      </c>
      <c r="O1543">
        <v>1</v>
      </c>
    </row>
    <row r="1544" spans="1:15">
      <c r="A1544" t="s">
        <v>1570</v>
      </c>
      <c r="B1544" t="s">
        <v>29</v>
      </c>
      <c r="C1544">
        <v>5</v>
      </c>
      <c r="D1544">
        <v>24859625</v>
      </c>
      <c r="E1544">
        <v>4</v>
      </c>
      <c r="F1544">
        <v>10</v>
      </c>
      <c r="G1544">
        <v>411</v>
      </c>
      <c r="H1544">
        <v>96369569</v>
      </c>
      <c r="I1544">
        <v>572141</v>
      </c>
      <c r="J1544" t="s">
        <v>25</v>
      </c>
      <c r="K1544" t="s">
        <v>22</v>
      </c>
      <c r="L1544">
        <v>9</v>
      </c>
      <c r="M1544">
        <v>48.48</v>
      </c>
      <c r="N1544">
        <v>259447</v>
      </c>
      <c r="O1544">
        <v>1</v>
      </c>
    </row>
    <row r="1545" spans="1:15">
      <c r="A1545" t="s">
        <v>1571</v>
      </c>
      <c r="B1545" t="s">
        <v>32</v>
      </c>
      <c r="C1545">
        <v>11</v>
      </c>
      <c r="D1545">
        <v>23645417</v>
      </c>
      <c r="E1545">
        <v>1</v>
      </c>
      <c r="F1545">
        <v>27</v>
      </c>
      <c r="G1545">
        <v>807</v>
      </c>
      <c r="H1545">
        <v>15781742</v>
      </c>
      <c r="I1545">
        <v>700808</v>
      </c>
      <c r="J1545" t="s">
        <v>21</v>
      </c>
      <c r="K1545" t="s">
        <v>22</v>
      </c>
      <c r="L1545">
        <v>5</v>
      </c>
      <c r="M1545">
        <v>4.25</v>
      </c>
      <c r="N1545">
        <v>377262</v>
      </c>
      <c r="O1545">
        <v>1</v>
      </c>
    </row>
    <row r="1546" spans="1:15">
      <c r="A1546" t="s">
        <v>1572</v>
      </c>
      <c r="B1546" t="s">
        <v>24</v>
      </c>
      <c r="C1546">
        <v>5</v>
      </c>
      <c r="D1546">
        <v>43736771</v>
      </c>
      <c r="E1546">
        <v>1</v>
      </c>
      <c r="F1546">
        <v>25</v>
      </c>
      <c r="G1546">
        <v>801</v>
      </c>
      <c r="H1546">
        <v>22240075</v>
      </c>
      <c r="I1546">
        <v>906019</v>
      </c>
      <c r="J1546" t="s">
        <v>25</v>
      </c>
      <c r="K1546" t="s">
        <v>22</v>
      </c>
      <c r="L1546">
        <v>1</v>
      </c>
      <c r="M1546">
        <v>80.69</v>
      </c>
      <c r="N1546">
        <v>378353</v>
      </c>
      <c r="O1546">
        <v>1</v>
      </c>
    </row>
    <row r="1547" spans="1:15">
      <c r="A1547" t="s">
        <v>1573</v>
      </c>
      <c r="B1547" t="s">
        <v>24</v>
      </c>
      <c r="C1547">
        <v>6</v>
      </c>
      <c r="D1547">
        <v>48979350</v>
      </c>
      <c r="E1547">
        <v>3</v>
      </c>
      <c r="F1547">
        <v>20</v>
      </c>
      <c r="G1547">
        <v>607</v>
      </c>
      <c r="H1547">
        <v>98978967</v>
      </c>
      <c r="I1547">
        <v>484980</v>
      </c>
      <c r="J1547" t="s">
        <v>21</v>
      </c>
      <c r="K1547" t="s">
        <v>22</v>
      </c>
      <c r="L1547">
        <v>6</v>
      </c>
      <c r="M1547">
        <v>3.7</v>
      </c>
      <c r="N1547">
        <v>47795</v>
      </c>
      <c r="O1547">
        <v>1</v>
      </c>
    </row>
    <row r="1548" spans="1:15">
      <c r="A1548" t="s">
        <v>1574</v>
      </c>
      <c r="B1548" t="s">
        <v>16</v>
      </c>
      <c r="C1548">
        <v>5</v>
      </c>
      <c r="D1548">
        <v>15467461</v>
      </c>
      <c r="E1548">
        <v>2</v>
      </c>
      <c r="F1548">
        <v>5</v>
      </c>
      <c r="G1548">
        <v>233</v>
      </c>
      <c r="H1548">
        <v>70752975</v>
      </c>
      <c r="I1548">
        <v>545237</v>
      </c>
      <c r="J1548" t="s">
        <v>17</v>
      </c>
      <c r="K1548" t="s">
        <v>18</v>
      </c>
      <c r="L1548">
        <v>6</v>
      </c>
      <c r="M1548">
        <v>11.89</v>
      </c>
      <c r="N1548">
        <v>749613</v>
      </c>
      <c r="O1548">
        <v>1</v>
      </c>
    </row>
    <row r="1549" spans="1:15">
      <c r="A1549" t="s">
        <v>1575</v>
      </c>
      <c r="B1549" t="s">
        <v>24</v>
      </c>
      <c r="C1549">
        <v>9</v>
      </c>
      <c r="D1549">
        <v>18458089</v>
      </c>
      <c r="E1549">
        <v>3</v>
      </c>
      <c r="F1549">
        <v>18</v>
      </c>
      <c r="G1549">
        <v>435</v>
      </c>
      <c r="H1549">
        <v>63991391</v>
      </c>
      <c r="I1549">
        <v>519504</v>
      </c>
      <c r="J1549" t="s">
        <v>25</v>
      </c>
      <c r="K1549" t="s">
        <v>22</v>
      </c>
      <c r="L1549">
        <v>3</v>
      </c>
      <c r="M1549">
        <v>17.2</v>
      </c>
      <c r="N1549">
        <v>486285</v>
      </c>
      <c r="O1549">
        <v>1</v>
      </c>
    </row>
    <row r="1550" spans="1:15">
      <c r="A1550" t="s">
        <v>1576</v>
      </c>
      <c r="B1550" t="s">
        <v>38</v>
      </c>
      <c r="C1550">
        <v>1</v>
      </c>
      <c r="D1550">
        <v>31380738</v>
      </c>
      <c r="E1550">
        <v>2</v>
      </c>
      <c r="F1550">
        <v>5</v>
      </c>
      <c r="G1550">
        <v>880</v>
      </c>
      <c r="H1550">
        <v>84232956</v>
      </c>
      <c r="I1550">
        <v>923589</v>
      </c>
      <c r="J1550" t="s">
        <v>25</v>
      </c>
      <c r="K1550" t="s">
        <v>22</v>
      </c>
      <c r="L1550">
        <v>5</v>
      </c>
      <c r="M1550">
        <v>5.67</v>
      </c>
      <c r="N1550">
        <v>725003</v>
      </c>
      <c r="O1550">
        <v>1</v>
      </c>
    </row>
    <row r="1551" spans="1:15">
      <c r="A1551" t="s">
        <v>1577</v>
      </c>
      <c r="B1551" t="s">
        <v>16</v>
      </c>
      <c r="C1551">
        <v>6</v>
      </c>
      <c r="D1551">
        <v>26800559</v>
      </c>
      <c r="E1551">
        <v>3</v>
      </c>
      <c r="F1551">
        <v>24</v>
      </c>
      <c r="G1551">
        <v>333</v>
      </c>
      <c r="H1551">
        <v>16646002</v>
      </c>
      <c r="I1551">
        <v>908586</v>
      </c>
      <c r="J1551" t="s">
        <v>21</v>
      </c>
      <c r="K1551" t="s">
        <v>18</v>
      </c>
      <c r="L1551">
        <v>1</v>
      </c>
      <c r="M1551">
        <v>27.19</v>
      </c>
      <c r="N1551">
        <v>687512</v>
      </c>
      <c r="O1551">
        <v>1</v>
      </c>
    </row>
    <row r="1552" spans="1:15">
      <c r="A1552" t="s">
        <v>1578</v>
      </c>
      <c r="B1552" t="s">
        <v>27</v>
      </c>
      <c r="C1552">
        <v>10</v>
      </c>
      <c r="D1552">
        <v>20262747</v>
      </c>
      <c r="E1552">
        <v>4</v>
      </c>
      <c r="F1552">
        <v>19</v>
      </c>
      <c r="G1552">
        <v>876</v>
      </c>
      <c r="H1552">
        <v>75655736</v>
      </c>
      <c r="I1552">
        <v>308250</v>
      </c>
      <c r="J1552" t="s">
        <v>25</v>
      </c>
      <c r="K1552" t="s">
        <v>18</v>
      </c>
      <c r="L1552">
        <v>3</v>
      </c>
      <c r="M1552">
        <v>28.2</v>
      </c>
      <c r="N1552">
        <v>341620</v>
      </c>
      <c r="O1552">
        <v>1</v>
      </c>
    </row>
    <row r="1553" spans="1:15">
      <c r="A1553" t="s">
        <v>1579</v>
      </c>
      <c r="B1553" t="s">
        <v>27</v>
      </c>
      <c r="C1553">
        <v>1</v>
      </c>
      <c r="D1553">
        <v>754866</v>
      </c>
      <c r="E1553">
        <v>4</v>
      </c>
      <c r="F1553">
        <v>5</v>
      </c>
      <c r="G1553">
        <v>94</v>
      </c>
      <c r="H1553">
        <v>62212270</v>
      </c>
      <c r="I1553">
        <v>171573</v>
      </c>
      <c r="J1553" t="s">
        <v>17</v>
      </c>
      <c r="K1553" t="s">
        <v>18</v>
      </c>
      <c r="L1553">
        <v>9</v>
      </c>
      <c r="M1553">
        <v>7.87</v>
      </c>
      <c r="N1553">
        <v>963443</v>
      </c>
      <c r="O1553">
        <v>1</v>
      </c>
    </row>
    <row r="1554" spans="1:15">
      <c r="A1554" t="s">
        <v>1580</v>
      </c>
      <c r="B1554" t="s">
        <v>29</v>
      </c>
      <c r="C1554">
        <v>12</v>
      </c>
      <c r="D1554">
        <v>41900482</v>
      </c>
      <c r="E1554">
        <v>3</v>
      </c>
      <c r="F1554">
        <v>18</v>
      </c>
      <c r="G1554">
        <v>927</v>
      </c>
      <c r="H1554">
        <v>55827771</v>
      </c>
      <c r="I1554">
        <v>42159</v>
      </c>
      <c r="J1554" t="s">
        <v>25</v>
      </c>
      <c r="K1554" t="s">
        <v>22</v>
      </c>
      <c r="L1554">
        <v>3</v>
      </c>
      <c r="M1554">
        <v>55.6</v>
      </c>
      <c r="N1554">
        <v>912842</v>
      </c>
      <c r="O1554">
        <v>1</v>
      </c>
    </row>
    <row r="1555" spans="1:15">
      <c r="A1555" t="s">
        <v>1581</v>
      </c>
      <c r="B1555" t="s">
        <v>29</v>
      </c>
      <c r="C1555">
        <v>10</v>
      </c>
      <c r="D1555">
        <v>1621823</v>
      </c>
      <c r="E1555">
        <v>1</v>
      </c>
      <c r="F1555">
        <v>9</v>
      </c>
      <c r="G1555">
        <v>891</v>
      </c>
      <c r="H1555">
        <v>98966960</v>
      </c>
      <c r="I1555">
        <v>665134</v>
      </c>
      <c r="J1555" t="s">
        <v>25</v>
      </c>
      <c r="K1555" t="s">
        <v>18</v>
      </c>
      <c r="L1555">
        <v>3</v>
      </c>
      <c r="M1555">
        <v>23.09</v>
      </c>
      <c r="N1555">
        <v>182609</v>
      </c>
      <c r="O1555">
        <v>1</v>
      </c>
    </row>
    <row r="1556" spans="1:15">
      <c r="A1556" t="s">
        <v>1582</v>
      </c>
      <c r="B1556" t="s">
        <v>32</v>
      </c>
      <c r="C1556">
        <v>14</v>
      </c>
      <c r="D1556">
        <v>48614096</v>
      </c>
      <c r="E1556">
        <v>3</v>
      </c>
      <c r="F1556">
        <v>22</v>
      </c>
      <c r="G1556">
        <v>127</v>
      </c>
      <c r="H1556">
        <v>21076806</v>
      </c>
      <c r="I1556">
        <v>944639</v>
      </c>
      <c r="J1556" t="s">
        <v>25</v>
      </c>
      <c r="K1556" t="s">
        <v>22</v>
      </c>
      <c r="L1556">
        <v>8</v>
      </c>
      <c r="M1556">
        <v>98.35</v>
      </c>
      <c r="N1556">
        <v>604341</v>
      </c>
      <c r="O1556">
        <v>1</v>
      </c>
    </row>
    <row r="1557" spans="1:15">
      <c r="A1557" t="s">
        <v>1583</v>
      </c>
      <c r="B1557" t="s">
        <v>16</v>
      </c>
      <c r="C1557">
        <v>5</v>
      </c>
      <c r="D1557">
        <v>36024148</v>
      </c>
      <c r="E1557">
        <v>2</v>
      </c>
      <c r="F1557">
        <v>10</v>
      </c>
      <c r="G1557">
        <v>208</v>
      </c>
      <c r="H1557">
        <v>82221646</v>
      </c>
      <c r="I1557">
        <v>338711</v>
      </c>
      <c r="J1557" t="s">
        <v>25</v>
      </c>
      <c r="K1557" t="s">
        <v>18</v>
      </c>
      <c r="L1557">
        <v>2</v>
      </c>
      <c r="M1557">
        <v>74.48</v>
      </c>
      <c r="N1557">
        <v>285513</v>
      </c>
      <c r="O1557">
        <v>1</v>
      </c>
    </row>
    <row r="1558" spans="1:15">
      <c r="A1558" t="s">
        <v>1584</v>
      </c>
      <c r="B1558" t="s">
        <v>16</v>
      </c>
      <c r="C1558">
        <v>1</v>
      </c>
      <c r="D1558">
        <v>5532762</v>
      </c>
      <c r="E1558">
        <v>2</v>
      </c>
      <c r="F1558">
        <v>9</v>
      </c>
      <c r="G1558">
        <v>331</v>
      </c>
      <c r="H1558">
        <v>22201414</v>
      </c>
      <c r="I1558">
        <v>36923</v>
      </c>
      <c r="J1558" t="s">
        <v>17</v>
      </c>
      <c r="K1558" t="s">
        <v>30</v>
      </c>
      <c r="L1558">
        <v>8</v>
      </c>
      <c r="M1558">
        <v>90.63</v>
      </c>
      <c r="N1558">
        <v>128316</v>
      </c>
      <c r="O1558">
        <v>1</v>
      </c>
    </row>
    <row r="1559" spans="1:15">
      <c r="A1559" t="s">
        <v>1585</v>
      </c>
      <c r="B1559" t="s">
        <v>24</v>
      </c>
      <c r="C1559">
        <v>9</v>
      </c>
      <c r="D1559">
        <v>5389771</v>
      </c>
      <c r="E1559">
        <v>1</v>
      </c>
      <c r="F1559">
        <v>14</v>
      </c>
      <c r="G1559">
        <v>176</v>
      </c>
      <c r="H1559">
        <v>56075715</v>
      </c>
      <c r="I1559">
        <v>910801</v>
      </c>
      <c r="J1559" t="s">
        <v>25</v>
      </c>
      <c r="K1559" t="s">
        <v>18</v>
      </c>
      <c r="L1559">
        <v>4</v>
      </c>
      <c r="M1559">
        <v>32.75</v>
      </c>
      <c r="N1559">
        <v>987925</v>
      </c>
      <c r="O1559">
        <v>1</v>
      </c>
    </row>
    <row r="1560" spans="1:15">
      <c r="A1560" t="s">
        <v>1586</v>
      </c>
      <c r="B1560" t="s">
        <v>16</v>
      </c>
      <c r="C1560">
        <v>10</v>
      </c>
      <c r="D1560">
        <v>11644324</v>
      </c>
      <c r="E1560">
        <v>3</v>
      </c>
      <c r="F1560">
        <v>23</v>
      </c>
      <c r="G1560">
        <v>359</v>
      </c>
      <c r="H1560">
        <v>18996309</v>
      </c>
      <c r="I1560">
        <v>498883</v>
      </c>
      <c r="J1560" t="s">
        <v>17</v>
      </c>
      <c r="K1560" t="s">
        <v>22</v>
      </c>
      <c r="L1560">
        <v>6</v>
      </c>
      <c r="M1560">
        <v>79.77</v>
      </c>
      <c r="N1560">
        <v>777771</v>
      </c>
      <c r="O1560">
        <v>1</v>
      </c>
    </row>
    <row r="1561" spans="1:15">
      <c r="A1561" t="s">
        <v>1587</v>
      </c>
      <c r="B1561" t="s">
        <v>27</v>
      </c>
      <c r="C1561">
        <v>2</v>
      </c>
      <c r="D1561">
        <v>18841959</v>
      </c>
      <c r="E1561">
        <v>2</v>
      </c>
      <c r="F1561">
        <v>12</v>
      </c>
      <c r="G1561">
        <v>837</v>
      </c>
      <c r="H1561">
        <v>58292329</v>
      </c>
      <c r="I1561">
        <v>635373</v>
      </c>
      <c r="J1561" t="s">
        <v>25</v>
      </c>
      <c r="K1561" t="s">
        <v>18</v>
      </c>
      <c r="L1561">
        <v>7</v>
      </c>
      <c r="M1561">
        <v>41.82</v>
      </c>
      <c r="N1561">
        <v>15345</v>
      </c>
      <c r="O1561">
        <v>1</v>
      </c>
    </row>
    <row r="1562" spans="1:15">
      <c r="A1562" t="s">
        <v>1588</v>
      </c>
      <c r="B1562" t="s">
        <v>38</v>
      </c>
      <c r="C1562">
        <v>6</v>
      </c>
      <c r="D1562">
        <v>570220</v>
      </c>
      <c r="E1562">
        <v>3</v>
      </c>
      <c r="F1562">
        <v>23</v>
      </c>
      <c r="G1562">
        <v>97</v>
      </c>
      <c r="H1562">
        <v>53545133</v>
      </c>
      <c r="I1562">
        <v>10411</v>
      </c>
      <c r="J1562" t="s">
        <v>25</v>
      </c>
      <c r="K1562" t="s">
        <v>18</v>
      </c>
      <c r="L1562">
        <v>2</v>
      </c>
      <c r="M1562">
        <v>31.93</v>
      </c>
      <c r="N1562">
        <v>444793</v>
      </c>
      <c r="O1562">
        <v>1</v>
      </c>
    </row>
    <row r="1563" spans="1:15">
      <c r="A1563" t="s">
        <v>1589</v>
      </c>
      <c r="B1563" t="s">
        <v>16</v>
      </c>
      <c r="C1563">
        <v>7</v>
      </c>
      <c r="D1563">
        <v>19492929</v>
      </c>
      <c r="E1563">
        <v>4</v>
      </c>
      <c r="F1563">
        <v>18</v>
      </c>
      <c r="G1563">
        <v>662</v>
      </c>
      <c r="H1563">
        <v>88614536</v>
      </c>
      <c r="I1563">
        <v>552786</v>
      </c>
      <c r="J1563" t="s">
        <v>25</v>
      </c>
      <c r="K1563" t="s">
        <v>22</v>
      </c>
      <c r="L1563">
        <v>3</v>
      </c>
      <c r="M1563">
        <v>5.38</v>
      </c>
      <c r="N1563">
        <v>120605</v>
      </c>
      <c r="O1563">
        <v>1</v>
      </c>
    </row>
    <row r="1564" spans="1:15">
      <c r="A1564" t="s">
        <v>1590</v>
      </c>
      <c r="B1564" t="s">
        <v>16</v>
      </c>
      <c r="C1564">
        <v>8</v>
      </c>
      <c r="D1564">
        <v>18490681</v>
      </c>
      <c r="E1564">
        <v>4</v>
      </c>
      <c r="F1564">
        <v>2</v>
      </c>
      <c r="G1564">
        <v>854</v>
      </c>
      <c r="H1564">
        <v>90602704</v>
      </c>
      <c r="I1564">
        <v>12235</v>
      </c>
      <c r="J1564" t="s">
        <v>17</v>
      </c>
      <c r="K1564" t="s">
        <v>30</v>
      </c>
      <c r="L1564">
        <v>5</v>
      </c>
      <c r="M1564">
        <v>20.91</v>
      </c>
      <c r="N1564">
        <v>923382</v>
      </c>
      <c r="O1564">
        <v>1</v>
      </c>
    </row>
    <row r="1565" spans="1:15">
      <c r="A1565" t="s">
        <v>1591</v>
      </c>
      <c r="B1565" t="s">
        <v>27</v>
      </c>
      <c r="C1565">
        <v>13</v>
      </c>
      <c r="D1565">
        <v>28428479</v>
      </c>
      <c r="E1565">
        <v>4</v>
      </c>
      <c r="F1565">
        <v>27</v>
      </c>
      <c r="G1565">
        <v>906</v>
      </c>
      <c r="H1565">
        <v>23835406</v>
      </c>
      <c r="I1565">
        <v>800623</v>
      </c>
      <c r="J1565" t="s">
        <v>21</v>
      </c>
      <c r="K1565" t="s">
        <v>30</v>
      </c>
      <c r="L1565">
        <v>2</v>
      </c>
      <c r="M1565">
        <v>95.49</v>
      </c>
      <c r="N1565">
        <v>7225</v>
      </c>
      <c r="O1565">
        <v>1</v>
      </c>
    </row>
    <row r="1566" spans="1:15">
      <c r="A1566" t="s">
        <v>1592</v>
      </c>
      <c r="B1566" t="s">
        <v>29</v>
      </c>
      <c r="C1566">
        <v>0</v>
      </c>
      <c r="D1566">
        <v>4163356</v>
      </c>
      <c r="E1566">
        <v>1</v>
      </c>
      <c r="F1566">
        <v>27</v>
      </c>
      <c r="G1566">
        <v>504</v>
      </c>
      <c r="H1566">
        <v>7064382</v>
      </c>
      <c r="I1566">
        <v>868370</v>
      </c>
      <c r="J1566" t="s">
        <v>25</v>
      </c>
      <c r="K1566" t="s">
        <v>18</v>
      </c>
      <c r="L1566">
        <v>7</v>
      </c>
      <c r="M1566">
        <v>66.38</v>
      </c>
      <c r="N1566">
        <v>191083</v>
      </c>
      <c r="O1566">
        <v>1</v>
      </c>
    </row>
    <row r="1567" spans="1:15">
      <c r="A1567" t="s">
        <v>1593</v>
      </c>
      <c r="B1567" t="s">
        <v>27</v>
      </c>
      <c r="C1567">
        <v>10</v>
      </c>
      <c r="D1567">
        <v>29044329</v>
      </c>
      <c r="E1567">
        <v>2</v>
      </c>
      <c r="F1567">
        <v>29</v>
      </c>
      <c r="G1567">
        <v>525</v>
      </c>
      <c r="H1567">
        <v>10365857</v>
      </c>
      <c r="I1567">
        <v>471335</v>
      </c>
      <c r="J1567" t="s">
        <v>21</v>
      </c>
      <c r="K1567" t="s">
        <v>22</v>
      </c>
      <c r="L1567">
        <v>7</v>
      </c>
      <c r="M1567">
        <v>27.77</v>
      </c>
      <c r="N1567">
        <v>198020</v>
      </c>
      <c r="O1567">
        <v>1</v>
      </c>
    </row>
    <row r="1568" spans="1:15">
      <c r="A1568" t="s">
        <v>1594</v>
      </c>
      <c r="B1568" t="s">
        <v>29</v>
      </c>
      <c r="C1568">
        <v>7</v>
      </c>
      <c r="D1568">
        <v>1776770</v>
      </c>
      <c r="E1568">
        <v>3</v>
      </c>
      <c r="F1568">
        <v>19</v>
      </c>
      <c r="G1568">
        <v>961</v>
      </c>
      <c r="H1568">
        <v>67274923</v>
      </c>
      <c r="I1568">
        <v>899331</v>
      </c>
      <c r="J1568" t="s">
        <v>17</v>
      </c>
      <c r="K1568" t="s">
        <v>18</v>
      </c>
      <c r="L1568">
        <v>5</v>
      </c>
      <c r="M1568">
        <v>61.59</v>
      </c>
      <c r="N1568">
        <v>759099</v>
      </c>
      <c r="O1568">
        <v>1</v>
      </c>
    </row>
    <row r="1569" spans="1:15">
      <c r="A1569" t="s">
        <v>1595</v>
      </c>
      <c r="B1569" t="s">
        <v>24</v>
      </c>
      <c r="C1569">
        <v>3</v>
      </c>
      <c r="D1569">
        <v>18617047</v>
      </c>
      <c r="E1569">
        <v>4</v>
      </c>
      <c r="F1569">
        <v>6</v>
      </c>
      <c r="G1569">
        <v>256</v>
      </c>
      <c r="H1569">
        <v>19235952</v>
      </c>
      <c r="I1569">
        <v>753768</v>
      </c>
      <c r="J1569" t="s">
        <v>25</v>
      </c>
      <c r="K1569" t="s">
        <v>22</v>
      </c>
      <c r="L1569">
        <v>3</v>
      </c>
      <c r="M1569">
        <v>38.82</v>
      </c>
      <c r="N1569">
        <v>226387</v>
      </c>
      <c r="O1569">
        <v>1</v>
      </c>
    </row>
    <row r="1570" spans="1:15">
      <c r="A1570" t="s">
        <v>1596</v>
      </c>
      <c r="B1570" t="s">
        <v>29</v>
      </c>
      <c r="C1570">
        <v>4</v>
      </c>
      <c r="D1570">
        <v>42770522</v>
      </c>
      <c r="E1570">
        <v>4</v>
      </c>
      <c r="F1570">
        <v>26</v>
      </c>
      <c r="G1570">
        <v>68</v>
      </c>
      <c r="H1570">
        <v>87394065</v>
      </c>
      <c r="I1570">
        <v>575290</v>
      </c>
      <c r="J1570" t="s">
        <v>25</v>
      </c>
      <c r="K1570" t="s">
        <v>22</v>
      </c>
      <c r="L1570">
        <v>4</v>
      </c>
      <c r="M1570">
        <v>95.83</v>
      </c>
      <c r="N1570">
        <v>950204</v>
      </c>
      <c r="O1570">
        <v>1</v>
      </c>
    </row>
    <row r="1571" spans="1:15">
      <c r="A1571" t="s">
        <v>1597</v>
      </c>
      <c r="B1571" t="s">
        <v>16</v>
      </c>
      <c r="C1571">
        <v>9</v>
      </c>
      <c r="D1571">
        <v>48003483</v>
      </c>
      <c r="E1571">
        <v>3</v>
      </c>
      <c r="F1571">
        <v>14</v>
      </c>
      <c r="G1571">
        <v>940</v>
      </c>
      <c r="H1571">
        <v>95483921</v>
      </c>
      <c r="I1571">
        <v>734433</v>
      </c>
      <c r="J1571" t="s">
        <v>21</v>
      </c>
      <c r="K1571" t="s">
        <v>22</v>
      </c>
      <c r="L1571">
        <v>4</v>
      </c>
      <c r="M1571">
        <v>27.73</v>
      </c>
      <c r="N1571">
        <v>139533</v>
      </c>
      <c r="O1571">
        <v>1</v>
      </c>
    </row>
    <row r="1572" spans="1:15">
      <c r="A1572" t="s">
        <v>1598</v>
      </c>
      <c r="B1572" t="s">
        <v>20</v>
      </c>
      <c r="C1572">
        <v>10</v>
      </c>
      <c r="D1572">
        <v>1888930</v>
      </c>
      <c r="E1572">
        <v>4</v>
      </c>
      <c r="F1572">
        <v>11</v>
      </c>
      <c r="G1572">
        <v>345</v>
      </c>
      <c r="H1572">
        <v>53731780</v>
      </c>
      <c r="I1572">
        <v>717411</v>
      </c>
      <c r="J1572" t="s">
        <v>21</v>
      </c>
      <c r="K1572" t="s">
        <v>22</v>
      </c>
      <c r="L1572">
        <v>1</v>
      </c>
      <c r="M1572">
        <v>72.48</v>
      </c>
      <c r="N1572">
        <v>236725</v>
      </c>
      <c r="O1572">
        <v>1</v>
      </c>
    </row>
    <row r="1573" spans="1:15">
      <c r="A1573" t="s">
        <v>1599</v>
      </c>
      <c r="B1573" t="s">
        <v>29</v>
      </c>
      <c r="C1573">
        <v>0</v>
      </c>
      <c r="D1573">
        <v>12617874</v>
      </c>
      <c r="E1573">
        <v>3</v>
      </c>
      <c r="F1573">
        <v>16</v>
      </c>
      <c r="G1573">
        <v>170</v>
      </c>
      <c r="H1573">
        <v>28107698</v>
      </c>
      <c r="I1573">
        <v>624025</v>
      </c>
      <c r="J1573" t="s">
        <v>17</v>
      </c>
      <c r="K1573" t="s">
        <v>30</v>
      </c>
      <c r="L1573">
        <v>3</v>
      </c>
      <c r="M1573">
        <v>91.91</v>
      </c>
      <c r="N1573">
        <v>873869</v>
      </c>
      <c r="O1573">
        <v>1</v>
      </c>
    </row>
    <row r="1574" spans="1:15">
      <c r="A1574" t="s">
        <v>1600</v>
      </c>
      <c r="B1574" t="s">
        <v>24</v>
      </c>
      <c r="C1574">
        <v>1</v>
      </c>
      <c r="D1574">
        <v>16875966</v>
      </c>
      <c r="E1574">
        <v>4</v>
      </c>
      <c r="F1574">
        <v>22</v>
      </c>
      <c r="G1574">
        <v>921</v>
      </c>
      <c r="H1574">
        <v>72469115</v>
      </c>
      <c r="I1574">
        <v>837630</v>
      </c>
      <c r="J1574" t="s">
        <v>21</v>
      </c>
      <c r="K1574" t="s">
        <v>18</v>
      </c>
      <c r="L1574">
        <v>4</v>
      </c>
      <c r="M1574">
        <v>77.2</v>
      </c>
      <c r="N1574">
        <v>318129</v>
      </c>
      <c r="O1574">
        <v>1</v>
      </c>
    </row>
    <row r="1575" spans="1:15">
      <c r="A1575" t="s">
        <v>1601</v>
      </c>
      <c r="B1575" t="s">
        <v>24</v>
      </c>
      <c r="C1575">
        <v>1</v>
      </c>
      <c r="D1575">
        <v>20086754</v>
      </c>
      <c r="E1575">
        <v>3</v>
      </c>
      <c r="F1575">
        <v>20</v>
      </c>
      <c r="G1575">
        <v>151</v>
      </c>
      <c r="H1575">
        <v>77144316</v>
      </c>
      <c r="I1575">
        <v>14048</v>
      </c>
      <c r="J1575" t="s">
        <v>25</v>
      </c>
      <c r="K1575" t="s">
        <v>22</v>
      </c>
      <c r="L1575">
        <v>9</v>
      </c>
      <c r="M1575">
        <v>74.099999999999994</v>
      </c>
      <c r="N1575">
        <v>52392</v>
      </c>
      <c r="O1575">
        <v>1</v>
      </c>
    </row>
    <row r="1576" spans="1:15">
      <c r="A1576" t="s">
        <v>1602</v>
      </c>
      <c r="B1576" t="s">
        <v>20</v>
      </c>
      <c r="C1576">
        <v>8</v>
      </c>
      <c r="D1576">
        <v>48531287</v>
      </c>
      <c r="E1576">
        <v>2</v>
      </c>
      <c r="F1576">
        <v>3</v>
      </c>
      <c r="G1576">
        <v>283</v>
      </c>
      <c r="H1576">
        <v>69174207</v>
      </c>
      <c r="I1576">
        <v>957302</v>
      </c>
      <c r="J1576" t="s">
        <v>17</v>
      </c>
      <c r="K1576" t="s">
        <v>22</v>
      </c>
      <c r="L1576">
        <v>9</v>
      </c>
      <c r="M1576">
        <v>3.2</v>
      </c>
      <c r="N1576">
        <v>283612</v>
      </c>
      <c r="O1576">
        <v>1</v>
      </c>
    </row>
    <row r="1577" spans="1:15">
      <c r="A1577" t="s">
        <v>1603</v>
      </c>
      <c r="B1577" t="s">
        <v>16</v>
      </c>
      <c r="C1577">
        <v>5</v>
      </c>
      <c r="D1577">
        <v>20062771</v>
      </c>
      <c r="E1577">
        <v>1</v>
      </c>
      <c r="F1577">
        <v>16</v>
      </c>
      <c r="G1577">
        <v>47</v>
      </c>
      <c r="H1577">
        <v>82744562</v>
      </c>
      <c r="I1577">
        <v>542030</v>
      </c>
      <c r="J1577" t="s">
        <v>21</v>
      </c>
      <c r="K1577" t="s">
        <v>30</v>
      </c>
      <c r="L1577">
        <v>6</v>
      </c>
      <c r="M1577">
        <v>59.45</v>
      </c>
      <c r="N1577">
        <v>353728</v>
      </c>
      <c r="O1577">
        <v>1</v>
      </c>
    </row>
    <row r="1578" spans="1:15">
      <c r="A1578" t="s">
        <v>1604</v>
      </c>
      <c r="B1578" t="s">
        <v>20</v>
      </c>
      <c r="C1578">
        <v>1</v>
      </c>
      <c r="D1578">
        <v>26155083</v>
      </c>
      <c r="E1578">
        <v>3</v>
      </c>
      <c r="F1578">
        <v>6</v>
      </c>
      <c r="G1578">
        <v>266</v>
      </c>
      <c r="H1578">
        <v>46827918</v>
      </c>
      <c r="I1578">
        <v>75933</v>
      </c>
      <c r="J1578" t="s">
        <v>21</v>
      </c>
      <c r="K1578" t="s">
        <v>30</v>
      </c>
      <c r="L1578">
        <v>8</v>
      </c>
      <c r="M1578">
        <v>36.57</v>
      </c>
      <c r="N1578">
        <v>452243</v>
      </c>
      <c r="O1578">
        <v>1</v>
      </c>
    </row>
    <row r="1579" spans="1:15">
      <c r="A1579" t="s">
        <v>1605</v>
      </c>
      <c r="B1579" t="s">
        <v>20</v>
      </c>
      <c r="C1579">
        <v>5</v>
      </c>
      <c r="D1579">
        <v>20107396</v>
      </c>
      <c r="E1579">
        <v>1</v>
      </c>
      <c r="F1579">
        <v>10</v>
      </c>
      <c r="G1579">
        <v>126</v>
      </c>
      <c r="H1579">
        <v>8499893</v>
      </c>
      <c r="I1579">
        <v>677922</v>
      </c>
      <c r="J1579" t="s">
        <v>25</v>
      </c>
      <c r="K1579" t="s">
        <v>22</v>
      </c>
      <c r="L1579">
        <v>7</v>
      </c>
      <c r="M1579">
        <v>79.790000000000006</v>
      </c>
      <c r="N1579">
        <v>304507</v>
      </c>
      <c r="O1579">
        <v>1</v>
      </c>
    </row>
    <row r="1580" spans="1:15">
      <c r="A1580" t="s">
        <v>1606</v>
      </c>
      <c r="B1580" t="s">
        <v>38</v>
      </c>
      <c r="C1580">
        <v>6</v>
      </c>
      <c r="D1580">
        <v>17348468</v>
      </c>
      <c r="E1580">
        <v>4</v>
      </c>
      <c r="F1580">
        <v>15</v>
      </c>
      <c r="G1580">
        <v>918</v>
      </c>
      <c r="H1580">
        <v>62688209</v>
      </c>
      <c r="I1580">
        <v>634909</v>
      </c>
      <c r="J1580" t="s">
        <v>25</v>
      </c>
      <c r="K1580" t="s">
        <v>30</v>
      </c>
      <c r="L1580">
        <v>9</v>
      </c>
      <c r="M1580">
        <v>6.26</v>
      </c>
      <c r="N1580">
        <v>419925</v>
      </c>
      <c r="O1580">
        <v>1</v>
      </c>
    </row>
    <row r="1581" spans="1:15">
      <c r="A1581" t="s">
        <v>1607</v>
      </c>
      <c r="B1581" t="s">
        <v>24</v>
      </c>
      <c r="C1581">
        <v>7</v>
      </c>
      <c r="D1581">
        <v>32199273</v>
      </c>
      <c r="E1581">
        <v>3</v>
      </c>
      <c r="F1581">
        <v>24</v>
      </c>
      <c r="G1581">
        <v>457</v>
      </c>
      <c r="H1581">
        <v>87160249</v>
      </c>
      <c r="I1581">
        <v>951723</v>
      </c>
      <c r="J1581" t="s">
        <v>25</v>
      </c>
      <c r="K1581" t="s">
        <v>22</v>
      </c>
      <c r="L1581">
        <v>7</v>
      </c>
      <c r="M1581">
        <v>12.64</v>
      </c>
      <c r="N1581">
        <v>526867</v>
      </c>
      <c r="O1581">
        <v>1</v>
      </c>
    </row>
    <row r="1582" spans="1:15">
      <c r="A1582" t="s">
        <v>1608</v>
      </c>
      <c r="B1582" t="s">
        <v>20</v>
      </c>
      <c r="C1582">
        <v>14</v>
      </c>
      <c r="D1582">
        <v>31103367</v>
      </c>
      <c r="E1582">
        <v>2</v>
      </c>
      <c r="F1582">
        <v>12</v>
      </c>
      <c r="G1582">
        <v>499</v>
      </c>
      <c r="H1582">
        <v>9968168</v>
      </c>
      <c r="I1582">
        <v>8410</v>
      </c>
      <c r="J1582" t="s">
        <v>17</v>
      </c>
      <c r="K1582" t="s">
        <v>18</v>
      </c>
      <c r="L1582">
        <v>6</v>
      </c>
      <c r="M1582">
        <v>16.989999999999998</v>
      </c>
      <c r="N1582">
        <v>872307</v>
      </c>
      <c r="O1582">
        <v>1</v>
      </c>
    </row>
    <row r="1583" spans="1:15">
      <c r="A1583" t="s">
        <v>1609</v>
      </c>
      <c r="B1583" t="s">
        <v>38</v>
      </c>
      <c r="C1583">
        <v>11</v>
      </c>
      <c r="D1583">
        <v>5543884</v>
      </c>
      <c r="E1583">
        <v>2</v>
      </c>
      <c r="F1583">
        <v>21</v>
      </c>
      <c r="G1583">
        <v>266</v>
      </c>
      <c r="H1583">
        <v>59515482</v>
      </c>
      <c r="I1583">
        <v>723057</v>
      </c>
      <c r="J1583" t="s">
        <v>21</v>
      </c>
      <c r="K1583" t="s">
        <v>22</v>
      </c>
      <c r="L1583">
        <v>5</v>
      </c>
      <c r="M1583">
        <v>51.15</v>
      </c>
      <c r="N1583">
        <v>105031</v>
      </c>
      <c r="O1583">
        <v>1</v>
      </c>
    </row>
    <row r="1584" spans="1:15">
      <c r="A1584" t="s">
        <v>1610</v>
      </c>
      <c r="B1584" t="s">
        <v>27</v>
      </c>
      <c r="C1584">
        <v>0</v>
      </c>
      <c r="D1584">
        <v>651211</v>
      </c>
      <c r="E1584">
        <v>3</v>
      </c>
      <c r="F1584">
        <v>0</v>
      </c>
      <c r="G1584">
        <v>839</v>
      </c>
      <c r="H1584">
        <v>27787099</v>
      </c>
      <c r="I1584">
        <v>791095</v>
      </c>
      <c r="J1584" t="s">
        <v>21</v>
      </c>
      <c r="K1584" t="s">
        <v>18</v>
      </c>
      <c r="L1584">
        <v>2</v>
      </c>
      <c r="M1584">
        <v>45.29</v>
      </c>
      <c r="N1584">
        <v>121302</v>
      </c>
      <c r="O1584">
        <v>1</v>
      </c>
    </row>
    <row r="1585" spans="1:15">
      <c r="A1585" t="s">
        <v>1611</v>
      </c>
      <c r="B1585" t="s">
        <v>32</v>
      </c>
      <c r="C1585">
        <v>5</v>
      </c>
      <c r="D1585">
        <v>16083675</v>
      </c>
      <c r="E1585">
        <v>1</v>
      </c>
      <c r="F1585">
        <v>11</v>
      </c>
      <c r="G1585">
        <v>695</v>
      </c>
      <c r="H1585">
        <v>43278948</v>
      </c>
      <c r="I1585">
        <v>733957</v>
      </c>
      <c r="J1585" t="s">
        <v>21</v>
      </c>
      <c r="K1585" t="s">
        <v>18</v>
      </c>
      <c r="L1585">
        <v>4</v>
      </c>
      <c r="M1585">
        <v>31.88</v>
      </c>
      <c r="N1585">
        <v>304791</v>
      </c>
      <c r="O1585">
        <v>1</v>
      </c>
    </row>
    <row r="1586" spans="1:15">
      <c r="A1586" t="s">
        <v>1612</v>
      </c>
      <c r="B1586" t="s">
        <v>32</v>
      </c>
      <c r="C1586">
        <v>13</v>
      </c>
      <c r="D1586">
        <v>19973930</v>
      </c>
      <c r="E1586">
        <v>3</v>
      </c>
      <c r="F1586">
        <v>17</v>
      </c>
      <c r="G1586">
        <v>445</v>
      </c>
      <c r="H1586">
        <v>61464532</v>
      </c>
      <c r="I1586">
        <v>884957</v>
      </c>
      <c r="J1586" t="s">
        <v>21</v>
      </c>
      <c r="K1586" t="s">
        <v>22</v>
      </c>
      <c r="L1586">
        <v>9</v>
      </c>
      <c r="M1586">
        <v>18.010000000000002</v>
      </c>
      <c r="N1586">
        <v>940614</v>
      </c>
      <c r="O1586">
        <v>1</v>
      </c>
    </row>
    <row r="1587" spans="1:15">
      <c r="A1587" t="s">
        <v>1613</v>
      </c>
      <c r="B1587" t="s">
        <v>20</v>
      </c>
      <c r="C1587">
        <v>3</v>
      </c>
      <c r="D1587">
        <v>32034954</v>
      </c>
      <c r="E1587">
        <v>3</v>
      </c>
      <c r="F1587">
        <v>20</v>
      </c>
      <c r="G1587">
        <v>989</v>
      </c>
      <c r="H1587">
        <v>46805329</v>
      </c>
      <c r="I1587">
        <v>473207</v>
      </c>
      <c r="J1587" t="s">
        <v>25</v>
      </c>
      <c r="K1587" t="s">
        <v>18</v>
      </c>
      <c r="L1587">
        <v>3</v>
      </c>
      <c r="M1587">
        <v>70.98</v>
      </c>
      <c r="N1587">
        <v>841943</v>
      </c>
      <c r="O1587">
        <v>1</v>
      </c>
    </row>
    <row r="1588" spans="1:15">
      <c r="A1588" t="s">
        <v>1614</v>
      </c>
      <c r="B1588" t="s">
        <v>29</v>
      </c>
      <c r="C1588">
        <v>11</v>
      </c>
      <c r="D1588">
        <v>5730468</v>
      </c>
      <c r="E1588">
        <v>4</v>
      </c>
      <c r="F1588">
        <v>28</v>
      </c>
      <c r="G1588">
        <v>186</v>
      </c>
      <c r="H1588">
        <v>84171124</v>
      </c>
      <c r="I1588">
        <v>145005</v>
      </c>
      <c r="J1588" t="s">
        <v>17</v>
      </c>
      <c r="K1588" t="s">
        <v>22</v>
      </c>
      <c r="L1588">
        <v>6</v>
      </c>
      <c r="M1588">
        <v>23.92</v>
      </c>
      <c r="N1588">
        <v>886802</v>
      </c>
      <c r="O1588">
        <v>1</v>
      </c>
    </row>
    <row r="1589" spans="1:15">
      <c r="A1589" t="s">
        <v>1615</v>
      </c>
      <c r="B1589" t="s">
        <v>29</v>
      </c>
      <c r="C1589">
        <v>5</v>
      </c>
      <c r="D1589">
        <v>41242615</v>
      </c>
      <c r="E1589">
        <v>2</v>
      </c>
      <c r="F1589">
        <v>2</v>
      </c>
      <c r="G1589">
        <v>911</v>
      </c>
      <c r="H1589">
        <v>92300226</v>
      </c>
      <c r="I1589">
        <v>590853</v>
      </c>
      <c r="J1589" t="s">
        <v>25</v>
      </c>
      <c r="K1589" t="s">
        <v>30</v>
      </c>
      <c r="L1589">
        <v>7</v>
      </c>
      <c r="M1589">
        <v>86.88</v>
      </c>
      <c r="N1589">
        <v>53483</v>
      </c>
      <c r="O1589">
        <v>1</v>
      </c>
    </row>
    <row r="1590" spans="1:15">
      <c r="A1590" t="s">
        <v>1616</v>
      </c>
      <c r="B1590" t="s">
        <v>27</v>
      </c>
      <c r="C1590">
        <v>4</v>
      </c>
      <c r="D1590">
        <v>555760</v>
      </c>
      <c r="E1590">
        <v>1</v>
      </c>
      <c r="F1590">
        <v>15</v>
      </c>
      <c r="G1590">
        <v>508</v>
      </c>
      <c r="H1590">
        <v>48080533</v>
      </c>
      <c r="I1590">
        <v>658877</v>
      </c>
      <c r="J1590" t="s">
        <v>25</v>
      </c>
      <c r="K1590" t="s">
        <v>18</v>
      </c>
      <c r="L1590">
        <v>6</v>
      </c>
      <c r="M1590">
        <v>52.72</v>
      </c>
      <c r="N1590">
        <v>969150</v>
      </c>
      <c r="O1590">
        <v>1</v>
      </c>
    </row>
    <row r="1591" spans="1:15">
      <c r="A1591" t="s">
        <v>1617</v>
      </c>
      <c r="B1591" t="s">
        <v>32</v>
      </c>
      <c r="C1591">
        <v>1</v>
      </c>
      <c r="D1591">
        <v>33408550</v>
      </c>
      <c r="E1591">
        <v>4</v>
      </c>
      <c r="F1591">
        <v>15</v>
      </c>
      <c r="G1591">
        <v>73</v>
      </c>
      <c r="H1591">
        <v>12975805</v>
      </c>
      <c r="I1591">
        <v>780383</v>
      </c>
      <c r="J1591" t="s">
        <v>25</v>
      </c>
      <c r="K1591" t="s">
        <v>22</v>
      </c>
      <c r="L1591">
        <v>3</v>
      </c>
      <c r="M1591">
        <v>50.6</v>
      </c>
      <c r="N1591">
        <v>756851</v>
      </c>
      <c r="O1591">
        <v>1</v>
      </c>
    </row>
    <row r="1592" spans="1:15">
      <c r="A1592" t="s">
        <v>1618</v>
      </c>
      <c r="B1592" t="s">
        <v>24</v>
      </c>
      <c r="C1592">
        <v>11</v>
      </c>
      <c r="D1592">
        <v>36615962</v>
      </c>
      <c r="E1592">
        <v>2</v>
      </c>
      <c r="F1592">
        <v>22</v>
      </c>
      <c r="G1592">
        <v>790</v>
      </c>
      <c r="H1592">
        <v>26091663</v>
      </c>
      <c r="I1592">
        <v>977321</v>
      </c>
      <c r="J1592" t="s">
        <v>17</v>
      </c>
      <c r="K1592" t="s">
        <v>22</v>
      </c>
      <c r="L1592">
        <v>9</v>
      </c>
      <c r="M1592">
        <v>17.29</v>
      </c>
      <c r="N1592">
        <v>206672</v>
      </c>
      <c r="O1592">
        <v>1</v>
      </c>
    </row>
    <row r="1593" spans="1:15">
      <c r="A1593" t="s">
        <v>1619</v>
      </c>
      <c r="B1593" t="s">
        <v>32</v>
      </c>
      <c r="C1593">
        <v>14</v>
      </c>
      <c r="D1593">
        <v>25864563</v>
      </c>
      <c r="E1593">
        <v>4</v>
      </c>
      <c r="F1593">
        <v>22</v>
      </c>
      <c r="G1593">
        <v>598</v>
      </c>
      <c r="H1593">
        <v>76506933</v>
      </c>
      <c r="I1593">
        <v>260160</v>
      </c>
      <c r="J1593" t="s">
        <v>25</v>
      </c>
      <c r="K1593" t="s">
        <v>18</v>
      </c>
      <c r="L1593">
        <v>7</v>
      </c>
      <c r="M1593">
        <v>17.399999999999999</v>
      </c>
      <c r="N1593">
        <v>316666</v>
      </c>
      <c r="O1593">
        <v>1</v>
      </c>
    </row>
    <row r="1594" spans="1:15">
      <c r="A1594" t="s">
        <v>1620</v>
      </c>
      <c r="B1594" t="s">
        <v>20</v>
      </c>
      <c r="C1594">
        <v>5</v>
      </c>
      <c r="D1594">
        <v>34228569</v>
      </c>
      <c r="E1594">
        <v>2</v>
      </c>
      <c r="F1594">
        <v>9</v>
      </c>
      <c r="G1594">
        <v>398</v>
      </c>
      <c r="H1594">
        <v>32142923</v>
      </c>
      <c r="I1594">
        <v>968400</v>
      </c>
      <c r="J1594" t="s">
        <v>17</v>
      </c>
      <c r="K1594" t="s">
        <v>22</v>
      </c>
      <c r="L1594">
        <v>5</v>
      </c>
      <c r="M1594">
        <v>90.76</v>
      </c>
      <c r="N1594">
        <v>585300</v>
      </c>
      <c r="O1594">
        <v>1</v>
      </c>
    </row>
    <row r="1595" spans="1:15">
      <c r="A1595" t="s">
        <v>1621</v>
      </c>
      <c r="B1595" t="s">
        <v>16</v>
      </c>
      <c r="C1595">
        <v>3</v>
      </c>
      <c r="D1595">
        <v>19662574</v>
      </c>
      <c r="E1595">
        <v>4</v>
      </c>
      <c r="F1595">
        <v>16</v>
      </c>
      <c r="G1595">
        <v>907</v>
      </c>
      <c r="H1595">
        <v>71055224</v>
      </c>
      <c r="I1595">
        <v>403751</v>
      </c>
      <c r="J1595" t="s">
        <v>25</v>
      </c>
      <c r="K1595" t="s">
        <v>18</v>
      </c>
      <c r="L1595">
        <v>7</v>
      </c>
      <c r="M1595">
        <v>77.569999999999993</v>
      </c>
      <c r="N1595">
        <v>540091</v>
      </c>
      <c r="O1595">
        <v>1</v>
      </c>
    </row>
    <row r="1596" spans="1:15">
      <c r="A1596" t="s">
        <v>1622</v>
      </c>
      <c r="B1596" t="s">
        <v>38</v>
      </c>
      <c r="C1596">
        <v>10</v>
      </c>
      <c r="D1596">
        <v>14325525</v>
      </c>
      <c r="E1596">
        <v>4</v>
      </c>
      <c r="F1596">
        <v>6</v>
      </c>
      <c r="G1596">
        <v>521</v>
      </c>
      <c r="H1596">
        <v>74324496</v>
      </c>
      <c r="I1596">
        <v>355592</v>
      </c>
      <c r="J1596" t="s">
        <v>25</v>
      </c>
      <c r="K1596" t="s">
        <v>30</v>
      </c>
      <c r="L1596">
        <v>8</v>
      </c>
      <c r="M1596">
        <v>49.49</v>
      </c>
      <c r="N1596">
        <v>274753</v>
      </c>
      <c r="O1596">
        <v>1</v>
      </c>
    </row>
    <row r="1597" spans="1:15">
      <c r="A1597" t="s">
        <v>1623</v>
      </c>
      <c r="B1597" t="s">
        <v>20</v>
      </c>
      <c r="C1597">
        <v>4</v>
      </c>
      <c r="D1597">
        <v>21932149</v>
      </c>
      <c r="E1597">
        <v>4</v>
      </c>
      <c r="F1597">
        <v>24</v>
      </c>
      <c r="G1597">
        <v>298</v>
      </c>
      <c r="H1597">
        <v>20367384</v>
      </c>
      <c r="I1597">
        <v>15354</v>
      </c>
      <c r="J1597" t="s">
        <v>21</v>
      </c>
      <c r="K1597" t="s">
        <v>22</v>
      </c>
      <c r="L1597">
        <v>4</v>
      </c>
      <c r="M1597">
        <v>37.89</v>
      </c>
      <c r="N1597">
        <v>267702</v>
      </c>
      <c r="O1597">
        <v>1</v>
      </c>
    </row>
    <row r="1598" spans="1:15">
      <c r="A1598" t="s">
        <v>1624</v>
      </c>
      <c r="B1598" t="s">
        <v>32</v>
      </c>
      <c r="C1598">
        <v>7</v>
      </c>
      <c r="D1598">
        <v>2031073</v>
      </c>
      <c r="E1598">
        <v>4</v>
      </c>
      <c r="F1598">
        <v>17</v>
      </c>
      <c r="G1598">
        <v>211</v>
      </c>
      <c r="H1598">
        <v>98140435</v>
      </c>
      <c r="I1598">
        <v>174787</v>
      </c>
      <c r="J1598" t="s">
        <v>25</v>
      </c>
      <c r="K1598" t="s">
        <v>18</v>
      </c>
      <c r="L1598">
        <v>7</v>
      </c>
      <c r="M1598">
        <v>51.48</v>
      </c>
      <c r="N1598">
        <v>250071</v>
      </c>
      <c r="O1598">
        <v>1</v>
      </c>
    </row>
    <row r="1599" spans="1:15">
      <c r="A1599" t="s">
        <v>1625</v>
      </c>
      <c r="B1599" t="s">
        <v>27</v>
      </c>
      <c r="C1599">
        <v>12</v>
      </c>
      <c r="D1599">
        <v>34689049</v>
      </c>
      <c r="E1599">
        <v>3</v>
      </c>
      <c r="F1599">
        <v>0</v>
      </c>
      <c r="G1599">
        <v>750</v>
      </c>
      <c r="H1599">
        <v>35788300</v>
      </c>
      <c r="I1599">
        <v>862017</v>
      </c>
      <c r="J1599" t="s">
        <v>21</v>
      </c>
      <c r="K1599" t="s">
        <v>30</v>
      </c>
      <c r="L1599">
        <v>8</v>
      </c>
      <c r="M1599">
        <v>18.7</v>
      </c>
      <c r="N1599">
        <v>478369</v>
      </c>
      <c r="O1599">
        <v>1</v>
      </c>
    </row>
    <row r="1600" spans="1:15">
      <c r="A1600" t="s">
        <v>1626</v>
      </c>
      <c r="B1600" t="s">
        <v>16</v>
      </c>
      <c r="C1600">
        <v>12</v>
      </c>
      <c r="D1600">
        <v>31244157</v>
      </c>
      <c r="E1600">
        <v>4</v>
      </c>
      <c r="F1600">
        <v>6</v>
      </c>
      <c r="G1600">
        <v>693</v>
      </c>
      <c r="H1600">
        <v>29118982</v>
      </c>
      <c r="I1600">
        <v>592167</v>
      </c>
      <c r="J1600" t="s">
        <v>21</v>
      </c>
      <c r="K1600" t="s">
        <v>22</v>
      </c>
      <c r="L1600">
        <v>2</v>
      </c>
      <c r="M1600">
        <v>33.01</v>
      </c>
      <c r="N1600">
        <v>256482</v>
      </c>
      <c r="O1600">
        <v>1</v>
      </c>
    </row>
    <row r="1601" spans="1:15">
      <c r="A1601" t="s">
        <v>1627</v>
      </c>
      <c r="B1601" t="s">
        <v>20</v>
      </c>
      <c r="C1601">
        <v>9</v>
      </c>
      <c r="D1601">
        <v>5872045</v>
      </c>
      <c r="E1601">
        <v>4</v>
      </c>
      <c r="F1601">
        <v>28</v>
      </c>
      <c r="G1601">
        <v>706</v>
      </c>
      <c r="H1601">
        <v>67708331</v>
      </c>
      <c r="I1601">
        <v>527725</v>
      </c>
      <c r="J1601" t="s">
        <v>25</v>
      </c>
      <c r="K1601" t="s">
        <v>18</v>
      </c>
      <c r="L1601">
        <v>1</v>
      </c>
      <c r="M1601">
        <v>9.3000000000000007</v>
      </c>
      <c r="N1601">
        <v>172667</v>
      </c>
      <c r="O1601">
        <v>1</v>
      </c>
    </row>
    <row r="1602" spans="1:15">
      <c r="A1602" t="s">
        <v>1628</v>
      </c>
      <c r="B1602" t="s">
        <v>27</v>
      </c>
      <c r="C1602">
        <v>0</v>
      </c>
      <c r="D1602">
        <v>30513765</v>
      </c>
      <c r="E1602">
        <v>4</v>
      </c>
      <c r="F1602">
        <v>4</v>
      </c>
      <c r="G1602">
        <v>252</v>
      </c>
      <c r="H1602">
        <v>49657886</v>
      </c>
      <c r="I1602">
        <v>665944</v>
      </c>
      <c r="J1602" t="s">
        <v>17</v>
      </c>
      <c r="K1602" t="s">
        <v>30</v>
      </c>
      <c r="L1602">
        <v>8</v>
      </c>
      <c r="M1602">
        <v>96.78</v>
      </c>
      <c r="N1602">
        <v>961704</v>
      </c>
      <c r="O1602">
        <v>1</v>
      </c>
    </row>
    <row r="1603" spans="1:15">
      <c r="A1603" t="s">
        <v>1629</v>
      </c>
      <c r="B1603" t="s">
        <v>29</v>
      </c>
      <c r="C1603">
        <v>1</v>
      </c>
      <c r="D1603">
        <v>49621231</v>
      </c>
      <c r="E1603">
        <v>1</v>
      </c>
      <c r="F1603">
        <v>11</v>
      </c>
      <c r="G1603">
        <v>170</v>
      </c>
      <c r="H1603">
        <v>81927257</v>
      </c>
      <c r="I1603">
        <v>821316</v>
      </c>
      <c r="J1603" t="s">
        <v>25</v>
      </c>
      <c r="K1603" t="s">
        <v>18</v>
      </c>
      <c r="L1603">
        <v>2</v>
      </c>
      <c r="M1603">
        <v>50.45</v>
      </c>
      <c r="N1603">
        <v>248874</v>
      </c>
      <c r="O1603">
        <v>1</v>
      </c>
    </row>
    <row r="1604" spans="1:15">
      <c r="A1604" t="s">
        <v>1630</v>
      </c>
      <c r="B1604" t="s">
        <v>20</v>
      </c>
      <c r="C1604">
        <v>14</v>
      </c>
      <c r="D1604">
        <v>36351127</v>
      </c>
      <c r="E1604">
        <v>2</v>
      </c>
      <c r="F1604">
        <v>20</v>
      </c>
      <c r="G1604">
        <v>207</v>
      </c>
      <c r="H1604">
        <v>4245217</v>
      </c>
      <c r="I1604">
        <v>370276</v>
      </c>
      <c r="J1604" t="s">
        <v>21</v>
      </c>
      <c r="K1604" t="s">
        <v>18</v>
      </c>
      <c r="L1604">
        <v>4</v>
      </c>
      <c r="M1604">
        <v>68.08</v>
      </c>
      <c r="N1604">
        <v>219711</v>
      </c>
      <c r="O1604">
        <v>1</v>
      </c>
    </row>
    <row r="1605" spans="1:15">
      <c r="A1605" t="s">
        <v>1631</v>
      </c>
      <c r="B1605" t="s">
        <v>38</v>
      </c>
      <c r="C1605">
        <v>9</v>
      </c>
      <c r="D1605">
        <v>19853343</v>
      </c>
      <c r="E1605">
        <v>2</v>
      </c>
      <c r="F1605">
        <v>15</v>
      </c>
      <c r="G1605">
        <v>138</v>
      </c>
      <c r="H1605">
        <v>35940879</v>
      </c>
      <c r="I1605">
        <v>721275</v>
      </c>
      <c r="J1605" t="s">
        <v>21</v>
      </c>
      <c r="K1605" t="s">
        <v>30</v>
      </c>
      <c r="L1605">
        <v>8</v>
      </c>
      <c r="M1605">
        <v>64.52</v>
      </c>
      <c r="N1605">
        <v>536471</v>
      </c>
      <c r="O1605">
        <v>1</v>
      </c>
    </row>
    <row r="1606" spans="1:15">
      <c r="A1606" t="s">
        <v>1632</v>
      </c>
      <c r="B1606" t="s">
        <v>20</v>
      </c>
      <c r="C1606">
        <v>12</v>
      </c>
      <c r="D1606">
        <v>11532806</v>
      </c>
      <c r="E1606">
        <v>4</v>
      </c>
      <c r="F1606">
        <v>6</v>
      </c>
      <c r="G1606">
        <v>334</v>
      </c>
      <c r="H1606">
        <v>59292346</v>
      </c>
      <c r="I1606">
        <v>334785</v>
      </c>
      <c r="J1606" t="s">
        <v>21</v>
      </c>
      <c r="K1606" t="s">
        <v>18</v>
      </c>
      <c r="L1606">
        <v>1</v>
      </c>
      <c r="M1606">
        <v>53.71</v>
      </c>
      <c r="N1606">
        <v>371262</v>
      </c>
      <c r="O1606">
        <v>1</v>
      </c>
    </row>
    <row r="1607" spans="1:15">
      <c r="A1607" t="s">
        <v>1633</v>
      </c>
      <c r="B1607" t="s">
        <v>27</v>
      </c>
      <c r="C1607">
        <v>14</v>
      </c>
      <c r="D1607">
        <v>44030012</v>
      </c>
      <c r="E1607">
        <v>4</v>
      </c>
      <c r="F1607">
        <v>0</v>
      </c>
      <c r="G1607">
        <v>374</v>
      </c>
      <c r="H1607">
        <v>65893171</v>
      </c>
      <c r="I1607">
        <v>10364</v>
      </c>
      <c r="J1607" t="s">
        <v>17</v>
      </c>
      <c r="K1607" t="s">
        <v>30</v>
      </c>
      <c r="L1607">
        <v>9</v>
      </c>
      <c r="M1607">
        <v>60.44</v>
      </c>
      <c r="N1607">
        <v>685331</v>
      </c>
      <c r="O1607">
        <v>1</v>
      </c>
    </row>
    <row r="1608" spans="1:15">
      <c r="A1608" t="s">
        <v>1634</v>
      </c>
      <c r="B1608" t="s">
        <v>38</v>
      </c>
      <c r="C1608">
        <v>8</v>
      </c>
      <c r="D1608">
        <v>2926244</v>
      </c>
      <c r="E1608">
        <v>3</v>
      </c>
      <c r="F1608">
        <v>21</v>
      </c>
      <c r="G1608">
        <v>792</v>
      </c>
      <c r="H1608">
        <v>61554054</v>
      </c>
      <c r="I1608">
        <v>837184</v>
      </c>
      <c r="J1608" t="s">
        <v>21</v>
      </c>
      <c r="K1608" t="s">
        <v>30</v>
      </c>
      <c r="L1608">
        <v>2</v>
      </c>
      <c r="M1608">
        <v>81.28</v>
      </c>
      <c r="N1608">
        <v>251803</v>
      </c>
      <c r="O1608">
        <v>1</v>
      </c>
    </row>
    <row r="1609" spans="1:15">
      <c r="A1609" t="s">
        <v>1635</v>
      </c>
      <c r="B1609" t="s">
        <v>29</v>
      </c>
      <c r="C1609">
        <v>8</v>
      </c>
      <c r="D1609">
        <v>46021611</v>
      </c>
      <c r="E1609">
        <v>2</v>
      </c>
      <c r="F1609">
        <v>27</v>
      </c>
      <c r="G1609">
        <v>743</v>
      </c>
      <c r="H1609">
        <v>76983043</v>
      </c>
      <c r="I1609">
        <v>347884</v>
      </c>
      <c r="J1609" t="s">
        <v>17</v>
      </c>
      <c r="K1609" t="s">
        <v>30</v>
      </c>
      <c r="L1609">
        <v>7</v>
      </c>
      <c r="M1609">
        <v>85.31</v>
      </c>
      <c r="N1609">
        <v>681187</v>
      </c>
      <c r="O1609">
        <v>1</v>
      </c>
    </row>
    <row r="1610" spans="1:15">
      <c r="A1610" t="s">
        <v>1636</v>
      </c>
      <c r="B1610" t="s">
        <v>38</v>
      </c>
      <c r="C1610">
        <v>6</v>
      </c>
      <c r="D1610">
        <v>7388766</v>
      </c>
      <c r="E1610">
        <v>3</v>
      </c>
      <c r="F1610">
        <v>22</v>
      </c>
      <c r="G1610">
        <v>750</v>
      </c>
      <c r="H1610">
        <v>5864345</v>
      </c>
      <c r="I1610">
        <v>614097</v>
      </c>
      <c r="J1610" t="s">
        <v>21</v>
      </c>
      <c r="K1610" t="s">
        <v>22</v>
      </c>
      <c r="L1610">
        <v>2</v>
      </c>
      <c r="M1610">
        <v>80.86</v>
      </c>
      <c r="N1610">
        <v>861030</v>
      </c>
      <c r="O1610">
        <v>1</v>
      </c>
    </row>
    <row r="1611" spans="1:15">
      <c r="A1611" t="s">
        <v>1637</v>
      </c>
      <c r="B1611" t="s">
        <v>32</v>
      </c>
      <c r="C1611">
        <v>4</v>
      </c>
      <c r="D1611">
        <v>39898294</v>
      </c>
      <c r="E1611">
        <v>2</v>
      </c>
      <c r="F1611">
        <v>7</v>
      </c>
      <c r="G1611">
        <v>241</v>
      </c>
      <c r="H1611">
        <v>12232906</v>
      </c>
      <c r="I1611">
        <v>998069</v>
      </c>
      <c r="J1611" t="s">
        <v>21</v>
      </c>
      <c r="K1611" t="s">
        <v>18</v>
      </c>
      <c r="L1611">
        <v>9</v>
      </c>
      <c r="M1611">
        <v>34.479999999999997</v>
      </c>
      <c r="N1611">
        <v>12694</v>
      </c>
      <c r="O1611">
        <v>1</v>
      </c>
    </row>
    <row r="1612" spans="1:15">
      <c r="A1612" t="s">
        <v>1638</v>
      </c>
      <c r="B1612" t="s">
        <v>38</v>
      </c>
      <c r="C1612">
        <v>14</v>
      </c>
      <c r="D1612">
        <v>10674520</v>
      </c>
      <c r="E1612">
        <v>3</v>
      </c>
      <c r="F1612">
        <v>23</v>
      </c>
      <c r="G1612">
        <v>638</v>
      </c>
      <c r="H1612">
        <v>70978191</v>
      </c>
      <c r="I1612">
        <v>968010</v>
      </c>
      <c r="J1612" t="s">
        <v>25</v>
      </c>
      <c r="K1612" t="s">
        <v>18</v>
      </c>
      <c r="L1612">
        <v>4</v>
      </c>
      <c r="M1612">
        <v>55.03</v>
      </c>
      <c r="N1612">
        <v>359415</v>
      </c>
      <c r="O1612">
        <v>1</v>
      </c>
    </row>
    <row r="1613" spans="1:15">
      <c r="A1613" t="s">
        <v>1639</v>
      </c>
      <c r="B1613" t="s">
        <v>16</v>
      </c>
      <c r="C1613">
        <v>2</v>
      </c>
      <c r="D1613">
        <v>6420532</v>
      </c>
      <c r="E1613">
        <v>3</v>
      </c>
      <c r="F1613">
        <v>27</v>
      </c>
      <c r="G1613">
        <v>574</v>
      </c>
      <c r="H1613">
        <v>37119897</v>
      </c>
      <c r="I1613">
        <v>523250</v>
      </c>
      <c r="J1613" t="s">
        <v>21</v>
      </c>
      <c r="K1613" t="s">
        <v>18</v>
      </c>
      <c r="L1613">
        <v>5</v>
      </c>
      <c r="M1613">
        <v>93.22</v>
      </c>
      <c r="N1613">
        <v>615885</v>
      </c>
      <c r="O1613">
        <v>1</v>
      </c>
    </row>
    <row r="1614" spans="1:15">
      <c r="A1614" t="s">
        <v>1640</v>
      </c>
      <c r="B1614" t="s">
        <v>20</v>
      </c>
      <c r="C1614">
        <v>3</v>
      </c>
      <c r="D1614">
        <v>4470646</v>
      </c>
      <c r="E1614">
        <v>3</v>
      </c>
      <c r="F1614">
        <v>28</v>
      </c>
      <c r="G1614">
        <v>644</v>
      </c>
      <c r="H1614">
        <v>99905032</v>
      </c>
      <c r="I1614">
        <v>185728</v>
      </c>
      <c r="J1614" t="s">
        <v>25</v>
      </c>
      <c r="K1614" t="s">
        <v>30</v>
      </c>
      <c r="L1614">
        <v>2</v>
      </c>
      <c r="M1614">
        <v>55.29</v>
      </c>
      <c r="N1614">
        <v>70436</v>
      </c>
      <c r="O1614">
        <v>1</v>
      </c>
    </row>
    <row r="1615" spans="1:15">
      <c r="A1615" t="s">
        <v>1641</v>
      </c>
      <c r="B1615" t="s">
        <v>27</v>
      </c>
      <c r="C1615">
        <v>5</v>
      </c>
      <c r="D1615">
        <v>5626859</v>
      </c>
      <c r="E1615">
        <v>3</v>
      </c>
      <c r="F1615">
        <v>22</v>
      </c>
      <c r="G1615">
        <v>639</v>
      </c>
      <c r="H1615">
        <v>17972986</v>
      </c>
      <c r="I1615">
        <v>157545</v>
      </c>
      <c r="J1615" t="s">
        <v>17</v>
      </c>
      <c r="K1615" t="s">
        <v>30</v>
      </c>
      <c r="L1615">
        <v>5</v>
      </c>
      <c r="M1615">
        <v>35.76</v>
      </c>
      <c r="N1615">
        <v>512171</v>
      </c>
      <c r="O1615">
        <v>1</v>
      </c>
    </row>
    <row r="1616" spans="1:15">
      <c r="A1616" t="s">
        <v>1642</v>
      </c>
      <c r="B1616" t="s">
        <v>20</v>
      </c>
      <c r="C1616">
        <v>8</v>
      </c>
      <c r="D1616">
        <v>28439482</v>
      </c>
      <c r="E1616">
        <v>3</v>
      </c>
      <c r="F1616">
        <v>25</v>
      </c>
      <c r="G1616">
        <v>276</v>
      </c>
      <c r="H1616">
        <v>69446168</v>
      </c>
      <c r="I1616">
        <v>504164</v>
      </c>
      <c r="J1616" t="s">
        <v>25</v>
      </c>
      <c r="K1616" t="s">
        <v>30</v>
      </c>
      <c r="L1616">
        <v>4</v>
      </c>
      <c r="M1616">
        <v>37.380000000000003</v>
      </c>
      <c r="N1616">
        <v>206777</v>
      </c>
      <c r="O1616">
        <v>1</v>
      </c>
    </row>
    <row r="1617" spans="1:15">
      <c r="A1617" t="s">
        <v>1643</v>
      </c>
      <c r="B1617" t="s">
        <v>32</v>
      </c>
      <c r="C1617">
        <v>13</v>
      </c>
      <c r="D1617">
        <v>25940966</v>
      </c>
      <c r="E1617">
        <v>1</v>
      </c>
      <c r="F1617">
        <v>26</v>
      </c>
      <c r="G1617">
        <v>919</v>
      </c>
      <c r="H1617">
        <v>97564660</v>
      </c>
      <c r="I1617">
        <v>488945</v>
      </c>
      <c r="J1617" t="s">
        <v>25</v>
      </c>
      <c r="K1617" t="s">
        <v>18</v>
      </c>
      <c r="L1617">
        <v>4</v>
      </c>
      <c r="M1617">
        <v>82.28</v>
      </c>
      <c r="N1617">
        <v>751002</v>
      </c>
      <c r="O1617">
        <v>1</v>
      </c>
    </row>
    <row r="1618" spans="1:15">
      <c r="A1618" t="s">
        <v>1644</v>
      </c>
      <c r="B1618" t="s">
        <v>24</v>
      </c>
      <c r="C1618">
        <v>2</v>
      </c>
      <c r="D1618">
        <v>43496218</v>
      </c>
      <c r="E1618">
        <v>2</v>
      </c>
      <c r="F1618">
        <v>2</v>
      </c>
      <c r="G1618">
        <v>397</v>
      </c>
      <c r="H1618">
        <v>12173341</v>
      </c>
      <c r="I1618">
        <v>130332</v>
      </c>
      <c r="J1618" t="s">
        <v>21</v>
      </c>
      <c r="K1618" t="s">
        <v>22</v>
      </c>
      <c r="L1618">
        <v>3</v>
      </c>
      <c r="M1618">
        <v>41.78</v>
      </c>
      <c r="N1618">
        <v>897366</v>
      </c>
      <c r="O1618">
        <v>1</v>
      </c>
    </row>
    <row r="1619" spans="1:15">
      <c r="A1619" t="s">
        <v>1645</v>
      </c>
      <c r="B1619" t="s">
        <v>20</v>
      </c>
      <c r="C1619">
        <v>12</v>
      </c>
      <c r="D1619">
        <v>39474122</v>
      </c>
      <c r="E1619">
        <v>1</v>
      </c>
      <c r="F1619">
        <v>19</v>
      </c>
      <c r="G1619">
        <v>148</v>
      </c>
      <c r="H1619">
        <v>44348309</v>
      </c>
      <c r="I1619">
        <v>985757</v>
      </c>
      <c r="J1619" t="s">
        <v>21</v>
      </c>
      <c r="K1619" t="s">
        <v>22</v>
      </c>
      <c r="L1619">
        <v>7</v>
      </c>
      <c r="M1619">
        <v>42.93</v>
      </c>
      <c r="N1619">
        <v>111668</v>
      </c>
      <c r="O1619">
        <v>1</v>
      </c>
    </row>
    <row r="1620" spans="1:15">
      <c r="A1620" t="s">
        <v>1646</v>
      </c>
      <c r="B1620" t="s">
        <v>38</v>
      </c>
      <c r="C1620">
        <v>10</v>
      </c>
      <c r="D1620">
        <v>43594813</v>
      </c>
      <c r="E1620">
        <v>2</v>
      </c>
      <c r="F1620">
        <v>12</v>
      </c>
      <c r="G1620">
        <v>319</v>
      </c>
      <c r="H1620">
        <v>26139407</v>
      </c>
      <c r="I1620">
        <v>953750</v>
      </c>
      <c r="J1620" t="s">
        <v>17</v>
      </c>
      <c r="K1620" t="s">
        <v>22</v>
      </c>
      <c r="L1620">
        <v>8</v>
      </c>
      <c r="M1620">
        <v>90.29</v>
      </c>
      <c r="N1620">
        <v>154531</v>
      </c>
      <c r="O1620">
        <v>1</v>
      </c>
    </row>
    <row r="1621" spans="1:15">
      <c r="A1621" t="s">
        <v>1647</v>
      </c>
      <c r="B1621" t="s">
        <v>16</v>
      </c>
      <c r="C1621">
        <v>2</v>
      </c>
      <c r="D1621">
        <v>3116342</v>
      </c>
      <c r="E1621">
        <v>2</v>
      </c>
      <c r="F1621">
        <v>13</v>
      </c>
      <c r="G1621">
        <v>166</v>
      </c>
      <c r="H1621">
        <v>66381978</v>
      </c>
      <c r="I1621">
        <v>560301</v>
      </c>
      <c r="J1621" t="s">
        <v>25</v>
      </c>
      <c r="K1621" t="s">
        <v>18</v>
      </c>
      <c r="L1621">
        <v>4</v>
      </c>
      <c r="M1621">
        <v>76.48</v>
      </c>
      <c r="N1621">
        <v>940545</v>
      </c>
      <c r="O1621">
        <v>1</v>
      </c>
    </row>
    <row r="1622" spans="1:15">
      <c r="A1622" t="s">
        <v>1648</v>
      </c>
      <c r="B1622" t="s">
        <v>38</v>
      </c>
      <c r="C1622">
        <v>5</v>
      </c>
      <c r="D1622">
        <v>8509362</v>
      </c>
      <c r="E1622">
        <v>4</v>
      </c>
      <c r="F1622">
        <v>0</v>
      </c>
      <c r="G1622">
        <v>811</v>
      </c>
      <c r="H1622">
        <v>72861271</v>
      </c>
      <c r="I1622">
        <v>899406</v>
      </c>
      <c r="J1622" t="s">
        <v>25</v>
      </c>
      <c r="K1622" t="s">
        <v>30</v>
      </c>
      <c r="L1622">
        <v>9</v>
      </c>
      <c r="M1622">
        <v>33.14</v>
      </c>
      <c r="N1622">
        <v>958198</v>
      </c>
      <c r="O1622">
        <v>1</v>
      </c>
    </row>
    <row r="1623" spans="1:15">
      <c r="A1623" t="s">
        <v>1649</v>
      </c>
      <c r="B1623" t="s">
        <v>29</v>
      </c>
      <c r="C1623">
        <v>8</v>
      </c>
      <c r="D1623">
        <v>32818184</v>
      </c>
      <c r="E1623">
        <v>3</v>
      </c>
      <c r="F1623">
        <v>26</v>
      </c>
      <c r="G1623">
        <v>27</v>
      </c>
      <c r="H1623">
        <v>20214093</v>
      </c>
      <c r="I1623">
        <v>793290</v>
      </c>
      <c r="J1623" t="s">
        <v>21</v>
      </c>
      <c r="K1623" t="s">
        <v>22</v>
      </c>
      <c r="L1623">
        <v>7</v>
      </c>
      <c r="M1623">
        <v>20.92</v>
      </c>
      <c r="N1623">
        <v>288466</v>
      </c>
      <c r="O1623">
        <v>1</v>
      </c>
    </row>
    <row r="1624" spans="1:15">
      <c r="A1624" t="s">
        <v>1650</v>
      </c>
      <c r="B1624" t="s">
        <v>32</v>
      </c>
      <c r="C1624">
        <v>0</v>
      </c>
      <c r="D1624">
        <v>12147587</v>
      </c>
      <c r="E1624">
        <v>3</v>
      </c>
      <c r="F1624">
        <v>4</v>
      </c>
      <c r="G1624">
        <v>606</v>
      </c>
      <c r="H1624">
        <v>89961288</v>
      </c>
      <c r="I1624">
        <v>501192</v>
      </c>
      <c r="J1624" t="s">
        <v>17</v>
      </c>
      <c r="K1624" t="s">
        <v>18</v>
      </c>
      <c r="L1624">
        <v>3</v>
      </c>
      <c r="M1624">
        <v>49.45</v>
      </c>
      <c r="N1624">
        <v>737624</v>
      </c>
      <c r="O1624">
        <v>1</v>
      </c>
    </row>
    <row r="1625" spans="1:15">
      <c r="A1625" t="s">
        <v>1651</v>
      </c>
      <c r="B1625" t="s">
        <v>38</v>
      </c>
      <c r="C1625">
        <v>7</v>
      </c>
      <c r="D1625">
        <v>2638273</v>
      </c>
      <c r="E1625">
        <v>4</v>
      </c>
      <c r="F1625">
        <v>26</v>
      </c>
      <c r="G1625">
        <v>723</v>
      </c>
      <c r="H1625">
        <v>99723155</v>
      </c>
      <c r="I1625">
        <v>361263</v>
      </c>
      <c r="J1625" t="s">
        <v>17</v>
      </c>
      <c r="K1625" t="s">
        <v>22</v>
      </c>
      <c r="L1625">
        <v>4</v>
      </c>
      <c r="M1625">
        <v>14.25</v>
      </c>
      <c r="N1625">
        <v>927386</v>
      </c>
      <c r="O1625">
        <v>1</v>
      </c>
    </row>
    <row r="1626" spans="1:15">
      <c r="A1626" t="s">
        <v>1652</v>
      </c>
      <c r="B1626" t="s">
        <v>32</v>
      </c>
      <c r="C1626">
        <v>6</v>
      </c>
      <c r="D1626">
        <v>35531036</v>
      </c>
      <c r="E1626">
        <v>4</v>
      </c>
      <c r="F1626">
        <v>6</v>
      </c>
      <c r="G1626">
        <v>670</v>
      </c>
      <c r="H1626">
        <v>23142390</v>
      </c>
      <c r="I1626">
        <v>41746</v>
      </c>
      <c r="J1626" t="s">
        <v>21</v>
      </c>
      <c r="K1626" t="s">
        <v>22</v>
      </c>
      <c r="L1626">
        <v>4</v>
      </c>
      <c r="M1626">
        <v>27.54</v>
      </c>
      <c r="N1626">
        <v>177048</v>
      </c>
      <c r="O1626">
        <v>1</v>
      </c>
    </row>
    <row r="1627" spans="1:15">
      <c r="A1627" t="s">
        <v>1653</v>
      </c>
      <c r="B1627" t="s">
        <v>32</v>
      </c>
      <c r="C1627">
        <v>10</v>
      </c>
      <c r="D1627">
        <v>31573035</v>
      </c>
      <c r="E1627">
        <v>4</v>
      </c>
      <c r="F1627">
        <v>28</v>
      </c>
      <c r="G1627">
        <v>923</v>
      </c>
      <c r="H1627">
        <v>55894478</v>
      </c>
      <c r="I1627">
        <v>595255</v>
      </c>
      <c r="J1627" t="s">
        <v>25</v>
      </c>
      <c r="K1627" t="s">
        <v>30</v>
      </c>
      <c r="L1627">
        <v>9</v>
      </c>
      <c r="M1627">
        <v>13.06</v>
      </c>
      <c r="N1627">
        <v>472814</v>
      </c>
      <c r="O1627">
        <v>1</v>
      </c>
    </row>
    <row r="1628" spans="1:15">
      <c r="A1628" t="s">
        <v>1654</v>
      </c>
      <c r="B1628" t="s">
        <v>27</v>
      </c>
      <c r="C1628">
        <v>1</v>
      </c>
      <c r="D1628">
        <v>109481</v>
      </c>
      <c r="E1628">
        <v>4</v>
      </c>
      <c r="F1628">
        <v>7</v>
      </c>
      <c r="G1628">
        <v>763</v>
      </c>
      <c r="H1628">
        <v>82421903</v>
      </c>
      <c r="I1628">
        <v>641706</v>
      </c>
      <c r="J1628" t="s">
        <v>25</v>
      </c>
      <c r="K1628" t="s">
        <v>30</v>
      </c>
      <c r="L1628">
        <v>3</v>
      </c>
      <c r="M1628">
        <v>2.57</v>
      </c>
      <c r="N1628">
        <v>333236</v>
      </c>
      <c r="O1628">
        <v>1</v>
      </c>
    </row>
    <row r="1629" spans="1:15">
      <c r="A1629" t="s">
        <v>1655</v>
      </c>
      <c r="B1629" t="s">
        <v>24</v>
      </c>
      <c r="C1629">
        <v>2</v>
      </c>
      <c r="D1629">
        <v>37135160</v>
      </c>
      <c r="E1629">
        <v>2</v>
      </c>
      <c r="F1629">
        <v>4</v>
      </c>
      <c r="G1629">
        <v>834</v>
      </c>
      <c r="H1629">
        <v>94539244</v>
      </c>
      <c r="I1629">
        <v>663098</v>
      </c>
      <c r="J1629" t="s">
        <v>25</v>
      </c>
      <c r="K1629" t="s">
        <v>30</v>
      </c>
      <c r="L1629">
        <v>6</v>
      </c>
      <c r="M1629">
        <v>93.08</v>
      </c>
      <c r="N1629">
        <v>602382</v>
      </c>
      <c r="O1629">
        <v>1</v>
      </c>
    </row>
    <row r="1630" spans="1:15">
      <c r="A1630" t="s">
        <v>1656</v>
      </c>
      <c r="B1630" t="s">
        <v>29</v>
      </c>
      <c r="C1630">
        <v>6</v>
      </c>
      <c r="D1630">
        <v>46038252</v>
      </c>
      <c r="E1630">
        <v>3</v>
      </c>
      <c r="F1630">
        <v>27</v>
      </c>
      <c r="G1630">
        <v>99</v>
      </c>
      <c r="H1630">
        <v>94563884</v>
      </c>
      <c r="I1630">
        <v>728691</v>
      </c>
      <c r="J1630" t="s">
        <v>25</v>
      </c>
      <c r="K1630" t="s">
        <v>30</v>
      </c>
      <c r="L1630">
        <v>7</v>
      </c>
      <c r="M1630">
        <v>34.5</v>
      </c>
      <c r="N1630">
        <v>155319</v>
      </c>
      <c r="O1630">
        <v>1</v>
      </c>
    </row>
    <row r="1631" spans="1:15">
      <c r="A1631" t="s">
        <v>1657</v>
      </c>
      <c r="B1631" t="s">
        <v>38</v>
      </c>
      <c r="C1631">
        <v>6</v>
      </c>
      <c r="D1631">
        <v>23749740</v>
      </c>
      <c r="E1631">
        <v>2</v>
      </c>
      <c r="F1631">
        <v>28</v>
      </c>
      <c r="G1631">
        <v>110</v>
      </c>
      <c r="H1631">
        <v>65582527</v>
      </c>
      <c r="I1631">
        <v>650035</v>
      </c>
      <c r="J1631" t="s">
        <v>21</v>
      </c>
      <c r="K1631" t="s">
        <v>18</v>
      </c>
      <c r="L1631">
        <v>6</v>
      </c>
      <c r="M1631">
        <v>39.35</v>
      </c>
      <c r="N1631">
        <v>402892</v>
      </c>
      <c r="O1631">
        <v>1</v>
      </c>
    </row>
    <row r="1632" spans="1:15">
      <c r="A1632" t="s">
        <v>1658</v>
      </c>
      <c r="B1632" t="s">
        <v>38</v>
      </c>
      <c r="C1632">
        <v>5</v>
      </c>
      <c r="D1632">
        <v>13857514</v>
      </c>
      <c r="E1632">
        <v>4</v>
      </c>
      <c r="F1632">
        <v>15</v>
      </c>
      <c r="G1632">
        <v>552</v>
      </c>
      <c r="H1632">
        <v>89814570</v>
      </c>
      <c r="I1632">
        <v>406823</v>
      </c>
      <c r="J1632" t="s">
        <v>17</v>
      </c>
      <c r="K1632" t="s">
        <v>22</v>
      </c>
      <c r="L1632">
        <v>9</v>
      </c>
      <c r="M1632">
        <v>4.29</v>
      </c>
      <c r="N1632">
        <v>105971</v>
      </c>
      <c r="O1632">
        <v>1</v>
      </c>
    </row>
    <row r="1633" spans="1:15">
      <c r="A1633" t="s">
        <v>1659</v>
      </c>
      <c r="B1633" t="s">
        <v>27</v>
      </c>
      <c r="C1633">
        <v>14</v>
      </c>
      <c r="D1633">
        <v>31833042</v>
      </c>
      <c r="E1633">
        <v>4</v>
      </c>
      <c r="F1633">
        <v>24</v>
      </c>
      <c r="G1633">
        <v>371</v>
      </c>
      <c r="H1633">
        <v>38344519</v>
      </c>
      <c r="I1633">
        <v>838894</v>
      </c>
      <c r="J1633" t="s">
        <v>25</v>
      </c>
      <c r="K1633" t="s">
        <v>22</v>
      </c>
      <c r="L1633">
        <v>8</v>
      </c>
      <c r="M1633">
        <v>69.2</v>
      </c>
      <c r="N1633">
        <v>756549</v>
      </c>
      <c r="O1633">
        <v>1</v>
      </c>
    </row>
    <row r="1634" spans="1:15">
      <c r="A1634" t="s">
        <v>1660</v>
      </c>
      <c r="B1634" t="s">
        <v>16</v>
      </c>
      <c r="C1634">
        <v>13</v>
      </c>
      <c r="D1634">
        <v>40522544</v>
      </c>
      <c r="E1634">
        <v>4</v>
      </c>
      <c r="F1634">
        <v>23</v>
      </c>
      <c r="G1634">
        <v>244</v>
      </c>
      <c r="H1634">
        <v>38659146</v>
      </c>
      <c r="I1634">
        <v>313709</v>
      </c>
      <c r="J1634" t="s">
        <v>21</v>
      </c>
      <c r="K1634" t="s">
        <v>18</v>
      </c>
      <c r="L1634">
        <v>9</v>
      </c>
      <c r="M1634">
        <v>54.49</v>
      </c>
      <c r="N1634">
        <v>218829</v>
      </c>
      <c r="O1634">
        <v>1</v>
      </c>
    </row>
    <row r="1635" spans="1:15">
      <c r="A1635" t="s">
        <v>1661</v>
      </c>
      <c r="B1635" t="s">
        <v>29</v>
      </c>
      <c r="C1635">
        <v>0</v>
      </c>
      <c r="D1635">
        <v>22140570</v>
      </c>
      <c r="E1635">
        <v>1</v>
      </c>
      <c r="F1635">
        <v>24</v>
      </c>
      <c r="G1635">
        <v>590</v>
      </c>
      <c r="H1635">
        <v>41538328</v>
      </c>
      <c r="I1635">
        <v>791744</v>
      </c>
      <c r="J1635" t="s">
        <v>25</v>
      </c>
      <c r="K1635" t="s">
        <v>18</v>
      </c>
      <c r="L1635">
        <v>9</v>
      </c>
      <c r="M1635">
        <v>86.65</v>
      </c>
      <c r="N1635">
        <v>48237</v>
      </c>
      <c r="O1635">
        <v>1</v>
      </c>
    </row>
    <row r="1636" spans="1:15">
      <c r="A1636" t="s">
        <v>1662</v>
      </c>
      <c r="B1636" t="s">
        <v>29</v>
      </c>
      <c r="C1636">
        <v>1</v>
      </c>
      <c r="D1636">
        <v>38361203</v>
      </c>
      <c r="E1636">
        <v>1</v>
      </c>
      <c r="F1636">
        <v>0</v>
      </c>
      <c r="G1636">
        <v>771</v>
      </c>
      <c r="H1636">
        <v>3888038</v>
      </c>
      <c r="I1636">
        <v>5695</v>
      </c>
      <c r="J1636" t="s">
        <v>17</v>
      </c>
      <c r="K1636" t="s">
        <v>22</v>
      </c>
      <c r="L1636">
        <v>8</v>
      </c>
      <c r="M1636">
        <v>79.930000000000007</v>
      </c>
      <c r="N1636">
        <v>142984</v>
      </c>
      <c r="O1636">
        <v>1</v>
      </c>
    </row>
    <row r="1637" spans="1:15">
      <c r="A1637" t="s">
        <v>1663</v>
      </c>
      <c r="B1637" t="s">
        <v>16</v>
      </c>
      <c r="C1637">
        <v>9</v>
      </c>
      <c r="D1637">
        <v>47846904</v>
      </c>
      <c r="E1637">
        <v>4</v>
      </c>
      <c r="F1637">
        <v>21</v>
      </c>
      <c r="G1637">
        <v>289</v>
      </c>
      <c r="H1637">
        <v>14879535</v>
      </c>
      <c r="I1637">
        <v>970841</v>
      </c>
      <c r="J1637" t="s">
        <v>17</v>
      </c>
      <c r="K1637" t="s">
        <v>22</v>
      </c>
      <c r="L1637">
        <v>9</v>
      </c>
      <c r="M1637">
        <v>94.66</v>
      </c>
      <c r="N1637">
        <v>585408</v>
      </c>
      <c r="O1637">
        <v>1</v>
      </c>
    </row>
    <row r="1638" spans="1:15">
      <c r="A1638" t="s">
        <v>1664</v>
      </c>
      <c r="B1638" t="s">
        <v>29</v>
      </c>
      <c r="C1638">
        <v>1</v>
      </c>
      <c r="D1638">
        <v>41239986</v>
      </c>
      <c r="E1638">
        <v>4</v>
      </c>
      <c r="F1638">
        <v>29</v>
      </c>
      <c r="G1638">
        <v>949</v>
      </c>
      <c r="H1638">
        <v>25859695</v>
      </c>
      <c r="I1638">
        <v>13121</v>
      </c>
      <c r="J1638" t="s">
        <v>21</v>
      </c>
      <c r="K1638" t="s">
        <v>30</v>
      </c>
      <c r="L1638">
        <v>6</v>
      </c>
      <c r="M1638">
        <v>68.13</v>
      </c>
      <c r="N1638">
        <v>348787</v>
      </c>
      <c r="O1638">
        <v>1</v>
      </c>
    </row>
    <row r="1639" spans="1:15">
      <c r="A1639" t="s">
        <v>1665</v>
      </c>
      <c r="B1639" t="s">
        <v>27</v>
      </c>
      <c r="C1639">
        <v>12</v>
      </c>
      <c r="D1639">
        <v>26563360</v>
      </c>
      <c r="E1639">
        <v>1</v>
      </c>
      <c r="F1639">
        <v>8</v>
      </c>
      <c r="G1639">
        <v>947</v>
      </c>
      <c r="H1639">
        <v>83011850</v>
      </c>
      <c r="I1639">
        <v>915096</v>
      </c>
      <c r="J1639" t="s">
        <v>25</v>
      </c>
      <c r="K1639" t="s">
        <v>22</v>
      </c>
      <c r="L1639">
        <v>3</v>
      </c>
      <c r="M1639">
        <v>88.4</v>
      </c>
      <c r="N1639">
        <v>61554</v>
      </c>
      <c r="O1639">
        <v>1</v>
      </c>
    </row>
    <row r="1640" spans="1:15">
      <c r="A1640" t="s">
        <v>1666</v>
      </c>
      <c r="B1640" t="s">
        <v>16</v>
      </c>
      <c r="C1640">
        <v>5</v>
      </c>
      <c r="D1640">
        <v>23758582</v>
      </c>
      <c r="E1640">
        <v>2</v>
      </c>
      <c r="F1640">
        <v>2</v>
      </c>
      <c r="G1640">
        <v>102</v>
      </c>
      <c r="H1640">
        <v>49895313</v>
      </c>
      <c r="I1640">
        <v>453796</v>
      </c>
      <c r="J1640" t="s">
        <v>17</v>
      </c>
      <c r="K1640" t="s">
        <v>30</v>
      </c>
      <c r="L1640">
        <v>7</v>
      </c>
      <c r="M1640">
        <v>42.02</v>
      </c>
      <c r="N1640">
        <v>37851</v>
      </c>
      <c r="O1640">
        <v>1</v>
      </c>
    </row>
    <row r="1641" spans="1:15">
      <c r="A1641" t="s">
        <v>1667</v>
      </c>
      <c r="B1641" t="s">
        <v>24</v>
      </c>
      <c r="C1641">
        <v>13</v>
      </c>
      <c r="D1641">
        <v>47347291</v>
      </c>
      <c r="E1641">
        <v>2</v>
      </c>
      <c r="F1641">
        <v>29</v>
      </c>
      <c r="G1641">
        <v>66</v>
      </c>
      <c r="H1641">
        <v>16316389</v>
      </c>
      <c r="I1641">
        <v>60722</v>
      </c>
      <c r="J1641" t="s">
        <v>21</v>
      </c>
      <c r="K1641" t="s">
        <v>18</v>
      </c>
      <c r="L1641">
        <v>9</v>
      </c>
      <c r="M1641">
        <v>18.04</v>
      </c>
      <c r="N1641">
        <v>466440</v>
      </c>
      <c r="O1641">
        <v>1</v>
      </c>
    </row>
    <row r="1642" spans="1:15">
      <c r="A1642" t="s">
        <v>1668</v>
      </c>
      <c r="B1642" t="s">
        <v>29</v>
      </c>
      <c r="C1642">
        <v>9</v>
      </c>
      <c r="D1642">
        <v>13007149</v>
      </c>
      <c r="E1642">
        <v>2</v>
      </c>
      <c r="F1642">
        <v>7</v>
      </c>
      <c r="G1642">
        <v>488</v>
      </c>
      <c r="H1642">
        <v>33618238</v>
      </c>
      <c r="I1642">
        <v>960725</v>
      </c>
      <c r="J1642" t="s">
        <v>25</v>
      </c>
      <c r="K1642" t="s">
        <v>22</v>
      </c>
      <c r="L1642">
        <v>7</v>
      </c>
      <c r="M1642">
        <v>16.489999999999998</v>
      </c>
      <c r="N1642">
        <v>236745</v>
      </c>
      <c r="O1642">
        <v>1</v>
      </c>
    </row>
    <row r="1643" spans="1:15">
      <c r="A1643" t="s">
        <v>1669</v>
      </c>
      <c r="B1643" t="s">
        <v>29</v>
      </c>
      <c r="C1643">
        <v>5</v>
      </c>
      <c r="D1643">
        <v>22504841</v>
      </c>
      <c r="E1643">
        <v>2</v>
      </c>
      <c r="F1643">
        <v>14</v>
      </c>
      <c r="G1643">
        <v>321</v>
      </c>
      <c r="H1643">
        <v>64565530</v>
      </c>
      <c r="I1643">
        <v>408125</v>
      </c>
      <c r="J1643" t="s">
        <v>21</v>
      </c>
      <c r="K1643" t="s">
        <v>30</v>
      </c>
      <c r="L1643">
        <v>9</v>
      </c>
      <c r="M1643">
        <v>41.01</v>
      </c>
      <c r="N1643">
        <v>955299</v>
      </c>
      <c r="O1643">
        <v>1</v>
      </c>
    </row>
    <row r="1644" spans="1:15">
      <c r="A1644" t="s">
        <v>1670</v>
      </c>
      <c r="B1644" t="s">
        <v>32</v>
      </c>
      <c r="C1644">
        <v>5</v>
      </c>
      <c r="D1644">
        <v>41054195</v>
      </c>
      <c r="E1644">
        <v>3</v>
      </c>
      <c r="F1644">
        <v>4</v>
      </c>
      <c r="G1644">
        <v>30</v>
      </c>
      <c r="H1644">
        <v>17240468</v>
      </c>
      <c r="I1644">
        <v>44340</v>
      </c>
      <c r="J1644" t="s">
        <v>17</v>
      </c>
      <c r="K1644" t="s">
        <v>18</v>
      </c>
      <c r="L1644">
        <v>7</v>
      </c>
      <c r="M1644">
        <v>34.94</v>
      </c>
      <c r="N1644">
        <v>428052</v>
      </c>
      <c r="O1644">
        <v>1</v>
      </c>
    </row>
    <row r="1645" spans="1:15">
      <c r="A1645" t="s">
        <v>1671</v>
      </c>
      <c r="B1645" t="s">
        <v>20</v>
      </c>
      <c r="C1645">
        <v>4</v>
      </c>
      <c r="D1645">
        <v>36916230</v>
      </c>
      <c r="E1645">
        <v>4</v>
      </c>
      <c r="F1645">
        <v>20</v>
      </c>
      <c r="G1645">
        <v>145</v>
      </c>
      <c r="H1645">
        <v>3212874</v>
      </c>
      <c r="I1645">
        <v>181480</v>
      </c>
      <c r="J1645" t="s">
        <v>25</v>
      </c>
      <c r="K1645" t="s">
        <v>18</v>
      </c>
      <c r="L1645">
        <v>3</v>
      </c>
      <c r="M1645">
        <v>74.67</v>
      </c>
      <c r="N1645">
        <v>920588</v>
      </c>
      <c r="O1645">
        <v>1</v>
      </c>
    </row>
    <row r="1646" spans="1:15">
      <c r="A1646" t="s">
        <v>1672</v>
      </c>
      <c r="B1646" t="s">
        <v>27</v>
      </c>
      <c r="C1646">
        <v>12</v>
      </c>
      <c r="D1646">
        <v>38824766</v>
      </c>
      <c r="E1646">
        <v>4</v>
      </c>
      <c r="F1646">
        <v>17</v>
      </c>
      <c r="G1646">
        <v>47</v>
      </c>
      <c r="H1646">
        <v>75403952</v>
      </c>
      <c r="I1646">
        <v>123747</v>
      </c>
      <c r="J1646" t="s">
        <v>17</v>
      </c>
      <c r="K1646" t="s">
        <v>18</v>
      </c>
      <c r="L1646">
        <v>1</v>
      </c>
      <c r="M1646">
        <v>14.64</v>
      </c>
      <c r="N1646">
        <v>643049</v>
      </c>
      <c r="O1646">
        <v>1</v>
      </c>
    </row>
    <row r="1647" spans="1:15">
      <c r="A1647" t="s">
        <v>1673</v>
      </c>
      <c r="B1647" t="s">
        <v>27</v>
      </c>
      <c r="C1647">
        <v>10</v>
      </c>
      <c r="D1647">
        <v>12320615</v>
      </c>
      <c r="E1647">
        <v>4</v>
      </c>
      <c r="F1647">
        <v>28</v>
      </c>
      <c r="G1647">
        <v>10</v>
      </c>
      <c r="H1647">
        <v>21580137</v>
      </c>
      <c r="I1647">
        <v>284073</v>
      </c>
      <c r="J1647" t="s">
        <v>25</v>
      </c>
      <c r="K1647" t="s">
        <v>22</v>
      </c>
      <c r="L1647">
        <v>2</v>
      </c>
      <c r="M1647">
        <v>31.69</v>
      </c>
      <c r="N1647">
        <v>948449</v>
      </c>
      <c r="O1647">
        <v>1</v>
      </c>
    </row>
    <row r="1648" spans="1:15">
      <c r="A1648" t="s">
        <v>1674</v>
      </c>
      <c r="B1648" t="s">
        <v>38</v>
      </c>
      <c r="C1648">
        <v>7</v>
      </c>
      <c r="D1648">
        <v>41674391</v>
      </c>
      <c r="E1648">
        <v>4</v>
      </c>
      <c r="F1648">
        <v>3</v>
      </c>
      <c r="G1648">
        <v>800</v>
      </c>
      <c r="H1648">
        <v>54006825</v>
      </c>
      <c r="I1648">
        <v>213782</v>
      </c>
      <c r="J1648" t="s">
        <v>17</v>
      </c>
      <c r="K1648" t="s">
        <v>22</v>
      </c>
      <c r="L1648">
        <v>8</v>
      </c>
      <c r="M1648">
        <v>56.3</v>
      </c>
      <c r="N1648">
        <v>74200</v>
      </c>
      <c r="O1648">
        <v>1</v>
      </c>
    </row>
    <row r="1649" spans="1:15">
      <c r="A1649" t="s">
        <v>1675</v>
      </c>
      <c r="B1649" t="s">
        <v>29</v>
      </c>
      <c r="C1649">
        <v>8</v>
      </c>
      <c r="D1649">
        <v>45505476</v>
      </c>
      <c r="E1649">
        <v>4</v>
      </c>
      <c r="F1649">
        <v>21</v>
      </c>
      <c r="G1649">
        <v>188</v>
      </c>
      <c r="H1649">
        <v>83932072</v>
      </c>
      <c r="I1649">
        <v>7041</v>
      </c>
      <c r="J1649" t="s">
        <v>17</v>
      </c>
      <c r="K1649" t="s">
        <v>30</v>
      </c>
      <c r="L1649">
        <v>7</v>
      </c>
      <c r="M1649">
        <v>64.42</v>
      </c>
      <c r="N1649">
        <v>249200</v>
      </c>
      <c r="O1649">
        <v>1</v>
      </c>
    </row>
    <row r="1650" spans="1:15">
      <c r="A1650" t="s">
        <v>1676</v>
      </c>
      <c r="B1650" t="s">
        <v>29</v>
      </c>
      <c r="C1650">
        <v>12</v>
      </c>
      <c r="D1650">
        <v>18712539</v>
      </c>
      <c r="E1650">
        <v>3</v>
      </c>
      <c r="F1650">
        <v>18</v>
      </c>
      <c r="G1650">
        <v>436</v>
      </c>
      <c r="H1650">
        <v>92805692</v>
      </c>
      <c r="I1650">
        <v>30200</v>
      </c>
      <c r="J1650" t="s">
        <v>21</v>
      </c>
      <c r="K1650" t="s">
        <v>30</v>
      </c>
      <c r="L1650">
        <v>2</v>
      </c>
      <c r="M1650">
        <v>8.5</v>
      </c>
      <c r="N1650">
        <v>851890</v>
      </c>
      <c r="O1650">
        <v>1</v>
      </c>
    </row>
    <row r="1651" spans="1:15">
      <c r="A1651" t="s">
        <v>1677</v>
      </c>
      <c r="B1651" t="s">
        <v>32</v>
      </c>
      <c r="C1651">
        <v>3</v>
      </c>
      <c r="D1651">
        <v>9053879</v>
      </c>
      <c r="E1651">
        <v>1</v>
      </c>
      <c r="F1651">
        <v>14</v>
      </c>
      <c r="G1651">
        <v>114</v>
      </c>
      <c r="H1651">
        <v>66577241</v>
      </c>
      <c r="I1651">
        <v>15115</v>
      </c>
      <c r="J1651" t="s">
        <v>25</v>
      </c>
      <c r="K1651" t="s">
        <v>18</v>
      </c>
      <c r="L1651">
        <v>8</v>
      </c>
      <c r="M1651">
        <v>1.1200000000000001</v>
      </c>
      <c r="N1651">
        <v>158618</v>
      </c>
      <c r="O1651">
        <v>1</v>
      </c>
    </row>
    <row r="1652" spans="1:15">
      <c r="A1652" t="s">
        <v>1678</v>
      </c>
      <c r="B1652" t="s">
        <v>29</v>
      </c>
      <c r="C1652">
        <v>3</v>
      </c>
      <c r="D1652">
        <v>48258143</v>
      </c>
      <c r="E1652">
        <v>4</v>
      </c>
      <c r="F1652">
        <v>28</v>
      </c>
      <c r="G1652">
        <v>482</v>
      </c>
      <c r="H1652">
        <v>78644225</v>
      </c>
      <c r="I1652">
        <v>516635</v>
      </c>
      <c r="J1652" t="s">
        <v>17</v>
      </c>
      <c r="K1652" t="s">
        <v>18</v>
      </c>
      <c r="L1652">
        <v>7</v>
      </c>
      <c r="M1652">
        <v>94.81</v>
      </c>
      <c r="N1652">
        <v>96833</v>
      </c>
      <c r="O1652">
        <v>1</v>
      </c>
    </row>
    <row r="1653" spans="1:15">
      <c r="A1653" t="s">
        <v>1679</v>
      </c>
      <c r="B1653" t="s">
        <v>20</v>
      </c>
      <c r="C1653">
        <v>7</v>
      </c>
      <c r="D1653">
        <v>20352766</v>
      </c>
      <c r="E1653">
        <v>2</v>
      </c>
      <c r="F1653">
        <v>3</v>
      </c>
      <c r="G1653">
        <v>912</v>
      </c>
      <c r="H1653">
        <v>55206500</v>
      </c>
      <c r="I1653">
        <v>647928</v>
      </c>
      <c r="J1653" t="s">
        <v>21</v>
      </c>
      <c r="K1653" t="s">
        <v>22</v>
      </c>
      <c r="L1653">
        <v>9</v>
      </c>
      <c r="M1653">
        <v>98.8</v>
      </c>
      <c r="N1653">
        <v>959693</v>
      </c>
      <c r="O1653">
        <v>1</v>
      </c>
    </row>
    <row r="1654" spans="1:15">
      <c r="A1654" t="s">
        <v>1680</v>
      </c>
      <c r="B1654" t="s">
        <v>24</v>
      </c>
      <c r="C1654">
        <v>8</v>
      </c>
      <c r="D1654">
        <v>45828531</v>
      </c>
      <c r="E1654">
        <v>2</v>
      </c>
      <c r="F1654">
        <v>10</v>
      </c>
      <c r="G1654">
        <v>653</v>
      </c>
      <c r="H1654">
        <v>31361103</v>
      </c>
      <c r="I1654">
        <v>538258</v>
      </c>
      <c r="J1654" t="s">
        <v>21</v>
      </c>
      <c r="K1654" t="s">
        <v>22</v>
      </c>
      <c r="L1654">
        <v>2</v>
      </c>
      <c r="M1654">
        <v>35.47</v>
      </c>
      <c r="N1654">
        <v>717060</v>
      </c>
      <c r="O1654">
        <v>1</v>
      </c>
    </row>
    <row r="1655" spans="1:15">
      <c r="A1655" t="s">
        <v>1681</v>
      </c>
      <c r="B1655" t="s">
        <v>27</v>
      </c>
      <c r="C1655">
        <v>14</v>
      </c>
      <c r="D1655">
        <v>34930369</v>
      </c>
      <c r="E1655">
        <v>2</v>
      </c>
      <c r="F1655">
        <v>18</v>
      </c>
      <c r="G1655">
        <v>410</v>
      </c>
      <c r="H1655">
        <v>83073090</v>
      </c>
      <c r="I1655">
        <v>386091</v>
      </c>
      <c r="J1655" t="s">
        <v>17</v>
      </c>
      <c r="K1655" t="s">
        <v>22</v>
      </c>
      <c r="L1655">
        <v>8</v>
      </c>
      <c r="M1655">
        <v>26.74</v>
      </c>
      <c r="N1655">
        <v>956357</v>
      </c>
      <c r="O1655">
        <v>1</v>
      </c>
    </row>
    <row r="1656" spans="1:15">
      <c r="A1656" t="s">
        <v>1682</v>
      </c>
      <c r="B1656" t="s">
        <v>20</v>
      </c>
      <c r="C1656">
        <v>12</v>
      </c>
      <c r="D1656">
        <v>14845530</v>
      </c>
      <c r="E1656">
        <v>4</v>
      </c>
      <c r="F1656">
        <v>22</v>
      </c>
      <c r="G1656">
        <v>39</v>
      </c>
      <c r="H1656">
        <v>39598873</v>
      </c>
      <c r="I1656">
        <v>408671</v>
      </c>
      <c r="J1656" t="s">
        <v>25</v>
      </c>
      <c r="K1656" t="s">
        <v>22</v>
      </c>
      <c r="L1656">
        <v>9</v>
      </c>
      <c r="M1656">
        <v>75.53</v>
      </c>
      <c r="N1656">
        <v>538000</v>
      </c>
      <c r="O1656">
        <v>1</v>
      </c>
    </row>
    <row r="1657" spans="1:15">
      <c r="A1657" t="s">
        <v>1683</v>
      </c>
      <c r="B1657" t="s">
        <v>29</v>
      </c>
      <c r="C1657">
        <v>7</v>
      </c>
      <c r="D1657">
        <v>36635698</v>
      </c>
      <c r="E1657">
        <v>1</v>
      </c>
      <c r="F1657">
        <v>10</v>
      </c>
      <c r="G1657">
        <v>587</v>
      </c>
      <c r="H1657">
        <v>44240072</v>
      </c>
      <c r="I1657">
        <v>460890</v>
      </c>
      <c r="J1657" t="s">
        <v>17</v>
      </c>
      <c r="K1657" t="s">
        <v>22</v>
      </c>
      <c r="L1657">
        <v>4</v>
      </c>
      <c r="M1657">
        <v>42.24</v>
      </c>
      <c r="N1657">
        <v>117542</v>
      </c>
      <c r="O1657">
        <v>1</v>
      </c>
    </row>
    <row r="1658" spans="1:15">
      <c r="A1658" t="s">
        <v>1684</v>
      </c>
      <c r="B1658" t="s">
        <v>16</v>
      </c>
      <c r="C1658">
        <v>10</v>
      </c>
      <c r="D1658">
        <v>28298268</v>
      </c>
      <c r="E1658">
        <v>3</v>
      </c>
      <c r="F1658">
        <v>16</v>
      </c>
      <c r="G1658">
        <v>56</v>
      </c>
      <c r="H1658">
        <v>13469788</v>
      </c>
      <c r="I1658">
        <v>524288</v>
      </c>
      <c r="J1658" t="s">
        <v>25</v>
      </c>
      <c r="K1658" t="s">
        <v>18</v>
      </c>
      <c r="L1658">
        <v>6</v>
      </c>
      <c r="M1658">
        <v>99.51</v>
      </c>
      <c r="N1658">
        <v>509484</v>
      </c>
      <c r="O1658">
        <v>1</v>
      </c>
    </row>
    <row r="1659" spans="1:15">
      <c r="A1659" t="s">
        <v>1685</v>
      </c>
      <c r="B1659" t="s">
        <v>29</v>
      </c>
      <c r="C1659">
        <v>10</v>
      </c>
      <c r="D1659">
        <v>7599095</v>
      </c>
      <c r="E1659">
        <v>2</v>
      </c>
      <c r="F1659">
        <v>3</v>
      </c>
      <c r="G1659">
        <v>409</v>
      </c>
      <c r="H1659">
        <v>24992260</v>
      </c>
      <c r="I1659">
        <v>11956</v>
      </c>
      <c r="J1659" t="s">
        <v>21</v>
      </c>
      <c r="K1659" t="s">
        <v>30</v>
      </c>
      <c r="L1659">
        <v>8</v>
      </c>
      <c r="M1659">
        <v>53.46</v>
      </c>
      <c r="N1659">
        <v>382943</v>
      </c>
      <c r="O1659">
        <v>1</v>
      </c>
    </row>
    <row r="1660" spans="1:15">
      <c r="A1660" t="s">
        <v>1686</v>
      </c>
      <c r="B1660" t="s">
        <v>16</v>
      </c>
      <c r="C1660">
        <v>14</v>
      </c>
      <c r="D1660">
        <v>6125946</v>
      </c>
      <c r="E1660">
        <v>4</v>
      </c>
      <c r="F1660">
        <v>19</v>
      </c>
      <c r="G1660">
        <v>995</v>
      </c>
      <c r="H1660">
        <v>30908320</v>
      </c>
      <c r="I1660">
        <v>901653</v>
      </c>
      <c r="J1660" t="s">
        <v>17</v>
      </c>
      <c r="K1660" t="s">
        <v>22</v>
      </c>
      <c r="L1660">
        <v>7</v>
      </c>
      <c r="M1660">
        <v>44.37</v>
      </c>
      <c r="N1660">
        <v>883468</v>
      </c>
      <c r="O1660">
        <v>1</v>
      </c>
    </row>
    <row r="1661" spans="1:15">
      <c r="A1661" t="s">
        <v>1687</v>
      </c>
      <c r="B1661" t="s">
        <v>38</v>
      </c>
      <c r="C1661">
        <v>3</v>
      </c>
      <c r="D1661">
        <v>21349504</v>
      </c>
      <c r="E1661">
        <v>4</v>
      </c>
      <c r="F1661">
        <v>9</v>
      </c>
      <c r="G1661">
        <v>560</v>
      </c>
      <c r="H1661">
        <v>48455436</v>
      </c>
      <c r="I1661">
        <v>753799</v>
      </c>
      <c r="J1661" t="s">
        <v>17</v>
      </c>
      <c r="K1661" t="s">
        <v>18</v>
      </c>
      <c r="L1661">
        <v>4</v>
      </c>
      <c r="M1661">
        <v>6.41</v>
      </c>
      <c r="N1661">
        <v>366049</v>
      </c>
      <c r="O1661">
        <v>1</v>
      </c>
    </row>
    <row r="1662" spans="1:15">
      <c r="A1662" t="s">
        <v>1688</v>
      </c>
      <c r="B1662" t="s">
        <v>38</v>
      </c>
      <c r="C1662">
        <v>1</v>
      </c>
      <c r="D1662">
        <v>28899251</v>
      </c>
      <c r="E1662">
        <v>3</v>
      </c>
      <c r="F1662">
        <v>7</v>
      </c>
      <c r="G1662">
        <v>365</v>
      </c>
      <c r="H1662">
        <v>74590292</v>
      </c>
      <c r="I1662">
        <v>109462</v>
      </c>
      <c r="J1662" t="s">
        <v>21</v>
      </c>
      <c r="K1662" t="s">
        <v>22</v>
      </c>
      <c r="L1662">
        <v>1</v>
      </c>
      <c r="M1662">
        <v>90.6</v>
      </c>
      <c r="N1662">
        <v>491777</v>
      </c>
      <c r="O1662">
        <v>1</v>
      </c>
    </row>
    <row r="1663" spans="1:15">
      <c r="A1663" t="s">
        <v>1689</v>
      </c>
      <c r="B1663" t="s">
        <v>27</v>
      </c>
      <c r="C1663">
        <v>13</v>
      </c>
      <c r="D1663">
        <v>44249857</v>
      </c>
      <c r="E1663">
        <v>1</v>
      </c>
      <c r="F1663">
        <v>12</v>
      </c>
      <c r="G1663">
        <v>888</v>
      </c>
      <c r="H1663">
        <v>10707926</v>
      </c>
      <c r="I1663">
        <v>796406</v>
      </c>
      <c r="J1663" t="s">
        <v>25</v>
      </c>
      <c r="K1663" t="s">
        <v>30</v>
      </c>
      <c r="L1663">
        <v>6</v>
      </c>
      <c r="M1663">
        <v>98.38</v>
      </c>
      <c r="N1663">
        <v>578279</v>
      </c>
      <c r="O1663">
        <v>1</v>
      </c>
    </row>
    <row r="1664" spans="1:15">
      <c r="A1664" t="s">
        <v>1690</v>
      </c>
      <c r="B1664" t="s">
        <v>24</v>
      </c>
      <c r="C1664">
        <v>14</v>
      </c>
      <c r="D1664">
        <v>22107063</v>
      </c>
      <c r="E1664">
        <v>4</v>
      </c>
      <c r="F1664">
        <v>28</v>
      </c>
      <c r="G1664">
        <v>152</v>
      </c>
      <c r="H1664">
        <v>30542314</v>
      </c>
      <c r="I1664">
        <v>618217</v>
      </c>
      <c r="J1664" t="s">
        <v>21</v>
      </c>
      <c r="K1664" t="s">
        <v>30</v>
      </c>
      <c r="L1664">
        <v>1</v>
      </c>
      <c r="M1664">
        <v>75.989999999999995</v>
      </c>
      <c r="N1664">
        <v>677587</v>
      </c>
      <c r="O1664">
        <v>1</v>
      </c>
    </row>
    <row r="1665" spans="1:15">
      <c r="A1665" t="s">
        <v>1691</v>
      </c>
      <c r="B1665" t="s">
        <v>24</v>
      </c>
      <c r="C1665">
        <v>11</v>
      </c>
      <c r="D1665">
        <v>19464020</v>
      </c>
      <c r="E1665">
        <v>2</v>
      </c>
      <c r="F1665">
        <v>1</v>
      </c>
      <c r="G1665">
        <v>444</v>
      </c>
      <c r="H1665">
        <v>44250588</v>
      </c>
      <c r="I1665">
        <v>788510</v>
      </c>
      <c r="J1665" t="s">
        <v>25</v>
      </c>
      <c r="K1665" t="s">
        <v>30</v>
      </c>
      <c r="L1665">
        <v>4</v>
      </c>
      <c r="M1665">
        <v>43.57</v>
      </c>
      <c r="N1665">
        <v>708703</v>
      </c>
      <c r="O1665">
        <v>1</v>
      </c>
    </row>
    <row r="1666" spans="1:15">
      <c r="A1666" t="s">
        <v>1692</v>
      </c>
      <c r="B1666" t="s">
        <v>20</v>
      </c>
      <c r="C1666">
        <v>5</v>
      </c>
      <c r="D1666">
        <v>18693568</v>
      </c>
      <c r="E1666">
        <v>1</v>
      </c>
      <c r="F1666">
        <v>12</v>
      </c>
      <c r="G1666">
        <v>199</v>
      </c>
      <c r="H1666">
        <v>56577305</v>
      </c>
      <c r="I1666">
        <v>23034</v>
      </c>
      <c r="J1666" t="s">
        <v>21</v>
      </c>
      <c r="K1666" t="s">
        <v>30</v>
      </c>
      <c r="L1666">
        <v>8</v>
      </c>
      <c r="M1666">
        <v>47.15</v>
      </c>
      <c r="N1666">
        <v>900065</v>
      </c>
      <c r="O1666">
        <v>1</v>
      </c>
    </row>
    <row r="1667" spans="1:15">
      <c r="A1667" t="s">
        <v>1693</v>
      </c>
      <c r="B1667" t="s">
        <v>38</v>
      </c>
      <c r="C1667">
        <v>2</v>
      </c>
      <c r="D1667">
        <v>38904169</v>
      </c>
      <c r="E1667">
        <v>4</v>
      </c>
      <c r="F1667">
        <v>1</v>
      </c>
      <c r="G1667">
        <v>432</v>
      </c>
      <c r="H1667">
        <v>27158402</v>
      </c>
      <c r="I1667">
        <v>139449</v>
      </c>
      <c r="J1667" t="s">
        <v>17</v>
      </c>
      <c r="K1667" t="s">
        <v>30</v>
      </c>
      <c r="L1667">
        <v>9</v>
      </c>
      <c r="M1667">
        <v>69.67</v>
      </c>
      <c r="N1667">
        <v>880915</v>
      </c>
      <c r="O1667">
        <v>1</v>
      </c>
    </row>
    <row r="1668" spans="1:15">
      <c r="A1668" t="s">
        <v>1694</v>
      </c>
      <c r="B1668" t="s">
        <v>38</v>
      </c>
      <c r="C1668">
        <v>13</v>
      </c>
      <c r="D1668">
        <v>5819365</v>
      </c>
      <c r="E1668">
        <v>1</v>
      </c>
      <c r="F1668">
        <v>12</v>
      </c>
      <c r="G1668">
        <v>187</v>
      </c>
      <c r="H1668">
        <v>70772233</v>
      </c>
      <c r="I1668">
        <v>415455</v>
      </c>
      <c r="J1668" t="s">
        <v>17</v>
      </c>
      <c r="K1668" t="s">
        <v>30</v>
      </c>
      <c r="L1668">
        <v>7</v>
      </c>
      <c r="M1668">
        <v>23.62</v>
      </c>
      <c r="N1668">
        <v>57724</v>
      </c>
      <c r="O1668">
        <v>1</v>
      </c>
    </row>
    <row r="1669" spans="1:15">
      <c r="A1669" t="s">
        <v>1695</v>
      </c>
      <c r="B1669" t="s">
        <v>38</v>
      </c>
      <c r="C1669">
        <v>11</v>
      </c>
      <c r="D1669">
        <v>9715627</v>
      </c>
      <c r="E1669">
        <v>3</v>
      </c>
      <c r="F1669">
        <v>16</v>
      </c>
      <c r="G1669">
        <v>477</v>
      </c>
      <c r="H1669">
        <v>62584132</v>
      </c>
      <c r="I1669">
        <v>201845</v>
      </c>
      <c r="J1669" t="s">
        <v>21</v>
      </c>
      <c r="K1669" t="s">
        <v>22</v>
      </c>
      <c r="L1669">
        <v>4</v>
      </c>
      <c r="M1669">
        <v>66.69</v>
      </c>
      <c r="N1669">
        <v>652366</v>
      </c>
      <c r="O1669">
        <v>1</v>
      </c>
    </row>
    <row r="1670" spans="1:15">
      <c r="A1670" t="s">
        <v>1696</v>
      </c>
      <c r="B1670" t="s">
        <v>24</v>
      </c>
      <c r="C1670">
        <v>1</v>
      </c>
      <c r="D1670">
        <v>43006227</v>
      </c>
      <c r="E1670">
        <v>1</v>
      </c>
      <c r="F1670">
        <v>18</v>
      </c>
      <c r="G1670">
        <v>855</v>
      </c>
      <c r="H1670">
        <v>68266108</v>
      </c>
      <c r="I1670">
        <v>410560</v>
      </c>
      <c r="J1670" t="s">
        <v>17</v>
      </c>
      <c r="K1670" t="s">
        <v>30</v>
      </c>
      <c r="L1670">
        <v>7</v>
      </c>
      <c r="M1670">
        <v>12.42</v>
      </c>
      <c r="N1670">
        <v>767189</v>
      </c>
      <c r="O1670">
        <v>1</v>
      </c>
    </row>
    <row r="1671" spans="1:15">
      <c r="A1671" t="s">
        <v>1697</v>
      </c>
      <c r="B1671" t="s">
        <v>29</v>
      </c>
      <c r="C1671">
        <v>10</v>
      </c>
      <c r="D1671">
        <v>8456794</v>
      </c>
      <c r="E1671">
        <v>3</v>
      </c>
      <c r="F1671">
        <v>24</v>
      </c>
      <c r="G1671">
        <v>143</v>
      </c>
      <c r="H1671">
        <v>39174524</v>
      </c>
      <c r="I1671">
        <v>657804</v>
      </c>
      <c r="J1671" t="s">
        <v>21</v>
      </c>
      <c r="K1671" t="s">
        <v>22</v>
      </c>
      <c r="L1671">
        <v>5</v>
      </c>
      <c r="M1671">
        <v>96.24</v>
      </c>
      <c r="N1671">
        <v>266115</v>
      </c>
      <c r="O1671">
        <v>1</v>
      </c>
    </row>
    <row r="1672" spans="1:15">
      <c r="A1672" t="s">
        <v>1698</v>
      </c>
      <c r="B1672" t="s">
        <v>20</v>
      </c>
      <c r="C1672">
        <v>0</v>
      </c>
      <c r="D1672">
        <v>4079217</v>
      </c>
      <c r="E1672">
        <v>4</v>
      </c>
      <c r="F1672">
        <v>20</v>
      </c>
      <c r="G1672">
        <v>592</v>
      </c>
      <c r="H1672">
        <v>77033963</v>
      </c>
      <c r="I1672">
        <v>348738</v>
      </c>
      <c r="J1672" t="s">
        <v>17</v>
      </c>
      <c r="K1672" t="s">
        <v>22</v>
      </c>
      <c r="L1672">
        <v>3</v>
      </c>
      <c r="M1672">
        <v>84.56</v>
      </c>
      <c r="N1672">
        <v>112943</v>
      </c>
      <c r="O1672">
        <v>1</v>
      </c>
    </row>
    <row r="1673" spans="1:15">
      <c r="A1673" t="s">
        <v>1699</v>
      </c>
      <c r="B1673" t="s">
        <v>27</v>
      </c>
      <c r="C1673">
        <v>8</v>
      </c>
      <c r="D1673">
        <v>15059777</v>
      </c>
      <c r="E1673">
        <v>1</v>
      </c>
      <c r="F1673">
        <v>6</v>
      </c>
      <c r="G1673">
        <v>54</v>
      </c>
      <c r="H1673">
        <v>78978762</v>
      </c>
      <c r="I1673">
        <v>229097</v>
      </c>
      <c r="J1673" t="s">
        <v>25</v>
      </c>
      <c r="K1673" t="s">
        <v>22</v>
      </c>
      <c r="L1673">
        <v>3</v>
      </c>
      <c r="M1673">
        <v>31.74</v>
      </c>
      <c r="N1673">
        <v>522375</v>
      </c>
      <c r="O1673">
        <v>1</v>
      </c>
    </row>
    <row r="1674" spans="1:15">
      <c r="A1674" t="s">
        <v>1700</v>
      </c>
      <c r="B1674" t="s">
        <v>32</v>
      </c>
      <c r="C1674">
        <v>6</v>
      </c>
      <c r="D1674">
        <v>1483179</v>
      </c>
      <c r="E1674">
        <v>2</v>
      </c>
      <c r="F1674">
        <v>17</v>
      </c>
      <c r="G1674">
        <v>282</v>
      </c>
      <c r="H1674">
        <v>96417659</v>
      </c>
      <c r="I1674">
        <v>330999</v>
      </c>
      <c r="J1674" t="s">
        <v>17</v>
      </c>
      <c r="K1674" t="s">
        <v>18</v>
      </c>
      <c r="L1674">
        <v>7</v>
      </c>
      <c r="M1674">
        <v>64.47</v>
      </c>
      <c r="N1674">
        <v>861453</v>
      </c>
      <c r="O1674">
        <v>1</v>
      </c>
    </row>
    <row r="1675" spans="1:15">
      <c r="A1675" t="s">
        <v>1701</v>
      </c>
      <c r="B1675" t="s">
        <v>24</v>
      </c>
      <c r="C1675">
        <v>9</v>
      </c>
      <c r="D1675">
        <v>22947241</v>
      </c>
      <c r="E1675">
        <v>3</v>
      </c>
      <c r="F1675">
        <v>26</v>
      </c>
      <c r="G1675">
        <v>295</v>
      </c>
      <c r="H1675">
        <v>82207225</v>
      </c>
      <c r="I1675">
        <v>40561</v>
      </c>
      <c r="J1675" t="s">
        <v>25</v>
      </c>
      <c r="K1675" t="s">
        <v>30</v>
      </c>
      <c r="L1675">
        <v>6</v>
      </c>
      <c r="M1675">
        <v>95.44</v>
      </c>
      <c r="N1675">
        <v>26626</v>
      </c>
      <c r="O1675">
        <v>1</v>
      </c>
    </row>
    <row r="1676" spans="1:15">
      <c r="A1676" t="s">
        <v>1702</v>
      </c>
      <c r="B1676" t="s">
        <v>32</v>
      </c>
      <c r="C1676">
        <v>11</v>
      </c>
      <c r="D1676">
        <v>10751539</v>
      </c>
      <c r="E1676">
        <v>2</v>
      </c>
      <c r="F1676">
        <v>13</v>
      </c>
      <c r="G1676">
        <v>633</v>
      </c>
      <c r="H1676">
        <v>68590355</v>
      </c>
      <c r="I1676">
        <v>284039</v>
      </c>
      <c r="J1676" t="s">
        <v>25</v>
      </c>
      <c r="K1676" t="s">
        <v>18</v>
      </c>
      <c r="L1676">
        <v>8</v>
      </c>
      <c r="M1676">
        <v>30.89</v>
      </c>
      <c r="N1676">
        <v>36221</v>
      </c>
      <c r="O1676">
        <v>1</v>
      </c>
    </row>
    <row r="1677" spans="1:15">
      <c r="A1677" t="s">
        <v>1703</v>
      </c>
      <c r="B1677" t="s">
        <v>24</v>
      </c>
      <c r="C1677">
        <v>8</v>
      </c>
      <c r="D1677">
        <v>8754117</v>
      </c>
      <c r="E1677">
        <v>4</v>
      </c>
      <c r="F1677">
        <v>4</v>
      </c>
      <c r="G1677">
        <v>182</v>
      </c>
      <c r="H1677">
        <v>50260174</v>
      </c>
      <c r="I1677">
        <v>242413</v>
      </c>
      <c r="J1677" t="s">
        <v>17</v>
      </c>
      <c r="K1677" t="s">
        <v>30</v>
      </c>
      <c r="L1677">
        <v>6</v>
      </c>
      <c r="M1677">
        <v>30.51</v>
      </c>
      <c r="N1677">
        <v>552182</v>
      </c>
      <c r="O1677">
        <v>1</v>
      </c>
    </row>
    <row r="1678" spans="1:15">
      <c r="A1678" t="s">
        <v>1704</v>
      </c>
      <c r="B1678" t="s">
        <v>32</v>
      </c>
      <c r="C1678">
        <v>8</v>
      </c>
      <c r="D1678">
        <v>25416877</v>
      </c>
      <c r="E1678">
        <v>4</v>
      </c>
      <c r="F1678">
        <v>15</v>
      </c>
      <c r="G1678">
        <v>374</v>
      </c>
      <c r="H1678">
        <v>45287997</v>
      </c>
      <c r="I1678">
        <v>638550</v>
      </c>
      <c r="J1678" t="s">
        <v>21</v>
      </c>
      <c r="K1678" t="s">
        <v>22</v>
      </c>
      <c r="L1678">
        <v>7</v>
      </c>
      <c r="M1678">
        <v>47.36</v>
      </c>
      <c r="N1678">
        <v>550979</v>
      </c>
      <c r="O1678">
        <v>1</v>
      </c>
    </row>
    <row r="1679" spans="1:15">
      <c r="A1679" t="s">
        <v>1705</v>
      </c>
      <c r="B1679" t="s">
        <v>38</v>
      </c>
      <c r="C1679">
        <v>8</v>
      </c>
      <c r="D1679">
        <v>21014857</v>
      </c>
      <c r="E1679">
        <v>2</v>
      </c>
      <c r="F1679">
        <v>18</v>
      </c>
      <c r="G1679">
        <v>273</v>
      </c>
      <c r="H1679">
        <v>92036480</v>
      </c>
      <c r="I1679">
        <v>160590</v>
      </c>
      <c r="J1679" t="s">
        <v>25</v>
      </c>
      <c r="K1679" t="s">
        <v>30</v>
      </c>
      <c r="L1679">
        <v>3</v>
      </c>
      <c r="M1679">
        <v>20.239999999999998</v>
      </c>
      <c r="N1679">
        <v>323572</v>
      </c>
      <c r="O1679">
        <v>1</v>
      </c>
    </row>
    <row r="1680" spans="1:15">
      <c r="A1680" t="s">
        <v>1706</v>
      </c>
      <c r="B1680" t="s">
        <v>32</v>
      </c>
      <c r="C1680">
        <v>2</v>
      </c>
      <c r="D1680">
        <v>45263378</v>
      </c>
      <c r="E1680">
        <v>4</v>
      </c>
      <c r="F1680">
        <v>17</v>
      </c>
      <c r="G1680">
        <v>170</v>
      </c>
      <c r="H1680">
        <v>61499906</v>
      </c>
      <c r="I1680">
        <v>333169</v>
      </c>
      <c r="J1680" t="s">
        <v>21</v>
      </c>
      <c r="K1680" t="s">
        <v>18</v>
      </c>
      <c r="L1680">
        <v>6</v>
      </c>
      <c r="M1680">
        <v>92.25</v>
      </c>
      <c r="N1680">
        <v>516533</v>
      </c>
      <c r="O1680">
        <v>1</v>
      </c>
    </row>
    <row r="1681" spans="1:15">
      <c r="A1681" t="s">
        <v>1707</v>
      </c>
      <c r="B1681" t="s">
        <v>16</v>
      </c>
      <c r="C1681">
        <v>13</v>
      </c>
      <c r="D1681">
        <v>45710730</v>
      </c>
      <c r="E1681">
        <v>4</v>
      </c>
      <c r="F1681">
        <v>26</v>
      </c>
      <c r="G1681">
        <v>859</v>
      </c>
      <c r="H1681">
        <v>71476339</v>
      </c>
      <c r="I1681">
        <v>796301</v>
      </c>
      <c r="J1681" t="s">
        <v>25</v>
      </c>
      <c r="K1681" t="s">
        <v>18</v>
      </c>
      <c r="L1681">
        <v>7</v>
      </c>
      <c r="M1681">
        <v>6.76</v>
      </c>
      <c r="N1681">
        <v>473976</v>
      </c>
      <c r="O1681">
        <v>1</v>
      </c>
    </row>
    <row r="1682" spans="1:15">
      <c r="A1682" t="s">
        <v>1708</v>
      </c>
      <c r="B1682" t="s">
        <v>27</v>
      </c>
      <c r="C1682">
        <v>13</v>
      </c>
      <c r="D1682">
        <v>37963927</v>
      </c>
      <c r="E1682">
        <v>4</v>
      </c>
      <c r="F1682">
        <v>9</v>
      </c>
      <c r="G1682">
        <v>203</v>
      </c>
      <c r="H1682">
        <v>94662271</v>
      </c>
      <c r="I1682">
        <v>564039</v>
      </c>
      <c r="J1682" t="s">
        <v>21</v>
      </c>
      <c r="K1682" t="s">
        <v>30</v>
      </c>
      <c r="L1682">
        <v>3</v>
      </c>
      <c r="M1682">
        <v>95.54</v>
      </c>
      <c r="N1682">
        <v>939175</v>
      </c>
      <c r="O1682">
        <v>1</v>
      </c>
    </row>
    <row r="1683" spans="1:15">
      <c r="A1683" t="s">
        <v>1709</v>
      </c>
      <c r="B1683" t="s">
        <v>24</v>
      </c>
      <c r="C1683">
        <v>2</v>
      </c>
      <c r="D1683">
        <v>3582306</v>
      </c>
      <c r="E1683">
        <v>1</v>
      </c>
      <c r="F1683">
        <v>24</v>
      </c>
      <c r="G1683">
        <v>563</v>
      </c>
      <c r="H1683">
        <v>26490095</v>
      </c>
      <c r="I1683">
        <v>504883</v>
      </c>
      <c r="J1683" t="s">
        <v>21</v>
      </c>
      <c r="K1683" t="s">
        <v>30</v>
      </c>
      <c r="L1683">
        <v>8</v>
      </c>
      <c r="M1683">
        <v>26.47</v>
      </c>
      <c r="N1683">
        <v>105630</v>
      </c>
      <c r="O1683">
        <v>1</v>
      </c>
    </row>
    <row r="1684" spans="1:15">
      <c r="A1684" t="s">
        <v>1710</v>
      </c>
      <c r="B1684" t="s">
        <v>20</v>
      </c>
      <c r="C1684">
        <v>9</v>
      </c>
      <c r="D1684">
        <v>34802863</v>
      </c>
      <c r="E1684">
        <v>4</v>
      </c>
      <c r="F1684">
        <v>9</v>
      </c>
      <c r="G1684">
        <v>601</v>
      </c>
      <c r="H1684">
        <v>14487268</v>
      </c>
      <c r="I1684">
        <v>118647</v>
      </c>
      <c r="J1684" t="s">
        <v>21</v>
      </c>
      <c r="K1684" t="s">
        <v>22</v>
      </c>
      <c r="L1684">
        <v>9</v>
      </c>
      <c r="M1684">
        <v>13.18</v>
      </c>
      <c r="N1684">
        <v>627664</v>
      </c>
      <c r="O1684">
        <v>1</v>
      </c>
    </row>
    <row r="1685" spans="1:15">
      <c r="A1685" t="s">
        <v>1711</v>
      </c>
      <c r="B1685" t="s">
        <v>27</v>
      </c>
      <c r="C1685">
        <v>5</v>
      </c>
      <c r="D1685">
        <v>34279727</v>
      </c>
      <c r="E1685">
        <v>3</v>
      </c>
      <c r="F1685">
        <v>16</v>
      </c>
      <c r="G1685">
        <v>568</v>
      </c>
      <c r="H1685">
        <v>31711477</v>
      </c>
      <c r="I1685">
        <v>64766</v>
      </c>
      <c r="J1685" t="s">
        <v>17</v>
      </c>
      <c r="K1685" t="s">
        <v>30</v>
      </c>
      <c r="L1685">
        <v>4</v>
      </c>
      <c r="M1685">
        <v>52.1</v>
      </c>
      <c r="N1685">
        <v>980506</v>
      </c>
      <c r="O1685">
        <v>1</v>
      </c>
    </row>
    <row r="1686" spans="1:15">
      <c r="A1686" t="s">
        <v>1712</v>
      </c>
      <c r="B1686" t="s">
        <v>27</v>
      </c>
      <c r="C1686">
        <v>4</v>
      </c>
      <c r="D1686">
        <v>3214302</v>
      </c>
      <c r="E1686">
        <v>3</v>
      </c>
      <c r="F1686">
        <v>15</v>
      </c>
      <c r="G1686">
        <v>312</v>
      </c>
      <c r="H1686">
        <v>39062608</v>
      </c>
      <c r="I1686">
        <v>792682</v>
      </c>
      <c r="J1686" t="s">
        <v>17</v>
      </c>
      <c r="K1686" t="s">
        <v>30</v>
      </c>
      <c r="L1686">
        <v>2</v>
      </c>
      <c r="M1686">
        <v>21.52</v>
      </c>
      <c r="N1686">
        <v>711908</v>
      </c>
      <c r="O1686">
        <v>1</v>
      </c>
    </row>
    <row r="1687" spans="1:15">
      <c r="A1687" t="s">
        <v>1713</v>
      </c>
      <c r="B1687" t="s">
        <v>16</v>
      </c>
      <c r="C1687">
        <v>13</v>
      </c>
      <c r="D1687">
        <v>43154252</v>
      </c>
      <c r="E1687">
        <v>2</v>
      </c>
      <c r="F1687">
        <v>8</v>
      </c>
      <c r="G1687">
        <v>98</v>
      </c>
      <c r="H1687">
        <v>52147607</v>
      </c>
      <c r="I1687">
        <v>415503</v>
      </c>
      <c r="J1687" t="s">
        <v>21</v>
      </c>
      <c r="K1687" t="s">
        <v>22</v>
      </c>
      <c r="L1687">
        <v>9</v>
      </c>
      <c r="M1687">
        <v>37.39</v>
      </c>
      <c r="N1687">
        <v>268667</v>
      </c>
      <c r="O1687">
        <v>1</v>
      </c>
    </row>
    <row r="1688" spans="1:15">
      <c r="A1688" t="s">
        <v>1714</v>
      </c>
      <c r="B1688" t="s">
        <v>20</v>
      </c>
      <c r="C1688">
        <v>3</v>
      </c>
      <c r="D1688">
        <v>40477862</v>
      </c>
      <c r="E1688">
        <v>2</v>
      </c>
      <c r="F1688">
        <v>23</v>
      </c>
      <c r="G1688">
        <v>277</v>
      </c>
      <c r="H1688">
        <v>76075379</v>
      </c>
      <c r="I1688">
        <v>894080</v>
      </c>
      <c r="J1688" t="s">
        <v>25</v>
      </c>
      <c r="K1688" t="s">
        <v>30</v>
      </c>
      <c r="L1688">
        <v>2</v>
      </c>
      <c r="M1688">
        <v>86.88</v>
      </c>
      <c r="N1688">
        <v>126935</v>
      </c>
      <c r="O1688">
        <v>1</v>
      </c>
    </row>
    <row r="1689" spans="1:15">
      <c r="A1689" t="s">
        <v>1715</v>
      </c>
      <c r="B1689" t="s">
        <v>38</v>
      </c>
      <c r="C1689">
        <v>2</v>
      </c>
      <c r="D1689">
        <v>25984122</v>
      </c>
      <c r="E1689">
        <v>1</v>
      </c>
      <c r="F1689">
        <v>13</v>
      </c>
      <c r="G1689">
        <v>960</v>
      </c>
      <c r="H1689">
        <v>72693159</v>
      </c>
      <c r="I1689">
        <v>786075</v>
      </c>
      <c r="J1689" t="s">
        <v>17</v>
      </c>
      <c r="K1689" t="s">
        <v>30</v>
      </c>
      <c r="L1689">
        <v>8</v>
      </c>
      <c r="M1689">
        <v>33.479999999999997</v>
      </c>
      <c r="N1689">
        <v>648341</v>
      </c>
      <c r="O1689">
        <v>1</v>
      </c>
    </row>
    <row r="1690" spans="1:15">
      <c r="A1690" t="s">
        <v>1716</v>
      </c>
      <c r="B1690" t="s">
        <v>16</v>
      </c>
      <c r="C1690">
        <v>2</v>
      </c>
      <c r="D1690">
        <v>9323804</v>
      </c>
      <c r="E1690">
        <v>3</v>
      </c>
      <c r="F1690">
        <v>29</v>
      </c>
      <c r="G1690">
        <v>860</v>
      </c>
      <c r="H1690">
        <v>92659357</v>
      </c>
      <c r="I1690">
        <v>867678</v>
      </c>
      <c r="J1690" t="s">
        <v>25</v>
      </c>
      <c r="K1690" t="s">
        <v>18</v>
      </c>
      <c r="L1690">
        <v>5</v>
      </c>
      <c r="M1690">
        <v>1.79</v>
      </c>
      <c r="N1690">
        <v>916922</v>
      </c>
      <c r="O1690">
        <v>1</v>
      </c>
    </row>
    <row r="1691" spans="1:15">
      <c r="A1691" t="s">
        <v>1717</v>
      </c>
      <c r="B1691" t="s">
        <v>20</v>
      </c>
      <c r="C1691">
        <v>3</v>
      </c>
      <c r="D1691">
        <v>29137840</v>
      </c>
      <c r="E1691">
        <v>4</v>
      </c>
      <c r="F1691">
        <v>26</v>
      </c>
      <c r="G1691">
        <v>551</v>
      </c>
      <c r="H1691">
        <v>22095910</v>
      </c>
      <c r="I1691">
        <v>219411</v>
      </c>
      <c r="J1691" t="s">
        <v>21</v>
      </c>
      <c r="K1691" t="s">
        <v>22</v>
      </c>
      <c r="L1691">
        <v>6</v>
      </c>
      <c r="M1691">
        <v>38.97</v>
      </c>
      <c r="N1691">
        <v>502838</v>
      </c>
      <c r="O1691">
        <v>1</v>
      </c>
    </row>
    <row r="1692" spans="1:15">
      <c r="A1692" t="s">
        <v>1718</v>
      </c>
      <c r="B1692" t="s">
        <v>20</v>
      </c>
      <c r="C1692">
        <v>7</v>
      </c>
      <c r="D1692">
        <v>36932687</v>
      </c>
      <c r="E1692">
        <v>2</v>
      </c>
      <c r="F1692">
        <v>8</v>
      </c>
      <c r="G1692">
        <v>96</v>
      </c>
      <c r="H1692">
        <v>28816305</v>
      </c>
      <c r="I1692">
        <v>560870</v>
      </c>
      <c r="J1692" t="s">
        <v>25</v>
      </c>
      <c r="K1692" t="s">
        <v>30</v>
      </c>
      <c r="L1692">
        <v>4</v>
      </c>
      <c r="M1692">
        <v>90.17</v>
      </c>
      <c r="N1692">
        <v>106436</v>
      </c>
      <c r="O1692">
        <v>1</v>
      </c>
    </row>
    <row r="1693" spans="1:15">
      <c r="A1693" t="s">
        <v>1719</v>
      </c>
      <c r="B1693" t="s">
        <v>16</v>
      </c>
      <c r="C1693">
        <v>4</v>
      </c>
      <c r="D1693">
        <v>15974094</v>
      </c>
      <c r="E1693">
        <v>1</v>
      </c>
      <c r="F1693">
        <v>24</v>
      </c>
      <c r="G1693">
        <v>67</v>
      </c>
      <c r="H1693">
        <v>96991703</v>
      </c>
      <c r="I1693">
        <v>126957</v>
      </c>
      <c r="J1693" t="s">
        <v>17</v>
      </c>
      <c r="K1693" t="s">
        <v>30</v>
      </c>
      <c r="L1693">
        <v>5</v>
      </c>
      <c r="M1693">
        <v>23.39</v>
      </c>
      <c r="N1693">
        <v>359822</v>
      </c>
      <c r="O1693">
        <v>1</v>
      </c>
    </row>
    <row r="1694" spans="1:15">
      <c r="A1694" t="s">
        <v>1720</v>
      </c>
      <c r="B1694" t="s">
        <v>27</v>
      </c>
      <c r="C1694">
        <v>3</v>
      </c>
      <c r="D1694">
        <v>28410215</v>
      </c>
      <c r="E1694">
        <v>1</v>
      </c>
      <c r="F1694">
        <v>3</v>
      </c>
      <c r="G1694">
        <v>707</v>
      </c>
      <c r="H1694">
        <v>55612048</v>
      </c>
      <c r="I1694">
        <v>322103</v>
      </c>
      <c r="J1694" t="s">
        <v>21</v>
      </c>
      <c r="K1694" t="s">
        <v>18</v>
      </c>
      <c r="L1694">
        <v>7</v>
      </c>
      <c r="M1694">
        <v>41.19</v>
      </c>
      <c r="N1694">
        <v>655900</v>
      </c>
      <c r="O1694">
        <v>1</v>
      </c>
    </row>
    <row r="1695" spans="1:15">
      <c r="A1695" t="s">
        <v>1721</v>
      </c>
      <c r="B1695" t="s">
        <v>32</v>
      </c>
      <c r="C1695">
        <v>2</v>
      </c>
      <c r="D1695">
        <v>35579741</v>
      </c>
      <c r="E1695">
        <v>3</v>
      </c>
      <c r="F1695">
        <v>21</v>
      </c>
      <c r="G1695">
        <v>424</v>
      </c>
      <c r="H1695">
        <v>34971427</v>
      </c>
      <c r="I1695">
        <v>534036</v>
      </c>
      <c r="J1695" t="s">
        <v>25</v>
      </c>
      <c r="K1695" t="s">
        <v>22</v>
      </c>
      <c r="L1695">
        <v>1</v>
      </c>
      <c r="M1695">
        <v>31.68</v>
      </c>
      <c r="N1695">
        <v>916613</v>
      </c>
      <c r="O1695">
        <v>1</v>
      </c>
    </row>
    <row r="1696" spans="1:15">
      <c r="A1696" t="s">
        <v>1722</v>
      </c>
      <c r="B1696" t="s">
        <v>27</v>
      </c>
      <c r="C1696">
        <v>7</v>
      </c>
      <c r="D1696">
        <v>18496147</v>
      </c>
      <c r="E1696">
        <v>4</v>
      </c>
      <c r="F1696">
        <v>18</v>
      </c>
      <c r="G1696">
        <v>231</v>
      </c>
      <c r="H1696">
        <v>80564592</v>
      </c>
      <c r="I1696">
        <v>979510</v>
      </c>
      <c r="J1696" t="s">
        <v>21</v>
      </c>
      <c r="K1696" t="s">
        <v>30</v>
      </c>
      <c r="L1696">
        <v>8</v>
      </c>
      <c r="M1696">
        <v>8.91</v>
      </c>
      <c r="N1696">
        <v>196724</v>
      </c>
      <c r="O1696">
        <v>1</v>
      </c>
    </row>
    <row r="1697" spans="1:15">
      <c r="A1697" t="s">
        <v>1723</v>
      </c>
      <c r="B1697" t="s">
        <v>16</v>
      </c>
      <c r="C1697">
        <v>6</v>
      </c>
      <c r="D1697">
        <v>1766430</v>
      </c>
      <c r="E1697">
        <v>4</v>
      </c>
      <c r="F1697">
        <v>13</v>
      </c>
      <c r="G1697">
        <v>981</v>
      </c>
      <c r="H1697">
        <v>14527620</v>
      </c>
      <c r="I1697">
        <v>398538</v>
      </c>
      <c r="J1697" t="s">
        <v>17</v>
      </c>
      <c r="K1697" t="s">
        <v>18</v>
      </c>
      <c r="L1697">
        <v>5</v>
      </c>
      <c r="M1697">
        <v>65.77</v>
      </c>
      <c r="N1697">
        <v>420230</v>
      </c>
      <c r="O1697">
        <v>1</v>
      </c>
    </row>
    <row r="1698" spans="1:15">
      <c r="A1698" t="s">
        <v>1724</v>
      </c>
      <c r="B1698" t="s">
        <v>32</v>
      </c>
      <c r="C1698">
        <v>2</v>
      </c>
      <c r="D1698">
        <v>47800029</v>
      </c>
      <c r="E1698">
        <v>1</v>
      </c>
      <c r="F1698">
        <v>19</v>
      </c>
      <c r="G1698">
        <v>673</v>
      </c>
      <c r="H1698">
        <v>67636503</v>
      </c>
      <c r="I1698">
        <v>877727</v>
      </c>
      <c r="J1698" t="s">
        <v>25</v>
      </c>
      <c r="K1698" t="s">
        <v>22</v>
      </c>
      <c r="L1698">
        <v>5</v>
      </c>
      <c r="M1698">
        <v>32.36</v>
      </c>
      <c r="N1698">
        <v>8315</v>
      </c>
      <c r="O1698">
        <v>1</v>
      </c>
    </row>
    <row r="1699" spans="1:15">
      <c r="A1699" t="s">
        <v>1725</v>
      </c>
      <c r="B1699" t="s">
        <v>38</v>
      </c>
      <c r="C1699">
        <v>10</v>
      </c>
      <c r="D1699">
        <v>12549469</v>
      </c>
      <c r="E1699">
        <v>2</v>
      </c>
      <c r="F1699">
        <v>11</v>
      </c>
      <c r="G1699">
        <v>384</v>
      </c>
      <c r="H1699">
        <v>85694182</v>
      </c>
      <c r="I1699">
        <v>701538</v>
      </c>
      <c r="J1699" t="s">
        <v>25</v>
      </c>
      <c r="K1699" t="s">
        <v>22</v>
      </c>
      <c r="L1699">
        <v>1</v>
      </c>
      <c r="M1699">
        <v>37.97</v>
      </c>
      <c r="N1699">
        <v>158977</v>
      </c>
      <c r="O1699">
        <v>1</v>
      </c>
    </row>
    <row r="1700" spans="1:15">
      <c r="A1700" t="s">
        <v>1726</v>
      </c>
      <c r="B1700" t="s">
        <v>16</v>
      </c>
      <c r="C1700">
        <v>3</v>
      </c>
      <c r="D1700">
        <v>25183428</v>
      </c>
      <c r="E1700">
        <v>2</v>
      </c>
      <c r="F1700">
        <v>27</v>
      </c>
      <c r="G1700">
        <v>961</v>
      </c>
      <c r="H1700">
        <v>24730792</v>
      </c>
      <c r="I1700">
        <v>94935</v>
      </c>
      <c r="J1700" t="s">
        <v>21</v>
      </c>
      <c r="K1700" t="s">
        <v>22</v>
      </c>
      <c r="L1700">
        <v>8</v>
      </c>
      <c r="M1700">
        <v>2.89</v>
      </c>
      <c r="N1700">
        <v>895221</v>
      </c>
      <c r="O1700">
        <v>1</v>
      </c>
    </row>
    <row r="1701" spans="1:15">
      <c r="A1701" t="s">
        <v>1727</v>
      </c>
      <c r="B1701" t="s">
        <v>16</v>
      </c>
      <c r="C1701">
        <v>4</v>
      </c>
      <c r="D1701">
        <v>4056919</v>
      </c>
      <c r="E1701">
        <v>2</v>
      </c>
      <c r="F1701">
        <v>1</v>
      </c>
      <c r="G1701">
        <v>303</v>
      </c>
      <c r="H1701">
        <v>24236465</v>
      </c>
      <c r="I1701">
        <v>65248</v>
      </c>
      <c r="J1701" t="s">
        <v>17</v>
      </c>
      <c r="K1701" t="s">
        <v>22</v>
      </c>
      <c r="L1701">
        <v>1</v>
      </c>
      <c r="M1701">
        <v>96.93</v>
      </c>
      <c r="N1701">
        <v>191157</v>
      </c>
      <c r="O1701">
        <v>1</v>
      </c>
    </row>
    <row r="1702" spans="1:15">
      <c r="A1702" t="s">
        <v>1728</v>
      </c>
      <c r="B1702" t="s">
        <v>32</v>
      </c>
      <c r="C1702">
        <v>5</v>
      </c>
      <c r="D1702">
        <v>27581938</v>
      </c>
      <c r="E1702">
        <v>3</v>
      </c>
      <c r="F1702">
        <v>7</v>
      </c>
      <c r="G1702">
        <v>893</v>
      </c>
      <c r="H1702">
        <v>85623874</v>
      </c>
      <c r="I1702">
        <v>44190</v>
      </c>
      <c r="J1702" t="s">
        <v>25</v>
      </c>
      <c r="K1702" t="s">
        <v>22</v>
      </c>
      <c r="L1702">
        <v>7</v>
      </c>
      <c r="M1702">
        <v>64.7</v>
      </c>
      <c r="N1702">
        <v>578658</v>
      </c>
      <c r="O1702">
        <v>1</v>
      </c>
    </row>
    <row r="1703" spans="1:15">
      <c r="A1703" t="s">
        <v>1729</v>
      </c>
      <c r="B1703" t="s">
        <v>27</v>
      </c>
      <c r="C1703">
        <v>2</v>
      </c>
      <c r="D1703">
        <v>47551863</v>
      </c>
      <c r="E1703">
        <v>2</v>
      </c>
      <c r="F1703">
        <v>23</v>
      </c>
      <c r="G1703">
        <v>845</v>
      </c>
      <c r="H1703">
        <v>3843800</v>
      </c>
      <c r="I1703">
        <v>480554</v>
      </c>
      <c r="J1703" t="s">
        <v>25</v>
      </c>
      <c r="K1703" t="s">
        <v>18</v>
      </c>
      <c r="L1703">
        <v>2</v>
      </c>
      <c r="M1703">
        <v>43.51</v>
      </c>
      <c r="N1703">
        <v>221282</v>
      </c>
      <c r="O1703">
        <v>1</v>
      </c>
    </row>
    <row r="1704" spans="1:15">
      <c r="A1704" t="s">
        <v>1730</v>
      </c>
      <c r="B1704" t="s">
        <v>24</v>
      </c>
      <c r="C1704">
        <v>6</v>
      </c>
      <c r="D1704">
        <v>18890239</v>
      </c>
      <c r="E1704">
        <v>1</v>
      </c>
      <c r="F1704">
        <v>14</v>
      </c>
      <c r="G1704">
        <v>365</v>
      </c>
      <c r="H1704">
        <v>56483724</v>
      </c>
      <c r="I1704">
        <v>535267</v>
      </c>
      <c r="J1704" t="s">
        <v>21</v>
      </c>
      <c r="K1704" t="s">
        <v>18</v>
      </c>
      <c r="L1704">
        <v>1</v>
      </c>
      <c r="M1704">
        <v>60.1</v>
      </c>
      <c r="N1704">
        <v>957961</v>
      </c>
      <c r="O1704">
        <v>1</v>
      </c>
    </row>
    <row r="1705" spans="1:15">
      <c r="A1705" t="s">
        <v>1731</v>
      </c>
      <c r="B1705" t="s">
        <v>16</v>
      </c>
      <c r="C1705">
        <v>1</v>
      </c>
      <c r="D1705">
        <v>48721271</v>
      </c>
      <c r="E1705">
        <v>1</v>
      </c>
      <c r="F1705">
        <v>17</v>
      </c>
      <c r="G1705">
        <v>915</v>
      </c>
      <c r="H1705">
        <v>50635564</v>
      </c>
      <c r="I1705">
        <v>465758</v>
      </c>
      <c r="J1705" t="s">
        <v>25</v>
      </c>
      <c r="K1705" t="s">
        <v>30</v>
      </c>
      <c r="L1705">
        <v>4</v>
      </c>
      <c r="M1705">
        <v>76.11</v>
      </c>
      <c r="N1705">
        <v>526800</v>
      </c>
      <c r="O1705">
        <v>1</v>
      </c>
    </row>
    <row r="1706" spans="1:15">
      <c r="A1706" t="s">
        <v>1732</v>
      </c>
      <c r="B1706" t="s">
        <v>20</v>
      </c>
      <c r="C1706">
        <v>1</v>
      </c>
      <c r="D1706">
        <v>49684278</v>
      </c>
      <c r="E1706">
        <v>3</v>
      </c>
      <c r="F1706">
        <v>16</v>
      </c>
      <c r="G1706">
        <v>724</v>
      </c>
      <c r="H1706">
        <v>8873651</v>
      </c>
      <c r="I1706">
        <v>970537</v>
      </c>
      <c r="J1706" t="s">
        <v>25</v>
      </c>
      <c r="K1706" t="s">
        <v>30</v>
      </c>
      <c r="L1706">
        <v>2</v>
      </c>
      <c r="M1706">
        <v>61.39</v>
      </c>
      <c r="N1706">
        <v>398927</v>
      </c>
      <c r="O1706">
        <v>1</v>
      </c>
    </row>
    <row r="1707" spans="1:15">
      <c r="A1707" t="s">
        <v>1733</v>
      </c>
      <c r="B1707" t="s">
        <v>29</v>
      </c>
      <c r="C1707">
        <v>7</v>
      </c>
      <c r="D1707">
        <v>26000323</v>
      </c>
      <c r="E1707">
        <v>4</v>
      </c>
      <c r="F1707">
        <v>7</v>
      </c>
      <c r="G1707">
        <v>250</v>
      </c>
      <c r="H1707">
        <v>27564148</v>
      </c>
      <c r="I1707">
        <v>892092</v>
      </c>
      <c r="J1707" t="s">
        <v>21</v>
      </c>
      <c r="K1707" t="s">
        <v>22</v>
      </c>
      <c r="L1707">
        <v>6</v>
      </c>
      <c r="M1707">
        <v>99.07</v>
      </c>
      <c r="N1707">
        <v>555530</v>
      </c>
      <c r="O1707">
        <v>1</v>
      </c>
    </row>
    <row r="1708" spans="1:15">
      <c r="A1708" t="s">
        <v>1734</v>
      </c>
      <c r="B1708" t="s">
        <v>24</v>
      </c>
      <c r="C1708">
        <v>12</v>
      </c>
      <c r="D1708">
        <v>15584745</v>
      </c>
      <c r="E1708">
        <v>1</v>
      </c>
      <c r="F1708">
        <v>29</v>
      </c>
      <c r="G1708">
        <v>749</v>
      </c>
      <c r="H1708">
        <v>68191230</v>
      </c>
      <c r="I1708">
        <v>335623</v>
      </c>
      <c r="J1708" t="s">
        <v>17</v>
      </c>
      <c r="K1708" t="s">
        <v>18</v>
      </c>
      <c r="L1708">
        <v>5</v>
      </c>
      <c r="M1708">
        <v>6.08</v>
      </c>
      <c r="N1708">
        <v>174321</v>
      </c>
      <c r="O1708">
        <v>1</v>
      </c>
    </row>
    <row r="1709" spans="1:15">
      <c r="A1709" t="s">
        <v>1735</v>
      </c>
      <c r="B1709" t="s">
        <v>24</v>
      </c>
      <c r="C1709">
        <v>2</v>
      </c>
      <c r="D1709">
        <v>36602973</v>
      </c>
      <c r="E1709">
        <v>2</v>
      </c>
      <c r="F1709">
        <v>10</v>
      </c>
      <c r="G1709">
        <v>173</v>
      </c>
      <c r="H1709">
        <v>4234440</v>
      </c>
      <c r="I1709">
        <v>389138</v>
      </c>
      <c r="J1709" t="s">
        <v>17</v>
      </c>
      <c r="K1709" t="s">
        <v>22</v>
      </c>
      <c r="L1709">
        <v>7</v>
      </c>
      <c r="M1709">
        <v>93.28</v>
      </c>
      <c r="N1709">
        <v>594752</v>
      </c>
      <c r="O1709">
        <v>1</v>
      </c>
    </row>
    <row r="1710" spans="1:15">
      <c r="A1710" t="s">
        <v>1736</v>
      </c>
      <c r="B1710" t="s">
        <v>29</v>
      </c>
      <c r="C1710">
        <v>0</v>
      </c>
      <c r="D1710">
        <v>42179618</v>
      </c>
      <c r="E1710">
        <v>2</v>
      </c>
      <c r="F1710">
        <v>13</v>
      </c>
      <c r="G1710">
        <v>166</v>
      </c>
      <c r="H1710">
        <v>20622306</v>
      </c>
      <c r="I1710">
        <v>665714</v>
      </c>
      <c r="J1710" t="s">
        <v>17</v>
      </c>
      <c r="K1710" t="s">
        <v>18</v>
      </c>
      <c r="L1710">
        <v>9</v>
      </c>
      <c r="M1710">
        <v>0.91</v>
      </c>
      <c r="N1710">
        <v>745394</v>
      </c>
      <c r="O1710">
        <v>1</v>
      </c>
    </row>
    <row r="1711" spans="1:15">
      <c r="A1711" t="s">
        <v>1737</v>
      </c>
      <c r="B1711" t="s">
        <v>16</v>
      </c>
      <c r="C1711">
        <v>7</v>
      </c>
      <c r="D1711">
        <v>8818653</v>
      </c>
      <c r="E1711">
        <v>2</v>
      </c>
      <c r="F1711">
        <v>23</v>
      </c>
      <c r="G1711">
        <v>370</v>
      </c>
      <c r="H1711">
        <v>81376195</v>
      </c>
      <c r="I1711">
        <v>637931</v>
      </c>
      <c r="J1711" t="s">
        <v>25</v>
      </c>
      <c r="K1711" t="s">
        <v>22</v>
      </c>
      <c r="L1711">
        <v>3</v>
      </c>
      <c r="M1711">
        <v>13.54</v>
      </c>
      <c r="N1711">
        <v>479359</v>
      </c>
      <c r="O1711">
        <v>1</v>
      </c>
    </row>
    <row r="1712" spans="1:15">
      <c r="A1712" t="s">
        <v>1738</v>
      </c>
      <c r="B1712" t="s">
        <v>29</v>
      </c>
      <c r="C1712">
        <v>7</v>
      </c>
      <c r="D1712">
        <v>37574029</v>
      </c>
      <c r="E1712">
        <v>2</v>
      </c>
      <c r="F1712">
        <v>24</v>
      </c>
      <c r="G1712">
        <v>774</v>
      </c>
      <c r="H1712">
        <v>56541860</v>
      </c>
      <c r="I1712">
        <v>68390</v>
      </c>
      <c r="J1712" t="s">
        <v>25</v>
      </c>
      <c r="K1712" t="s">
        <v>22</v>
      </c>
      <c r="L1712">
        <v>2</v>
      </c>
      <c r="M1712">
        <v>69.900000000000006</v>
      </c>
      <c r="N1712">
        <v>325148</v>
      </c>
      <c r="O1712">
        <v>1</v>
      </c>
    </row>
    <row r="1713" spans="1:15">
      <c r="A1713" t="s">
        <v>1739</v>
      </c>
      <c r="B1713" t="s">
        <v>20</v>
      </c>
      <c r="C1713">
        <v>5</v>
      </c>
      <c r="D1713">
        <v>9011981</v>
      </c>
      <c r="E1713">
        <v>4</v>
      </c>
      <c r="F1713">
        <v>17</v>
      </c>
      <c r="G1713">
        <v>153</v>
      </c>
      <c r="H1713">
        <v>94205690</v>
      </c>
      <c r="I1713">
        <v>482144</v>
      </c>
      <c r="J1713" t="s">
        <v>21</v>
      </c>
      <c r="K1713" t="s">
        <v>18</v>
      </c>
      <c r="L1713">
        <v>4</v>
      </c>
      <c r="M1713">
        <v>33.78</v>
      </c>
      <c r="N1713">
        <v>857456</v>
      </c>
      <c r="O1713">
        <v>1</v>
      </c>
    </row>
    <row r="1714" spans="1:15">
      <c r="A1714" t="s">
        <v>1740</v>
      </c>
      <c r="B1714" t="s">
        <v>27</v>
      </c>
      <c r="C1714">
        <v>4</v>
      </c>
      <c r="D1714">
        <v>25151477</v>
      </c>
      <c r="E1714">
        <v>3</v>
      </c>
      <c r="F1714">
        <v>17</v>
      </c>
      <c r="G1714">
        <v>271</v>
      </c>
      <c r="H1714">
        <v>49620466</v>
      </c>
      <c r="I1714">
        <v>974588</v>
      </c>
      <c r="J1714" t="s">
        <v>21</v>
      </c>
      <c r="K1714" t="s">
        <v>30</v>
      </c>
      <c r="L1714">
        <v>7</v>
      </c>
      <c r="M1714">
        <v>36.4</v>
      </c>
      <c r="N1714">
        <v>498854</v>
      </c>
      <c r="O1714">
        <v>1</v>
      </c>
    </row>
    <row r="1715" spans="1:15">
      <c r="A1715" t="s">
        <v>1741</v>
      </c>
      <c r="B1715" t="s">
        <v>16</v>
      </c>
      <c r="C1715">
        <v>2</v>
      </c>
      <c r="D1715">
        <v>30044581</v>
      </c>
      <c r="E1715">
        <v>3</v>
      </c>
      <c r="F1715">
        <v>21</v>
      </c>
      <c r="G1715">
        <v>331</v>
      </c>
      <c r="H1715">
        <v>58791736</v>
      </c>
      <c r="I1715">
        <v>123394</v>
      </c>
      <c r="J1715" t="s">
        <v>17</v>
      </c>
      <c r="K1715" t="s">
        <v>18</v>
      </c>
      <c r="L1715">
        <v>2</v>
      </c>
      <c r="M1715">
        <v>83.02</v>
      </c>
      <c r="N1715">
        <v>54457</v>
      </c>
      <c r="O1715">
        <v>1</v>
      </c>
    </row>
    <row r="1716" spans="1:15">
      <c r="A1716" t="s">
        <v>1742</v>
      </c>
      <c r="B1716" t="s">
        <v>38</v>
      </c>
      <c r="C1716">
        <v>0</v>
      </c>
      <c r="D1716">
        <v>40419003</v>
      </c>
      <c r="E1716">
        <v>2</v>
      </c>
      <c r="F1716">
        <v>21</v>
      </c>
      <c r="G1716">
        <v>805</v>
      </c>
      <c r="H1716">
        <v>61044101</v>
      </c>
      <c r="I1716">
        <v>569555</v>
      </c>
      <c r="J1716" t="s">
        <v>17</v>
      </c>
      <c r="K1716" t="s">
        <v>18</v>
      </c>
      <c r="L1716">
        <v>9</v>
      </c>
      <c r="M1716">
        <v>36.01</v>
      </c>
      <c r="N1716">
        <v>112939</v>
      </c>
      <c r="O1716">
        <v>1</v>
      </c>
    </row>
    <row r="1717" spans="1:15">
      <c r="A1717" t="s">
        <v>1743</v>
      </c>
      <c r="B1717" t="s">
        <v>20</v>
      </c>
      <c r="C1717">
        <v>6</v>
      </c>
      <c r="D1717">
        <v>45190239</v>
      </c>
      <c r="E1717">
        <v>3</v>
      </c>
      <c r="F1717">
        <v>14</v>
      </c>
      <c r="G1717">
        <v>246</v>
      </c>
      <c r="H1717">
        <v>17463631</v>
      </c>
      <c r="I1717">
        <v>904384</v>
      </c>
      <c r="J1717" t="s">
        <v>17</v>
      </c>
      <c r="K1717" t="s">
        <v>18</v>
      </c>
      <c r="L1717">
        <v>9</v>
      </c>
      <c r="M1717">
        <v>86.17</v>
      </c>
      <c r="N1717">
        <v>451970</v>
      </c>
      <c r="O1717">
        <v>1</v>
      </c>
    </row>
    <row r="1718" spans="1:15">
      <c r="A1718" t="s">
        <v>1744</v>
      </c>
      <c r="B1718" t="s">
        <v>20</v>
      </c>
      <c r="C1718">
        <v>6</v>
      </c>
      <c r="D1718">
        <v>26144524</v>
      </c>
      <c r="E1718">
        <v>4</v>
      </c>
      <c r="F1718">
        <v>2</v>
      </c>
      <c r="G1718">
        <v>266</v>
      </c>
      <c r="H1718">
        <v>52120600</v>
      </c>
      <c r="I1718">
        <v>619763</v>
      </c>
      <c r="J1718" t="s">
        <v>21</v>
      </c>
      <c r="K1718" t="s">
        <v>18</v>
      </c>
      <c r="L1718">
        <v>2</v>
      </c>
      <c r="M1718">
        <v>16.77</v>
      </c>
      <c r="N1718">
        <v>555737</v>
      </c>
      <c r="O1718">
        <v>1</v>
      </c>
    </row>
    <row r="1719" spans="1:15">
      <c r="A1719" t="s">
        <v>1745</v>
      </c>
      <c r="B1719" t="s">
        <v>24</v>
      </c>
      <c r="C1719">
        <v>1</v>
      </c>
      <c r="D1719">
        <v>47167206</v>
      </c>
      <c r="E1719">
        <v>1</v>
      </c>
      <c r="F1719">
        <v>29</v>
      </c>
      <c r="G1719">
        <v>440</v>
      </c>
      <c r="H1719">
        <v>26903330</v>
      </c>
      <c r="I1719">
        <v>289760</v>
      </c>
      <c r="J1719" t="s">
        <v>21</v>
      </c>
      <c r="K1719" t="s">
        <v>30</v>
      </c>
      <c r="L1719">
        <v>1</v>
      </c>
      <c r="M1719">
        <v>40.869999999999997</v>
      </c>
      <c r="N1719">
        <v>637277</v>
      </c>
      <c r="O1719">
        <v>1</v>
      </c>
    </row>
    <row r="1720" spans="1:15">
      <c r="A1720" t="s">
        <v>1746</v>
      </c>
      <c r="B1720" t="s">
        <v>38</v>
      </c>
      <c r="C1720">
        <v>5</v>
      </c>
      <c r="D1720">
        <v>1837668</v>
      </c>
      <c r="E1720">
        <v>4</v>
      </c>
      <c r="F1720">
        <v>28</v>
      </c>
      <c r="G1720">
        <v>284</v>
      </c>
      <c r="H1720">
        <v>86657355</v>
      </c>
      <c r="I1720">
        <v>685964</v>
      </c>
      <c r="J1720" t="s">
        <v>21</v>
      </c>
      <c r="K1720" t="s">
        <v>18</v>
      </c>
      <c r="L1720">
        <v>4</v>
      </c>
      <c r="M1720">
        <v>11.99</v>
      </c>
      <c r="N1720">
        <v>697423</v>
      </c>
      <c r="O1720">
        <v>1</v>
      </c>
    </row>
    <row r="1721" spans="1:15">
      <c r="A1721" t="s">
        <v>1747</v>
      </c>
      <c r="B1721" t="s">
        <v>38</v>
      </c>
      <c r="C1721">
        <v>2</v>
      </c>
      <c r="D1721">
        <v>39489391</v>
      </c>
      <c r="E1721">
        <v>2</v>
      </c>
      <c r="F1721">
        <v>15</v>
      </c>
      <c r="G1721">
        <v>729</v>
      </c>
      <c r="H1721">
        <v>20649809</v>
      </c>
      <c r="I1721">
        <v>101371</v>
      </c>
      <c r="J1721" t="s">
        <v>25</v>
      </c>
      <c r="K1721" t="s">
        <v>30</v>
      </c>
      <c r="L1721">
        <v>3</v>
      </c>
      <c r="M1721">
        <v>74.239999999999995</v>
      </c>
      <c r="N1721">
        <v>380917</v>
      </c>
      <c r="O1721">
        <v>1</v>
      </c>
    </row>
    <row r="1722" spans="1:15">
      <c r="A1722" t="s">
        <v>1748</v>
      </c>
      <c r="B1722" t="s">
        <v>27</v>
      </c>
      <c r="C1722">
        <v>9</v>
      </c>
      <c r="D1722">
        <v>46130739</v>
      </c>
      <c r="E1722">
        <v>3</v>
      </c>
      <c r="F1722">
        <v>29</v>
      </c>
      <c r="G1722">
        <v>144</v>
      </c>
      <c r="H1722">
        <v>58697443</v>
      </c>
      <c r="I1722">
        <v>614355</v>
      </c>
      <c r="J1722" t="s">
        <v>25</v>
      </c>
      <c r="K1722" t="s">
        <v>22</v>
      </c>
      <c r="L1722">
        <v>8</v>
      </c>
      <c r="M1722">
        <v>74.349999999999994</v>
      </c>
      <c r="N1722">
        <v>268874</v>
      </c>
      <c r="O1722">
        <v>1</v>
      </c>
    </row>
    <row r="1723" spans="1:15">
      <c r="A1723" t="s">
        <v>1749</v>
      </c>
      <c r="B1723" t="s">
        <v>32</v>
      </c>
      <c r="C1723">
        <v>6</v>
      </c>
      <c r="D1723">
        <v>24106855</v>
      </c>
      <c r="E1723">
        <v>4</v>
      </c>
      <c r="F1723">
        <v>13</v>
      </c>
      <c r="G1723">
        <v>984</v>
      </c>
      <c r="H1723">
        <v>62904186</v>
      </c>
      <c r="I1723">
        <v>213849</v>
      </c>
      <c r="J1723" t="s">
        <v>25</v>
      </c>
      <c r="K1723" t="s">
        <v>30</v>
      </c>
      <c r="L1723">
        <v>3</v>
      </c>
      <c r="M1723">
        <v>4.6100000000000003</v>
      </c>
      <c r="N1723">
        <v>554805</v>
      </c>
      <c r="O1723">
        <v>1</v>
      </c>
    </row>
    <row r="1724" spans="1:15">
      <c r="A1724" t="s">
        <v>1750</v>
      </c>
      <c r="B1724" t="s">
        <v>29</v>
      </c>
      <c r="C1724">
        <v>1</v>
      </c>
      <c r="D1724">
        <v>27426609</v>
      </c>
      <c r="E1724">
        <v>2</v>
      </c>
      <c r="F1724">
        <v>5</v>
      </c>
      <c r="G1724">
        <v>171</v>
      </c>
      <c r="H1724">
        <v>60644566</v>
      </c>
      <c r="I1724">
        <v>574879</v>
      </c>
      <c r="J1724" t="s">
        <v>17</v>
      </c>
      <c r="K1724" t="s">
        <v>18</v>
      </c>
      <c r="L1724">
        <v>6</v>
      </c>
      <c r="M1724">
        <v>6.7</v>
      </c>
      <c r="N1724">
        <v>819773</v>
      </c>
      <c r="O1724">
        <v>1</v>
      </c>
    </row>
    <row r="1725" spans="1:15">
      <c r="A1725" t="s">
        <v>1751</v>
      </c>
      <c r="B1725" t="s">
        <v>16</v>
      </c>
      <c r="C1725">
        <v>1</v>
      </c>
      <c r="D1725">
        <v>37840257</v>
      </c>
      <c r="E1725">
        <v>2</v>
      </c>
      <c r="F1725">
        <v>22</v>
      </c>
      <c r="G1725">
        <v>108</v>
      </c>
      <c r="H1725">
        <v>5590719</v>
      </c>
      <c r="I1725">
        <v>691148</v>
      </c>
      <c r="J1725" t="s">
        <v>21</v>
      </c>
      <c r="K1725" t="s">
        <v>22</v>
      </c>
      <c r="L1725">
        <v>2</v>
      </c>
      <c r="M1725">
        <v>76.48</v>
      </c>
      <c r="N1725">
        <v>281754</v>
      </c>
      <c r="O1725">
        <v>1</v>
      </c>
    </row>
    <row r="1726" spans="1:15">
      <c r="A1726" t="s">
        <v>1752</v>
      </c>
      <c r="B1726" t="s">
        <v>27</v>
      </c>
      <c r="C1726">
        <v>9</v>
      </c>
      <c r="D1726">
        <v>9520153</v>
      </c>
      <c r="E1726">
        <v>2</v>
      </c>
      <c r="F1726">
        <v>16</v>
      </c>
      <c r="G1726">
        <v>162</v>
      </c>
      <c r="H1726">
        <v>18392257</v>
      </c>
      <c r="I1726">
        <v>45803</v>
      </c>
      <c r="J1726" t="s">
        <v>21</v>
      </c>
      <c r="K1726" t="s">
        <v>30</v>
      </c>
      <c r="L1726">
        <v>4</v>
      </c>
      <c r="M1726">
        <v>20.54</v>
      </c>
      <c r="N1726">
        <v>854940</v>
      </c>
      <c r="O1726">
        <v>1</v>
      </c>
    </row>
    <row r="1727" spans="1:15">
      <c r="A1727" t="s">
        <v>1753</v>
      </c>
      <c r="B1727" t="s">
        <v>20</v>
      </c>
      <c r="C1727">
        <v>1</v>
      </c>
      <c r="D1727">
        <v>5864900</v>
      </c>
      <c r="E1727">
        <v>2</v>
      </c>
      <c r="F1727">
        <v>15</v>
      </c>
      <c r="G1727">
        <v>782</v>
      </c>
      <c r="H1727">
        <v>23200489</v>
      </c>
      <c r="I1727">
        <v>352095</v>
      </c>
      <c r="J1727" t="s">
        <v>25</v>
      </c>
      <c r="K1727" t="s">
        <v>18</v>
      </c>
      <c r="L1727">
        <v>2</v>
      </c>
      <c r="M1727">
        <v>93.37</v>
      </c>
      <c r="N1727">
        <v>971458</v>
      </c>
      <c r="O1727">
        <v>1</v>
      </c>
    </row>
    <row r="1728" spans="1:15">
      <c r="A1728" t="s">
        <v>1754</v>
      </c>
      <c r="B1728" t="s">
        <v>16</v>
      </c>
      <c r="C1728">
        <v>8</v>
      </c>
      <c r="D1728">
        <v>45517564</v>
      </c>
      <c r="E1728">
        <v>3</v>
      </c>
      <c r="F1728">
        <v>1</v>
      </c>
      <c r="G1728">
        <v>120</v>
      </c>
      <c r="H1728">
        <v>3476579</v>
      </c>
      <c r="I1728">
        <v>885306</v>
      </c>
      <c r="J1728" t="s">
        <v>25</v>
      </c>
      <c r="K1728" t="s">
        <v>30</v>
      </c>
      <c r="L1728">
        <v>3</v>
      </c>
      <c r="M1728">
        <v>24.66</v>
      </c>
      <c r="N1728">
        <v>377370</v>
      </c>
      <c r="O1728">
        <v>1</v>
      </c>
    </row>
    <row r="1729" spans="1:15">
      <c r="A1729" t="s">
        <v>1755</v>
      </c>
      <c r="B1729" t="s">
        <v>29</v>
      </c>
      <c r="C1729">
        <v>13</v>
      </c>
      <c r="D1729">
        <v>34937154</v>
      </c>
      <c r="E1729">
        <v>1</v>
      </c>
      <c r="F1729">
        <v>19</v>
      </c>
      <c r="G1729">
        <v>380</v>
      </c>
      <c r="H1729">
        <v>89357443</v>
      </c>
      <c r="I1729">
        <v>773471</v>
      </c>
      <c r="J1729" t="s">
        <v>17</v>
      </c>
      <c r="K1729" t="s">
        <v>18</v>
      </c>
      <c r="L1729">
        <v>2</v>
      </c>
      <c r="M1729">
        <v>80.34</v>
      </c>
      <c r="N1729">
        <v>776342</v>
      </c>
      <c r="O1729">
        <v>1</v>
      </c>
    </row>
    <row r="1730" spans="1:15">
      <c r="A1730" t="s">
        <v>1756</v>
      </c>
      <c r="B1730" t="s">
        <v>24</v>
      </c>
      <c r="C1730">
        <v>8</v>
      </c>
      <c r="D1730">
        <v>45573873</v>
      </c>
      <c r="E1730">
        <v>2</v>
      </c>
      <c r="F1730">
        <v>20</v>
      </c>
      <c r="G1730">
        <v>573</v>
      </c>
      <c r="H1730">
        <v>21274249</v>
      </c>
      <c r="I1730">
        <v>619190</v>
      </c>
      <c r="J1730" t="s">
        <v>25</v>
      </c>
      <c r="K1730" t="s">
        <v>30</v>
      </c>
      <c r="L1730">
        <v>2</v>
      </c>
      <c r="M1730">
        <v>53.13</v>
      </c>
      <c r="N1730">
        <v>286991</v>
      </c>
      <c r="O1730">
        <v>1</v>
      </c>
    </row>
    <row r="1731" spans="1:15">
      <c r="A1731" t="s">
        <v>1757</v>
      </c>
      <c r="B1731" t="s">
        <v>27</v>
      </c>
      <c r="C1731">
        <v>8</v>
      </c>
      <c r="D1731">
        <v>46377166</v>
      </c>
      <c r="E1731">
        <v>2</v>
      </c>
      <c r="F1731">
        <v>27</v>
      </c>
      <c r="G1731">
        <v>343</v>
      </c>
      <c r="H1731">
        <v>56375902</v>
      </c>
      <c r="I1731">
        <v>790217</v>
      </c>
      <c r="J1731" t="s">
        <v>17</v>
      </c>
      <c r="K1731" t="s">
        <v>18</v>
      </c>
      <c r="L1731">
        <v>4</v>
      </c>
      <c r="M1731">
        <v>83.71</v>
      </c>
      <c r="N1731">
        <v>465257</v>
      </c>
      <c r="O1731">
        <v>1</v>
      </c>
    </row>
    <row r="1732" spans="1:15">
      <c r="A1732" t="s">
        <v>1758</v>
      </c>
      <c r="B1732" t="s">
        <v>38</v>
      </c>
      <c r="C1732">
        <v>8</v>
      </c>
      <c r="D1732">
        <v>47621220</v>
      </c>
      <c r="E1732">
        <v>3</v>
      </c>
      <c r="F1732">
        <v>18</v>
      </c>
      <c r="G1732">
        <v>964</v>
      </c>
      <c r="H1732">
        <v>20202444</v>
      </c>
      <c r="I1732">
        <v>285289</v>
      </c>
      <c r="J1732" t="s">
        <v>21</v>
      </c>
      <c r="K1732" t="s">
        <v>18</v>
      </c>
      <c r="L1732">
        <v>5</v>
      </c>
      <c r="M1732">
        <v>49.84</v>
      </c>
      <c r="N1732">
        <v>505888</v>
      </c>
      <c r="O1732">
        <v>1</v>
      </c>
    </row>
    <row r="1733" spans="1:15">
      <c r="A1733" t="s">
        <v>1759</v>
      </c>
      <c r="B1733" t="s">
        <v>27</v>
      </c>
      <c r="C1733">
        <v>0</v>
      </c>
      <c r="D1733">
        <v>14788706</v>
      </c>
      <c r="E1733">
        <v>1</v>
      </c>
      <c r="F1733">
        <v>2</v>
      </c>
      <c r="G1733">
        <v>54</v>
      </c>
      <c r="H1733">
        <v>40093609</v>
      </c>
      <c r="I1733">
        <v>555110</v>
      </c>
      <c r="J1733" t="s">
        <v>25</v>
      </c>
      <c r="K1733" t="s">
        <v>22</v>
      </c>
      <c r="L1733">
        <v>4</v>
      </c>
      <c r="M1733">
        <v>27.99</v>
      </c>
      <c r="N1733">
        <v>544699</v>
      </c>
      <c r="O1733">
        <v>1</v>
      </c>
    </row>
    <row r="1734" spans="1:15">
      <c r="A1734" t="s">
        <v>1760</v>
      </c>
      <c r="B1734" t="s">
        <v>27</v>
      </c>
      <c r="C1734">
        <v>7</v>
      </c>
      <c r="D1734">
        <v>45438025</v>
      </c>
      <c r="E1734">
        <v>1</v>
      </c>
      <c r="F1734">
        <v>10</v>
      </c>
      <c r="G1734">
        <v>733</v>
      </c>
      <c r="H1734">
        <v>21583562</v>
      </c>
      <c r="I1734">
        <v>427873</v>
      </c>
      <c r="J1734" t="s">
        <v>21</v>
      </c>
      <c r="K1734" t="s">
        <v>18</v>
      </c>
      <c r="L1734">
        <v>1</v>
      </c>
      <c r="M1734">
        <v>29.4</v>
      </c>
      <c r="N1734">
        <v>996730</v>
      </c>
      <c r="O1734">
        <v>1</v>
      </c>
    </row>
    <row r="1735" spans="1:15">
      <c r="A1735" t="s">
        <v>1761</v>
      </c>
      <c r="B1735" t="s">
        <v>29</v>
      </c>
      <c r="C1735">
        <v>1</v>
      </c>
      <c r="D1735">
        <v>47955409</v>
      </c>
      <c r="E1735">
        <v>2</v>
      </c>
      <c r="F1735">
        <v>21</v>
      </c>
      <c r="G1735">
        <v>936</v>
      </c>
      <c r="H1735">
        <v>45791739</v>
      </c>
      <c r="I1735">
        <v>655956</v>
      </c>
      <c r="J1735" t="s">
        <v>21</v>
      </c>
      <c r="K1735" t="s">
        <v>30</v>
      </c>
      <c r="L1735">
        <v>8</v>
      </c>
      <c r="M1735">
        <v>36.549999999999997</v>
      </c>
      <c r="N1735">
        <v>535827</v>
      </c>
      <c r="O1735">
        <v>1</v>
      </c>
    </row>
    <row r="1736" spans="1:15">
      <c r="A1736" t="s">
        <v>1762</v>
      </c>
      <c r="B1736" t="s">
        <v>38</v>
      </c>
      <c r="C1736">
        <v>1</v>
      </c>
      <c r="D1736">
        <v>42086149</v>
      </c>
      <c r="E1736">
        <v>4</v>
      </c>
      <c r="F1736">
        <v>27</v>
      </c>
      <c r="G1736">
        <v>659</v>
      </c>
      <c r="H1736">
        <v>87979171</v>
      </c>
      <c r="I1736">
        <v>264484</v>
      </c>
      <c r="J1736" t="s">
        <v>21</v>
      </c>
      <c r="K1736" t="s">
        <v>30</v>
      </c>
      <c r="L1736">
        <v>8</v>
      </c>
      <c r="M1736">
        <v>11.98</v>
      </c>
      <c r="N1736">
        <v>70785</v>
      </c>
      <c r="O1736">
        <v>1</v>
      </c>
    </row>
    <row r="1737" spans="1:15">
      <c r="A1737" t="s">
        <v>1763</v>
      </c>
      <c r="B1737" t="s">
        <v>27</v>
      </c>
      <c r="C1737">
        <v>4</v>
      </c>
      <c r="D1737">
        <v>16469239</v>
      </c>
      <c r="E1737">
        <v>2</v>
      </c>
      <c r="F1737">
        <v>18</v>
      </c>
      <c r="G1737">
        <v>134</v>
      </c>
      <c r="H1737">
        <v>99250302</v>
      </c>
      <c r="I1737">
        <v>915579</v>
      </c>
      <c r="J1737" t="s">
        <v>21</v>
      </c>
      <c r="K1737" t="s">
        <v>18</v>
      </c>
      <c r="L1737">
        <v>2</v>
      </c>
      <c r="M1737">
        <v>48.39</v>
      </c>
      <c r="N1737">
        <v>658294</v>
      </c>
      <c r="O1737">
        <v>1</v>
      </c>
    </row>
    <row r="1738" spans="1:15">
      <c r="A1738" t="s">
        <v>1764</v>
      </c>
      <c r="B1738" t="s">
        <v>32</v>
      </c>
      <c r="C1738">
        <v>9</v>
      </c>
      <c r="D1738">
        <v>26135377</v>
      </c>
      <c r="E1738">
        <v>1</v>
      </c>
      <c r="F1738">
        <v>6</v>
      </c>
      <c r="G1738">
        <v>811</v>
      </c>
      <c r="H1738">
        <v>1561429</v>
      </c>
      <c r="I1738">
        <v>266489</v>
      </c>
      <c r="J1738" t="s">
        <v>17</v>
      </c>
      <c r="K1738" t="s">
        <v>22</v>
      </c>
      <c r="L1738">
        <v>8</v>
      </c>
      <c r="M1738">
        <v>20.89</v>
      </c>
      <c r="N1738">
        <v>715105</v>
      </c>
      <c r="O1738">
        <v>1</v>
      </c>
    </row>
    <row r="1739" spans="1:15">
      <c r="A1739" t="s">
        <v>1765</v>
      </c>
      <c r="B1739" t="s">
        <v>32</v>
      </c>
      <c r="C1739">
        <v>1</v>
      </c>
      <c r="D1739">
        <v>45178630</v>
      </c>
      <c r="E1739">
        <v>3</v>
      </c>
      <c r="F1739">
        <v>28</v>
      </c>
      <c r="G1739">
        <v>600</v>
      </c>
      <c r="H1739">
        <v>14727901</v>
      </c>
      <c r="I1739">
        <v>571491</v>
      </c>
      <c r="J1739" t="s">
        <v>25</v>
      </c>
      <c r="K1739" t="s">
        <v>22</v>
      </c>
      <c r="L1739">
        <v>4</v>
      </c>
      <c r="M1739">
        <v>81.23</v>
      </c>
      <c r="N1739">
        <v>582183</v>
      </c>
      <c r="O1739">
        <v>1</v>
      </c>
    </row>
    <row r="1740" spans="1:15">
      <c r="A1740" t="s">
        <v>1766</v>
      </c>
      <c r="B1740" t="s">
        <v>20</v>
      </c>
      <c r="C1740">
        <v>2</v>
      </c>
      <c r="D1740">
        <v>5401382</v>
      </c>
      <c r="E1740">
        <v>2</v>
      </c>
      <c r="F1740">
        <v>27</v>
      </c>
      <c r="G1740">
        <v>396</v>
      </c>
      <c r="H1740">
        <v>98260081</v>
      </c>
      <c r="I1740">
        <v>466981</v>
      </c>
      <c r="J1740" t="s">
        <v>21</v>
      </c>
      <c r="K1740" t="s">
        <v>18</v>
      </c>
      <c r="L1740">
        <v>9</v>
      </c>
      <c r="M1740">
        <v>68.180000000000007</v>
      </c>
      <c r="N1740">
        <v>636687</v>
      </c>
      <c r="O1740">
        <v>1</v>
      </c>
    </row>
    <row r="1741" spans="1:15">
      <c r="A1741" t="s">
        <v>1767</v>
      </c>
      <c r="B1741" t="s">
        <v>27</v>
      </c>
      <c r="C1741">
        <v>3</v>
      </c>
      <c r="D1741">
        <v>48972095</v>
      </c>
      <c r="E1741">
        <v>3</v>
      </c>
      <c r="F1741">
        <v>9</v>
      </c>
      <c r="G1741">
        <v>159</v>
      </c>
      <c r="H1741">
        <v>53962641</v>
      </c>
      <c r="I1741">
        <v>502257</v>
      </c>
      <c r="J1741" t="s">
        <v>17</v>
      </c>
      <c r="K1741" t="s">
        <v>30</v>
      </c>
      <c r="L1741">
        <v>6</v>
      </c>
      <c r="M1741">
        <v>40.92</v>
      </c>
      <c r="N1741">
        <v>732717</v>
      </c>
      <c r="O1741">
        <v>1</v>
      </c>
    </row>
    <row r="1742" spans="1:15">
      <c r="A1742" t="s">
        <v>1768</v>
      </c>
      <c r="B1742" t="s">
        <v>24</v>
      </c>
      <c r="C1742">
        <v>10</v>
      </c>
      <c r="D1742">
        <v>17674862</v>
      </c>
      <c r="E1742">
        <v>2</v>
      </c>
      <c r="F1742">
        <v>27</v>
      </c>
      <c r="G1742">
        <v>629</v>
      </c>
      <c r="H1742">
        <v>11629324</v>
      </c>
      <c r="I1742">
        <v>838301</v>
      </c>
      <c r="J1742" t="s">
        <v>17</v>
      </c>
      <c r="K1742" t="s">
        <v>18</v>
      </c>
      <c r="L1742">
        <v>3</v>
      </c>
      <c r="M1742">
        <v>88.16</v>
      </c>
      <c r="N1742">
        <v>599336</v>
      </c>
      <c r="O1742">
        <v>1</v>
      </c>
    </row>
    <row r="1743" spans="1:15">
      <c r="A1743" t="s">
        <v>1769</v>
      </c>
      <c r="B1743" t="s">
        <v>32</v>
      </c>
      <c r="C1743">
        <v>3</v>
      </c>
      <c r="D1743">
        <v>13691297</v>
      </c>
      <c r="E1743">
        <v>2</v>
      </c>
      <c r="F1743">
        <v>13</v>
      </c>
      <c r="G1743">
        <v>968</v>
      </c>
      <c r="H1743">
        <v>99705675</v>
      </c>
      <c r="I1743">
        <v>184569</v>
      </c>
      <c r="J1743" t="s">
        <v>25</v>
      </c>
      <c r="K1743" t="s">
        <v>22</v>
      </c>
      <c r="L1743">
        <v>5</v>
      </c>
      <c r="M1743">
        <v>72.84</v>
      </c>
      <c r="N1743">
        <v>845821</v>
      </c>
      <c r="O1743">
        <v>1</v>
      </c>
    </row>
    <row r="1744" spans="1:15">
      <c r="A1744" t="s">
        <v>1770</v>
      </c>
      <c r="B1744" t="s">
        <v>38</v>
      </c>
      <c r="C1744">
        <v>1</v>
      </c>
      <c r="D1744">
        <v>4052864</v>
      </c>
      <c r="E1744">
        <v>3</v>
      </c>
      <c r="F1744">
        <v>3</v>
      </c>
      <c r="G1744">
        <v>494</v>
      </c>
      <c r="H1744">
        <v>38058908</v>
      </c>
      <c r="I1744">
        <v>172115</v>
      </c>
      <c r="J1744" t="s">
        <v>17</v>
      </c>
      <c r="K1744" t="s">
        <v>30</v>
      </c>
      <c r="L1744">
        <v>9</v>
      </c>
      <c r="M1744">
        <v>68.599999999999994</v>
      </c>
      <c r="N1744">
        <v>903644</v>
      </c>
      <c r="O1744">
        <v>1</v>
      </c>
    </row>
    <row r="1745" spans="1:15">
      <c r="A1745" t="s">
        <v>1771</v>
      </c>
      <c r="B1745" t="s">
        <v>32</v>
      </c>
      <c r="C1745">
        <v>1</v>
      </c>
      <c r="D1745">
        <v>37248599</v>
      </c>
      <c r="E1745">
        <v>2</v>
      </c>
      <c r="F1745">
        <v>13</v>
      </c>
      <c r="G1745">
        <v>452</v>
      </c>
      <c r="H1745">
        <v>6953604</v>
      </c>
      <c r="I1745">
        <v>699775</v>
      </c>
      <c r="J1745" t="s">
        <v>21</v>
      </c>
      <c r="K1745" t="s">
        <v>22</v>
      </c>
      <c r="L1745">
        <v>4</v>
      </c>
      <c r="M1745">
        <v>93.2</v>
      </c>
      <c r="N1745">
        <v>84672</v>
      </c>
      <c r="O1745">
        <v>1</v>
      </c>
    </row>
    <row r="1746" spans="1:15">
      <c r="A1746" t="s">
        <v>1772</v>
      </c>
      <c r="B1746" t="s">
        <v>20</v>
      </c>
      <c r="C1746">
        <v>11</v>
      </c>
      <c r="D1746">
        <v>33312505</v>
      </c>
      <c r="E1746">
        <v>3</v>
      </c>
      <c r="F1746">
        <v>10</v>
      </c>
      <c r="G1746">
        <v>841</v>
      </c>
      <c r="H1746">
        <v>75011684</v>
      </c>
      <c r="I1746">
        <v>278083</v>
      </c>
      <c r="J1746" t="s">
        <v>25</v>
      </c>
      <c r="K1746" t="s">
        <v>30</v>
      </c>
      <c r="L1746">
        <v>3</v>
      </c>
      <c r="M1746">
        <v>46.62</v>
      </c>
      <c r="N1746">
        <v>147051</v>
      </c>
      <c r="O1746">
        <v>1</v>
      </c>
    </row>
    <row r="1747" spans="1:15">
      <c r="A1747" t="s">
        <v>1773</v>
      </c>
      <c r="B1747" t="s">
        <v>20</v>
      </c>
      <c r="C1747">
        <v>1</v>
      </c>
      <c r="D1747">
        <v>15889617</v>
      </c>
      <c r="E1747">
        <v>2</v>
      </c>
      <c r="F1747">
        <v>12</v>
      </c>
      <c r="G1747">
        <v>338</v>
      </c>
      <c r="H1747">
        <v>47046462</v>
      </c>
      <c r="I1747">
        <v>602724</v>
      </c>
      <c r="J1747" t="s">
        <v>17</v>
      </c>
      <c r="K1747" t="s">
        <v>18</v>
      </c>
      <c r="L1747">
        <v>9</v>
      </c>
      <c r="M1747">
        <v>76.61</v>
      </c>
      <c r="N1747">
        <v>614311</v>
      </c>
      <c r="O1747">
        <v>1</v>
      </c>
    </row>
    <row r="1748" spans="1:15">
      <c r="A1748" t="s">
        <v>1774</v>
      </c>
      <c r="B1748" t="s">
        <v>16</v>
      </c>
      <c r="C1748">
        <v>3</v>
      </c>
      <c r="D1748">
        <v>33612526</v>
      </c>
      <c r="E1748">
        <v>3</v>
      </c>
      <c r="F1748">
        <v>26</v>
      </c>
      <c r="G1748">
        <v>365</v>
      </c>
      <c r="H1748">
        <v>45566116</v>
      </c>
      <c r="I1748">
        <v>392437</v>
      </c>
      <c r="J1748" t="s">
        <v>25</v>
      </c>
      <c r="K1748" t="s">
        <v>18</v>
      </c>
      <c r="L1748">
        <v>6</v>
      </c>
      <c r="M1748">
        <v>47.48</v>
      </c>
      <c r="N1748">
        <v>491544</v>
      </c>
      <c r="O1748">
        <v>1</v>
      </c>
    </row>
    <row r="1749" spans="1:15">
      <c r="A1749" t="s">
        <v>1775</v>
      </c>
      <c r="B1749" t="s">
        <v>32</v>
      </c>
      <c r="C1749">
        <v>8</v>
      </c>
      <c r="D1749">
        <v>28650824</v>
      </c>
      <c r="E1749">
        <v>3</v>
      </c>
      <c r="F1749">
        <v>10</v>
      </c>
      <c r="G1749">
        <v>803</v>
      </c>
      <c r="H1749">
        <v>88577642</v>
      </c>
      <c r="I1749">
        <v>848870</v>
      </c>
      <c r="J1749" t="s">
        <v>25</v>
      </c>
      <c r="K1749" t="s">
        <v>30</v>
      </c>
      <c r="L1749">
        <v>2</v>
      </c>
      <c r="M1749">
        <v>57.27</v>
      </c>
      <c r="N1749">
        <v>460531</v>
      </c>
      <c r="O1749">
        <v>1</v>
      </c>
    </row>
    <row r="1750" spans="1:15">
      <c r="A1750" t="s">
        <v>1776</v>
      </c>
      <c r="B1750" t="s">
        <v>32</v>
      </c>
      <c r="C1750">
        <v>9</v>
      </c>
      <c r="D1750">
        <v>13211679</v>
      </c>
      <c r="E1750">
        <v>4</v>
      </c>
      <c r="F1750">
        <v>28</v>
      </c>
      <c r="G1750">
        <v>867</v>
      </c>
      <c r="H1750">
        <v>57294072</v>
      </c>
      <c r="I1750">
        <v>597327</v>
      </c>
      <c r="J1750" t="s">
        <v>25</v>
      </c>
      <c r="K1750" t="s">
        <v>18</v>
      </c>
      <c r="L1750">
        <v>3</v>
      </c>
      <c r="M1750">
        <v>25.17</v>
      </c>
      <c r="N1750">
        <v>260132</v>
      </c>
      <c r="O1750">
        <v>1</v>
      </c>
    </row>
    <row r="1751" spans="1:15">
      <c r="A1751" t="s">
        <v>1777</v>
      </c>
      <c r="B1751" t="s">
        <v>38</v>
      </c>
      <c r="C1751">
        <v>8</v>
      </c>
      <c r="D1751">
        <v>22363291</v>
      </c>
      <c r="E1751">
        <v>3</v>
      </c>
      <c r="F1751">
        <v>24</v>
      </c>
      <c r="G1751">
        <v>611</v>
      </c>
      <c r="H1751">
        <v>18070151</v>
      </c>
      <c r="I1751">
        <v>836834</v>
      </c>
      <c r="J1751" t="s">
        <v>17</v>
      </c>
      <c r="K1751" t="s">
        <v>18</v>
      </c>
      <c r="L1751">
        <v>1</v>
      </c>
      <c r="M1751">
        <v>97.17</v>
      </c>
      <c r="N1751">
        <v>890321</v>
      </c>
      <c r="O1751">
        <v>1</v>
      </c>
    </row>
    <row r="1752" spans="1:15">
      <c r="A1752" t="s">
        <v>1778</v>
      </c>
      <c r="B1752" t="s">
        <v>38</v>
      </c>
      <c r="C1752">
        <v>9</v>
      </c>
      <c r="D1752">
        <v>30194354</v>
      </c>
      <c r="E1752">
        <v>2</v>
      </c>
      <c r="F1752">
        <v>29</v>
      </c>
      <c r="G1752">
        <v>736</v>
      </c>
      <c r="H1752">
        <v>93642153</v>
      </c>
      <c r="I1752">
        <v>240458</v>
      </c>
      <c r="J1752" t="s">
        <v>21</v>
      </c>
      <c r="K1752" t="s">
        <v>30</v>
      </c>
      <c r="L1752">
        <v>8</v>
      </c>
      <c r="M1752">
        <v>58.63</v>
      </c>
      <c r="N1752">
        <v>543903</v>
      </c>
      <c r="O1752">
        <v>1</v>
      </c>
    </row>
    <row r="1753" spans="1:15">
      <c r="A1753" t="s">
        <v>1779</v>
      </c>
      <c r="B1753" t="s">
        <v>29</v>
      </c>
      <c r="C1753">
        <v>12</v>
      </c>
      <c r="D1753">
        <v>15285226</v>
      </c>
      <c r="E1753">
        <v>4</v>
      </c>
      <c r="F1753">
        <v>1</v>
      </c>
      <c r="G1753">
        <v>789</v>
      </c>
      <c r="H1753">
        <v>13383019</v>
      </c>
      <c r="I1753">
        <v>218360</v>
      </c>
      <c r="J1753" t="s">
        <v>17</v>
      </c>
      <c r="K1753" t="s">
        <v>18</v>
      </c>
      <c r="L1753">
        <v>4</v>
      </c>
      <c r="M1753">
        <v>7.97</v>
      </c>
      <c r="N1753">
        <v>683017</v>
      </c>
      <c r="O1753">
        <v>1</v>
      </c>
    </row>
    <row r="1754" spans="1:15">
      <c r="A1754" t="s">
        <v>1780</v>
      </c>
      <c r="B1754" t="s">
        <v>24</v>
      </c>
      <c r="C1754">
        <v>0</v>
      </c>
      <c r="D1754">
        <v>7996964</v>
      </c>
      <c r="E1754">
        <v>3</v>
      </c>
      <c r="F1754">
        <v>5</v>
      </c>
      <c r="G1754">
        <v>917</v>
      </c>
      <c r="H1754">
        <v>59638427</v>
      </c>
      <c r="I1754">
        <v>626568</v>
      </c>
      <c r="J1754" t="s">
        <v>21</v>
      </c>
      <c r="K1754" t="s">
        <v>18</v>
      </c>
      <c r="L1754">
        <v>9</v>
      </c>
      <c r="M1754">
        <v>2.37</v>
      </c>
      <c r="N1754">
        <v>582172</v>
      </c>
      <c r="O1754">
        <v>1</v>
      </c>
    </row>
    <row r="1755" spans="1:15">
      <c r="A1755" t="s">
        <v>1781</v>
      </c>
      <c r="B1755" t="s">
        <v>38</v>
      </c>
      <c r="C1755">
        <v>10</v>
      </c>
      <c r="D1755">
        <v>25487741</v>
      </c>
      <c r="E1755">
        <v>3</v>
      </c>
      <c r="F1755">
        <v>2</v>
      </c>
      <c r="G1755">
        <v>951</v>
      </c>
      <c r="H1755">
        <v>78192662</v>
      </c>
      <c r="I1755">
        <v>607817</v>
      </c>
      <c r="J1755" t="s">
        <v>21</v>
      </c>
      <c r="K1755" t="s">
        <v>18</v>
      </c>
      <c r="L1755">
        <v>4</v>
      </c>
      <c r="M1755">
        <v>42.66</v>
      </c>
      <c r="N1755">
        <v>115549</v>
      </c>
      <c r="O1755">
        <v>1</v>
      </c>
    </row>
    <row r="1756" spans="1:15">
      <c r="A1756" t="s">
        <v>1782</v>
      </c>
      <c r="B1756" t="s">
        <v>38</v>
      </c>
      <c r="C1756">
        <v>1</v>
      </c>
      <c r="D1756">
        <v>21182851</v>
      </c>
      <c r="E1756">
        <v>2</v>
      </c>
      <c r="F1756">
        <v>15</v>
      </c>
      <c r="G1756">
        <v>140</v>
      </c>
      <c r="H1756">
        <v>42694648</v>
      </c>
      <c r="I1756">
        <v>391973</v>
      </c>
      <c r="J1756" t="s">
        <v>21</v>
      </c>
      <c r="K1756" t="s">
        <v>22</v>
      </c>
      <c r="L1756">
        <v>8</v>
      </c>
      <c r="M1756">
        <v>62.72</v>
      </c>
      <c r="N1756">
        <v>247621</v>
      </c>
      <c r="O1756">
        <v>1</v>
      </c>
    </row>
    <row r="1757" spans="1:15">
      <c r="A1757" t="s">
        <v>1783</v>
      </c>
      <c r="B1757" t="s">
        <v>32</v>
      </c>
      <c r="C1757">
        <v>2</v>
      </c>
      <c r="D1757">
        <v>24350801</v>
      </c>
      <c r="E1757">
        <v>1</v>
      </c>
      <c r="F1757">
        <v>21</v>
      </c>
      <c r="G1757">
        <v>501</v>
      </c>
      <c r="H1757">
        <v>75366553</v>
      </c>
      <c r="I1757">
        <v>836265</v>
      </c>
      <c r="J1757" t="s">
        <v>17</v>
      </c>
      <c r="K1757" t="s">
        <v>30</v>
      </c>
      <c r="L1757">
        <v>4</v>
      </c>
      <c r="M1757">
        <v>11.68</v>
      </c>
      <c r="N1757">
        <v>933998</v>
      </c>
      <c r="O1757">
        <v>1</v>
      </c>
    </row>
    <row r="1758" spans="1:15">
      <c r="A1758" t="s">
        <v>1784</v>
      </c>
      <c r="B1758" t="s">
        <v>16</v>
      </c>
      <c r="C1758">
        <v>13</v>
      </c>
      <c r="D1758">
        <v>15893837</v>
      </c>
      <c r="E1758">
        <v>4</v>
      </c>
      <c r="F1758">
        <v>8</v>
      </c>
      <c r="G1758">
        <v>57</v>
      </c>
      <c r="H1758">
        <v>23476552</v>
      </c>
      <c r="I1758">
        <v>990573</v>
      </c>
      <c r="J1758" t="s">
        <v>17</v>
      </c>
      <c r="K1758" t="s">
        <v>30</v>
      </c>
      <c r="L1758">
        <v>6</v>
      </c>
      <c r="M1758">
        <v>63</v>
      </c>
      <c r="N1758">
        <v>396829</v>
      </c>
      <c r="O1758">
        <v>1</v>
      </c>
    </row>
    <row r="1759" spans="1:15">
      <c r="A1759" t="s">
        <v>1785</v>
      </c>
      <c r="B1759" t="s">
        <v>32</v>
      </c>
      <c r="C1759">
        <v>7</v>
      </c>
      <c r="D1759">
        <v>771047</v>
      </c>
      <c r="E1759">
        <v>4</v>
      </c>
      <c r="F1759">
        <v>13</v>
      </c>
      <c r="G1759">
        <v>191</v>
      </c>
      <c r="H1759">
        <v>99383747</v>
      </c>
      <c r="I1759">
        <v>87285</v>
      </c>
      <c r="J1759" t="s">
        <v>21</v>
      </c>
      <c r="K1759" t="s">
        <v>30</v>
      </c>
      <c r="L1759">
        <v>4</v>
      </c>
      <c r="M1759">
        <v>85.69</v>
      </c>
      <c r="N1759">
        <v>246455</v>
      </c>
      <c r="O1759">
        <v>1</v>
      </c>
    </row>
    <row r="1760" spans="1:15">
      <c r="A1760" t="s">
        <v>1786</v>
      </c>
      <c r="B1760" t="s">
        <v>32</v>
      </c>
      <c r="C1760">
        <v>6</v>
      </c>
      <c r="D1760">
        <v>25824980</v>
      </c>
      <c r="E1760">
        <v>1</v>
      </c>
      <c r="F1760">
        <v>16</v>
      </c>
      <c r="G1760">
        <v>444</v>
      </c>
      <c r="H1760">
        <v>38426718</v>
      </c>
      <c r="I1760">
        <v>742697</v>
      </c>
      <c r="J1760" t="s">
        <v>17</v>
      </c>
      <c r="K1760" t="s">
        <v>30</v>
      </c>
      <c r="L1760">
        <v>8</v>
      </c>
      <c r="M1760">
        <v>52.54</v>
      </c>
      <c r="N1760">
        <v>134880</v>
      </c>
      <c r="O1760">
        <v>1</v>
      </c>
    </row>
    <row r="1761" spans="1:15">
      <c r="A1761" t="s">
        <v>1787</v>
      </c>
      <c r="B1761" t="s">
        <v>24</v>
      </c>
      <c r="C1761">
        <v>7</v>
      </c>
      <c r="D1761">
        <v>858856</v>
      </c>
      <c r="E1761">
        <v>4</v>
      </c>
      <c r="F1761">
        <v>20</v>
      </c>
      <c r="G1761">
        <v>62</v>
      </c>
      <c r="H1761">
        <v>92758045</v>
      </c>
      <c r="I1761">
        <v>176220</v>
      </c>
      <c r="J1761" t="s">
        <v>25</v>
      </c>
      <c r="K1761" t="s">
        <v>30</v>
      </c>
      <c r="L1761">
        <v>1</v>
      </c>
      <c r="M1761">
        <v>11.32</v>
      </c>
      <c r="N1761">
        <v>282591</v>
      </c>
      <c r="O1761">
        <v>1</v>
      </c>
    </row>
    <row r="1762" spans="1:15">
      <c r="A1762" t="s">
        <v>1788</v>
      </c>
      <c r="B1762" t="s">
        <v>16</v>
      </c>
      <c r="C1762">
        <v>13</v>
      </c>
      <c r="D1762">
        <v>6105246</v>
      </c>
      <c r="E1762">
        <v>4</v>
      </c>
      <c r="F1762">
        <v>4</v>
      </c>
      <c r="G1762">
        <v>158</v>
      </c>
      <c r="H1762">
        <v>26598526</v>
      </c>
      <c r="I1762">
        <v>661050</v>
      </c>
      <c r="J1762" t="s">
        <v>25</v>
      </c>
      <c r="K1762" t="s">
        <v>30</v>
      </c>
      <c r="L1762">
        <v>8</v>
      </c>
      <c r="M1762">
        <v>75.75</v>
      </c>
      <c r="N1762">
        <v>930639</v>
      </c>
      <c r="O1762">
        <v>1</v>
      </c>
    </row>
    <row r="1763" spans="1:15">
      <c r="A1763" t="s">
        <v>1789</v>
      </c>
      <c r="B1763" t="s">
        <v>27</v>
      </c>
      <c r="C1763">
        <v>12</v>
      </c>
      <c r="D1763">
        <v>5961432</v>
      </c>
      <c r="E1763">
        <v>4</v>
      </c>
      <c r="F1763">
        <v>15</v>
      </c>
      <c r="G1763">
        <v>54</v>
      </c>
      <c r="H1763">
        <v>52322494</v>
      </c>
      <c r="I1763">
        <v>57888</v>
      </c>
      <c r="J1763" t="s">
        <v>21</v>
      </c>
      <c r="K1763" t="s">
        <v>18</v>
      </c>
      <c r="L1763">
        <v>4</v>
      </c>
      <c r="M1763">
        <v>65.3</v>
      </c>
      <c r="N1763">
        <v>174606</v>
      </c>
      <c r="O1763">
        <v>1</v>
      </c>
    </row>
    <row r="1764" spans="1:15">
      <c r="A1764" t="s">
        <v>1790</v>
      </c>
      <c r="B1764" t="s">
        <v>29</v>
      </c>
      <c r="C1764">
        <v>14</v>
      </c>
      <c r="D1764">
        <v>20847902</v>
      </c>
      <c r="E1764">
        <v>1</v>
      </c>
      <c r="F1764">
        <v>5</v>
      </c>
      <c r="G1764">
        <v>928</v>
      </c>
      <c r="H1764">
        <v>26164558</v>
      </c>
      <c r="I1764">
        <v>263266</v>
      </c>
      <c r="J1764" t="s">
        <v>25</v>
      </c>
      <c r="K1764" t="s">
        <v>18</v>
      </c>
      <c r="L1764">
        <v>9</v>
      </c>
      <c r="M1764">
        <v>90.7</v>
      </c>
      <c r="N1764">
        <v>565911</v>
      </c>
      <c r="O1764">
        <v>1</v>
      </c>
    </row>
    <row r="1765" spans="1:15">
      <c r="A1765" t="s">
        <v>1791</v>
      </c>
      <c r="B1765" t="s">
        <v>29</v>
      </c>
      <c r="C1765">
        <v>14</v>
      </c>
      <c r="D1765">
        <v>13467112</v>
      </c>
      <c r="E1765">
        <v>4</v>
      </c>
      <c r="F1765">
        <v>3</v>
      </c>
      <c r="G1765">
        <v>917</v>
      </c>
      <c r="H1765">
        <v>51534493</v>
      </c>
      <c r="I1765">
        <v>944641</v>
      </c>
      <c r="J1765" t="s">
        <v>21</v>
      </c>
      <c r="K1765" t="s">
        <v>22</v>
      </c>
      <c r="L1765">
        <v>9</v>
      </c>
      <c r="M1765">
        <v>39.96</v>
      </c>
      <c r="N1765">
        <v>395858</v>
      </c>
      <c r="O1765">
        <v>1</v>
      </c>
    </row>
    <row r="1766" spans="1:15">
      <c r="A1766" t="s">
        <v>1792</v>
      </c>
      <c r="B1766" t="s">
        <v>24</v>
      </c>
      <c r="C1766">
        <v>7</v>
      </c>
      <c r="D1766">
        <v>43836762</v>
      </c>
      <c r="E1766">
        <v>4</v>
      </c>
      <c r="F1766">
        <v>14</v>
      </c>
      <c r="G1766">
        <v>444</v>
      </c>
      <c r="H1766">
        <v>85172104</v>
      </c>
      <c r="I1766">
        <v>716113</v>
      </c>
      <c r="J1766" t="s">
        <v>25</v>
      </c>
      <c r="K1766" t="s">
        <v>18</v>
      </c>
      <c r="L1766">
        <v>2</v>
      </c>
      <c r="M1766">
        <v>92.45</v>
      </c>
      <c r="N1766">
        <v>920361</v>
      </c>
      <c r="O1766">
        <v>1</v>
      </c>
    </row>
    <row r="1767" spans="1:15">
      <c r="A1767" t="s">
        <v>1793</v>
      </c>
      <c r="B1767" t="s">
        <v>32</v>
      </c>
      <c r="C1767">
        <v>10</v>
      </c>
      <c r="D1767">
        <v>34690527</v>
      </c>
      <c r="E1767">
        <v>4</v>
      </c>
      <c r="F1767">
        <v>9</v>
      </c>
      <c r="G1767">
        <v>546</v>
      </c>
      <c r="H1767">
        <v>15883907</v>
      </c>
      <c r="I1767">
        <v>312941</v>
      </c>
      <c r="J1767" t="s">
        <v>21</v>
      </c>
      <c r="K1767" t="s">
        <v>30</v>
      </c>
      <c r="L1767">
        <v>7</v>
      </c>
      <c r="M1767">
        <v>82.85</v>
      </c>
      <c r="N1767">
        <v>417334</v>
      </c>
      <c r="O1767">
        <v>1</v>
      </c>
    </row>
    <row r="1768" spans="1:15">
      <c r="A1768" t="s">
        <v>1794</v>
      </c>
      <c r="B1768" t="s">
        <v>20</v>
      </c>
      <c r="C1768">
        <v>1</v>
      </c>
      <c r="D1768">
        <v>13411976</v>
      </c>
      <c r="E1768">
        <v>2</v>
      </c>
      <c r="F1768">
        <v>20</v>
      </c>
      <c r="G1768">
        <v>177</v>
      </c>
      <c r="H1768">
        <v>13389960</v>
      </c>
      <c r="I1768">
        <v>388307</v>
      </c>
      <c r="J1768" t="s">
        <v>25</v>
      </c>
      <c r="K1768" t="s">
        <v>30</v>
      </c>
      <c r="L1768">
        <v>7</v>
      </c>
      <c r="M1768">
        <v>30.1</v>
      </c>
      <c r="N1768">
        <v>14565</v>
      </c>
      <c r="O1768">
        <v>1</v>
      </c>
    </row>
    <row r="1769" spans="1:15">
      <c r="A1769" t="s">
        <v>1795</v>
      </c>
      <c r="B1769" t="s">
        <v>24</v>
      </c>
      <c r="C1769">
        <v>4</v>
      </c>
      <c r="D1769">
        <v>36052319</v>
      </c>
      <c r="E1769">
        <v>1</v>
      </c>
      <c r="F1769">
        <v>15</v>
      </c>
      <c r="G1769">
        <v>962</v>
      </c>
      <c r="H1769">
        <v>15143708</v>
      </c>
      <c r="I1769">
        <v>383448</v>
      </c>
      <c r="J1769" t="s">
        <v>25</v>
      </c>
      <c r="K1769" t="s">
        <v>18</v>
      </c>
      <c r="L1769">
        <v>5</v>
      </c>
      <c r="M1769">
        <v>64.37</v>
      </c>
      <c r="N1769">
        <v>984195</v>
      </c>
      <c r="O1769">
        <v>1</v>
      </c>
    </row>
    <row r="1770" spans="1:15">
      <c r="A1770" t="s">
        <v>1796</v>
      </c>
      <c r="B1770" t="s">
        <v>29</v>
      </c>
      <c r="C1770">
        <v>3</v>
      </c>
      <c r="D1770">
        <v>4660265</v>
      </c>
      <c r="E1770">
        <v>2</v>
      </c>
      <c r="F1770">
        <v>13</v>
      </c>
      <c r="G1770">
        <v>40</v>
      </c>
      <c r="H1770">
        <v>41979960</v>
      </c>
      <c r="I1770">
        <v>465786</v>
      </c>
      <c r="J1770" t="s">
        <v>17</v>
      </c>
      <c r="K1770" t="s">
        <v>18</v>
      </c>
      <c r="L1770">
        <v>1</v>
      </c>
      <c r="M1770">
        <v>11.87</v>
      </c>
      <c r="N1770">
        <v>970745</v>
      </c>
      <c r="O1770">
        <v>1</v>
      </c>
    </row>
    <row r="1771" spans="1:15">
      <c r="A1771" t="s">
        <v>1797</v>
      </c>
      <c r="B1771" t="s">
        <v>38</v>
      </c>
      <c r="C1771">
        <v>3</v>
      </c>
      <c r="D1771">
        <v>40372483</v>
      </c>
      <c r="E1771">
        <v>3</v>
      </c>
      <c r="F1771">
        <v>15</v>
      </c>
      <c r="G1771">
        <v>901</v>
      </c>
      <c r="H1771">
        <v>83948008</v>
      </c>
      <c r="I1771">
        <v>249636</v>
      </c>
      <c r="J1771" t="s">
        <v>25</v>
      </c>
      <c r="K1771" t="s">
        <v>18</v>
      </c>
      <c r="L1771">
        <v>9</v>
      </c>
      <c r="M1771">
        <v>89.24</v>
      </c>
      <c r="N1771">
        <v>737758</v>
      </c>
      <c r="O1771">
        <v>1</v>
      </c>
    </row>
    <row r="1772" spans="1:15">
      <c r="A1772" t="s">
        <v>1798</v>
      </c>
      <c r="B1772" t="s">
        <v>16</v>
      </c>
      <c r="C1772">
        <v>11</v>
      </c>
      <c r="D1772">
        <v>19739590</v>
      </c>
      <c r="E1772">
        <v>4</v>
      </c>
      <c r="F1772">
        <v>6</v>
      </c>
      <c r="G1772">
        <v>443</v>
      </c>
      <c r="H1772">
        <v>3821261</v>
      </c>
      <c r="I1772">
        <v>772068</v>
      </c>
      <c r="J1772" t="s">
        <v>17</v>
      </c>
      <c r="K1772" t="s">
        <v>18</v>
      </c>
      <c r="L1772">
        <v>8</v>
      </c>
      <c r="M1772">
        <v>64.349999999999994</v>
      </c>
      <c r="N1772">
        <v>776797</v>
      </c>
      <c r="O1772">
        <v>1</v>
      </c>
    </row>
    <row r="1773" spans="1:15">
      <c r="A1773" t="s">
        <v>1799</v>
      </c>
      <c r="B1773" t="s">
        <v>16</v>
      </c>
      <c r="C1773">
        <v>4</v>
      </c>
      <c r="D1773">
        <v>41036096</v>
      </c>
      <c r="E1773">
        <v>2</v>
      </c>
      <c r="F1773">
        <v>21</v>
      </c>
      <c r="G1773">
        <v>940</v>
      </c>
      <c r="H1773">
        <v>93656134</v>
      </c>
      <c r="I1773">
        <v>450688</v>
      </c>
      <c r="J1773" t="s">
        <v>21</v>
      </c>
      <c r="K1773" t="s">
        <v>18</v>
      </c>
      <c r="L1773">
        <v>6</v>
      </c>
      <c r="M1773">
        <v>86.05</v>
      </c>
      <c r="N1773">
        <v>370563</v>
      </c>
      <c r="O1773">
        <v>1</v>
      </c>
    </row>
    <row r="1774" spans="1:15">
      <c r="A1774" t="s">
        <v>1800</v>
      </c>
      <c r="B1774" t="s">
        <v>16</v>
      </c>
      <c r="C1774">
        <v>1</v>
      </c>
      <c r="D1774">
        <v>35362360</v>
      </c>
      <c r="E1774">
        <v>4</v>
      </c>
      <c r="F1774">
        <v>0</v>
      </c>
      <c r="G1774">
        <v>9</v>
      </c>
      <c r="H1774">
        <v>20126187</v>
      </c>
      <c r="I1774">
        <v>924578</v>
      </c>
      <c r="J1774" t="s">
        <v>21</v>
      </c>
      <c r="K1774" t="s">
        <v>18</v>
      </c>
      <c r="L1774">
        <v>2</v>
      </c>
      <c r="M1774">
        <v>43.32</v>
      </c>
      <c r="N1774">
        <v>444850</v>
      </c>
      <c r="O1774">
        <v>1</v>
      </c>
    </row>
    <row r="1775" spans="1:15">
      <c r="A1775" t="s">
        <v>1801</v>
      </c>
      <c r="B1775" t="s">
        <v>27</v>
      </c>
      <c r="C1775">
        <v>13</v>
      </c>
      <c r="D1775">
        <v>2352292</v>
      </c>
      <c r="E1775">
        <v>4</v>
      </c>
      <c r="F1775">
        <v>18</v>
      </c>
      <c r="G1775">
        <v>678</v>
      </c>
      <c r="H1775">
        <v>11177335</v>
      </c>
      <c r="I1775">
        <v>568223</v>
      </c>
      <c r="J1775" t="s">
        <v>21</v>
      </c>
      <c r="K1775" t="s">
        <v>22</v>
      </c>
      <c r="L1775">
        <v>7</v>
      </c>
      <c r="M1775">
        <v>18.149999999999999</v>
      </c>
      <c r="N1775">
        <v>713623</v>
      </c>
      <c r="O1775">
        <v>1</v>
      </c>
    </row>
    <row r="1776" spans="1:15">
      <c r="A1776" t="s">
        <v>1802</v>
      </c>
      <c r="B1776" t="s">
        <v>27</v>
      </c>
      <c r="C1776">
        <v>7</v>
      </c>
      <c r="D1776">
        <v>32119609</v>
      </c>
      <c r="E1776">
        <v>3</v>
      </c>
      <c r="F1776">
        <v>1</v>
      </c>
      <c r="G1776">
        <v>244</v>
      </c>
      <c r="H1776">
        <v>57218701</v>
      </c>
      <c r="I1776">
        <v>760228</v>
      </c>
      <c r="J1776" t="s">
        <v>25</v>
      </c>
      <c r="K1776" t="s">
        <v>30</v>
      </c>
      <c r="L1776">
        <v>5</v>
      </c>
      <c r="M1776">
        <v>50.31</v>
      </c>
      <c r="N1776">
        <v>892133</v>
      </c>
      <c r="O1776">
        <v>1</v>
      </c>
    </row>
    <row r="1777" spans="1:15">
      <c r="A1777" t="s">
        <v>1803</v>
      </c>
      <c r="B1777" t="s">
        <v>32</v>
      </c>
      <c r="C1777">
        <v>9</v>
      </c>
      <c r="D1777">
        <v>46708713</v>
      </c>
      <c r="E1777">
        <v>1</v>
      </c>
      <c r="F1777">
        <v>4</v>
      </c>
      <c r="G1777">
        <v>733</v>
      </c>
      <c r="H1777">
        <v>28763853</v>
      </c>
      <c r="I1777">
        <v>863644</v>
      </c>
      <c r="J1777" t="s">
        <v>25</v>
      </c>
      <c r="K1777" t="s">
        <v>18</v>
      </c>
      <c r="L1777">
        <v>5</v>
      </c>
      <c r="M1777">
        <v>10.68</v>
      </c>
      <c r="N1777">
        <v>386862</v>
      </c>
      <c r="O1777">
        <v>1</v>
      </c>
    </row>
    <row r="1778" spans="1:15">
      <c r="A1778" t="s">
        <v>1804</v>
      </c>
      <c r="B1778" t="s">
        <v>16</v>
      </c>
      <c r="C1778">
        <v>14</v>
      </c>
      <c r="D1778">
        <v>16245498</v>
      </c>
      <c r="E1778">
        <v>3</v>
      </c>
      <c r="F1778">
        <v>18</v>
      </c>
      <c r="G1778">
        <v>101</v>
      </c>
      <c r="H1778">
        <v>53541579</v>
      </c>
      <c r="I1778">
        <v>241730</v>
      </c>
      <c r="J1778" t="s">
        <v>21</v>
      </c>
      <c r="K1778" t="s">
        <v>22</v>
      </c>
      <c r="L1778">
        <v>2</v>
      </c>
      <c r="M1778">
        <v>65.28</v>
      </c>
      <c r="N1778">
        <v>184158</v>
      </c>
      <c r="O1778">
        <v>1</v>
      </c>
    </row>
    <row r="1779" spans="1:15">
      <c r="A1779" t="s">
        <v>1805</v>
      </c>
      <c r="B1779" t="s">
        <v>29</v>
      </c>
      <c r="C1779">
        <v>1</v>
      </c>
      <c r="D1779">
        <v>14023807</v>
      </c>
      <c r="E1779">
        <v>4</v>
      </c>
      <c r="F1779">
        <v>21</v>
      </c>
      <c r="G1779">
        <v>300</v>
      </c>
      <c r="H1779">
        <v>62781461</v>
      </c>
      <c r="I1779">
        <v>606852</v>
      </c>
      <c r="J1779" t="s">
        <v>21</v>
      </c>
      <c r="K1779" t="s">
        <v>22</v>
      </c>
      <c r="L1779">
        <v>6</v>
      </c>
      <c r="M1779">
        <v>25.4</v>
      </c>
      <c r="N1779">
        <v>280408</v>
      </c>
      <c r="O1779">
        <v>1</v>
      </c>
    </row>
    <row r="1780" spans="1:15">
      <c r="A1780" t="s">
        <v>1806</v>
      </c>
      <c r="B1780" t="s">
        <v>27</v>
      </c>
      <c r="C1780">
        <v>13</v>
      </c>
      <c r="D1780">
        <v>21117941</v>
      </c>
      <c r="E1780">
        <v>3</v>
      </c>
      <c r="F1780">
        <v>0</v>
      </c>
      <c r="G1780">
        <v>856</v>
      </c>
      <c r="H1780">
        <v>11786317</v>
      </c>
      <c r="I1780">
        <v>486187</v>
      </c>
      <c r="J1780" t="s">
        <v>17</v>
      </c>
      <c r="K1780" t="s">
        <v>30</v>
      </c>
      <c r="L1780">
        <v>4</v>
      </c>
      <c r="M1780">
        <v>47.9</v>
      </c>
      <c r="N1780">
        <v>392600</v>
      </c>
      <c r="O1780">
        <v>1</v>
      </c>
    </row>
    <row r="1781" spans="1:15">
      <c r="A1781" t="s">
        <v>1807</v>
      </c>
      <c r="B1781" t="s">
        <v>29</v>
      </c>
      <c r="C1781">
        <v>5</v>
      </c>
      <c r="D1781">
        <v>33774966</v>
      </c>
      <c r="E1781">
        <v>4</v>
      </c>
      <c r="F1781">
        <v>29</v>
      </c>
      <c r="G1781">
        <v>13</v>
      </c>
      <c r="H1781">
        <v>64997529</v>
      </c>
      <c r="I1781">
        <v>708643</v>
      </c>
      <c r="J1781" t="s">
        <v>17</v>
      </c>
      <c r="K1781" t="s">
        <v>30</v>
      </c>
      <c r="L1781">
        <v>6</v>
      </c>
      <c r="M1781">
        <v>29.75</v>
      </c>
      <c r="N1781">
        <v>806025</v>
      </c>
      <c r="O1781">
        <v>1</v>
      </c>
    </row>
    <row r="1782" spans="1:15">
      <c r="A1782" t="s">
        <v>1808</v>
      </c>
      <c r="B1782" t="s">
        <v>24</v>
      </c>
      <c r="C1782">
        <v>12</v>
      </c>
      <c r="D1782">
        <v>3817407</v>
      </c>
      <c r="E1782">
        <v>3</v>
      </c>
      <c r="F1782">
        <v>10</v>
      </c>
      <c r="G1782">
        <v>973</v>
      </c>
      <c r="H1782">
        <v>72037779</v>
      </c>
      <c r="I1782">
        <v>818096</v>
      </c>
      <c r="J1782" t="s">
        <v>17</v>
      </c>
      <c r="K1782" t="s">
        <v>30</v>
      </c>
      <c r="L1782">
        <v>2</v>
      </c>
      <c r="M1782">
        <v>29.07</v>
      </c>
      <c r="N1782">
        <v>116394</v>
      </c>
      <c r="O1782">
        <v>1</v>
      </c>
    </row>
    <row r="1783" spans="1:15">
      <c r="A1783" t="s">
        <v>1809</v>
      </c>
      <c r="B1783" t="s">
        <v>29</v>
      </c>
      <c r="C1783">
        <v>0</v>
      </c>
      <c r="D1783">
        <v>17120191</v>
      </c>
      <c r="E1783">
        <v>4</v>
      </c>
      <c r="F1783">
        <v>7</v>
      </c>
      <c r="G1783">
        <v>314</v>
      </c>
      <c r="H1783">
        <v>85710372</v>
      </c>
      <c r="I1783">
        <v>184424</v>
      </c>
      <c r="J1783" t="s">
        <v>21</v>
      </c>
      <c r="K1783" t="s">
        <v>22</v>
      </c>
      <c r="L1783">
        <v>8</v>
      </c>
      <c r="M1783">
        <v>38.409999999999997</v>
      </c>
      <c r="N1783">
        <v>568163</v>
      </c>
      <c r="O1783">
        <v>1</v>
      </c>
    </row>
    <row r="1784" spans="1:15">
      <c r="A1784" t="s">
        <v>1810</v>
      </c>
      <c r="B1784" t="s">
        <v>24</v>
      </c>
      <c r="C1784">
        <v>3</v>
      </c>
      <c r="D1784">
        <v>3055920</v>
      </c>
      <c r="E1784">
        <v>4</v>
      </c>
      <c r="F1784">
        <v>8</v>
      </c>
      <c r="G1784">
        <v>355</v>
      </c>
      <c r="H1784">
        <v>67445596</v>
      </c>
      <c r="I1784">
        <v>897485</v>
      </c>
      <c r="J1784" t="s">
        <v>21</v>
      </c>
      <c r="K1784" t="s">
        <v>30</v>
      </c>
      <c r="L1784">
        <v>9</v>
      </c>
      <c r="M1784">
        <v>64.55</v>
      </c>
      <c r="N1784">
        <v>444694</v>
      </c>
      <c r="O1784">
        <v>1</v>
      </c>
    </row>
    <row r="1785" spans="1:15">
      <c r="A1785" t="s">
        <v>1811</v>
      </c>
      <c r="B1785" t="s">
        <v>38</v>
      </c>
      <c r="C1785">
        <v>0</v>
      </c>
      <c r="D1785">
        <v>46462069</v>
      </c>
      <c r="E1785">
        <v>1</v>
      </c>
      <c r="F1785">
        <v>20</v>
      </c>
      <c r="G1785">
        <v>331</v>
      </c>
      <c r="H1785">
        <v>77593823</v>
      </c>
      <c r="I1785">
        <v>975101</v>
      </c>
      <c r="J1785" t="s">
        <v>25</v>
      </c>
      <c r="K1785" t="s">
        <v>18</v>
      </c>
      <c r="L1785">
        <v>2</v>
      </c>
      <c r="M1785">
        <v>26.05</v>
      </c>
      <c r="N1785">
        <v>764277</v>
      </c>
      <c r="O1785">
        <v>1</v>
      </c>
    </row>
    <row r="1786" spans="1:15">
      <c r="A1786" t="s">
        <v>1812</v>
      </c>
      <c r="B1786" t="s">
        <v>20</v>
      </c>
      <c r="C1786">
        <v>7</v>
      </c>
      <c r="D1786">
        <v>44239341</v>
      </c>
      <c r="E1786">
        <v>1</v>
      </c>
      <c r="F1786">
        <v>8</v>
      </c>
      <c r="G1786">
        <v>563</v>
      </c>
      <c r="H1786">
        <v>71165242</v>
      </c>
      <c r="I1786">
        <v>375505</v>
      </c>
      <c r="J1786" t="s">
        <v>21</v>
      </c>
      <c r="K1786" t="s">
        <v>18</v>
      </c>
      <c r="L1786">
        <v>1</v>
      </c>
      <c r="M1786">
        <v>95.25</v>
      </c>
      <c r="N1786">
        <v>387911</v>
      </c>
      <c r="O1786">
        <v>1</v>
      </c>
    </row>
    <row r="1787" spans="1:15">
      <c r="A1787" t="s">
        <v>1813</v>
      </c>
      <c r="B1787" t="s">
        <v>24</v>
      </c>
      <c r="C1787">
        <v>0</v>
      </c>
      <c r="D1787">
        <v>24008824</v>
      </c>
      <c r="E1787">
        <v>2</v>
      </c>
      <c r="F1787">
        <v>6</v>
      </c>
      <c r="G1787">
        <v>942</v>
      </c>
      <c r="H1787">
        <v>88571780</v>
      </c>
      <c r="I1787">
        <v>900201</v>
      </c>
      <c r="J1787" t="s">
        <v>25</v>
      </c>
      <c r="K1787" t="s">
        <v>18</v>
      </c>
      <c r="L1787">
        <v>7</v>
      </c>
      <c r="M1787">
        <v>61.74</v>
      </c>
      <c r="N1787">
        <v>373968</v>
      </c>
      <c r="O1787">
        <v>1</v>
      </c>
    </row>
    <row r="1788" spans="1:15">
      <c r="A1788" t="s">
        <v>1814</v>
      </c>
      <c r="B1788" t="s">
        <v>20</v>
      </c>
      <c r="C1788">
        <v>5</v>
      </c>
      <c r="D1788">
        <v>15910300</v>
      </c>
      <c r="E1788">
        <v>1</v>
      </c>
      <c r="F1788">
        <v>7</v>
      </c>
      <c r="G1788">
        <v>156</v>
      </c>
      <c r="H1788">
        <v>45732082</v>
      </c>
      <c r="I1788">
        <v>627808</v>
      </c>
      <c r="J1788" t="s">
        <v>17</v>
      </c>
      <c r="K1788" t="s">
        <v>18</v>
      </c>
      <c r="L1788">
        <v>1</v>
      </c>
      <c r="M1788">
        <v>21.72</v>
      </c>
      <c r="N1788">
        <v>487696</v>
      </c>
      <c r="O1788">
        <v>1</v>
      </c>
    </row>
    <row r="1789" spans="1:15">
      <c r="A1789" t="s">
        <v>1815</v>
      </c>
      <c r="B1789" t="s">
        <v>38</v>
      </c>
      <c r="C1789">
        <v>5</v>
      </c>
      <c r="D1789">
        <v>4589923</v>
      </c>
      <c r="E1789">
        <v>2</v>
      </c>
      <c r="F1789">
        <v>15</v>
      </c>
      <c r="G1789">
        <v>614</v>
      </c>
      <c r="H1789">
        <v>40450589</v>
      </c>
      <c r="I1789">
        <v>64854</v>
      </c>
      <c r="J1789" t="s">
        <v>25</v>
      </c>
      <c r="K1789" t="s">
        <v>18</v>
      </c>
      <c r="L1789">
        <v>7</v>
      </c>
      <c r="M1789">
        <v>76.849999999999994</v>
      </c>
      <c r="N1789">
        <v>548707</v>
      </c>
      <c r="O1789">
        <v>1</v>
      </c>
    </row>
    <row r="1790" spans="1:15">
      <c r="A1790" t="s">
        <v>1816</v>
      </c>
      <c r="B1790" t="s">
        <v>29</v>
      </c>
      <c r="C1790">
        <v>6</v>
      </c>
      <c r="D1790">
        <v>3968713</v>
      </c>
      <c r="E1790">
        <v>4</v>
      </c>
      <c r="F1790">
        <v>24</v>
      </c>
      <c r="G1790">
        <v>960</v>
      </c>
      <c r="H1790">
        <v>45974284</v>
      </c>
      <c r="I1790">
        <v>177664</v>
      </c>
      <c r="J1790" t="s">
        <v>21</v>
      </c>
      <c r="K1790" t="s">
        <v>22</v>
      </c>
      <c r="L1790">
        <v>8</v>
      </c>
      <c r="M1790">
        <v>20.69</v>
      </c>
      <c r="N1790">
        <v>604363</v>
      </c>
      <c r="O1790">
        <v>1</v>
      </c>
    </row>
    <row r="1791" spans="1:15">
      <c r="A1791" t="s">
        <v>1817</v>
      </c>
      <c r="B1791" t="s">
        <v>20</v>
      </c>
      <c r="C1791">
        <v>7</v>
      </c>
      <c r="D1791">
        <v>2149868</v>
      </c>
      <c r="E1791">
        <v>3</v>
      </c>
      <c r="F1791">
        <v>16</v>
      </c>
      <c r="G1791">
        <v>592</v>
      </c>
      <c r="H1791">
        <v>99734</v>
      </c>
      <c r="I1791">
        <v>357762</v>
      </c>
      <c r="J1791" t="s">
        <v>21</v>
      </c>
      <c r="K1791" t="s">
        <v>22</v>
      </c>
      <c r="L1791">
        <v>2</v>
      </c>
      <c r="M1791">
        <v>70.94</v>
      </c>
      <c r="N1791">
        <v>789993</v>
      </c>
      <c r="O1791">
        <v>1</v>
      </c>
    </row>
    <row r="1792" spans="1:15">
      <c r="A1792" t="s">
        <v>1818</v>
      </c>
      <c r="B1792" t="s">
        <v>32</v>
      </c>
      <c r="C1792">
        <v>0</v>
      </c>
      <c r="D1792">
        <v>40718116</v>
      </c>
      <c r="E1792">
        <v>3</v>
      </c>
      <c r="F1792">
        <v>22</v>
      </c>
      <c r="G1792">
        <v>792</v>
      </c>
      <c r="H1792">
        <v>18113836</v>
      </c>
      <c r="I1792">
        <v>649823</v>
      </c>
      <c r="J1792" t="s">
        <v>17</v>
      </c>
      <c r="K1792" t="s">
        <v>18</v>
      </c>
      <c r="L1792">
        <v>3</v>
      </c>
      <c r="M1792">
        <v>46.8</v>
      </c>
      <c r="N1792">
        <v>758293</v>
      </c>
      <c r="O1792">
        <v>1</v>
      </c>
    </row>
    <row r="1793" spans="1:15">
      <c r="A1793" t="s">
        <v>1819</v>
      </c>
      <c r="B1793" t="s">
        <v>20</v>
      </c>
      <c r="C1793">
        <v>1</v>
      </c>
      <c r="D1793">
        <v>33384520</v>
      </c>
      <c r="E1793">
        <v>4</v>
      </c>
      <c r="F1793">
        <v>10</v>
      </c>
      <c r="G1793">
        <v>82</v>
      </c>
      <c r="H1793">
        <v>93918756</v>
      </c>
      <c r="I1793">
        <v>513886</v>
      </c>
      <c r="J1793" t="s">
        <v>17</v>
      </c>
      <c r="K1793" t="s">
        <v>30</v>
      </c>
      <c r="L1793">
        <v>2</v>
      </c>
      <c r="M1793">
        <v>63.5</v>
      </c>
      <c r="N1793">
        <v>137712</v>
      </c>
      <c r="O1793">
        <v>1</v>
      </c>
    </row>
    <row r="1794" spans="1:15">
      <c r="A1794" t="s">
        <v>1820</v>
      </c>
      <c r="B1794" t="s">
        <v>24</v>
      </c>
      <c r="C1794">
        <v>10</v>
      </c>
      <c r="D1794">
        <v>3187863</v>
      </c>
      <c r="E1794">
        <v>4</v>
      </c>
      <c r="F1794">
        <v>10</v>
      </c>
      <c r="G1794">
        <v>702</v>
      </c>
      <c r="H1794">
        <v>83172014</v>
      </c>
      <c r="I1794">
        <v>162571</v>
      </c>
      <c r="J1794" t="s">
        <v>25</v>
      </c>
      <c r="K1794" t="s">
        <v>22</v>
      </c>
      <c r="L1794">
        <v>2</v>
      </c>
      <c r="M1794">
        <v>20.37</v>
      </c>
      <c r="N1794">
        <v>913414</v>
      </c>
      <c r="O1794">
        <v>1</v>
      </c>
    </row>
    <row r="1795" spans="1:15">
      <c r="A1795" t="s">
        <v>1821</v>
      </c>
      <c r="B1795" t="s">
        <v>20</v>
      </c>
      <c r="C1795">
        <v>5</v>
      </c>
      <c r="D1795">
        <v>25529692</v>
      </c>
      <c r="E1795">
        <v>1</v>
      </c>
      <c r="F1795">
        <v>15</v>
      </c>
      <c r="G1795">
        <v>245</v>
      </c>
      <c r="H1795">
        <v>45157955</v>
      </c>
      <c r="I1795">
        <v>195139</v>
      </c>
      <c r="J1795" t="s">
        <v>17</v>
      </c>
      <c r="K1795" t="s">
        <v>30</v>
      </c>
      <c r="L1795">
        <v>1</v>
      </c>
      <c r="M1795">
        <v>6.59</v>
      </c>
      <c r="N1795">
        <v>157123</v>
      </c>
      <c r="O1795">
        <v>1</v>
      </c>
    </row>
    <row r="1796" spans="1:15">
      <c r="A1796" t="s">
        <v>1822</v>
      </c>
      <c r="B1796" t="s">
        <v>24</v>
      </c>
      <c r="C1796">
        <v>3</v>
      </c>
      <c r="D1796">
        <v>49026074</v>
      </c>
      <c r="E1796">
        <v>2</v>
      </c>
      <c r="F1796">
        <v>6</v>
      </c>
      <c r="G1796">
        <v>518</v>
      </c>
      <c r="H1796">
        <v>48255024</v>
      </c>
      <c r="I1796">
        <v>971992</v>
      </c>
      <c r="J1796" t="s">
        <v>21</v>
      </c>
      <c r="K1796" t="s">
        <v>22</v>
      </c>
      <c r="L1796">
        <v>4</v>
      </c>
      <c r="M1796">
        <v>70.489999999999995</v>
      </c>
      <c r="N1796">
        <v>495606</v>
      </c>
      <c r="O1796">
        <v>1</v>
      </c>
    </row>
    <row r="1797" spans="1:15">
      <c r="A1797" t="s">
        <v>1823</v>
      </c>
      <c r="B1797" t="s">
        <v>27</v>
      </c>
      <c r="C1797">
        <v>1</v>
      </c>
      <c r="D1797">
        <v>32081983</v>
      </c>
      <c r="E1797">
        <v>2</v>
      </c>
      <c r="F1797">
        <v>13</v>
      </c>
      <c r="G1797">
        <v>833</v>
      </c>
      <c r="H1797">
        <v>8536493</v>
      </c>
      <c r="I1797">
        <v>315698</v>
      </c>
      <c r="J1797" t="s">
        <v>17</v>
      </c>
      <c r="K1797" t="s">
        <v>30</v>
      </c>
      <c r="L1797">
        <v>2</v>
      </c>
      <c r="M1797">
        <v>8.65</v>
      </c>
      <c r="N1797">
        <v>727327</v>
      </c>
      <c r="O1797">
        <v>1</v>
      </c>
    </row>
    <row r="1798" spans="1:15">
      <c r="A1798" t="s">
        <v>1824</v>
      </c>
      <c r="B1798" t="s">
        <v>16</v>
      </c>
      <c r="C1798">
        <v>3</v>
      </c>
      <c r="D1798">
        <v>4976806</v>
      </c>
      <c r="E1798">
        <v>4</v>
      </c>
      <c r="F1798">
        <v>2</v>
      </c>
      <c r="G1798">
        <v>90</v>
      </c>
      <c r="H1798">
        <v>68170176</v>
      </c>
      <c r="I1798">
        <v>124225</v>
      </c>
      <c r="J1798" t="s">
        <v>25</v>
      </c>
      <c r="K1798" t="s">
        <v>18</v>
      </c>
      <c r="L1798">
        <v>1</v>
      </c>
      <c r="M1798">
        <v>34.61</v>
      </c>
      <c r="N1798">
        <v>717323</v>
      </c>
      <c r="O1798">
        <v>1</v>
      </c>
    </row>
    <row r="1799" spans="1:15">
      <c r="A1799" t="s">
        <v>1825</v>
      </c>
      <c r="B1799" t="s">
        <v>16</v>
      </c>
      <c r="C1799">
        <v>9</v>
      </c>
      <c r="D1799">
        <v>11454468</v>
      </c>
      <c r="E1799">
        <v>1</v>
      </c>
      <c r="F1799">
        <v>2</v>
      </c>
      <c r="G1799">
        <v>988</v>
      </c>
      <c r="H1799">
        <v>81615610</v>
      </c>
      <c r="I1799">
        <v>438411</v>
      </c>
      <c r="J1799" t="s">
        <v>17</v>
      </c>
      <c r="K1799" t="s">
        <v>22</v>
      </c>
      <c r="L1799">
        <v>8</v>
      </c>
      <c r="M1799">
        <v>89.75</v>
      </c>
      <c r="N1799">
        <v>979525</v>
      </c>
      <c r="O1799">
        <v>1</v>
      </c>
    </row>
    <row r="1800" spans="1:15">
      <c r="A1800" t="s">
        <v>1826</v>
      </c>
      <c r="B1800" t="s">
        <v>16</v>
      </c>
      <c r="C1800">
        <v>12</v>
      </c>
      <c r="D1800">
        <v>287235</v>
      </c>
      <c r="E1800">
        <v>1</v>
      </c>
      <c r="F1800">
        <v>23</v>
      </c>
      <c r="G1800">
        <v>377</v>
      </c>
      <c r="H1800">
        <v>78211373</v>
      </c>
      <c r="I1800">
        <v>876759</v>
      </c>
      <c r="J1800" t="s">
        <v>21</v>
      </c>
      <c r="K1800" t="s">
        <v>18</v>
      </c>
      <c r="L1800">
        <v>7</v>
      </c>
      <c r="M1800">
        <v>61.57</v>
      </c>
      <c r="N1800">
        <v>278168</v>
      </c>
      <c r="O1800">
        <v>1</v>
      </c>
    </row>
    <row r="1801" spans="1:15">
      <c r="A1801" t="s">
        <v>1827</v>
      </c>
      <c r="B1801" t="s">
        <v>32</v>
      </c>
      <c r="C1801">
        <v>14</v>
      </c>
      <c r="D1801">
        <v>43321722</v>
      </c>
      <c r="E1801">
        <v>4</v>
      </c>
      <c r="F1801">
        <v>13</v>
      </c>
      <c r="G1801">
        <v>639</v>
      </c>
      <c r="H1801">
        <v>52334091</v>
      </c>
      <c r="I1801">
        <v>129871</v>
      </c>
      <c r="J1801" t="s">
        <v>21</v>
      </c>
      <c r="K1801" t="s">
        <v>18</v>
      </c>
      <c r="L1801">
        <v>5</v>
      </c>
      <c r="M1801">
        <v>35.549999999999997</v>
      </c>
      <c r="N1801">
        <v>540533</v>
      </c>
      <c r="O1801">
        <v>1</v>
      </c>
    </row>
    <row r="1802" spans="1:15">
      <c r="A1802" t="s">
        <v>1828</v>
      </c>
      <c r="B1802" t="s">
        <v>29</v>
      </c>
      <c r="C1802">
        <v>9</v>
      </c>
      <c r="D1802">
        <v>17186021</v>
      </c>
      <c r="E1802">
        <v>4</v>
      </c>
      <c r="F1802">
        <v>3</v>
      </c>
      <c r="G1802">
        <v>30</v>
      </c>
      <c r="H1802">
        <v>61409919</v>
      </c>
      <c r="I1802">
        <v>260548</v>
      </c>
      <c r="J1802" t="s">
        <v>17</v>
      </c>
      <c r="K1802" t="s">
        <v>18</v>
      </c>
      <c r="L1802">
        <v>8</v>
      </c>
      <c r="M1802">
        <v>97.8</v>
      </c>
      <c r="N1802">
        <v>971912</v>
      </c>
      <c r="O1802">
        <v>1</v>
      </c>
    </row>
    <row r="1803" spans="1:15">
      <c r="A1803" t="s">
        <v>1829</v>
      </c>
      <c r="B1803" t="s">
        <v>29</v>
      </c>
      <c r="C1803">
        <v>12</v>
      </c>
      <c r="D1803">
        <v>15545127</v>
      </c>
      <c r="E1803">
        <v>2</v>
      </c>
      <c r="F1803">
        <v>8</v>
      </c>
      <c r="G1803">
        <v>955</v>
      </c>
      <c r="H1803">
        <v>78445372</v>
      </c>
      <c r="I1803">
        <v>805795</v>
      </c>
      <c r="J1803" t="s">
        <v>21</v>
      </c>
      <c r="K1803" t="s">
        <v>30</v>
      </c>
      <c r="L1803">
        <v>6</v>
      </c>
      <c r="M1803">
        <v>78.510000000000005</v>
      </c>
      <c r="N1803">
        <v>663755</v>
      </c>
      <c r="O1803">
        <v>1</v>
      </c>
    </row>
    <row r="1804" spans="1:15">
      <c r="A1804" t="s">
        <v>1830</v>
      </c>
      <c r="B1804" t="s">
        <v>24</v>
      </c>
      <c r="C1804">
        <v>5</v>
      </c>
      <c r="D1804">
        <v>42660707</v>
      </c>
      <c r="E1804">
        <v>3</v>
      </c>
      <c r="F1804">
        <v>10</v>
      </c>
      <c r="G1804">
        <v>321</v>
      </c>
      <c r="H1804">
        <v>43041376</v>
      </c>
      <c r="I1804">
        <v>117207</v>
      </c>
      <c r="J1804" t="s">
        <v>25</v>
      </c>
      <c r="K1804" t="s">
        <v>22</v>
      </c>
      <c r="L1804">
        <v>8</v>
      </c>
      <c r="M1804">
        <v>19.11</v>
      </c>
      <c r="N1804">
        <v>816512</v>
      </c>
      <c r="O1804">
        <v>1</v>
      </c>
    </row>
    <row r="1805" spans="1:15">
      <c r="A1805" t="s">
        <v>1831</v>
      </c>
      <c r="B1805" t="s">
        <v>29</v>
      </c>
      <c r="C1805">
        <v>7</v>
      </c>
      <c r="D1805">
        <v>20522040</v>
      </c>
      <c r="E1805">
        <v>2</v>
      </c>
      <c r="F1805">
        <v>9</v>
      </c>
      <c r="G1805">
        <v>495</v>
      </c>
      <c r="H1805">
        <v>54948661</v>
      </c>
      <c r="I1805">
        <v>969688</v>
      </c>
      <c r="J1805" t="s">
        <v>25</v>
      </c>
      <c r="K1805" t="s">
        <v>22</v>
      </c>
      <c r="L1805">
        <v>6</v>
      </c>
      <c r="M1805">
        <v>70.069999999999993</v>
      </c>
      <c r="N1805">
        <v>802815</v>
      </c>
      <c r="O1805">
        <v>1</v>
      </c>
    </row>
    <row r="1806" spans="1:15">
      <c r="A1806" t="s">
        <v>1832</v>
      </c>
      <c r="B1806" t="s">
        <v>24</v>
      </c>
      <c r="C1806">
        <v>7</v>
      </c>
      <c r="D1806">
        <v>29391639</v>
      </c>
      <c r="E1806">
        <v>3</v>
      </c>
      <c r="F1806">
        <v>12</v>
      </c>
      <c r="G1806">
        <v>549</v>
      </c>
      <c r="H1806">
        <v>12644737</v>
      </c>
      <c r="I1806">
        <v>897858</v>
      </c>
      <c r="J1806" t="s">
        <v>25</v>
      </c>
      <c r="K1806" t="s">
        <v>18</v>
      </c>
      <c r="L1806">
        <v>2</v>
      </c>
      <c r="M1806">
        <v>73.069999999999993</v>
      </c>
      <c r="N1806">
        <v>742838</v>
      </c>
      <c r="O1806">
        <v>1</v>
      </c>
    </row>
    <row r="1807" spans="1:15">
      <c r="A1807" t="s">
        <v>1833</v>
      </c>
      <c r="B1807" t="s">
        <v>20</v>
      </c>
      <c r="C1807">
        <v>0</v>
      </c>
      <c r="D1807">
        <v>5231504</v>
      </c>
      <c r="E1807">
        <v>4</v>
      </c>
      <c r="F1807">
        <v>10</v>
      </c>
      <c r="G1807">
        <v>222</v>
      </c>
      <c r="H1807">
        <v>95494670</v>
      </c>
      <c r="I1807">
        <v>529398</v>
      </c>
      <c r="J1807" t="s">
        <v>17</v>
      </c>
      <c r="K1807" t="s">
        <v>22</v>
      </c>
      <c r="L1807">
        <v>7</v>
      </c>
      <c r="M1807">
        <v>85.92</v>
      </c>
      <c r="N1807">
        <v>263217</v>
      </c>
      <c r="O1807">
        <v>1</v>
      </c>
    </row>
    <row r="1808" spans="1:15">
      <c r="A1808" t="s">
        <v>1834</v>
      </c>
      <c r="B1808" t="s">
        <v>38</v>
      </c>
      <c r="C1808">
        <v>2</v>
      </c>
      <c r="D1808">
        <v>20253530</v>
      </c>
      <c r="E1808">
        <v>1</v>
      </c>
      <c r="F1808">
        <v>22</v>
      </c>
      <c r="G1808">
        <v>43</v>
      </c>
      <c r="H1808">
        <v>47747444</v>
      </c>
      <c r="I1808">
        <v>73984</v>
      </c>
      <c r="J1808" t="s">
        <v>25</v>
      </c>
      <c r="K1808" t="s">
        <v>30</v>
      </c>
      <c r="L1808">
        <v>3</v>
      </c>
      <c r="M1808">
        <v>31.5</v>
      </c>
      <c r="N1808">
        <v>441858</v>
      </c>
      <c r="O1808">
        <v>1</v>
      </c>
    </row>
    <row r="1809" spans="1:15">
      <c r="A1809" t="s">
        <v>1835</v>
      </c>
      <c r="B1809" t="s">
        <v>29</v>
      </c>
      <c r="C1809">
        <v>5</v>
      </c>
      <c r="D1809">
        <v>44162</v>
      </c>
      <c r="E1809">
        <v>4</v>
      </c>
      <c r="F1809">
        <v>26</v>
      </c>
      <c r="G1809">
        <v>268</v>
      </c>
      <c r="H1809">
        <v>22512502</v>
      </c>
      <c r="I1809">
        <v>317067</v>
      </c>
      <c r="J1809" t="s">
        <v>21</v>
      </c>
      <c r="K1809" t="s">
        <v>22</v>
      </c>
      <c r="L1809">
        <v>2</v>
      </c>
      <c r="M1809">
        <v>75.45</v>
      </c>
      <c r="N1809">
        <v>58807</v>
      </c>
      <c r="O1809">
        <v>1</v>
      </c>
    </row>
    <row r="1810" spans="1:15">
      <c r="A1810" t="s">
        <v>1836</v>
      </c>
      <c r="B1810" t="s">
        <v>16</v>
      </c>
      <c r="C1810">
        <v>10</v>
      </c>
      <c r="D1810">
        <v>19480978</v>
      </c>
      <c r="E1810">
        <v>4</v>
      </c>
      <c r="F1810">
        <v>20</v>
      </c>
      <c r="G1810">
        <v>192</v>
      </c>
      <c r="H1810">
        <v>40340612</v>
      </c>
      <c r="I1810">
        <v>991626</v>
      </c>
      <c r="J1810" t="s">
        <v>21</v>
      </c>
      <c r="K1810" t="s">
        <v>30</v>
      </c>
      <c r="L1810">
        <v>4</v>
      </c>
      <c r="M1810">
        <v>9.4600000000000009</v>
      </c>
      <c r="N1810">
        <v>129579</v>
      </c>
      <c r="O1810">
        <v>1</v>
      </c>
    </row>
    <row r="1811" spans="1:15">
      <c r="A1811" t="s">
        <v>1837</v>
      </c>
      <c r="B1811" t="s">
        <v>24</v>
      </c>
      <c r="C1811">
        <v>0</v>
      </c>
      <c r="D1811">
        <v>33483606</v>
      </c>
      <c r="E1811">
        <v>4</v>
      </c>
      <c r="F1811">
        <v>26</v>
      </c>
      <c r="G1811">
        <v>898</v>
      </c>
      <c r="H1811">
        <v>68597554</v>
      </c>
      <c r="I1811">
        <v>291542</v>
      </c>
      <c r="J1811" t="s">
        <v>25</v>
      </c>
      <c r="K1811" t="s">
        <v>18</v>
      </c>
      <c r="L1811">
        <v>6</v>
      </c>
      <c r="M1811">
        <v>51.11</v>
      </c>
      <c r="N1811">
        <v>240806</v>
      </c>
      <c r="O1811">
        <v>1</v>
      </c>
    </row>
    <row r="1812" spans="1:15">
      <c r="A1812" t="s">
        <v>1838</v>
      </c>
      <c r="B1812" t="s">
        <v>27</v>
      </c>
      <c r="C1812">
        <v>8</v>
      </c>
      <c r="D1812">
        <v>3842852</v>
      </c>
      <c r="E1812">
        <v>4</v>
      </c>
      <c r="F1812">
        <v>21</v>
      </c>
      <c r="G1812">
        <v>450</v>
      </c>
      <c r="H1812">
        <v>95674213</v>
      </c>
      <c r="I1812">
        <v>240526</v>
      </c>
      <c r="J1812" t="s">
        <v>25</v>
      </c>
      <c r="K1812" t="s">
        <v>18</v>
      </c>
      <c r="L1812">
        <v>8</v>
      </c>
      <c r="M1812">
        <v>44.15</v>
      </c>
      <c r="N1812">
        <v>28701</v>
      </c>
      <c r="O1812">
        <v>1</v>
      </c>
    </row>
    <row r="1813" spans="1:15">
      <c r="A1813" t="s">
        <v>1839</v>
      </c>
      <c r="B1813" t="s">
        <v>27</v>
      </c>
      <c r="C1813">
        <v>2</v>
      </c>
      <c r="D1813">
        <v>4498611</v>
      </c>
      <c r="E1813">
        <v>4</v>
      </c>
      <c r="F1813">
        <v>6</v>
      </c>
      <c r="G1813">
        <v>39</v>
      </c>
      <c r="H1813">
        <v>56491737</v>
      </c>
      <c r="I1813">
        <v>644365</v>
      </c>
      <c r="J1813" t="s">
        <v>21</v>
      </c>
      <c r="K1813" t="s">
        <v>22</v>
      </c>
      <c r="L1813">
        <v>3</v>
      </c>
      <c r="M1813">
        <v>84.27</v>
      </c>
      <c r="N1813">
        <v>837727</v>
      </c>
      <c r="O1813">
        <v>1</v>
      </c>
    </row>
    <row r="1814" spans="1:15">
      <c r="A1814" t="s">
        <v>1840</v>
      </c>
      <c r="B1814" t="s">
        <v>27</v>
      </c>
      <c r="C1814">
        <v>1</v>
      </c>
      <c r="D1814">
        <v>14569351</v>
      </c>
      <c r="E1814">
        <v>3</v>
      </c>
      <c r="F1814">
        <v>16</v>
      </c>
      <c r="G1814">
        <v>155</v>
      </c>
      <c r="H1814">
        <v>45604309</v>
      </c>
      <c r="I1814">
        <v>770132</v>
      </c>
      <c r="J1814" t="s">
        <v>17</v>
      </c>
      <c r="K1814" t="s">
        <v>18</v>
      </c>
      <c r="L1814">
        <v>1</v>
      </c>
      <c r="M1814">
        <v>59.41</v>
      </c>
      <c r="N1814">
        <v>533367</v>
      </c>
      <c r="O1814">
        <v>1</v>
      </c>
    </row>
    <row r="1815" spans="1:15">
      <c r="A1815" t="s">
        <v>1841</v>
      </c>
      <c r="B1815" t="s">
        <v>27</v>
      </c>
      <c r="C1815">
        <v>9</v>
      </c>
      <c r="D1815">
        <v>23115788</v>
      </c>
      <c r="E1815">
        <v>3</v>
      </c>
      <c r="F1815">
        <v>21</v>
      </c>
      <c r="G1815">
        <v>954</v>
      </c>
      <c r="H1815">
        <v>26017197</v>
      </c>
      <c r="I1815">
        <v>309257</v>
      </c>
      <c r="J1815" t="s">
        <v>21</v>
      </c>
      <c r="K1815" t="s">
        <v>30</v>
      </c>
      <c r="L1815">
        <v>8</v>
      </c>
      <c r="M1815">
        <v>73.31</v>
      </c>
      <c r="N1815">
        <v>672255</v>
      </c>
      <c r="O1815">
        <v>1</v>
      </c>
    </row>
    <row r="1816" spans="1:15">
      <c r="A1816" t="s">
        <v>1842</v>
      </c>
      <c r="B1816" t="s">
        <v>27</v>
      </c>
      <c r="C1816">
        <v>4</v>
      </c>
      <c r="D1816">
        <v>14887593</v>
      </c>
      <c r="E1816">
        <v>3</v>
      </c>
      <c r="F1816">
        <v>26</v>
      </c>
      <c r="G1816">
        <v>315</v>
      </c>
      <c r="H1816">
        <v>75134774</v>
      </c>
      <c r="I1816">
        <v>496151</v>
      </c>
      <c r="J1816" t="s">
        <v>21</v>
      </c>
      <c r="K1816" t="s">
        <v>30</v>
      </c>
      <c r="L1816">
        <v>2</v>
      </c>
      <c r="M1816">
        <v>36.89</v>
      </c>
      <c r="N1816">
        <v>997184</v>
      </c>
      <c r="O1816">
        <v>1</v>
      </c>
    </row>
    <row r="1817" spans="1:15">
      <c r="A1817" t="s">
        <v>1843</v>
      </c>
      <c r="B1817" t="s">
        <v>27</v>
      </c>
      <c r="C1817">
        <v>5</v>
      </c>
      <c r="D1817">
        <v>4950577</v>
      </c>
      <c r="E1817">
        <v>4</v>
      </c>
      <c r="F1817">
        <v>14</v>
      </c>
      <c r="G1817">
        <v>788</v>
      </c>
      <c r="H1817">
        <v>77224943</v>
      </c>
      <c r="I1817">
        <v>975723</v>
      </c>
      <c r="J1817" t="s">
        <v>21</v>
      </c>
      <c r="K1817" t="s">
        <v>22</v>
      </c>
      <c r="L1817">
        <v>1</v>
      </c>
      <c r="M1817">
        <v>85.01</v>
      </c>
      <c r="N1817">
        <v>485653</v>
      </c>
      <c r="O1817">
        <v>1</v>
      </c>
    </row>
    <row r="1818" spans="1:15">
      <c r="A1818" t="s">
        <v>1844</v>
      </c>
      <c r="B1818" t="s">
        <v>16</v>
      </c>
      <c r="C1818">
        <v>8</v>
      </c>
      <c r="D1818">
        <v>17482568</v>
      </c>
      <c r="E1818">
        <v>1</v>
      </c>
      <c r="F1818">
        <v>2</v>
      </c>
      <c r="G1818">
        <v>250</v>
      </c>
      <c r="H1818">
        <v>33646154</v>
      </c>
      <c r="I1818">
        <v>765886</v>
      </c>
      <c r="J1818" t="s">
        <v>17</v>
      </c>
      <c r="K1818" t="s">
        <v>30</v>
      </c>
      <c r="L1818">
        <v>1</v>
      </c>
      <c r="M1818">
        <v>79.040000000000006</v>
      </c>
      <c r="N1818">
        <v>993414</v>
      </c>
      <c r="O1818">
        <v>1</v>
      </c>
    </row>
    <row r="1819" spans="1:15">
      <c r="A1819" t="s">
        <v>1845</v>
      </c>
      <c r="B1819" t="s">
        <v>16</v>
      </c>
      <c r="C1819">
        <v>13</v>
      </c>
      <c r="D1819">
        <v>28092423</v>
      </c>
      <c r="E1819">
        <v>2</v>
      </c>
      <c r="F1819">
        <v>10</v>
      </c>
      <c r="G1819">
        <v>156</v>
      </c>
      <c r="H1819">
        <v>74346796</v>
      </c>
      <c r="I1819">
        <v>917423</v>
      </c>
      <c r="J1819" t="s">
        <v>17</v>
      </c>
      <c r="K1819" t="s">
        <v>30</v>
      </c>
      <c r="L1819">
        <v>3</v>
      </c>
      <c r="M1819">
        <v>47.87</v>
      </c>
      <c r="N1819">
        <v>472576</v>
      </c>
      <c r="O1819">
        <v>1</v>
      </c>
    </row>
    <row r="1820" spans="1:15">
      <c r="A1820" t="s">
        <v>1846</v>
      </c>
      <c r="B1820" t="s">
        <v>32</v>
      </c>
      <c r="C1820">
        <v>1</v>
      </c>
      <c r="D1820">
        <v>26527300</v>
      </c>
      <c r="E1820">
        <v>4</v>
      </c>
      <c r="F1820">
        <v>2</v>
      </c>
      <c r="G1820">
        <v>181</v>
      </c>
      <c r="H1820">
        <v>6750339</v>
      </c>
      <c r="I1820">
        <v>933172</v>
      </c>
      <c r="J1820" t="s">
        <v>21</v>
      </c>
      <c r="K1820" t="s">
        <v>30</v>
      </c>
      <c r="L1820">
        <v>9</v>
      </c>
      <c r="M1820">
        <v>76.819999999999993</v>
      </c>
      <c r="N1820">
        <v>311958</v>
      </c>
      <c r="O1820">
        <v>1</v>
      </c>
    </row>
    <row r="1821" spans="1:15">
      <c r="A1821" t="s">
        <v>1847</v>
      </c>
      <c r="B1821" t="s">
        <v>27</v>
      </c>
      <c r="C1821">
        <v>9</v>
      </c>
      <c r="D1821">
        <v>26478022</v>
      </c>
      <c r="E1821">
        <v>3</v>
      </c>
      <c r="F1821">
        <v>7</v>
      </c>
      <c r="G1821">
        <v>433</v>
      </c>
      <c r="H1821">
        <v>24469619</v>
      </c>
      <c r="I1821">
        <v>227682</v>
      </c>
      <c r="J1821" t="s">
        <v>21</v>
      </c>
      <c r="K1821" t="s">
        <v>18</v>
      </c>
      <c r="L1821">
        <v>8</v>
      </c>
      <c r="M1821">
        <v>38.97</v>
      </c>
      <c r="N1821">
        <v>108101</v>
      </c>
      <c r="O1821">
        <v>1</v>
      </c>
    </row>
    <row r="1822" spans="1:15">
      <c r="A1822" t="s">
        <v>1848</v>
      </c>
      <c r="B1822" t="s">
        <v>16</v>
      </c>
      <c r="C1822">
        <v>1</v>
      </c>
      <c r="D1822">
        <v>47417665</v>
      </c>
      <c r="E1822">
        <v>2</v>
      </c>
      <c r="F1822">
        <v>27</v>
      </c>
      <c r="G1822">
        <v>395</v>
      </c>
      <c r="H1822">
        <v>11712158</v>
      </c>
      <c r="I1822">
        <v>588744</v>
      </c>
      <c r="J1822" t="s">
        <v>21</v>
      </c>
      <c r="K1822" t="s">
        <v>22</v>
      </c>
      <c r="L1822">
        <v>2</v>
      </c>
      <c r="M1822">
        <v>56.2</v>
      </c>
      <c r="N1822">
        <v>631737</v>
      </c>
      <c r="O1822">
        <v>1</v>
      </c>
    </row>
    <row r="1823" spans="1:15">
      <c r="A1823" t="s">
        <v>1849</v>
      </c>
      <c r="B1823" t="s">
        <v>27</v>
      </c>
      <c r="C1823">
        <v>2</v>
      </c>
      <c r="D1823">
        <v>2554210</v>
      </c>
      <c r="E1823">
        <v>3</v>
      </c>
      <c r="F1823">
        <v>0</v>
      </c>
      <c r="G1823">
        <v>826</v>
      </c>
      <c r="H1823">
        <v>24652365</v>
      </c>
      <c r="I1823">
        <v>658713</v>
      </c>
      <c r="J1823" t="s">
        <v>25</v>
      </c>
      <c r="K1823" t="s">
        <v>22</v>
      </c>
      <c r="L1823">
        <v>4</v>
      </c>
      <c r="M1823">
        <v>7.45</v>
      </c>
      <c r="N1823">
        <v>463730</v>
      </c>
      <c r="O1823">
        <v>1</v>
      </c>
    </row>
    <row r="1824" spans="1:15">
      <c r="A1824" t="s">
        <v>1850</v>
      </c>
      <c r="B1824" t="s">
        <v>38</v>
      </c>
      <c r="C1824">
        <v>7</v>
      </c>
      <c r="D1824">
        <v>15585852</v>
      </c>
      <c r="E1824">
        <v>3</v>
      </c>
      <c r="F1824">
        <v>9</v>
      </c>
      <c r="G1824">
        <v>889</v>
      </c>
      <c r="H1824">
        <v>51347680</v>
      </c>
      <c r="I1824">
        <v>991130</v>
      </c>
      <c r="J1824" t="s">
        <v>25</v>
      </c>
      <c r="K1824" t="s">
        <v>30</v>
      </c>
      <c r="L1824">
        <v>5</v>
      </c>
      <c r="M1824">
        <v>76.67</v>
      </c>
      <c r="N1824">
        <v>51186</v>
      </c>
      <c r="O1824">
        <v>1</v>
      </c>
    </row>
    <row r="1825" spans="1:15">
      <c r="A1825" t="s">
        <v>1851</v>
      </c>
      <c r="B1825" t="s">
        <v>27</v>
      </c>
      <c r="C1825">
        <v>11</v>
      </c>
      <c r="D1825">
        <v>9350146</v>
      </c>
      <c r="E1825">
        <v>4</v>
      </c>
      <c r="F1825">
        <v>14</v>
      </c>
      <c r="G1825">
        <v>316</v>
      </c>
      <c r="H1825">
        <v>71873854</v>
      </c>
      <c r="I1825">
        <v>681439</v>
      </c>
      <c r="J1825" t="s">
        <v>21</v>
      </c>
      <c r="K1825" t="s">
        <v>22</v>
      </c>
      <c r="L1825">
        <v>8</v>
      </c>
      <c r="M1825">
        <v>43.05</v>
      </c>
      <c r="N1825">
        <v>303313</v>
      </c>
      <c r="O1825">
        <v>1</v>
      </c>
    </row>
    <row r="1826" spans="1:15">
      <c r="A1826" t="s">
        <v>1852</v>
      </c>
      <c r="B1826" t="s">
        <v>29</v>
      </c>
      <c r="C1826">
        <v>8</v>
      </c>
      <c r="D1826">
        <v>12404398</v>
      </c>
      <c r="E1826">
        <v>1</v>
      </c>
      <c r="F1826">
        <v>25</v>
      </c>
      <c r="G1826">
        <v>237</v>
      </c>
      <c r="H1826">
        <v>2335195</v>
      </c>
      <c r="I1826">
        <v>315319</v>
      </c>
      <c r="J1826" t="s">
        <v>21</v>
      </c>
      <c r="K1826" t="s">
        <v>30</v>
      </c>
      <c r="L1826">
        <v>2</v>
      </c>
      <c r="M1826">
        <v>32.880000000000003</v>
      </c>
      <c r="N1826">
        <v>503265</v>
      </c>
      <c r="O1826">
        <v>1</v>
      </c>
    </row>
    <row r="1827" spans="1:15">
      <c r="A1827" t="s">
        <v>1853</v>
      </c>
      <c r="B1827" t="s">
        <v>20</v>
      </c>
      <c r="C1827">
        <v>8</v>
      </c>
      <c r="D1827">
        <v>25480875</v>
      </c>
      <c r="E1827">
        <v>1</v>
      </c>
      <c r="F1827">
        <v>1</v>
      </c>
      <c r="G1827">
        <v>455</v>
      </c>
      <c r="H1827">
        <v>16202765</v>
      </c>
      <c r="I1827">
        <v>177698</v>
      </c>
      <c r="J1827" t="s">
        <v>21</v>
      </c>
      <c r="K1827" t="s">
        <v>30</v>
      </c>
      <c r="L1827">
        <v>1</v>
      </c>
      <c r="M1827">
        <v>87.67</v>
      </c>
      <c r="N1827">
        <v>155606</v>
      </c>
      <c r="O1827">
        <v>1</v>
      </c>
    </row>
    <row r="1828" spans="1:15">
      <c r="A1828" t="s">
        <v>1854</v>
      </c>
      <c r="B1828" t="s">
        <v>16</v>
      </c>
      <c r="C1828">
        <v>4</v>
      </c>
      <c r="D1828">
        <v>2712024</v>
      </c>
      <c r="E1828">
        <v>3</v>
      </c>
      <c r="F1828">
        <v>7</v>
      </c>
      <c r="G1828">
        <v>180</v>
      </c>
      <c r="H1828">
        <v>2356593</v>
      </c>
      <c r="I1828">
        <v>25812</v>
      </c>
      <c r="J1828" t="s">
        <v>21</v>
      </c>
      <c r="K1828" t="s">
        <v>30</v>
      </c>
      <c r="L1828">
        <v>2</v>
      </c>
      <c r="M1828">
        <v>78.599999999999994</v>
      </c>
      <c r="N1828">
        <v>978045</v>
      </c>
      <c r="O1828">
        <v>1</v>
      </c>
    </row>
    <row r="1829" spans="1:15">
      <c r="A1829" t="s">
        <v>1855</v>
      </c>
      <c r="B1829" t="s">
        <v>20</v>
      </c>
      <c r="C1829">
        <v>6</v>
      </c>
      <c r="D1829">
        <v>12165575</v>
      </c>
      <c r="E1829">
        <v>1</v>
      </c>
      <c r="F1829">
        <v>13</v>
      </c>
      <c r="G1829">
        <v>633</v>
      </c>
      <c r="H1829">
        <v>16026465</v>
      </c>
      <c r="I1829">
        <v>833284</v>
      </c>
      <c r="J1829" t="s">
        <v>17</v>
      </c>
      <c r="K1829" t="s">
        <v>22</v>
      </c>
      <c r="L1829">
        <v>7</v>
      </c>
      <c r="M1829">
        <v>23.66</v>
      </c>
      <c r="N1829">
        <v>358715</v>
      </c>
      <c r="O1829">
        <v>1</v>
      </c>
    </row>
    <row r="1830" spans="1:15">
      <c r="A1830" t="s">
        <v>1856</v>
      </c>
      <c r="B1830" t="s">
        <v>32</v>
      </c>
      <c r="C1830">
        <v>14</v>
      </c>
      <c r="D1830">
        <v>21076273</v>
      </c>
      <c r="E1830">
        <v>2</v>
      </c>
      <c r="F1830">
        <v>12</v>
      </c>
      <c r="G1830">
        <v>934</v>
      </c>
      <c r="H1830">
        <v>61819750</v>
      </c>
      <c r="I1830">
        <v>73303</v>
      </c>
      <c r="J1830" t="s">
        <v>21</v>
      </c>
      <c r="K1830" t="s">
        <v>30</v>
      </c>
      <c r="L1830">
        <v>8</v>
      </c>
      <c r="M1830">
        <v>84.61</v>
      </c>
      <c r="N1830">
        <v>178786</v>
      </c>
      <c r="O1830">
        <v>1</v>
      </c>
    </row>
    <row r="1831" spans="1:15">
      <c r="A1831" t="s">
        <v>1857</v>
      </c>
      <c r="B1831" t="s">
        <v>27</v>
      </c>
      <c r="C1831">
        <v>10</v>
      </c>
      <c r="D1831">
        <v>31664694</v>
      </c>
      <c r="E1831">
        <v>3</v>
      </c>
      <c r="F1831">
        <v>4</v>
      </c>
      <c r="G1831">
        <v>317</v>
      </c>
      <c r="H1831">
        <v>92569178</v>
      </c>
      <c r="I1831">
        <v>473782</v>
      </c>
      <c r="J1831" t="s">
        <v>21</v>
      </c>
      <c r="K1831" t="s">
        <v>18</v>
      </c>
      <c r="L1831">
        <v>9</v>
      </c>
      <c r="M1831">
        <v>38.770000000000003</v>
      </c>
      <c r="N1831">
        <v>923474</v>
      </c>
      <c r="O1831">
        <v>1</v>
      </c>
    </row>
    <row r="1832" spans="1:15">
      <c r="A1832" t="s">
        <v>1858</v>
      </c>
      <c r="B1832" t="s">
        <v>20</v>
      </c>
      <c r="C1832">
        <v>2</v>
      </c>
      <c r="D1832">
        <v>32811730</v>
      </c>
      <c r="E1832">
        <v>1</v>
      </c>
      <c r="F1832">
        <v>2</v>
      </c>
      <c r="G1832">
        <v>39</v>
      </c>
      <c r="H1832">
        <v>83422692</v>
      </c>
      <c r="I1832">
        <v>232006</v>
      </c>
      <c r="J1832" t="s">
        <v>17</v>
      </c>
      <c r="K1832" t="s">
        <v>18</v>
      </c>
      <c r="L1832">
        <v>6</v>
      </c>
      <c r="M1832">
        <v>56.58</v>
      </c>
      <c r="N1832">
        <v>137616</v>
      </c>
      <c r="O1832">
        <v>1</v>
      </c>
    </row>
    <row r="1833" spans="1:15">
      <c r="A1833" t="s">
        <v>1859</v>
      </c>
      <c r="B1833" t="s">
        <v>16</v>
      </c>
      <c r="C1833">
        <v>9</v>
      </c>
      <c r="D1833">
        <v>42582433</v>
      </c>
      <c r="E1833">
        <v>3</v>
      </c>
      <c r="F1833">
        <v>11</v>
      </c>
      <c r="G1833">
        <v>524</v>
      </c>
      <c r="H1833">
        <v>69365038</v>
      </c>
      <c r="I1833">
        <v>853720</v>
      </c>
      <c r="J1833" t="s">
        <v>25</v>
      </c>
      <c r="K1833" t="s">
        <v>18</v>
      </c>
      <c r="L1833">
        <v>5</v>
      </c>
      <c r="M1833">
        <v>25.29</v>
      </c>
      <c r="N1833">
        <v>255661</v>
      </c>
      <c r="O1833">
        <v>1</v>
      </c>
    </row>
    <row r="1834" spans="1:15">
      <c r="A1834" t="s">
        <v>1860</v>
      </c>
      <c r="B1834" t="s">
        <v>38</v>
      </c>
      <c r="C1834">
        <v>7</v>
      </c>
      <c r="D1834">
        <v>2699133</v>
      </c>
      <c r="E1834">
        <v>3</v>
      </c>
      <c r="F1834">
        <v>13</v>
      </c>
      <c r="G1834">
        <v>552</v>
      </c>
      <c r="H1834">
        <v>79657529</v>
      </c>
      <c r="I1834">
        <v>155801</v>
      </c>
      <c r="J1834" t="s">
        <v>21</v>
      </c>
      <c r="K1834" t="s">
        <v>22</v>
      </c>
      <c r="L1834">
        <v>6</v>
      </c>
      <c r="M1834">
        <v>47.39</v>
      </c>
      <c r="N1834">
        <v>391210</v>
      </c>
      <c r="O1834">
        <v>1</v>
      </c>
    </row>
    <row r="1835" spans="1:15">
      <c r="A1835" t="s">
        <v>1861</v>
      </c>
      <c r="B1835" t="s">
        <v>27</v>
      </c>
      <c r="C1835">
        <v>8</v>
      </c>
      <c r="D1835">
        <v>2078400</v>
      </c>
      <c r="E1835">
        <v>3</v>
      </c>
      <c r="F1835">
        <v>24</v>
      </c>
      <c r="G1835">
        <v>558</v>
      </c>
      <c r="H1835">
        <v>21180867</v>
      </c>
      <c r="I1835">
        <v>954119</v>
      </c>
      <c r="J1835" t="s">
        <v>25</v>
      </c>
      <c r="K1835" t="s">
        <v>30</v>
      </c>
      <c r="L1835">
        <v>4</v>
      </c>
      <c r="M1835">
        <v>96.63</v>
      </c>
      <c r="N1835">
        <v>842607</v>
      </c>
      <c r="O1835">
        <v>1</v>
      </c>
    </row>
    <row r="1836" spans="1:15">
      <c r="A1836" t="s">
        <v>1862</v>
      </c>
      <c r="B1836" t="s">
        <v>16</v>
      </c>
      <c r="C1836">
        <v>11</v>
      </c>
      <c r="D1836">
        <v>14894196</v>
      </c>
      <c r="E1836">
        <v>1</v>
      </c>
      <c r="F1836">
        <v>9</v>
      </c>
      <c r="G1836">
        <v>424</v>
      </c>
      <c r="H1836">
        <v>61381318</v>
      </c>
      <c r="I1836">
        <v>243160</v>
      </c>
      <c r="J1836" t="s">
        <v>25</v>
      </c>
      <c r="K1836" t="s">
        <v>18</v>
      </c>
      <c r="L1836">
        <v>1</v>
      </c>
      <c r="M1836">
        <v>67.239999999999995</v>
      </c>
      <c r="N1836">
        <v>161947</v>
      </c>
      <c r="O1836">
        <v>1</v>
      </c>
    </row>
    <row r="1837" spans="1:15">
      <c r="A1837" t="s">
        <v>1863</v>
      </c>
      <c r="B1837" t="s">
        <v>29</v>
      </c>
      <c r="C1837">
        <v>3</v>
      </c>
      <c r="D1837">
        <v>15980555</v>
      </c>
      <c r="E1837">
        <v>1</v>
      </c>
      <c r="F1837">
        <v>29</v>
      </c>
      <c r="G1837">
        <v>586</v>
      </c>
      <c r="H1837">
        <v>53899706</v>
      </c>
      <c r="I1837">
        <v>602827</v>
      </c>
      <c r="J1837" t="s">
        <v>25</v>
      </c>
      <c r="K1837" t="s">
        <v>30</v>
      </c>
      <c r="L1837">
        <v>4</v>
      </c>
      <c r="M1837">
        <v>94.73</v>
      </c>
      <c r="N1837">
        <v>114236</v>
      </c>
      <c r="O1837">
        <v>1</v>
      </c>
    </row>
    <row r="1838" spans="1:15">
      <c r="A1838" t="s">
        <v>1864</v>
      </c>
      <c r="B1838" t="s">
        <v>38</v>
      </c>
      <c r="C1838">
        <v>8</v>
      </c>
      <c r="D1838">
        <v>27300243</v>
      </c>
      <c r="E1838">
        <v>1</v>
      </c>
      <c r="F1838">
        <v>6</v>
      </c>
      <c r="G1838">
        <v>413</v>
      </c>
      <c r="H1838">
        <v>42994486</v>
      </c>
      <c r="I1838">
        <v>336338</v>
      </c>
      <c r="J1838" t="s">
        <v>25</v>
      </c>
      <c r="K1838" t="s">
        <v>22</v>
      </c>
      <c r="L1838">
        <v>7</v>
      </c>
      <c r="M1838">
        <v>20.95</v>
      </c>
      <c r="N1838">
        <v>491818</v>
      </c>
      <c r="O1838">
        <v>1</v>
      </c>
    </row>
    <row r="1839" spans="1:15">
      <c r="A1839" t="s">
        <v>1865</v>
      </c>
      <c r="B1839" t="s">
        <v>29</v>
      </c>
      <c r="C1839">
        <v>14</v>
      </c>
      <c r="D1839">
        <v>28796014</v>
      </c>
      <c r="E1839">
        <v>4</v>
      </c>
      <c r="F1839">
        <v>27</v>
      </c>
      <c r="G1839">
        <v>49</v>
      </c>
      <c r="H1839">
        <v>20181216</v>
      </c>
      <c r="I1839">
        <v>931035</v>
      </c>
      <c r="J1839" t="s">
        <v>17</v>
      </c>
      <c r="K1839" t="s">
        <v>18</v>
      </c>
      <c r="L1839">
        <v>4</v>
      </c>
      <c r="M1839">
        <v>30.08</v>
      </c>
      <c r="N1839">
        <v>78706</v>
      </c>
      <c r="O1839">
        <v>1</v>
      </c>
    </row>
    <row r="1840" spans="1:15">
      <c r="A1840" t="s">
        <v>1866</v>
      </c>
      <c r="B1840" t="s">
        <v>38</v>
      </c>
      <c r="C1840">
        <v>11</v>
      </c>
      <c r="D1840">
        <v>26343444</v>
      </c>
      <c r="E1840">
        <v>2</v>
      </c>
      <c r="F1840">
        <v>8</v>
      </c>
      <c r="G1840">
        <v>401</v>
      </c>
      <c r="H1840">
        <v>15283975</v>
      </c>
      <c r="I1840">
        <v>367178</v>
      </c>
      <c r="J1840" t="s">
        <v>17</v>
      </c>
      <c r="K1840" t="s">
        <v>18</v>
      </c>
      <c r="L1840">
        <v>1</v>
      </c>
      <c r="M1840">
        <v>71.83</v>
      </c>
      <c r="N1840">
        <v>264967</v>
      </c>
      <c r="O1840">
        <v>1</v>
      </c>
    </row>
    <row r="1841" spans="1:15">
      <c r="A1841" t="s">
        <v>1867</v>
      </c>
      <c r="B1841" t="s">
        <v>38</v>
      </c>
      <c r="C1841">
        <v>14</v>
      </c>
      <c r="D1841">
        <v>22937768</v>
      </c>
      <c r="E1841">
        <v>3</v>
      </c>
      <c r="F1841">
        <v>13</v>
      </c>
      <c r="G1841">
        <v>944</v>
      </c>
      <c r="H1841">
        <v>10387177</v>
      </c>
      <c r="I1841">
        <v>544444</v>
      </c>
      <c r="J1841" t="s">
        <v>25</v>
      </c>
      <c r="K1841" t="s">
        <v>22</v>
      </c>
      <c r="L1841">
        <v>7</v>
      </c>
      <c r="M1841">
        <v>22.11</v>
      </c>
      <c r="N1841">
        <v>410166</v>
      </c>
      <c r="O1841">
        <v>1</v>
      </c>
    </row>
    <row r="1842" spans="1:15">
      <c r="A1842" t="s">
        <v>1868</v>
      </c>
      <c r="B1842" t="s">
        <v>38</v>
      </c>
      <c r="C1842">
        <v>4</v>
      </c>
      <c r="D1842">
        <v>22852035</v>
      </c>
      <c r="E1842">
        <v>2</v>
      </c>
      <c r="F1842">
        <v>28</v>
      </c>
      <c r="G1842">
        <v>921</v>
      </c>
      <c r="H1842">
        <v>35753428</v>
      </c>
      <c r="I1842">
        <v>268095</v>
      </c>
      <c r="J1842" t="s">
        <v>25</v>
      </c>
      <c r="K1842" t="s">
        <v>22</v>
      </c>
      <c r="L1842">
        <v>8</v>
      </c>
      <c r="M1842">
        <v>18.579999999999998</v>
      </c>
      <c r="N1842">
        <v>491697</v>
      </c>
      <c r="O1842">
        <v>1</v>
      </c>
    </row>
    <row r="1843" spans="1:15">
      <c r="A1843" t="s">
        <v>1869</v>
      </c>
      <c r="B1843" t="s">
        <v>27</v>
      </c>
      <c r="C1843">
        <v>3</v>
      </c>
      <c r="D1843">
        <v>43834019</v>
      </c>
      <c r="E1843">
        <v>4</v>
      </c>
      <c r="F1843">
        <v>3</v>
      </c>
      <c r="G1843">
        <v>898</v>
      </c>
      <c r="H1843">
        <v>70568780</v>
      </c>
      <c r="I1843">
        <v>111817</v>
      </c>
      <c r="J1843" t="s">
        <v>25</v>
      </c>
      <c r="K1843" t="s">
        <v>30</v>
      </c>
      <c r="L1843">
        <v>3</v>
      </c>
      <c r="M1843">
        <v>95.23</v>
      </c>
      <c r="N1843">
        <v>340821</v>
      </c>
      <c r="O1843">
        <v>1</v>
      </c>
    </row>
    <row r="1844" spans="1:15">
      <c r="A1844" t="s">
        <v>1870</v>
      </c>
      <c r="B1844" t="s">
        <v>38</v>
      </c>
      <c r="C1844">
        <v>10</v>
      </c>
      <c r="D1844">
        <v>13018032</v>
      </c>
      <c r="E1844">
        <v>2</v>
      </c>
      <c r="F1844">
        <v>15</v>
      </c>
      <c r="G1844">
        <v>425</v>
      </c>
      <c r="H1844">
        <v>78376066</v>
      </c>
      <c r="I1844">
        <v>315295</v>
      </c>
      <c r="J1844" t="s">
        <v>25</v>
      </c>
      <c r="K1844" t="s">
        <v>18</v>
      </c>
      <c r="L1844">
        <v>3</v>
      </c>
      <c r="M1844">
        <v>66.59</v>
      </c>
      <c r="N1844">
        <v>505335</v>
      </c>
      <c r="O1844">
        <v>1</v>
      </c>
    </row>
    <row r="1845" spans="1:15">
      <c r="A1845" t="s">
        <v>1871</v>
      </c>
      <c r="B1845" t="s">
        <v>27</v>
      </c>
      <c r="C1845">
        <v>0</v>
      </c>
      <c r="D1845">
        <v>36092326</v>
      </c>
      <c r="E1845">
        <v>2</v>
      </c>
      <c r="F1845">
        <v>14</v>
      </c>
      <c r="G1845">
        <v>548</v>
      </c>
      <c r="H1845">
        <v>57227430</v>
      </c>
      <c r="I1845">
        <v>400353</v>
      </c>
      <c r="J1845" t="s">
        <v>17</v>
      </c>
      <c r="K1845" t="s">
        <v>18</v>
      </c>
      <c r="L1845">
        <v>3</v>
      </c>
      <c r="M1845">
        <v>5.24</v>
      </c>
      <c r="N1845">
        <v>425700</v>
      </c>
      <c r="O1845">
        <v>1</v>
      </c>
    </row>
    <row r="1846" spans="1:15">
      <c r="A1846" t="s">
        <v>1872</v>
      </c>
      <c r="B1846" t="s">
        <v>20</v>
      </c>
      <c r="C1846">
        <v>2</v>
      </c>
      <c r="D1846">
        <v>46882954</v>
      </c>
      <c r="E1846">
        <v>2</v>
      </c>
      <c r="F1846">
        <v>8</v>
      </c>
      <c r="G1846">
        <v>146</v>
      </c>
      <c r="H1846">
        <v>60076685</v>
      </c>
      <c r="I1846">
        <v>104671</v>
      </c>
      <c r="J1846" t="s">
        <v>25</v>
      </c>
      <c r="K1846" t="s">
        <v>18</v>
      </c>
      <c r="L1846">
        <v>1</v>
      </c>
      <c r="M1846">
        <v>50.23</v>
      </c>
      <c r="N1846">
        <v>933938</v>
      </c>
      <c r="O1846">
        <v>1</v>
      </c>
    </row>
    <row r="1847" spans="1:15">
      <c r="A1847" t="s">
        <v>1873</v>
      </c>
      <c r="B1847" t="s">
        <v>24</v>
      </c>
      <c r="C1847">
        <v>1</v>
      </c>
      <c r="D1847">
        <v>15355570</v>
      </c>
      <c r="E1847">
        <v>2</v>
      </c>
      <c r="F1847">
        <v>14</v>
      </c>
      <c r="G1847">
        <v>3</v>
      </c>
      <c r="H1847">
        <v>64482422</v>
      </c>
      <c r="I1847">
        <v>793567</v>
      </c>
      <c r="J1847" t="s">
        <v>21</v>
      </c>
      <c r="K1847" t="s">
        <v>22</v>
      </c>
      <c r="L1847">
        <v>5</v>
      </c>
      <c r="M1847">
        <v>19.72</v>
      </c>
      <c r="N1847">
        <v>442354</v>
      </c>
      <c r="O1847">
        <v>1</v>
      </c>
    </row>
    <row r="1848" spans="1:15">
      <c r="A1848" t="s">
        <v>1874</v>
      </c>
      <c r="B1848" t="s">
        <v>16</v>
      </c>
      <c r="C1848">
        <v>7</v>
      </c>
      <c r="D1848">
        <v>41478569</v>
      </c>
      <c r="E1848">
        <v>3</v>
      </c>
      <c r="F1848">
        <v>25</v>
      </c>
      <c r="G1848">
        <v>127</v>
      </c>
      <c r="H1848">
        <v>19303143</v>
      </c>
      <c r="I1848">
        <v>526075</v>
      </c>
      <c r="J1848" t="s">
        <v>17</v>
      </c>
      <c r="K1848" t="s">
        <v>22</v>
      </c>
      <c r="L1848">
        <v>8</v>
      </c>
      <c r="M1848">
        <v>70.64</v>
      </c>
      <c r="N1848">
        <v>116637</v>
      </c>
      <c r="O1848">
        <v>1</v>
      </c>
    </row>
    <row r="1849" spans="1:15">
      <c r="A1849" t="s">
        <v>1875</v>
      </c>
      <c r="B1849" t="s">
        <v>29</v>
      </c>
      <c r="C1849">
        <v>2</v>
      </c>
      <c r="D1849">
        <v>18242178</v>
      </c>
      <c r="E1849">
        <v>3</v>
      </c>
      <c r="F1849">
        <v>18</v>
      </c>
      <c r="G1849">
        <v>173</v>
      </c>
      <c r="H1849">
        <v>82565688</v>
      </c>
      <c r="I1849">
        <v>59485</v>
      </c>
      <c r="J1849" t="s">
        <v>21</v>
      </c>
      <c r="K1849" t="s">
        <v>18</v>
      </c>
      <c r="L1849">
        <v>4</v>
      </c>
      <c r="M1849">
        <v>43.73</v>
      </c>
      <c r="N1849">
        <v>406205</v>
      </c>
      <c r="O1849">
        <v>1</v>
      </c>
    </row>
    <row r="1850" spans="1:15">
      <c r="A1850" t="s">
        <v>1876</v>
      </c>
      <c r="B1850" t="s">
        <v>38</v>
      </c>
      <c r="C1850">
        <v>3</v>
      </c>
      <c r="D1850">
        <v>46256141</v>
      </c>
      <c r="E1850">
        <v>1</v>
      </c>
      <c r="F1850">
        <v>24</v>
      </c>
      <c r="G1850">
        <v>898</v>
      </c>
      <c r="H1850">
        <v>14959639</v>
      </c>
      <c r="I1850">
        <v>621959</v>
      </c>
      <c r="J1850" t="s">
        <v>17</v>
      </c>
      <c r="K1850" t="s">
        <v>30</v>
      </c>
      <c r="L1850">
        <v>1</v>
      </c>
      <c r="M1850">
        <v>25.8</v>
      </c>
      <c r="N1850">
        <v>117877</v>
      </c>
      <c r="O1850">
        <v>1</v>
      </c>
    </row>
    <row r="1851" spans="1:15">
      <c r="A1851" t="s">
        <v>1877</v>
      </c>
      <c r="B1851" t="s">
        <v>24</v>
      </c>
      <c r="C1851">
        <v>0</v>
      </c>
      <c r="D1851">
        <v>49988566</v>
      </c>
      <c r="E1851">
        <v>1</v>
      </c>
      <c r="F1851">
        <v>17</v>
      </c>
      <c r="G1851">
        <v>610</v>
      </c>
      <c r="H1851">
        <v>82007476</v>
      </c>
      <c r="I1851">
        <v>150756</v>
      </c>
      <c r="J1851" t="s">
        <v>17</v>
      </c>
      <c r="K1851" t="s">
        <v>30</v>
      </c>
      <c r="L1851">
        <v>5</v>
      </c>
      <c r="M1851">
        <v>43.56</v>
      </c>
      <c r="N1851">
        <v>142502</v>
      </c>
      <c r="O1851">
        <v>1</v>
      </c>
    </row>
    <row r="1852" spans="1:15">
      <c r="A1852" t="s">
        <v>1878</v>
      </c>
      <c r="B1852" t="s">
        <v>27</v>
      </c>
      <c r="C1852">
        <v>11</v>
      </c>
      <c r="D1852">
        <v>22992387</v>
      </c>
      <c r="E1852">
        <v>3</v>
      </c>
      <c r="F1852">
        <v>29</v>
      </c>
      <c r="G1852">
        <v>505</v>
      </c>
      <c r="H1852">
        <v>39721700</v>
      </c>
      <c r="I1852">
        <v>876881</v>
      </c>
      <c r="J1852" t="s">
        <v>25</v>
      </c>
      <c r="K1852" t="s">
        <v>30</v>
      </c>
      <c r="L1852">
        <v>8</v>
      </c>
      <c r="M1852">
        <v>71.510000000000005</v>
      </c>
      <c r="N1852">
        <v>326108</v>
      </c>
      <c r="O1852">
        <v>1</v>
      </c>
    </row>
    <row r="1853" spans="1:15">
      <c r="A1853" t="s">
        <v>1879</v>
      </c>
      <c r="B1853" t="s">
        <v>20</v>
      </c>
      <c r="C1853">
        <v>12</v>
      </c>
      <c r="D1853">
        <v>23570553</v>
      </c>
      <c r="E1853">
        <v>2</v>
      </c>
      <c r="F1853">
        <v>4</v>
      </c>
      <c r="G1853">
        <v>469</v>
      </c>
      <c r="H1853">
        <v>13147203</v>
      </c>
      <c r="I1853">
        <v>198622</v>
      </c>
      <c r="J1853" t="s">
        <v>25</v>
      </c>
      <c r="K1853" t="s">
        <v>22</v>
      </c>
      <c r="L1853">
        <v>3</v>
      </c>
      <c r="M1853">
        <v>10.92</v>
      </c>
      <c r="N1853">
        <v>52842</v>
      </c>
      <c r="O1853">
        <v>1</v>
      </c>
    </row>
    <row r="1854" spans="1:15">
      <c r="A1854" t="s">
        <v>1880</v>
      </c>
      <c r="B1854" t="s">
        <v>32</v>
      </c>
      <c r="C1854">
        <v>1</v>
      </c>
      <c r="D1854">
        <v>2021117</v>
      </c>
      <c r="E1854">
        <v>1</v>
      </c>
      <c r="F1854">
        <v>10</v>
      </c>
      <c r="G1854">
        <v>740</v>
      </c>
      <c r="H1854">
        <v>54026081</v>
      </c>
      <c r="I1854">
        <v>123493</v>
      </c>
      <c r="J1854" t="s">
        <v>17</v>
      </c>
      <c r="K1854" t="s">
        <v>18</v>
      </c>
      <c r="L1854">
        <v>3</v>
      </c>
      <c r="M1854">
        <v>69.16</v>
      </c>
      <c r="N1854">
        <v>725794</v>
      </c>
      <c r="O1854">
        <v>1</v>
      </c>
    </row>
    <row r="1855" spans="1:15">
      <c r="A1855" t="s">
        <v>1881</v>
      </c>
      <c r="B1855" t="s">
        <v>20</v>
      </c>
      <c r="C1855">
        <v>0</v>
      </c>
      <c r="D1855">
        <v>17448442</v>
      </c>
      <c r="E1855">
        <v>4</v>
      </c>
      <c r="F1855">
        <v>1</v>
      </c>
      <c r="G1855">
        <v>628</v>
      </c>
      <c r="H1855">
        <v>87741708</v>
      </c>
      <c r="I1855">
        <v>202394</v>
      </c>
      <c r="J1855" t="s">
        <v>25</v>
      </c>
      <c r="K1855" t="s">
        <v>22</v>
      </c>
      <c r="L1855">
        <v>1</v>
      </c>
      <c r="M1855">
        <v>7.91</v>
      </c>
      <c r="N1855">
        <v>606127</v>
      </c>
      <c r="O1855">
        <v>1</v>
      </c>
    </row>
    <row r="1856" spans="1:15">
      <c r="A1856" t="s">
        <v>1882</v>
      </c>
      <c r="B1856" t="s">
        <v>38</v>
      </c>
      <c r="C1856">
        <v>0</v>
      </c>
      <c r="D1856">
        <v>34007048</v>
      </c>
      <c r="E1856">
        <v>4</v>
      </c>
      <c r="F1856">
        <v>7</v>
      </c>
      <c r="G1856">
        <v>921</v>
      </c>
      <c r="H1856">
        <v>7016386</v>
      </c>
      <c r="I1856">
        <v>465368</v>
      </c>
      <c r="J1856" t="s">
        <v>17</v>
      </c>
      <c r="K1856" t="s">
        <v>22</v>
      </c>
      <c r="L1856">
        <v>9</v>
      </c>
      <c r="M1856">
        <v>71.69</v>
      </c>
      <c r="N1856">
        <v>229543</v>
      </c>
      <c r="O1856">
        <v>1</v>
      </c>
    </row>
    <row r="1857" spans="1:15">
      <c r="A1857" t="s">
        <v>1883</v>
      </c>
      <c r="B1857" t="s">
        <v>20</v>
      </c>
      <c r="C1857">
        <v>11</v>
      </c>
      <c r="D1857">
        <v>11393841</v>
      </c>
      <c r="E1857">
        <v>4</v>
      </c>
      <c r="F1857">
        <v>5</v>
      </c>
      <c r="G1857">
        <v>682</v>
      </c>
      <c r="H1857">
        <v>45100387</v>
      </c>
      <c r="I1857">
        <v>146558</v>
      </c>
      <c r="J1857" t="s">
        <v>21</v>
      </c>
      <c r="K1857" t="s">
        <v>18</v>
      </c>
      <c r="L1857">
        <v>8</v>
      </c>
      <c r="M1857">
        <v>76.28</v>
      </c>
      <c r="N1857">
        <v>863889</v>
      </c>
      <c r="O1857">
        <v>1</v>
      </c>
    </row>
    <row r="1858" spans="1:15">
      <c r="A1858" t="s">
        <v>1884</v>
      </c>
      <c r="B1858" t="s">
        <v>16</v>
      </c>
      <c r="C1858">
        <v>7</v>
      </c>
      <c r="D1858">
        <v>32818006</v>
      </c>
      <c r="E1858">
        <v>3</v>
      </c>
      <c r="F1858">
        <v>8</v>
      </c>
      <c r="G1858">
        <v>784</v>
      </c>
      <c r="H1858">
        <v>72862968</v>
      </c>
      <c r="I1858">
        <v>675177</v>
      </c>
      <c r="J1858" t="s">
        <v>21</v>
      </c>
      <c r="K1858" t="s">
        <v>18</v>
      </c>
      <c r="L1858">
        <v>4</v>
      </c>
      <c r="M1858">
        <v>43.05</v>
      </c>
      <c r="N1858">
        <v>9507</v>
      </c>
      <c r="O1858">
        <v>1</v>
      </c>
    </row>
    <row r="1859" spans="1:15">
      <c r="A1859" t="s">
        <v>1885</v>
      </c>
      <c r="B1859" t="s">
        <v>38</v>
      </c>
      <c r="C1859">
        <v>13</v>
      </c>
      <c r="D1859">
        <v>25832519</v>
      </c>
      <c r="E1859">
        <v>3</v>
      </c>
      <c r="F1859">
        <v>27</v>
      </c>
      <c r="G1859">
        <v>246</v>
      </c>
      <c r="H1859">
        <v>23532073</v>
      </c>
      <c r="I1859">
        <v>891461</v>
      </c>
      <c r="J1859" t="s">
        <v>21</v>
      </c>
      <c r="K1859" t="s">
        <v>22</v>
      </c>
      <c r="L1859">
        <v>7</v>
      </c>
      <c r="M1859">
        <v>61.39</v>
      </c>
      <c r="N1859">
        <v>922910</v>
      </c>
      <c r="O1859">
        <v>1</v>
      </c>
    </row>
    <row r="1860" spans="1:15">
      <c r="A1860" t="s">
        <v>1886</v>
      </c>
      <c r="B1860" t="s">
        <v>16</v>
      </c>
      <c r="C1860">
        <v>14</v>
      </c>
      <c r="D1860">
        <v>2019211</v>
      </c>
      <c r="E1860">
        <v>1</v>
      </c>
      <c r="F1860">
        <v>26</v>
      </c>
      <c r="G1860">
        <v>553</v>
      </c>
      <c r="H1860">
        <v>63849057</v>
      </c>
      <c r="I1860">
        <v>511511</v>
      </c>
      <c r="J1860" t="s">
        <v>25</v>
      </c>
      <c r="K1860" t="s">
        <v>22</v>
      </c>
      <c r="L1860">
        <v>6</v>
      </c>
      <c r="M1860">
        <v>80.209999999999994</v>
      </c>
      <c r="N1860">
        <v>713359</v>
      </c>
      <c r="O1860">
        <v>1</v>
      </c>
    </row>
    <row r="1861" spans="1:15">
      <c r="A1861" t="s">
        <v>1887</v>
      </c>
      <c r="B1861" t="s">
        <v>32</v>
      </c>
      <c r="C1861">
        <v>10</v>
      </c>
      <c r="D1861">
        <v>37793426</v>
      </c>
      <c r="E1861">
        <v>4</v>
      </c>
      <c r="F1861">
        <v>18</v>
      </c>
      <c r="G1861">
        <v>438</v>
      </c>
      <c r="H1861">
        <v>70469696</v>
      </c>
      <c r="I1861">
        <v>970778</v>
      </c>
      <c r="J1861" t="s">
        <v>21</v>
      </c>
      <c r="K1861" t="s">
        <v>22</v>
      </c>
      <c r="L1861">
        <v>6</v>
      </c>
      <c r="M1861">
        <v>63.43</v>
      </c>
      <c r="N1861">
        <v>871613</v>
      </c>
      <c r="O1861">
        <v>1</v>
      </c>
    </row>
    <row r="1862" spans="1:15">
      <c r="A1862" t="s">
        <v>1888</v>
      </c>
      <c r="B1862" t="s">
        <v>32</v>
      </c>
      <c r="C1862">
        <v>1</v>
      </c>
      <c r="D1862">
        <v>17315310</v>
      </c>
      <c r="E1862">
        <v>1</v>
      </c>
      <c r="F1862">
        <v>0</v>
      </c>
      <c r="G1862">
        <v>840</v>
      </c>
      <c r="H1862">
        <v>93995448</v>
      </c>
      <c r="I1862">
        <v>739467</v>
      </c>
      <c r="J1862" t="s">
        <v>17</v>
      </c>
      <c r="K1862" t="s">
        <v>30</v>
      </c>
      <c r="L1862">
        <v>9</v>
      </c>
      <c r="M1862">
        <v>55.28</v>
      </c>
      <c r="N1862">
        <v>349538</v>
      </c>
      <c r="O1862">
        <v>1</v>
      </c>
    </row>
    <row r="1863" spans="1:15">
      <c r="A1863" t="s">
        <v>1889</v>
      </c>
      <c r="B1863" t="s">
        <v>16</v>
      </c>
      <c r="C1863">
        <v>5</v>
      </c>
      <c r="D1863">
        <v>38279774</v>
      </c>
      <c r="E1863">
        <v>2</v>
      </c>
      <c r="F1863">
        <v>21</v>
      </c>
      <c r="G1863">
        <v>181</v>
      </c>
      <c r="H1863">
        <v>28379295</v>
      </c>
      <c r="I1863">
        <v>633290</v>
      </c>
      <c r="J1863" t="s">
        <v>25</v>
      </c>
      <c r="K1863" t="s">
        <v>30</v>
      </c>
      <c r="L1863">
        <v>9</v>
      </c>
      <c r="M1863">
        <v>74.67</v>
      </c>
      <c r="N1863">
        <v>200907</v>
      </c>
      <c r="O1863">
        <v>1</v>
      </c>
    </row>
    <row r="1864" spans="1:15">
      <c r="A1864" t="s">
        <v>1890</v>
      </c>
      <c r="B1864" t="s">
        <v>20</v>
      </c>
      <c r="C1864">
        <v>4</v>
      </c>
      <c r="D1864">
        <v>14934411</v>
      </c>
      <c r="E1864">
        <v>1</v>
      </c>
      <c r="F1864">
        <v>21</v>
      </c>
      <c r="G1864">
        <v>333</v>
      </c>
      <c r="H1864">
        <v>88190301</v>
      </c>
      <c r="I1864">
        <v>832036</v>
      </c>
      <c r="J1864" t="s">
        <v>25</v>
      </c>
      <c r="K1864" t="s">
        <v>30</v>
      </c>
      <c r="L1864">
        <v>3</v>
      </c>
      <c r="M1864">
        <v>26.76</v>
      </c>
      <c r="N1864">
        <v>590598</v>
      </c>
      <c r="O1864">
        <v>1</v>
      </c>
    </row>
    <row r="1865" spans="1:15">
      <c r="A1865" t="s">
        <v>1891</v>
      </c>
      <c r="B1865" t="s">
        <v>16</v>
      </c>
      <c r="C1865">
        <v>3</v>
      </c>
      <c r="D1865">
        <v>17568481</v>
      </c>
      <c r="E1865">
        <v>1</v>
      </c>
      <c r="F1865">
        <v>21</v>
      </c>
      <c r="G1865">
        <v>728</v>
      </c>
      <c r="H1865">
        <v>10464832</v>
      </c>
      <c r="I1865">
        <v>808301</v>
      </c>
      <c r="J1865" t="s">
        <v>17</v>
      </c>
      <c r="K1865" t="s">
        <v>18</v>
      </c>
      <c r="L1865">
        <v>8</v>
      </c>
      <c r="M1865">
        <v>17.25</v>
      </c>
      <c r="N1865">
        <v>570219</v>
      </c>
      <c r="O1865">
        <v>1</v>
      </c>
    </row>
    <row r="1866" spans="1:15">
      <c r="A1866" t="s">
        <v>1892</v>
      </c>
      <c r="B1866" t="s">
        <v>38</v>
      </c>
      <c r="C1866">
        <v>3</v>
      </c>
      <c r="D1866">
        <v>47421050</v>
      </c>
      <c r="E1866">
        <v>3</v>
      </c>
      <c r="F1866">
        <v>23</v>
      </c>
      <c r="G1866">
        <v>992</v>
      </c>
      <c r="H1866">
        <v>26654195</v>
      </c>
      <c r="I1866">
        <v>422814</v>
      </c>
      <c r="J1866" t="s">
        <v>21</v>
      </c>
      <c r="K1866" t="s">
        <v>30</v>
      </c>
      <c r="L1866">
        <v>1</v>
      </c>
      <c r="M1866">
        <v>35.78</v>
      </c>
      <c r="N1866">
        <v>231484</v>
      </c>
      <c r="O1866">
        <v>1</v>
      </c>
    </row>
    <row r="1867" spans="1:15">
      <c r="A1867" t="s">
        <v>1893</v>
      </c>
      <c r="B1867" t="s">
        <v>32</v>
      </c>
      <c r="C1867">
        <v>2</v>
      </c>
      <c r="D1867">
        <v>10174233</v>
      </c>
      <c r="E1867">
        <v>2</v>
      </c>
      <c r="F1867">
        <v>20</v>
      </c>
      <c r="G1867">
        <v>627</v>
      </c>
      <c r="H1867">
        <v>95183601</v>
      </c>
      <c r="I1867">
        <v>889283</v>
      </c>
      <c r="J1867" t="s">
        <v>25</v>
      </c>
      <c r="K1867" t="s">
        <v>18</v>
      </c>
      <c r="L1867">
        <v>9</v>
      </c>
      <c r="M1867">
        <v>58.66</v>
      </c>
      <c r="N1867">
        <v>994227</v>
      </c>
      <c r="O1867">
        <v>1</v>
      </c>
    </row>
    <row r="1868" spans="1:15">
      <c r="A1868" t="s">
        <v>1894</v>
      </c>
      <c r="B1868" t="s">
        <v>20</v>
      </c>
      <c r="C1868">
        <v>7</v>
      </c>
      <c r="D1868">
        <v>13849323</v>
      </c>
      <c r="E1868">
        <v>4</v>
      </c>
      <c r="F1868">
        <v>21</v>
      </c>
      <c r="G1868">
        <v>230</v>
      </c>
      <c r="H1868">
        <v>75510797</v>
      </c>
      <c r="I1868">
        <v>19824</v>
      </c>
      <c r="J1868" t="s">
        <v>17</v>
      </c>
      <c r="K1868" t="s">
        <v>22</v>
      </c>
      <c r="L1868">
        <v>8</v>
      </c>
      <c r="M1868">
        <v>53.18</v>
      </c>
      <c r="N1868">
        <v>213098</v>
      </c>
      <c r="O1868">
        <v>1</v>
      </c>
    </row>
    <row r="1869" spans="1:15">
      <c r="A1869" t="s">
        <v>1895</v>
      </c>
      <c r="B1869" t="s">
        <v>38</v>
      </c>
      <c r="C1869">
        <v>8</v>
      </c>
      <c r="D1869">
        <v>47969721</v>
      </c>
      <c r="E1869">
        <v>2</v>
      </c>
      <c r="F1869">
        <v>26</v>
      </c>
      <c r="G1869">
        <v>719</v>
      </c>
      <c r="H1869">
        <v>33050501</v>
      </c>
      <c r="I1869">
        <v>685745</v>
      </c>
      <c r="J1869" t="s">
        <v>21</v>
      </c>
      <c r="K1869" t="s">
        <v>22</v>
      </c>
      <c r="L1869">
        <v>4</v>
      </c>
      <c r="M1869">
        <v>4.55</v>
      </c>
      <c r="N1869">
        <v>489983</v>
      </c>
      <c r="O1869">
        <v>1</v>
      </c>
    </row>
    <row r="1870" spans="1:15">
      <c r="A1870" t="s">
        <v>1896</v>
      </c>
      <c r="B1870" t="s">
        <v>38</v>
      </c>
      <c r="C1870">
        <v>1</v>
      </c>
      <c r="D1870">
        <v>9130753</v>
      </c>
      <c r="E1870">
        <v>1</v>
      </c>
      <c r="F1870">
        <v>17</v>
      </c>
      <c r="G1870">
        <v>361</v>
      </c>
      <c r="H1870">
        <v>60939826</v>
      </c>
      <c r="I1870">
        <v>430435</v>
      </c>
      <c r="J1870" t="s">
        <v>21</v>
      </c>
      <c r="K1870" t="s">
        <v>30</v>
      </c>
      <c r="L1870">
        <v>6</v>
      </c>
      <c r="M1870">
        <v>9.08</v>
      </c>
      <c r="N1870">
        <v>645615</v>
      </c>
      <c r="O1870">
        <v>1</v>
      </c>
    </row>
    <row r="1871" spans="1:15">
      <c r="A1871" t="s">
        <v>1897</v>
      </c>
      <c r="B1871" t="s">
        <v>16</v>
      </c>
      <c r="C1871">
        <v>6</v>
      </c>
      <c r="D1871">
        <v>42757422</v>
      </c>
      <c r="E1871">
        <v>4</v>
      </c>
      <c r="F1871">
        <v>15</v>
      </c>
      <c r="G1871">
        <v>39</v>
      </c>
      <c r="H1871">
        <v>61218796</v>
      </c>
      <c r="I1871">
        <v>154812</v>
      </c>
      <c r="J1871" t="s">
        <v>25</v>
      </c>
      <c r="K1871" t="s">
        <v>30</v>
      </c>
      <c r="L1871">
        <v>7</v>
      </c>
      <c r="M1871">
        <v>83.91</v>
      </c>
      <c r="N1871">
        <v>678331</v>
      </c>
      <c r="O1871">
        <v>1</v>
      </c>
    </row>
    <row r="1872" spans="1:15">
      <c r="A1872" t="s">
        <v>1898</v>
      </c>
      <c r="B1872" t="s">
        <v>24</v>
      </c>
      <c r="C1872">
        <v>8</v>
      </c>
      <c r="D1872">
        <v>43524833</v>
      </c>
      <c r="E1872">
        <v>3</v>
      </c>
      <c r="F1872">
        <v>12</v>
      </c>
      <c r="G1872">
        <v>998</v>
      </c>
      <c r="H1872">
        <v>97188260</v>
      </c>
      <c r="I1872">
        <v>818659</v>
      </c>
      <c r="J1872" t="s">
        <v>21</v>
      </c>
      <c r="K1872" t="s">
        <v>22</v>
      </c>
      <c r="L1872">
        <v>8</v>
      </c>
      <c r="M1872">
        <v>10.4</v>
      </c>
      <c r="N1872">
        <v>837781</v>
      </c>
      <c r="O1872">
        <v>1</v>
      </c>
    </row>
    <row r="1873" spans="1:15">
      <c r="A1873" t="s">
        <v>1899</v>
      </c>
      <c r="B1873" t="s">
        <v>24</v>
      </c>
      <c r="C1873">
        <v>5</v>
      </c>
      <c r="D1873">
        <v>16527981</v>
      </c>
      <c r="E1873">
        <v>3</v>
      </c>
      <c r="F1873">
        <v>27</v>
      </c>
      <c r="G1873">
        <v>885</v>
      </c>
      <c r="H1873">
        <v>24780600</v>
      </c>
      <c r="I1873">
        <v>573414</v>
      </c>
      <c r="J1873" t="s">
        <v>17</v>
      </c>
      <c r="K1873" t="s">
        <v>30</v>
      </c>
      <c r="L1873">
        <v>4</v>
      </c>
      <c r="M1873">
        <v>91.44</v>
      </c>
      <c r="N1873">
        <v>893247</v>
      </c>
      <c r="O1873">
        <v>1</v>
      </c>
    </row>
    <row r="1874" spans="1:15">
      <c r="A1874" t="s">
        <v>1900</v>
      </c>
      <c r="B1874" t="s">
        <v>16</v>
      </c>
      <c r="C1874">
        <v>6</v>
      </c>
      <c r="D1874">
        <v>29844984</v>
      </c>
      <c r="E1874">
        <v>4</v>
      </c>
      <c r="F1874">
        <v>5</v>
      </c>
      <c r="G1874">
        <v>813</v>
      </c>
      <c r="H1874">
        <v>12130188</v>
      </c>
      <c r="I1874">
        <v>563676</v>
      </c>
      <c r="J1874" t="s">
        <v>17</v>
      </c>
      <c r="K1874" t="s">
        <v>18</v>
      </c>
      <c r="L1874">
        <v>5</v>
      </c>
      <c r="M1874">
        <v>34.14</v>
      </c>
      <c r="N1874">
        <v>599554</v>
      </c>
      <c r="O1874">
        <v>1</v>
      </c>
    </row>
    <row r="1875" spans="1:15">
      <c r="A1875" t="s">
        <v>1901</v>
      </c>
      <c r="B1875" t="s">
        <v>29</v>
      </c>
      <c r="C1875">
        <v>14</v>
      </c>
      <c r="D1875">
        <v>1427241</v>
      </c>
      <c r="E1875">
        <v>1</v>
      </c>
      <c r="F1875">
        <v>20</v>
      </c>
      <c r="G1875">
        <v>140</v>
      </c>
      <c r="H1875">
        <v>23584034</v>
      </c>
      <c r="I1875">
        <v>907936</v>
      </c>
      <c r="J1875" t="s">
        <v>17</v>
      </c>
      <c r="K1875" t="s">
        <v>18</v>
      </c>
      <c r="L1875">
        <v>4</v>
      </c>
      <c r="M1875">
        <v>74.42</v>
      </c>
      <c r="N1875">
        <v>721638</v>
      </c>
      <c r="O1875">
        <v>1</v>
      </c>
    </row>
    <row r="1876" spans="1:15">
      <c r="A1876" t="s">
        <v>1902</v>
      </c>
      <c r="B1876" t="s">
        <v>38</v>
      </c>
      <c r="C1876">
        <v>3</v>
      </c>
      <c r="D1876">
        <v>44855146</v>
      </c>
      <c r="E1876">
        <v>4</v>
      </c>
      <c r="F1876">
        <v>5</v>
      </c>
      <c r="G1876">
        <v>860</v>
      </c>
      <c r="H1876">
        <v>35721079</v>
      </c>
      <c r="I1876">
        <v>831251</v>
      </c>
      <c r="J1876" t="s">
        <v>17</v>
      </c>
      <c r="K1876" t="s">
        <v>18</v>
      </c>
      <c r="L1876">
        <v>5</v>
      </c>
      <c r="M1876">
        <v>78.86</v>
      </c>
      <c r="N1876">
        <v>372720</v>
      </c>
      <c r="O1876">
        <v>1</v>
      </c>
    </row>
    <row r="1877" spans="1:15">
      <c r="A1877" t="s">
        <v>1903</v>
      </c>
      <c r="B1877" t="s">
        <v>29</v>
      </c>
      <c r="C1877">
        <v>10</v>
      </c>
      <c r="D1877">
        <v>3226453</v>
      </c>
      <c r="E1877">
        <v>2</v>
      </c>
      <c r="F1877">
        <v>4</v>
      </c>
      <c r="G1877">
        <v>247</v>
      </c>
      <c r="H1877">
        <v>56266655</v>
      </c>
      <c r="I1877">
        <v>692146</v>
      </c>
      <c r="J1877" t="s">
        <v>25</v>
      </c>
      <c r="K1877" t="s">
        <v>18</v>
      </c>
      <c r="L1877">
        <v>7</v>
      </c>
      <c r="M1877">
        <v>65.97</v>
      </c>
      <c r="N1877">
        <v>300997</v>
      </c>
      <c r="O1877">
        <v>1</v>
      </c>
    </row>
    <row r="1878" spans="1:15">
      <c r="A1878" t="s">
        <v>1904</v>
      </c>
      <c r="B1878" t="s">
        <v>29</v>
      </c>
      <c r="C1878">
        <v>1</v>
      </c>
      <c r="D1878">
        <v>11029213</v>
      </c>
      <c r="E1878">
        <v>4</v>
      </c>
      <c r="F1878">
        <v>0</v>
      </c>
      <c r="G1878">
        <v>827</v>
      </c>
      <c r="H1878">
        <v>25032973</v>
      </c>
      <c r="I1878">
        <v>70019</v>
      </c>
      <c r="J1878" t="s">
        <v>17</v>
      </c>
      <c r="K1878" t="s">
        <v>22</v>
      </c>
      <c r="L1878">
        <v>3</v>
      </c>
      <c r="M1878">
        <v>78.89</v>
      </c>
      <c r="N1878">
        <v>981672</v>
      </c>
      <c r="O1878">
        <v>1</v>
      </c>
    </row>
    <row r="1879" spans="1:15">
      <c r="A1879" t="s">
        <v>1905</v>
      </c>
      <c r="B1879" t="s">
        <v>20</v>
      </c>
      <c r="C1879">
        <v>5</v>
      </c>
      <c r="D1879">
        <v>41968019</v>
      </c>
      <c r="E1879">
        <v>4</v>
      </c>
      <c r="F1879">
        <v>7</v>
      </c>
      <c r="G1879">
        <v>504</v>
      </c>
      <c r="H1879">
        <v>90722902</v>
      </c>
      <c r="I1879">
        <v>696128</v>
      </c>
      <c r="J1879" t="s">
        <v>25</v>
      </c>
      <c r="K1879" t="s">
        <v>18</v>
      </c>
      <c r="L1879">
        <v>9</v>
      </c>
      <c r="M1879">
        <v>47.69</v>
      </c>
      <c r="N1879">
        <v>275496</v>
      </c>
      <c r="O1879">
        <v>1</v>
      </c>
    </row>
    <row r="1880" spans="1:15">
      <c r="A1880" t="s">
        <v>1906</v>
      </c>
      <c r="B1880" t="s">
        <v>27</v>
      </c>
      <c r="C1880">
        <v>8</v>
      </c>
      <c r="D1880">
        <v>47080745</v>
      </c>
      <c r="E1880">
        <v>1</v>
      </c>
      <c r="F1880">
        <v>24</v>
      </c>
      <c r="G1880">
        <v>102</v>
      </c>
      <c r="H1880">
        <v>31845903</v>
      </c>
      <c r="I1880">
        <v>786456</v>
      </c>
      <c r="J1880" t="s">
        <v>25</v>
      </c>
      <c r="K1880" t="s">
        <v>22</v>
      </c>
      <c r="L1880">
        <v>8</v>
      </c>
      <c r="M1880">
        <v>23</v>
      </c>
      <c r="N1880">
        <v>822697</v>
      </c>
      <c r="O1880">
        <v>1</v>
      </c>
    </row>
    <row r="1881" spans="1:15">
      <c r="A1881" t="s">
        <v>1907</v>
      </c>
      <c r="B1881" t="s">
        <v>27</v>
      </c>
      <c r="C1881">
        <v>2</v>
      </c>
      <c r="D1881">
        <v>42655725</v>
      </c>
      <c r="E1881">
        <v>3</v>
      </c>
      <c r="F1881">
        <v>22</v>
      </c>
      <c r="G1881">
        <v>476</v>
      </c>
      <c r="H1881">
        <v>26796989</v>
      </c>
      <c r="I1881">
        <v>11433</v>
      </c>
      <c r="J1881" t="s">
        <v>17</v>
      </c>
      <c r="K1881" t="s">
        <v>18</v>
      </c>
      <c r="L1881">
        <v>8</v>
      </c>
      <c r="M1881">
        <v>98.63</v>
      </c>
      <c r="N1881">
        <v>589815</v>
      </c>
      <c r="O1881">
        <v>1</v>
      </c>
    </row>
    <row r="1882" spans="1:15">
      <c r="A1882" t="s">
        <v>1908</v>
      </c>
      <c r="B1882" t="s">
        <v>32</v>
      </c>
      <c r="C1882">
        <v>9</v>
      </c>
      <c r="D1882">
        <v>46674658</v>
      </c>
      <c r="E1882">
        <v>3</v>
      </c>
      <c r="F1882">
        <v>11</v>
      </c>
      <c r="G1882">
        <v>591</v>
      </c>
      <c r="H1882">
        <v>1428526</v>
      </c>
      <c r="I1882">
        <v>5159</v>
      </c>
      <c r="J1882" t="s">
        <v>17</v>
      </c>
      <c r="K1882" t="s">
        <v>30</v>
      </c>
      <c r="L1882">
        <v>7</v>
      </c>
      <c r="M1882">
        <v>34.630000000000003</v>
      </c>
      <c r="N1882">
        <v>735819</v>
      </c>
      <c r="O1882">
        <v>1</v>
      </c>
    </row>
    <row r="1883" spans="1:15">
      <c r="A1883" t="s">
        <v>1909</v>
      </c>
      <c r="B1883" t="s">
        <v>27</v>
      </c>
      <c r="C1883">
        <v>13</v>
      </c>
      <c r="D1883">
        <v>3088396</v>
      </c>
      <c r="E1883">
        <v>3</v>
      </c>
      <c r="F1883">
        <v>16</v>
      </c>
      <c r="G1883">
        <v>886</v>
      </c>
      <c r="H1883">
        <v>6483954</v>
      </c>
      <c r="I1883">
        <v>468511</v>
      </c>
      <c r="J1883" t="s">
        <v>25</v>
      </c>
      <c r="K1883" t="s">
        <v>30</v>
      </c>
      <c r="L1883">
        <v>1</v>
      </c>
      <c r="M1883">
        <v>1.18</v>
      </c>
      <c r="N1883">
        <v>897439</v>
      </c>
      <c r="O1883">
        <v>1</v>
      </c>
    </row>
    <row r="1884" spans="1:15">
      <c r="A1884" t="s">
        <v>1910</v>
      </c>
      <c r="B1884" t="s">
        <v>16</v>
      </c>
      <c r="C1884">
        <v>7</v>
      </c>
      <c r="D1884">
        <v>22932</v>
      </c>
      <c r="E1884">
        <v>1</v>
      </c>
      <c r="F1884">
        <v>6</v>
      </c>
      <c r="G1884">
        <v>477</v>
      </c>
      <c r="H1884">
        <v>90455644</v>
      </c>
      <c r="I1884">
        <v>320099</v>
      </c>
      <c r="J1884" t="s">
        <v>17</v>
      </c>
      <c r="K1884" t="s">
        <v>30</v>
      </c>
      <c r="L1884">
        <v>7</v>
      </c>
      <c r="M1884">
        <v>15.62</v>
      </c>
      <c r="N1884">
        <v>531894</v>
      </c>
      <c r="O1884">
        <v>1</v>
      </c>
    </row>
    <row r="1885" spans="1:15">
      <c r="A1885" t="s">
        <v>1911</v>
      </c>
      <c r="B1885" t="s">
        <v>32</v>
      </c>
      <c r="C1885">
        <v>13</v>
      </c>
      <c r="D1885">
        <v>16470032</v>
      </c>
      <c r="E1885">
        <v>3</v>
      </c>
      <c r="F1885">
        <v>12</v>
      </c>
      <c r="G1885">
        <v>214</v>
      </c>
      <c r="H1885">
        <v>14440552</v>
      </c>
      <c r="I1885">
        <v>456083</v>
      </c>
      <c r="J1885" t="s">
        <v>17</v>
      </c>
      <c r="K1885" t="s">
        <v>30</v>
      </c>
      <c r="L1885">
        <v>8</v>
      </c>
      <c r="M1885">
        <v>28.42</v>
      </c>
      <c r="N1885">
        <v>609490</v>
      </c>
      <c r="O1885">
        <v>1</v>
      </c>
    </row>
    <row r="1886" spans="1:15">
      <c r="A1886" t="s">
        <v>1912</v>
      </c>
      <c r="B1886" t="s">
        <v>24</v>
      </c>
      <c r="C1886">
        <v>5</v>
      </c>
      <c r="D1886">
        <v>20441720</v>
      </c>
      <c r="E1886">
        <v>2</v>
      </c>
      <c r="F1886">
        <v>1</v>
      </c>
      <c r="G1886">
        <v>300</v>
      </c>
      <c r="H1886">
        <v>19547537</v>
      </c>
      <c r="I1886">
        <v>413251</v>
      </c>
      <c r="J1886" t="s">
        <v>17</v>
      </c>
      <c r="K1886" t="s">
        <v>22</v>
      </c>
      <c r="L1886">
        <v>1</v>
      </c>
      <c r="M1886">
        <v>69.64</v>
      </c>
      <c r="N1886">
        <v>476826</v>
      </c>
      <c r="O1886">
        <v>1</v>
      </c>
    </row>
    <row r="1887" spans="1:15">
      <c r="A1887" t="s">
        <v>1913</v>
      </c>
      <c r="B1887" t="s">
        <v>38</v>
      </c>
      <c r="C1887">
        <v>6</v>
      </c>
      <c r="D1887">
        <v>14484490</v>
      </c>
      <c r="E1887">
        <v>1</v>
      </c>
      <c r="F1887">
        <v>4</v>
      </c>
      <c r="G1887">
        <v>217</v>
      </c>
      <c r="H1887">
        <v>90215294</v>
      </c>
      <c r="I1887">
        <v>787784</v>
      </c>
      <c r="J1887" t="s">
        <v>25</v>
      </c>
      <c r="K1887" t="s">
        <v>18</v>
      </c>
      <c r="L1887">
        <v>5</v>
      </c>
      <c r="M1887">
        <v>19.149999999999999</v>
      </c>
      <c r="N1887">
        <v>909843</v>
      </c>
      <c r="O1887">
        <v>1</v>
      </c>
    </row>
    <row r="1888" spans="1:15">
      <c r="A1888" t="s">
        <v>1914</v>
      </c>
      <c r="B1888" t="s">
        <v>32</v>
      </c>
      <c r="C1888">
        <v>2</v>
      </c>
      <c r="D1888">
        <v>19584654</v>
      </c>
      <c r="E1888">
        <v>2</v>
      </c>
      <c r="F1888">
        <v>22</v>
      </c>
      <c r="G1888">
        <v>724</v>
      </c>
      <c r="H1888">
        <v>41904924</v>
      </c>
      <c r="I1888">
        <v>644326</v>
      </c>
      <c r="J1888" t="s">
        <v>21</v>
      </c>
      <c r="K1888" t="s">
        <v>18</v>
      </c>
      <c r="L1888">
        <v>2</v>
      </c>
      <c r="M1888">
        <v>90.58</v>
      </c>
      <c r="N1888">
        <v>883305</v>
      </c>
      <c r="O1888">
        <v>1</v>
      </c>
    </row>
    <row r="1889" spans="1:15">
      <c r="A1889" t="s">
        <v>1915</v>
      </c>
      <c r="B1889" t="s">
        <v>32</v>
      </c>
      <c r="C1889">
        <v>10</v>
      </c>
      <c r="D1889">
        <v>23048361</v>
      </c>
      <c r="E1889">
        <v>1</v>
      </c>
      <c r="F1889">
        <v>21</v>
      </c>
      <c r="G1889">
        <v>440</v>
      </c>
      <c r="H1889">
        <v>74780592</v>
      </c>
      <c r="I1889">
        <v>501029</v>
      </c>
      <c r="J1889" t="s">
        <v>25</v>
      </c>
      <c r="K1889" t="s">
        <v>30</v>
      </c>
      <c r="L1889">
        <v>9</v>
      </c>
      <c r="M1889">
        <v>62.49</v>
      </c>
      <c r="N1889">
        <v>20793</v>
      </c>
      <c r="O1889">
        <v>1</v>
      </c>
    </row>
    <row r="1890" spans="1:15">
      <c r="A1890" t="s">
        <v>1916</v>
      </c>
      <c r="B1890" t="s">
        <v>38</v>
      </c>
      <c r="C1890">
        <v>0</v>
      </c>
      <c r="D1890">
        <v>24766686</v>
      </c>
      <c r="E1890">
        <v>3</v>
      </c>
      <c r="F1890">
        <v>22</v>
      </c>
      <c r="G1890">
        <v>509</v>
      </c>
      <c r="H1890">
        <v>48115003</v>
      </c>
      <c r="I1890">
        <v>982416</v>
      </c>
      <c r="J1890" t="s">
        <v>17</v>
      </c>
      <c r="K1890" t="s">
        <v>30</v>
      </c>
      <c r="L1890">
        <v>5</v>
      </c>
      <c r="M1890">
        <v>68.37</v>
      </c>
      <c r="N1890">
        <v>905612</v>
      </c>
      <c r="O1890">
        <v>1</v>
      </c>
    </row>
    <row r="1891" spans="1:15">
      <c r="A1891" t="s">
        <v>1917</v>
      </c>
      <c r="B1891" t="s">
        <v>24</v>
      </c>
      <c r="C1891">
        <v>3</v>
      </c>
      <c r="D1891">
        <v>14438860</v>
      </c>
      <c r="E1891">
        <v>2</v>
      </c>
      <c r="F1891">
        <v>11</v>
      </c>
      <c r="G1891">
        <v>487</v>
      </c>
      <c r="H1891">
        <v>15027464</v>
      </c>
      <c r="I1891">
        <v>822741</v>
      </c>
      <c r="J1891" t="s">
        <v>21</v>
      </c>
      <c r="K1891" t="s">
        <v>22</v>
      </c>
      <c r="L1891">
        <v>7</v>
      </c>
      <c r="M1891">
        <v>63.03</v>
      </c>
      <c r="N1891">
        <v>213385</v>
      </c>
      <c r="O1891">
        <v>1</v>
      </c>
    </row>
    <row r="1892" spans="1:15">
      <c r="A1892" t="s">
        <v>1918</v>
      </c>
      <c r="B1892" t="s">
        <v>24</v>
      </c>
      <c r="C1892">
        <v>5</v>
      </c>
      <c r="D1892">
        <v>30004239</v>
      </c>
      <c r="E1892">
        <v>3</v>
      </c>
      <c r="F1892">
        <v>0</v>
      </c>
      <c r="G1892">
        <v>715</v>
      </c>
      <c r="H1892">
        <v>97918424</v>
      </c>
      <c r="I1892">
        <v>43880</v>
      </c>
      <c r="J1892" t="s">
        <v>21</v>
      </c>
      <c r="K1892" t="s">
        <v>22</v>
      </c>
      <c r="L1892">
        <v>5</v>
      </c>
      <c r="M1892">
        <v>32.270000000000003</v>
      </c>
      <c r="N1892">
        <v>428948</v>
      </c>
      <c r="O1892">
        <v>1</v>
      </c>
    </row>
    <row r="1893" spans="1:15">
      <c r="A1893" t="s">
        <v>1919</v>
      </c>
      <c r="B1893" t="s">
        <v>27</v>
      </c>
      <c r="C1893">
        <v>6</v>
      </c>
      <c r="D1893">
        <v>7416784</v>
      </c>
      <c r="E1893">
        <v>1</v>
      </c>
      <c r="F1893">
        <v>0</v>
      </c>
      <c r="G1893">
        <v>818</v>
      </c>
      <c r="H1893">
        <v>84735250</v>
      </c>
      <c r="I1893">
        <v>311739</v>
      </c>
      <c r="J1893" t="s">
        <v>17</v>
      </c>
      <c r="K1893" t="s">
        <v>18</v>
      </c>
      <c r="L1893">
        <v>6</v>
      </c>
      <c r="M1893">
        <v>23.42</v>
      </c>
      <c r="N1893">
        <v>993848</v>
      </c>
      <c r="O1893">
        <v>1</v>
      </c>
    </row>
    <row r="1894" spans="1:15">
      <c r="A1894" t="s">
        <v>1920</v>
      </c>
      <c r="B1894" t="s">
        <v>24</v>
      </c>
      <c r="C1894">
        <v>12</v>
      </c>
      <c r="D1894">
        <v>12295121</v>
      </c>
      <c r="E1894">
        <v>2</v>
      </c>
      <c r="F1894">
        <v>20</v>
      </c>
      <c r="G1894">
        <v>209</v>
      </c>
      <c r="H1894">
        <v>87942004</v>
      </c>
      <c r="I1894">
        <v>883086</v>
      </c>
      <c r="J1894" t="s">
        <v>17</v>
      </c>
      <c r="K1894" t="s">
        <v>30</v>
      </c>
      <c r="L1894">
        <v>5</v>
      </c>
      <c r="M1894">
        <v>67.38</v>
      </c>
      <c r="N1894">
        <v>98347</v>
      </c>
      <c r="O1894">
        <v>1</v>
      </c>
    </row>
    <row r="1895" spans="1:15">
      <c r="A1895" t="s">
        <v>1921</v>
      </c>
      <c r="B1895" t="s">
        <v>32</v>
      </c>
      <c r="C1895">
        <v>11</v>
      </c>
      <c r="D1895">
        <v>44886565</v>
      </c>
      <c r="E1895">
        <v>2</v>
      </c>
      <c r="F1895">
        <v>9</v>
      </c>
      <c r="G1895">
        <v>900</v>
      </c>
      <c r="H1895">
        <v>91238788</v>
      </c>
      <c r="I1895">
        <v>526285</v>
      </c>
      <c r="J1895" t="s">
        <v>21</v>
      </c>
      <c r="K1895" t="s">
        <v>18</v>
      </c>
      <c r="L1895">
        <v>2</v>
      </c>
      <c r="M1895">
        <v>48.78</v>
      </c>
      <c r="N1895">
        <v>531726</v>
      </c>
      <c r="O1895">
        <v>1</v>
      </c>
    </row>
    <row r="1896" spans="1:15">
      <c r="A1896" t="s">
        <v>1922</v>
      </c>
      <c r="B1896" t="s">
        <v>32</v>
      </c>
      <c r="C1896">
        <v>12</v>
      </c>
      <c r="D1896">
        <v>12118767</v>
      </c>
      <c r="E1896">
        <v>2</v>
      </c>
      <c r="F1896">
        <v>21</v>
      </c>
      <c r="G1896">
        <v>241</v>
      </c>
      <c r="H1896">
        <v>59961787</v>
      </c>
      <c r="I1896">
        <v>880103</v>
      </c>
      <c r="J1896" t="s">
        <v>17</v>
      </c>
      <c r="K1896" t="s">
        <v>18</v>
      </c>
      <c r="L1896">
        <v>8</v>
      </c>
      <c r="M1896">
        <v>1.52</v>
      </c>
      <c r="N1896">
        <v>659693</v>
      </c>
      <c r="O1896">
        <v>1</v>
      </c>
    </row>
    <row r="1897" spans="1:15">
      <c r="A1897" t="s">
        <v>1923</v>
      </c>
      <c r="B1897" t="s">
        <v>16</v>
      </c>
      <c r="C1897">
        <v>2</v>
      </c>
      <c r="D1897">
        <v>27581848</v>
      </c>
      <c r="E1897">
        <v>4</v>
      </c>
      <c r="F1897">
        <v>9</v>
      </c>
      <c r="G1897">
        <v>896</v>
      </c>
      <c r="H1897">
        <v>11793622</v>
      </c>
      <c r="I1897">
        <v>695408</v>
      </c>
      <c r="J1897" t="s">
        <v>17</v>
      </c>
      <c r="K1897" t="s">
        <v>18</v>
      </c>
      <c r="L1897">
        <v>6</v>
      </c>
      <c r="M1897">
        <v>91.15</v>
      </c>
      <c r="N1897">
        <v>469203</v>
      </c>
      <c r="O1897">
        <v>1</v>
      </c>
    </row>
    <row r="1898" spans="1:15">
      <c r="A1898" t="s">
        <v>1924</v>
      </c>
      <c r="B1898" t="s">
        <v>38</v>
      </c>
      <c r="C1898">
        <v>12</v>
      </c>
      <c r="D1898">
        <v>45589469</v>
      </c>
      <c r="E1898">
        <v>4</v>
      </c>
      <c r="F1898">
        <v>27</v>
      </c>
      <c r="G1898">
        <v>441</v>
      </c>
      <c r="H1898">
        <v>41877593</v>
      </c>
      <c r="I1898">
        <v>790667</v>
      </c>
      <c r="J1898" t="s">
        <v>17</v>
      </c>
      <c r="K1898" t="s">
        <v>22</v>
      </c>
      <c r="L1898">
        <v>9</v>
      </c>
      <c r="M1898">
        <v>76.400000000000006</v>
      </c>
      <c r="N1898">
        <v>988725</v>
      </c>
      <c r="O1898">
        <v>1</v>
      </c>
    </row>
    <row r="1899" spans="1:15">
      <c r="A1899" t="s">
        <v>1925</v>
      </c>
      <c r="B1899" t="s">
        <v>38</v>
      </c>
      <c r="C1899">
        <v>13</v>
      </c>
      <c r="D1899">
        <v>36703447</v>
      </c>
      <c r="E1899">
        <v>1</v>
      </c>
      <c r="F1899">
        <v>4</v>
      </c>
      <c r="G1899">
        <v>816</v>
      </c>
      <c r="H1899">
        <v>12552962</v>
      </c>
      <c r="I1899">
        <v>882254</v>
      </c>
      <c r="J1899" t="s">
        <v>17</v>
      </c>
      <c r="K1899" t="s">
        <v>22</v>
      </c>
      <c r="L1899">
        <v>8</v>
      </c>
      <c r="M1899">
        <v>93.81</v>
      </c>
      <c r="N1899">
        <v>358465</v>
      </c>
      <c r="O1899">
        <v>1</v>
      </c>
    </row>
    <row r="1900" spans="1:15">
      <c r="A1900" t="s">
        <v>1926</v>
      </c>
      <c r="B1900" t="s">
        <v>27</v>
      </c>
      <c r="C1900">
        <v>8</v>
      </c>
      <c r="D1900">
        <v>8878554</v>
      </c>
      <c r="E1900">
        <v>4</v>
      </c>
      <c r="F1900">
        <v>15</v>
      </c>
      <c r="G1900">
        <v>80</v>
      </c>
      <c r="H1900">
        <v>43571449</v>
      </c>
      <c r="I1900">
        <v>951457</v>
      </c>
      <c r="J1900" t="s">
        <v>21</v>
      </c>
      <c r="K1900" t="s">
        <v>18</v>
      </c>
      <c r="L1900">
        <v>2</v>
      </c>
      <c r="M1900">
        <v>67.16</v>
      </c>
      <c r="N1900">
        <v>184280</v>
      </c>
      <c r="O1900">
        <v>1</v>
      </c>
    </row>
    <row r="1901" spans="1:15">
      <c r="A1901" t="s">
        <v>1927</v>
      </c>
      <c r="B1901" t="s">
        <v>16</v>
      </c>
      <c r="C1901">
        <v>4</v>
      </c>
      <c r="D1901">
        <v>35033390</v>
      </c>
      <c r="E1901">
        <v>1</v>
      </c>
      <c r="F1901">
        <v>29</v>
      </c>
      <c r="G1901">
        <v>311</v>
      </c>
      <c r="H1901">
        <v>85957596</v>
      </c>
      <c r="I1901">
        <v>894780</v>
      </c>
      <c r="J1901" t="s">
        <v>25</v>
      </c>
      <c r="K1901" t="s">
        <v>30</v>
      </c>
      <c r="L1901">
        <v>7</v>
      </c>
      <c r="M1901">
        <v>63.32</v>
      </c>
      <c r="N1901">
        <v>561458</v>
      </c>
      <c r="O1901">
        <v>1</v>
      </c>
    </row>
    <row r="1902" spans="1:15">
      <c r="A1902" t="s">
        <v>1928</v>
      </c>
      <c r="B1902" t="s">
        <v>24</v>
      </c>
      <c r="C1902">
        <v>11</v>
      </c>
      <c r="D1902">
        <v>17552415</v>
      </c>
      <c r="E1902">
        <v>1</v>
      </c>
      <c r="F1902">
        <v>20</v>
      </c>
      <c r="G1902">
        <v>394</v>
      </c>
      <c r="H1902">
        <v>83311458</v>
      </c>
      <c r="I1902">
        <v>691188</v>
      </c>
      <c r="J1902" t="s">
        <v>25</v>
      </c>
      <c r="K1902" t="s">
        <v>18</v>
      </c>
      <c r="L1902">
        <v>9</v>
      </c>
      <c r="M1902">
        <v>1.58</v>
      </c>
      <c r="N1902">
        <v>409975</v>
      </c>
      <c r="O1902">
        <v>1</v>
      </c>
    </row>
    <row r="1903" spans="1:15">
      <c r="A1903" t="s">
        <v>1929</v>
      </c>
      <c r="B1903" t="s">
        <v>27</v>
      </c>
      <c r="C1903">
        <v>7</v>
      </c>
      <c r="D1903">
        <v>3130814</v>
      </c>
      <c r="E1903">
        <v>4</v>
      </c>
      <c r="F1903">
        <v>2</v>
      </c>
      <c r="G1903">
        <v>38</v>
      </c>
      <c r="H1903">
        <v>10207373</v>
      </c>
      <c r="I1903">
        <v>72187</v>
      </c>
      <c r="J1903" t="s">
        <v>17</v>
      </c>
      <c r="K1903" t="s">
        <v>30</v>
      </c>
      <c r="L1903">
        <v>4</v>
      </c>
      <c r="M1903">
        <v>81.849999999999994</v>
      </c>
      <c r="N1903">
        <v>854444</v>
      </c>
      <c r="O1903">
        <v>1</v>
      </c>
    </row>
    <row r="1904" spans="1:15">
      <c r="A1904" t="s">
        <v>1930</v>
      </c>
      <c r="B1904" t="s">
        <v>16</v>
      </c>
      <c r="C1904">
        <v>3</v>
      </c>
      <c r="D1904">
        <v>36357049</v>
      </c>
      <c r="E1904">
        <v>2</v>
      </c>
      <c r="F1904">
        <v>21</v>
      </c>
      <c r="G1904">
        <v>236</v>
      </c>
      <c r="H1904">
        <v>11407846</v>
      </c>
      <c r="I1904">
        <v>365736</v>
      </c>
      <c r="J1904" t="s">
        <v>17</v>
      </c>
      <c r="K1904" t="s">
        <v>22</v>
      </c>
      <c r="L1904">
        <v>5</v>
      </c>
      <c r="M1904">
        <v>28.74</v>
      </c>
      <c r="N1904">
        <v>766908</v>
      </c>
      <c r="O1904">
        <v>1</v>
      </c>
    </row>
    <row r="1905" spans="1:15">
      <c r="A1905" t="s">
        <v>1931</v>
      </c>
      <c r="B1905" t="s">
        <v>20</v>
      </c>
      <c r="C1905">
        <v>2</v>
      </c>
      <c r="D1905">
        <v>49672866</v>
      </c>
      <c r="E1905">
        <v>4</v>
      </c>
      <c r="F1905">
        <v>9</v>
      </c>
      <c r="G1905">
        <v>842</v>
      </c>
      <c r="H1905">
        <v>6073130</v>
      </c>
      <c r="I1905">
        <v>710679</v>
      </c>
      <c r="J1905" t="s">
        <v>25</v>
      </c>
      <c r="K1905" t="s">
        <v>30</v>
      </c>
      <c r="L1905">
        <v>5</v>
      </c>
      <c r="M1905">
        <v>14.59</v>
      </c>
      <c r="N1905">
        <v>66276</v>
      </c>
      <c r="O1905">
        <v>1</v>
      </c>
    </row>
    <row r="1906" spans="1:15">
      <c r="A1906" t="s">
        <v>1932</v>
      </c>
      <c r="B1906" t="s">
        <v>24</v>
      </c>
      <c r="C1906">
        <v>9</v>
      </c>
      <c r="D1906">
        <v>1640116</v>
      </c>
      <c r="E1906">
        <v>1</v>
      </c>
      <c r="F1906">
        <v>29</v>
      </c>
      <c r="G1906">
        <v>157</v>
      </c>
      <c r="H1906">
        <v>40924617</v>
      </c>
      <c r="I1906">
        <v>237519</v>
      </c>
      <c r="J1906" t="s">
        <v>17</v>
      </c>
      <c r="K1906" t="s">
        <v>30</v>
      </c>
      <c r="L1906">
        <v>1</v>
      </c>
      <c r="M1906">
        <v>89.06</v>
      </c>
      <c r="N1906">
        <v>849162</v>
      </c>
      <c r="O1906">
        <v>1</v>
      </c>
    </row>
    <row r="1907" spans="1:15">
      <c r="A1907" t="s">
        <v>1933</v>
      </c>
      <c r="B1907" t="s">
        <v>20</v>
      </c>
      <c r="C1907">
        <v>1</v>
      </c>
      <c r="D1907">
        <v>6795143</v>
      </c>
      <c r="E1907">
        <v>2</v>
      </c>
      <c r="F1907">
        <v>9</v>
      </c>
      <c r="G1907">
        <v>966</v>
      </c>
      <c r="H1907">
        <v>30798629</v>
      </c>
      <c r="I1907">
        <v>592112</v>
      </c>
      <c r="J1907" t="s">
        <v>17</v>
      </c>
      <c r="K1907" t="s">
        <v>22</v>
      </c>
      <c r="L1907">
        <v>1</v>
      </c>
      <c r="M1907">
        <v>5.75</v>
      </c>
      <c r="N1907">
        <v>760253</v>
      </c>
      <c r="O1907">
        <v>1</v>
      </c>
    </row>
    <row r="1908" spans="1:15">
      <c r="A1908" t="s">
        <v>1934</v>
      </c>
      <c r="B1908" t="s">
        <v>24</v>
      </c>
      <c r="C1908">
        <v>14</v>
      </c>
      <c r="D1908">
        <v>26471474</v>
      </c>
      <c r="E1908">
        <v>3</v>
      </c>
      <c r="F1908">
        <v>24</v>
      </c>
      <c r="G1908">
        <v>552</v>
      </c>
      <c r="H1908">
        <v>81092538</v>
      </c>
      <c r="I1908">
        <v>40057</v>
      </c>
      <c r="J1908" t="s">
        <v>25</v>
      </c>
      <c r="K1908" t="s">
        <v>18</v>
      </c>
      <c r="L1908">
        <v>4</v>
      </c>
      <c r="M1908">
        <v>16.489999999999998</v>
      </c>
      <c r="N1908">
        <v>605397</v>
      </c>
      <c r="O1908">
        <v>1</v>
      </c>
    </row>
    <row r="1909" spans="1:15">
      <c r="A1909" t="s">
        <v>1935</v>
      </c>
      <c r="B1909" t="s">
        <v>29</v>
      </c>
      <c r="C1909">
        <v>7</v>
      </c>
      <c r="D1909">
        <v>32392329</v>
      </c>
      <c r="E1909">
        <v>4</v>
      </c>
      <c r="F1909">
        <v>11</v>
      </c>
      <c r="G1909">
        <v>418</v>
      </c>
      <c r="H1909">
        <v>24477142</v>
      </c>
      <c r="I1909">
        <v>983176</v>
      </c>
      <c r="J1909" t="s">
        <v>25</v>
      </c>
      <c r="K1909" t="s">
        <v>18</v>
      </c>
      <c r="L1909">
        <v>4</v>
      </c>
      <c r="M1909">
        <v>80.75</v>
      </c>
      <c r="N1909">
        <v>827214</v>
      </c>
      <c r="O1909">
        <v>1</v>
      </c>
    </row>
    <row r="1910" spans="1:15">
      <c r="A1910" t="s">
        <v>1936</v>
      </c>
      <c r="B1910" t="s">
        <v>29</v>
      </c>
      <c r="C1910">
        <v>2</v>
      </c>
      <c r="D1910">
        <v>18203280</v>
      </c>
      <c r="E1910">
        <v>1</v>
      </c>
      <c r="F1910">
        <v>12</v>
      </c>
      <c r="G1910">
        <v>496</v>
      </c>
      <c r="H1910">
        <v>9479236</v>
      </c>
      <c r="I1910">
        <v>288441</v>
      </c>
      <c r="J1910" t="s">
        <v>17</v>
      </c>
      <c r="K1910" t="s">
        <v>18</v>
      </c>
      <c r="L1910">
        <v>5</v>
      </c>
      <c r="M1910">
        <v>18.12</v>
      </c>
      <c r="N1910">
        <v>153794</v>
      </c>
      <c r="O1910">
        <v>1</v>
      </c>
    </row>
    <row r="1911" spans="1:15">
      <c r="A1911" t="s">
        <v>1937</v>
      </c>
      <c r="B1911" t="s">
        <v>27</v>
      </c>
      <c r="C1911">
        <v>2</v>
      </c>
      <c r="D1911">
        <v>32698799</v>
      </c>
      <c r="E1911">
        <v>1</v>
      </c>
      <c r="F1911">
        <v>1</v>
      </c>
      <c r="G1911">
        <v>666</v>
      </c>
      <c r="H1911">
        <v>93969440</v>
      </c>
      <c r="I1911">
        <v>780681</v>
      </c>
      <c r="J1911" t="s">
        <v>25</v>
      </c>
      <c r="K1911" t="s">
        <v>18</v>
      </c>
      <c r="L1911">
        <v>3</v>
      </c>
      <c r="M1911">
        <v>31.18</v>
      </c>
      <c r="N1911">
        <v>289195</v>
      </c>
      <c r="O1911">
        <v>1</v>
      </c>
    </row>
    <row r="1912" spans="1:15">
      <c r="A1912" t="s">
        <v>1938</v>
      </c>
      <c r="B1912" t="s">
        <v>16</v>
      </c>
      <c r="C1912">
        <v>3</v>
      </c>
      <c r="D1912">
        <v>22636670</v>
      </c>
      <c r="E1912">
        <v>4</v>
      </c>
      <c r="F1912">
        <v>11</v>
      </c>
      <c r="G1912">
        <v>774</v>
      </c>
      <c r="H1912">
        <v>79338205</v>
      </c>
      <c r="I1912">
        <v>99495</v>
      </c>
      <c r="J1912" t="s">
        <v>21</v>
      </c>
      <c r="K1912" t="s">
        <v>30</v>
      </c>
      <c r="L1912">
        <v>2</v>
      </c>
      <c r="M1912">
        <v>7.32</v>
      </c>
      <c r="N1912">
        <v>195055</v>
      </c>
      <c r="O1912">
        <v>1</v>
      </c>
    </row>
    <row r="1913" spans="1:15">
      <c r="A1913" t="s">
        <v>1939</v>
      </c>
      <c r="B1913" t="s">
        <v>32</v>
      </c>
      <c r="C1913">
        <v>2</v>
      </c>
      <c r="D1913">
        <v>18278946</v>
      </c>
      <c r="E1913">
        <v>3</v>
      </c>
      <c r="F1913">
        <v>7</v>
      </c>
      <c r="G1913">
        <v>922</v>
      </c>
      <c r="H1913">
        <v>34643317</v>
      </c>
      <c r="I1913">
        <v>551192</v>
      </c>
      <c r="J1913" t="s">
        <v>17</v>
      </c>
      <c r="K1913" t="s">
        <v>22</v>
      </c>
      <c r="L1913">
        <v>7</v>
      </c>
      <c r="M1913">
        <v>86.14</v>
      </c>
      <c r="N1913">
        <v>977139</v>
      </c>
      <c r="O1913">
        <v>1</v>
      </c>
    </row>
    <row r="1914" spans="1:15">
      <c r="A1914" t="s">
        <v>1940</v>
      </c>
      <c r="B1914" t="s">
        <v>29</v>
      </c>
      <c r="C1914">
        <v>5</v>
      </c>
      <c r="D1914">
        <v>9926131</v>
      </c>
      <c r="E1914">
        <v>3</v>
      </c>
      <c r="F1914">
        <v>9</v>
      </c>
      <c r="G1914">
        <v>986</v>
      </c>
      <c r="H1914">
        <v>37820421</v>
      </c>
      <c r="I1914">
        <v>981147</v>
      </c>
      <c r="J1914" t="s">
        <v>25</v>
      </c>
      <c r="K1914" t="s">
        <v>18</v>
      </c>
      <c r="L1914">
        <v>9</v>
      </c>
      <c r="M1914">
        <v>86.42</v>
      </c>
      <c r="N1914">
        <v>632390</v>
      </c>
      <c r="O1914">
        <v>1</v>
      </c>
    </row>
    <row r="1915" spans="1:15">
      <c r="A1915" t="s">
        <v>1941</v>
      </c>
      <c r="B1915" t="s">
        <v>16</v>
      </c>
      <c r="C1915">
        <v>10</v>
      </c>
      <c r="D1915">
        <v>40690472</v>
      </c>
      <c r="E1915">
        <v>2</v>
      </c>
      <c r="F1915">
        <v>8</v>
      </c>
      <c r="G1915">
        <v>698</v>
      </c>
      <c r="H1915">
        <v>51855824</v>
      </c>
      <c r="I1915">
        <v>519633</v>
      </c>
      <c r="J1915" t="s">
        <v>21</v>
      </c>
      <c r="K1915" t="s">
        <v>30</v>
      </c>
      <c r="L1915">
        <v>8</v>
      </c>
      <c r="M1915">
        <v>71.53</v>
      </c>
      <c r="N1915">
        <v>577980</v>
      </c>
      <c r="O1915">
        <v>1</v>
      </c>
    </row>
    <row r="1916" spans="1:15">
      <c r="A1916" t="s">
        <v>1942</v>
      </c>
      <c r="B1916" t="s">
        <v>38</v>
      </c>
      <c r="C1916">
        <v>3</v>
      </c>
      <c r="D1916">
        <v>36075513</v>
      </c>
      <c r="E1916">
        <v>2</v>
      </c>
      <c r="F1916">
        <v>26</v>
      </c>
      <c r="G1916">
        <v>359</v>
      </c>
      <c r="H1916">
        <v>54422368</v>
      </c>
      <c r="I1916">
        <v>630869</v>
      </c>
      <c r="J1916" t="s">
        <v>17</v>
      </c>
      <c r="K1916" t="s">
        <v>18</v>
      </c>
      <c r="L1916">
        <v>7</v>
      </c>
      <c r="M1916">
        <v>97.08</v>
      </c>
      <c r="N1916">
        <v>594377</v>
      </c>
      <c r="O1916">
        <v>1</v>
      </c>
    </row>
    <row r="1917" spans="1:15">
      <c r="A1917" t="s">
        <v>1943</v>
      </c>
      <c r="B1917" t="s">
        <v>20</v>
      </c>
      <c r="C1917">
        <v>0</v>
      </c>
      <c r="D1917">
        <v>31132049</v>
      </c>
      <c r="E1917">
        <v>2</v>
      </c>
      <c r="F1917">
        <v>9</v>
      </c>
      <c r="G1917">
        <v>937</v>
      </c>
      <c r="H1917">
        <v>89894670</v>
      </c>
      <c r="I1917">
        <v>917107</v>
      </c>
      <c r="J1917" t="s">
        <v>25</v>
      </c>
      <c r="K1917" t="s">
        <v>22</v>
      </c>
      <c r="L1917">
        <v>4</v>
      </c>
      <c r="M1917">
        <v>87.48</v>
      </c>
      <c r="N1917">
        <v>715663</v>
      </c>
      <c r="O1917">
        <v>1</v>
      </c>
    </row>
    <row r="1918" spans="1:15">
      <c r="A1918" t="s">
        <v>1944</v>
      </c>
      <c r="B1918" t="s">
        <v>29</v>
      </c>
      <c r="C1918">
        <v>1</v>
      </c>
      <c r="D1918">
        <v>3870524</v>
      </c>
      <c r="E1918">
        <v>2</v>
      </c>
      <c r="F1918">
        <v>18</v>
      </c>
      <c r="G1918">
        <v>270</v>
      </c>
      <c r="H1918">
        <v>25816365</v>
      </c>
      <c r="I1918">
        <v>765722</v>
      </c>
      <c r="J1918" t="s">
        <v>21</v>
      </c>
      <c r="K1918" t="s">
        <v>22</v>
      </c>
      <c r="L1918">
        <v>9</v>
      </c>
      <c r="M1918">
        <v>86.87</v>
      </c>
      <c r="N1918">
        <v>25777</v>
      </c>
      <c r="O1918">
        <v>1</v>
      </c>
    </row>
    <row r="1919" spans="1:15">
      <c r="A1919" t="s">
        <v>1945</v>
      </c>
      <c r="B1919" t="s">
        <v>32</v>
      </c>
      <c r="C1919">
        <v>3</v>
      </c>
      <c r="D1919">
        <v>17083840</v>
      </c>
      <c r="E1919">
        <v>2</v>
      </c>
      <c r="F1919">
        <v>14</v>
      </c>
      <c r="G1919">
        <v>354</v>
      </c>
      <c r="H1919">
        <v>22617793</v>
      </c>
      <c r="I1919">
        <v>10832</v>
      </c>
      <c r="J1919" t="s">
        <v>25</v>
      </c>
      <c r="K1919" t="s">
        <v>18</v>
      </c>
      <c r="L1919">
        <v>9</v>
      </c>
      <c r="M1919">
        <v>9.48</v>
      </c>
      <c r="N1919">
        <v>161600</v>
      </c>
      <c r="O1919">
        <v>1</v>
      </c>
    </row>
    <row r="1920" spans="1:15">
      <c r="A1920" t="s">
        <v>1946</v>
      </c>
      <c r="B1920" t="s">
        <v>29</v>
      </c>
      <c r="C1920">
        <v>8</v>
      </c>
      <c r="D1920">
        <v>6302750</v>
      </c>
      <c r="E1920">
        <v>3</v>
      </c>
      <c r="F1920">
        <v>21</v>
      </c>
      <c r="G1920">
        <v>299</v>
      </c>
      <c r="H1920">
        <v>50882454</v>
      </c>
      <c r="I1920">
        <v>237440</v>
      </c>
      <c r="J1920" t="s">
        <v>25</v>
      </c>
      <c r="K1920" t="s">
        <v>18</v>
      </c>
      <c r="L1920">
        <v>4</v>
      </c>
      <c r="M1920">
        <v>14.09</v>
      </c>
      <c r="N1920">
        <v>21099</v>
      </c>
      <c r="O1920">
        <v>1</v>
      </c>
    </row>
    <row r="1921" spans="1:15">
      <c r="A1921" t="s">
        <v>1947</v>
      </c>
      <c r="B1921" t="s">
        <v>16</v>
      </c>
      <c r="C1921">
        <v>9</v>
      </c>
      <c r="D1921">
        <v>25228150</v>
      </c>
      <c r="E1921">
        <v>3</v>
      </c>
      <c r="F1921">
        <v>12</v>
      </c>
      <c r="G1921">
        <v>127</v>
      </c>
      <c r="H1921">
        <v>3995278</v>
      </c>
      <c r="I1921">
        <v>463664</v>
      </c>
      <c r="J1921" t="s">
        <v>21</v>
      </c>
      <c r="K1921" t="s">
        <v>18</v>
      </c>
      <c r="L1921">
        <v>3</v>
      </c>
      <c r="M1921">
        <v>94</v>
      </c>
      <c r="N1921">
        <v>171610</v>
      </c>
      <c r="O1921">
        <v>1</v>
      </c>
    </row>
    <row r="1922" spans="1:15">
      <c r="A1922" t="s">
        <v>1948</v>
      </c>
      <c r="B1922" t="s">
        <v>32</v>
      </c>
      <c r="C1922">
        <v>6</v>
      </c>
      <c r="D1922">
        <v>40895826</v>
      </c>
      <c r="E1922">
        <v>1</v>
      </c>
      <c r="F1922">
        <v>27</v>
      </c>
      <c r="G1922">
        <v>684</v>
      </c>
      <c r="H1922">
        <v>51005169</v>
      </c>
      <c r="I1922">
        <v>229088</v>
      </c>
      <c r="J1922" t="s">
        <v>21</v>
      </c>
      <c r="K1922" t="s">
        <v>22</v>
      </c>
      <c r="L1922">
        <v>2</v>
      </c>
      <c r="M1922">
        <v>57.88</v>
      </c>
      <c r="N1922">
        <v>594277</v>
      </c>
      <c r="O1922">
        <v>1</v>
      </c>
    </row>
    <row r="1923" spans="1:15">
      <c r="A1923" t="s">
        <v>1949</v>
      </c>
      <c r="B1923" t="s">
        <v>20</v>
      </c>
      <c r="C1923">
        <v>2</v>
      </c>
      <c r="D1923">
        <v>4710262</v>
      </c>
      <c r="E1923">
        <v>4</v>
      </c>
      <c r="F1923">
        <v>8</v>
      </c>
      <c r="G1923">
        <v>302</v>
      </c>
      <c r="H1923">
        <v>11028874</v>
      </c>
      <c r="I1923">
        <v>82906</v>
      </c>
      <c r="J1923" t="s">
        <v>17</v>
      </c>
      <c r="K1923" t="s">
        <v>22</v>
      </c>
      <c r="L1923">
        <v>1</v>
      </c>
      <c r="M1923">
        <v>35.19</v>
      </c>
      <c r="N1923">
        <v>462180</v>
      </c>
      <c r="O1923">
        <v>1</v>
      </c>
    </row>
    <row r="1924" spans="1:15">
      <c r="A1924" t="s">
        <v>1950</v>
      </c>
      <c r="B1924" t="s">
        <v>20</v>
      </c>
      <c r="C1924">
        <v>1</v>
      </c>
      <c r="D1924">
        <v>24681584</v>
      </c>
      <c r="E1924">
        <v>4</v>
      </c>
      <c r="F1924">
        <v>27</v>
      </c>
      <c r="G1924">
        <v>554</v>
      </c>
      <c r="H1924">
        <v>26838573</v>
      </c>
      <c r="I1924">
        <v>247763</v>
      </c>
      <c r="J1924" t="s">
        <v>25</v>
      </c>
      <c r="K1924" t="s">
        <v>22</v>
      </c>
      <c r="L1924">
        <v>7</v>
      </c>
      <c r="M1924">
        <v>45.43</v>
      </c>
      <c r="N1924">
        <v>864652</v>
      </c>
      <c r="O1924">
        <v>1</v>
      </c>
    </row>
    <row r="1925" spans="1:15">
      <c r="A1925" t="s">
        <v>1951</v>
      </c>
      <c r="B1925" t="s">
        <v>29</v>
      </c>
      <c r="C1925">
        <v>13</v>
      </c>
      <c r="D1925">
        <v>41917116</v>
      </c>
      <c r="E1925">
        <v>3</v>
      </c>
      <c r="F1925">
        <v>18</v>
      </c>
      <c r="G1925">
        <v>806</v>
      </c>
      <c r="H1925">
        <v>72090485</v>
      </c>
      <c r="I1925">
        <v>644308</v>
      </c>
      <c r="J1925" t="s">
        <v>25</v>
      </c>
      <c r="K1925" t="s">
        <v>30</v>
      </c>
      <c r="L1925">
        <v>2</v>
      </c>
      <c r="M1925">
        <v>11.57</v>
      </c>
      <c r="N1925">
        <v>960837</v>
      </c>
      <c r="O1925">
        <v>1</v>
      </c>
    </row>
    <row r="1926" spans="1:15">
      <c r="A1926" t="s">
        <v>1952</v>
      </c>
      <c r="B1926" t="s">
        <v>20</v>
      </c>
      <c r="C1926">
        <v>14</v>
      </c>
      <c r="D1926">
        <v>37856638</v>
      </c>
      <c r="E1926">
        <v>4</v>
      </c>
      <c r="F1926">
        <v>16</v>
      </c>
      <c r="G1926">
        <v>937</v>
      </c>
      <c r="H1926">
        <v>90249812</v>
      </c>
      <c r="I1926">
        <v>338184</v>
      </c>
      <c r="J1926" t="s">
        <v>17</v>
      </c>
      <c r="K1926" t="s">
        <v>18</v>
      </c>
      <c r="L1926">
        <v>8</v>
      </c>
      <c r="M1926">
        <v>66.94</v>
      </c>
      <c r="N1926">
        <v>746621</v>
      </c>
      <c r="O1926">
        <v>1</v>
      </c>
    </row>
    <row r="1927" spans="1:15">
      <c r="A1927" t="s">
        <v>1953</v>
      </c>
      <c r="B1927" t="s">
        <v>29</v>
      </c>
      <c r="C1927">
        <v>12</v>
      </c>
      <c r="D1927">
        <v>11938529</v>
      </c>
      <c r="E1927">
        <v>3</v>
      </c>
      <c r="F1927">
        <v>3</v>
      </c>
      <c r="G1927">
        <v>484</v>
      </c>
      <c r="H1927">
        <v>8436903</v>
      </c>
      <c r="I1927">
        <v>252375</v>
      </c>
      <c r="J1927" t="s">
        <v>21</v>
      </c>
      <c r="K1927" t="s">
        <v>22</v>
      </c>
      <c r="L1927">
        <v>9</v>
      </c>
      <c r="M1927">
        <v>9.34</v>
      </c>
      <c r="N1927">
        <v>350053</v>
      </c>
      <c r="O1927">
        <v>1</v>
      </c>
    </row>
    <row r="1928" spans="1:15">
      <c r="A1928" t="s">
        <v>1954</v>
      </c>
      <c r="B1928" t="s">
        <v>38</v>
      </c>
      <c r="C1928">
        <v>9</v>
      </c>
      <c r="D1928">
        <v>44679688</v>
      </c>
      <c r="E1928">
        <v>1</v>
      </c>
      <c r="F1928">
        <v>11</v>
      </c>
      <c r="G1928">
        <v>106</v>
      </c>
      <c r="H1928">
        <v>1015859</v>
      </c>
      <c r="I1928">
        <v>779386</v>
      </c>
      <c r="J1928" t="s">
        <v>21</v>
      </c>
      <c r="K1928" t="s">
        <v>18</v>
      </c>
      <c r="L1928">
        <v>3</v>
      </c>
      <c r="M1928">
        <v>15.9</v>
      </c>
      <c r="N1928">
        <v>489380</v>
      </c>
      <c r="O1928">
        <v>1</v>
      </c>
    </row>
    <row r="1929" spans="1:15">
      <c r="A1929" t="s">
        <v>1955</v>
      </c>
      <c r="B1929" t="s">
        <v>29</v>
      </c>
      <c r="C1929">
        <v>7</v>
      </c>
      <c r="D1929">
        <v>5907611</v>
      </c>
      <c r="E1929">
        <v>4</v>
      </c>
      <c r="F1929">
        <v>9</v>
      </c>
      <c r="G1929">
        <v>353</v>
      </c>
      <c r="H1929">
        <v>53682272</v>
      </c>
      <c r="I1929">
        <v>523157</v>
      </c>
      <c r="J1929" t="s">
        <v>17</v>
      </c>
      <c r="K1929" t="s">
        <v>18</v>
      </c>
      <c r="L1929">
        <v>1</v>
      </c>
      <c r="M1929">
        <v>89.82</v>
      </c>
      <c r="N1929">
        <v>13233</v>
      </c>
      <c r="O1929">
        <v>1</v>
      </c>
    </row>
    <row r="1930" spans="1:15">
      <c r="A1930" t="s">
        <v>1956</v>
      </c>
      <c r="B1930" t="s">
        <v>24</v>
      </c>
      <c r="C1930">
        <v>0</v>
      </c>
      <c r="D1930">
        <v>3324403</v>
      </c>
      <c r="E1930">
        <v>2</v>
      </c>
      <c r="F1930">
        <v>21</v>
      </c>
      <c r="G1930">
        <v>780</v>
      </c>
      <c r="H1930">
        <v>29718410</v>
      </c>
      <c r="I1930">
        <v>97812</v>
      </c>
      <c r="J1930" t="s">
        <v>21</v>
      </c>
      <c r="K1930" t="s">
        <v>22</v>
      </c>
      <c r="L1930">
        <v>8</v>
      </c>
      <c r="M1930">
        <v>68.540000000000006</v>
      </c>
      <c r="N1930">
        <v>8813</v>
      </c>
      <c r="O1930">
        <v>1</v>
      </c>
    </row>
    <row r="1931" spans="1:15">
      <c r="A1931" t="s">
        <v>1957</v>
      </c>
      <c r="B1931" t="s">
        <v>32</v>
      </c>
      <c r="C1931">
        <v>2</v>
      </c>
      <c r="D1931">
        <v>12380392</v>
      </c>
      <c r="E1931">
        <v>1</v>
      </c>
      <c r="F1931">
        <v>9</v>
      </c>
      <c r="G1931">
        <v>84</v>
      </c>
      <c r="H1931">
        <v>63650469</v>
      </c>
      <c r="I1931">
        <v>245631</v>
      </c>
      <c r="J1931" t="s">
        <v>25</v>
      </c>
      <c r="K1931" t="s">
        <v>18</v>
      </c>
      <c r="L1931">
        <v>2</v>
      </c>
      <c r="M1931">
        <v>56.51</v>
      </c>
      <c r="N1931">
        <v>225103</v>
      </c>
      <c r="O1931">
        <v>1</v>
      </c>
    </row>
    <row r="1932" spans="1:15">
      <c r="A1932" t="s">
        <v>1958</v>
      </c>
      <c r="B1932" t="s">
        <v>38</v>
      </c>
      <c r="C1932">
        <v>12</v>
      </c>
      <c r="D1932">
        <v>44092284</v>
      </c>
      <c r="E1932">
        <v>2</v>
      </c>
      <c r="F1932">
        <v>22</v>
      </c>
      <c r="G1932">
        <v>582</v>
      </c>
      <c r="H1932">
        <v>59378832</v>
      </c>
      <c r="I1932">
        <v>46294</v>
      </c>
      <c r="J1932" t="s">
        <v>21</v>
      </c>
      <c r="K1932" t="s">
        <v>30</v>
      </c>
      <c r="L1932">
        <v>5</v>
      </c>
      <c r="M1932">
        <v>48.22</v>
      </c>
      <c r="N1932">
        <v>804639</v>
      </c>
      <c r="O1932">
        <v>1</v>
      </c>
    </row>
    <row r="1933" spans="1:15">
      <c r="A1933" t="s">
        <v>1959</v>
      </c>
      <c r="B1933" t="s">
        <v>32</v>
      </c>
      <c r="C1933">
        <v>9</v>
      </c>
      <c r="D1933">
        <v>28270904</v>
      </c>
      <c r="E1933">
        <v>1</v>
      </c>
      <c r="F1933">
        <v>20</v>
      </c>
      <c r="G1933">
        <v>802</v>
      </c>
      <c r="H1933">
        <v>92567649</v>
      </c>
      <c r="I1933">
        <v>553210</v>
      </c>
      <c r="J1933" t="s">
        <v>25</v>
      </c>
      <c r="K1933" t="s">
        <v>30</v>
      </c>
      <c r="L1933">
        <v>2</v>
      </c>
      <c r="M1933">
        <v>19.170000000000002</v>
      </c>
      <c r="N1933">
        <v>852672</v>
      </c>
      <c r="O1933">
        <v>1</v>
      </c>
    </row>
    <row r="1934" spans="1:15">
      <c r="A1934" t="s">
        <v>1960</v>
      </c>
      <c r="B1934" t="s">
        <v>29</v>
      </c>
      <c r="C1934">
        <v>10</v>
      </c>
      <c r="D1934">
        <v>28526919</v>
      </c>
      <c r="E1934">
        <v>2</v>
      </c>
      <c r="F1934">
        <v>12</v>
      </c>
      <c r="G1934">
        <v>73</v>
      </c>
      <c r="H1934">
        <v>14545011</v>
      </c>
      <c r="I1934">
        <v>499867</v>
      </c>
      <c r="J1934" t="s">
        <v>21</v>
      </c>
      <c r="K1934" t="s">
        <v>30</v>
      </c>
      <c r="L1934">
        <v>3</v>
      </c>
      <c r="M1934">
        <v>34.82</v>
      </c>
      <c r="N1934">
        <v>767447</v>
      </c>
      <c r="O1934">
        <v>1</v>
      </c>
    </row>
    <row r="1935" spans="1:15">
      <c r="A1935" t="s">
        <v>1961</v>
      </c>
      <c r="B1935" t="s">
        <v>38</v>
      </c>
      <c r="C1935">
        <v>2</v>
      </c>
      <c r="D1935">
        <v>19570897</v>
      </c>
      <c r="E1935">
        <v>4</v>
      </c>
      <c r="F1935">
        <v>18</v>
      </c>
      <c r="G1935">
        <v>545</v>
      </c>
      <c r="H1935">
        <v>65503614</v>
      </c>
      <c r="I1935">
        <v>301666</v>
      </c>
      <c r="J1935" t="s">
        <v>21</v>
      </c>
      <c r="K1935" t="s">
        <v>30</v>
      </c>
      <c r="L1935">
        <v>2</v>
      </c>
      <c r="M1935">
        <v>6.43</v>
      </c>
      <c r="N1935">
        <v>472440</v>
      </c>
      <c r="O1935">
        <v>1</v>
      </c>
    </row>
    <row r="1936" spans="1:15">
      <c r="A1936" t="s">
        <v>1962</v>
      </c>
      <c r="B1936" t="s">
        <v>16</v>
      </c>
      <c r="C1936">
        <v>3</v>
      </c>
      <c r="D1936">
        <v>2866394</v>
      </c>
      <c r="E1936">
        <v>4</v>
      </c>
      <c r="F1936">
        <v>12</v>
      </c>
      <c r="G1936">
        <v>75</v>
      </c>
      <c r="H1936">
        <v>17215639</v>
      </c>
      <c r="I1936">
        <v>117768</v>
      </c>
      <c r="J1936" t="s">
        <v>17</v>
      </c>
      <c r="K1936" t="s">
        <v>22</v>
      </c>
      <c r="L1936">
        <v>5</v>
      </c>
      <c r="M1936">
        <v>52.05</v>
      </c>
      <c r="N1936">
        <v>144189</v>
      </c>
      <c r="O1936">
        <v>1</v>
      </c>
    </row>
    <row r="1937" spans="1:15">
      <c r="A1937" t="s">
        <v>1963</v>
      </c>
      <c r="B1937" t="s">
        <v>38</v>
      </c>
      <c r="C1937">
        <v>14</v>
      </c>
      <c r="D1937">
        <v>13234408</v>
      </c>
      <c r="E1937">
        <v>3</v>
      </c>
      <c r="F1937">
        <v>14</v>
      </c>
      <c r="G1937">
        <v>980</v>
      </c>
      <c r="H1937">
        <v>56498089</v>
      </c>
      <c r="I1937">
        <v>832563</v>
      </c>
      <c r="J1937" t="s">
        <v>25</v>
      </c>
      <c r="K1937" t="s">
        <v>18</v>
      </c>
      <c r="L1937">
        <v>6</v>
      </c>
      <c r="M1937">
        <v>75.53</v>
      </c>
      <c r="N1937">
        <v>141793</v>
      </c>
      <c r="O1937">
        <v>1</v>
      </c>
    </row>
    <row r="1938" spans="1:15">
      <c r="A1938" t="s">
        <v>1964</v>
      </c>
      <c r="B1938" t="s">
        <v>29</v>
      </c>
      <c r="C1938">
        <v>13</v>
      </c>
      <c r="D1938">
        <v>13907945</v>
      </c>
      <c r="E1938">
        <v>4</v>
      </c>
      <c r="F1938">
        <v>18</v>
      </c>
      <c r="G1938">
        <v>915</v>
      </c>
      <c r="H1938">
        <v>15229533</v>
      </c>
      <c r="I1938">
        <v>180327</v>
      </c>
      <c r="J1938" t="s">
        <v>17</v>
      </c>
      <c r="K1938" t="s">
        <v>22</v>
      </c>
      <c r="L1938">
        <v>5</v>
      </c>
      <c r="M1938">
        <v>57.64</v>
      </c>
      <c r="N1938">
        <v>588428</v>
      </c>
      <c r="O1938">
        <v>1</v>
      </c>
    </row>
    <row r="1939" spans="1:15">
      <c r="A1939" t="s">
        <v>1965</v>
      </c>
      <c r="B1939" t="s">
        <v>16</v>
      </c>
      <c r="C1939">
        <v>0</v>
      </c>
      <c r="D1939">
        <v>43522208</v>
      </c>
      <c r="E1939">
        <v>4</v>
      </c>
      <c r="F1939">
        <v>13</v>
      </c>
      <c r="G1939">
        <v>971</v>
      </c>
      <c r="H1939">
        <v>36217730</v>
      </c>
      <c r="I1939">
        <v>372166</v>
      </c>
      <c r="J1939" t="s">
        <v>17</v>
      </c>
      <c r="K1939" t="s">
        <v>18</v>
      </c>
      <c r="L1939">
        <v>3</v>
      </c>
      <c r="M1939">
        <v>97.1</v>
      </c>
      <c r="N1939">
        <v>328050</v>
      </c>
      <c r="O1939">
        <v>1</v>
      </c>
    </row>
    <row r="1940" spans="1:15">
      <c r="A1940" t="s">
        <v>1966</v>
      </c>
      <c r="B1940" t="s">
        <v>20</v>
      </c>
      <c r="C1940">
        <v>2</v>
      </c>
      <c r="D1940">
        <v>9972056</v>
      </c>
      <c r="E1940">
        <v>1</v>
      </c>
      <c r="F1940">
        <v>8</v>
      </c>
      <c r="G1940">
        <v>954</v>
      </c>
      <c r="H1940">
        <v>24553245</v>
      </c>
      <c r="I1940">
        <v>491126</v>
      </c>
      <c r="J1940" t="s">
        <v>25</v>
      </c>
      <c r="K1940" t="s">
        <v>18</v>
      </c>
      <c r="L1940">
        <v>8</v>
      </c>
      <c r="M1940">
        <v>41.4</v>
      </c>
      <c r="N1940">
        <v>949275</v>
      </c>
      <c r="O1940">
        <v>1</v>
      </c>
    </row>
    <row r="1941" spans="1:15">
      <c r="A1941" t="s">
        <v>1967</v>
      </c>
      <c r="B1941" t="s">
        <v>20</v>
      </c>
      <c r="C1941">
        <v>10</v>
      </c>
      <c r="D1941">
        <v>17216517</v>
      </c>
      <c r="E1941">
        <v>2</v>
      </c>
      <c r="F1941">
        <v>17</v>
      </c>
      <c r="G1941">
        <v>788</v>
      </c>
      <c r="H1941">
        <v>80761697</v>
      </c>
      <c r="I1941">
        <v>21698</v>
      </c>
      <c r="J1941" t="s">
        <v>17</v>
      </c>
      <c r="K1941" t="s">
        <v>22</v>
      </c>
      <c r="L1941">
        <v>2</v>
      </c>
      <c r="M1941">
        <v>41.07</v>
      </c>
      <c r="N1941">
        <v>713390</v>
      </c>
      <c r="O1941">
        <v>1</v>
      </c>
    </row>
    <row r="1942" spans="1:15">
      <c r="A1942" t="s">
        <v>1968</v>
      </c>
      <c r="B1942" t="s">
        <v>24</v>
      </c>
      <c r="C1942">
        <v>11</v>
      </c>
      <c r="D1942">
        <v>35342607</v>
      </c>
      <c r="E1942">
        <v>4</v>
      </c>
      <c r="F1942">
        <v>27</v>
      </c>
      <c r="G1942">
        <v>422</v>
      </c>
      <c r="H1942">
        <v>92865359</v>
      </c>
      <c r="I1942">
        <v>430878</v>
      </c>
      <c r="J1942" t="s">
        <v>21</v>
      </c>
      <c r="K1942" t="s">
        <v>22</v>
      </c>
      <c r="L1942">
        <v>1</v>
      </c>
      <c r="M1942">
        <v>69.180000000000007</v>
      </c>
      <c r="N1942">
        <v>338785</v>
      </c>
      <c r="O1942">
        <v>1</v>
      </c>
    </row>
    <row r="1943" spans="1:15">
      <c r="A1943" t="s">
        <v>1969</v>
      </c>
      <c r="B1943" t="s">
        <v>24</v>
      </c>
      <c r="C1943">
        <v>10</v>
      </c>
      <c r="D1943">
        <v>48304131</v>
      </c>
      <c r="E1943">
        <v>1</v>
      </c>
      <c r="F1943">
        <v>18</v>
      </c>
      <c r="G1943">
        <v>158</v>
      </c>
      <c r="H1943">
        <v>99528928</v>
      </c>
      <c r="I1943">
        <v>861954</v>
      </c>
      <c r="J1943" t="s">
        <v>21</v>
      </c>
      <c r="K1943" t="s">
        <v>22</v>
      </c>
      <c r="L1943">
        <v>3</v>
      </c>
      <c r="M1943">
        <v>43.71</v>
      </c>
      <c r="N1943">
        <v>740748</v>
      </c>
      <c r="O1943">
        <v>1</v>
      </c>
    </row>
    <row r="1944" spans="1:15">
      <c r="A1944" t="s">
        <v>1970</v>
      </c>
      <c r="B1944" t="s">
        <v>29</v>
      </c>
      <c r="C1944">
        <v>8</v>
      </c>
      <c r="D1944">
        <v>4029993</v>
      </c>
      <c r="E1944">
        <v>1</v>
      </c>
      <c r="F1944">
        <v>11</v>
      </c>
      <c r="G1944">
        <v>876</v>
      </c>
      <c r="H1944">
        <v>70804252</v>
      </c>
      <c r="I1944">
        <v>481222</v>
      </c>
      <c r="J1944" t="s">
        <v>17</v>
      </c>
      <c r="K1944" t="s">
        <v>18</v>
      </c>
      <c r="L1944">
        <v>3</v>
      </c>
      <c r="M1944">
        <v>65.34</v>
      </c>
      <c r="N1944">
        <v>109849</v>
      </c>
      <c r="O1944">
        <v>1</v>
      </c>
    </row>
    <row r="1945" spans="1:15">
      <c r="A1945" t="s">
        <v>1971</v>
      </c>
      <c r="B1945" t="s">
        <v>20</v>
      </c>
      <c r="C1945">
        <v>4</v>
      </c>
      <c r="D1945">
        <v>25461142</v>
      </c>
      <c r="E1945">
        <v>2</v>
      </c>
      <c r="F1945">
        <v>24</v>
      </c>
      <c r="G1945">
        <v>99</v>
      </c>
      <c r="H1945">
        <v>61699865</v>
      </c>
      <c r="I1945">
        <v>694588</v>
      </c>
      <c r="J1945" t="s">
        <v>21</v>
      </c>
      <c r="K1945" t="s">
        <v>30</v>
      </c>
      <c r="L1945">
        <v>8</v>
      </c>
      <c r="M1945">
        <v>52.52</v>
      </c>
      <c r="N1945">
        <v>844738</v>
      </c>
      <c r="O1945">
        <v>1</v>
      </c>
    </row>
    <row r="1946" spans="1:15">
      <c r="A1946" t="s">
        <v>1972</v>
      </c>
      <c r="B1946" t="s">
        <v>32</v>
      </c>
      <c r="C1946">
        <v>1</v>
      </c>
      <c r="D1946">
        <v>28189258</v>
      </c>
      <c r="E1946">
        <v>1</v>
      </c>
      <c r="F1946">
        <v>0</v>
      </c>
      <c r="G1946">
        <v>126</v>
      </c>
      <c r="H1946">
        <v>14493167</v>
      </c>
      <c r="I1946">
        <v>442095</v>
      </c>
      <c r="J1946" t="s">
        <v>21</v>
      </c>
      <c r="K1946" t="s">
        <v>30</v>
      </c>
      <c r="L1946">
        <v>6</v>
      </c>
      <c r="M1946">
        <v>39.450000000000003</v>
      </c>
      <c r="N1946">
        <v>438077</v>
      </c>
      <c r="O1946">
        <v>1</v>
      </c>
    </row>
    <row r="1947" spans="1:15">
      <c r="A1947" t="s">
        <v>1973</v>
      </c>
      <c r="B1947" t="s">
        <v>32</v>
      </c>
      <c r="C1947">
        <v>9</v>
      </c>
      <c r="D1947">
        <v>18469339</v>
      </c>
      <c r="E1947">
        <v>3</v>
      </c>
      <c r="F1947">
        <v>29</v>
      </c>
      <c r="G1947">
        <v>267</v>
      </c>
      <c r="H1947">
        <v>73607185</v>
      </c>
      <c r="I1947">
        <v>224959</v>
      </c>
      <c r="J1947" t="s">
        <v>25</v>
      </c>
      <c r="K1947" t="s">
        <v>18</v>
      </c>
      <c r="L1947">
        <v>3</v>
      </c>
      <c r="M1947">
        <v>0.73</v>
      </c>
      <c r="N1947">
        <v>905481</v>
      </c>
      <c r="O1947">
        <v>1</v>
      </c>
    </row>
    <row r="1948" spans="1:15">
      <c r="A1948" t="s">
        <v>1974</v>
      </c>
      <c r="B1948" t="s">
        <v>29</v>
      </c>
      <c r="C1948">
        <v>1</v>
      </c>
      <c r="D1948">
        <v>5605177</v>
      </c>
      <c r="E1948">
        <v>2</v>
      </c>
      <c r="F1948">
        <v>23</v>
      </c>
      <c r="G1948">
        <v>487</v>
      </c>
      <c r="H1948">
        <v>51755169</v>
      </c>
      <c r="I1948">
        <v>225027</v>
      </c>
      <c r="J1948" t="s">
        <v>17</v>
      </c>
      <c r="K1948" t="s">
        <v>30</v>
      </c>
      <c r="L1948">
        <v>4</v>
      </c>
      <c r="M1948">
        <v>60.85</v>
      </c>
      <c r="N1948">
        <v>224263</v>
      </c>
      <c r="O1948">
        <v>1</v>
      </c>
    </row>
    <row r="1949" spans="1:15">
      <c r="A1949" t="s">
        <v>1975</v>
      </c>
      <c r="B1949" t="s">
        <v>16</v>
      </c>
      <c r="C1949">
        <v>2</v>
      </c>
      <c r="D1949">
        <v>44973374</v>
      </c>
      <c r="E1949">
        <v>4</v>
      </c>
      <c r="F1949">
        <v>17</v>
      </c>
      <c r="G1949">
        <v>443</v>
      </c>
      <c r="H1949">
        <v>28788934</v>
      </c>
      <c r="I1949">
        <v>949841</v>
      </c>
      <c r="J1949" t="s">
        <v>21</v>
      </c>
      <c r="K1949" t="s">
        <v>22</v>
      </c>
      <c r="L1949">
        <v>6</v>
      </c>
      <c r="M1949">
        <v>63.99</v>
      </c>
      <c r="N1949">
        <v>559276</v>
      </c>
      <c r="O1949">
        <v>1</v>
      </c>
    </row>
    <row r="1950" spans="1:15">
      <c r="A1950" t="s">
        <v>1976</v>
      </c>
      <c r="B1950" t="s">
        <v>38</v>
      </c>
      <c r="C1950">
        <v>11</v>
      </c>
      <c r="D1950">
        <v>36843349</v>
      </c>
      <c r="E1950">
        <v>2</v>
      </c>
      <c r="F1950">
        <v>11</v>
      </c>
      <c r="G1950">
        <v>359</v>
      </c>
      <c r="H1950">
        <v>95644164</v>
      </c>
      <c r="I1950">
        <v>50830</v>
      </c>
      <c r="J1950" t="s">
        <v>17</v>
      </c>
      <c r="K1950" t="s">
        <v>22</v>
      </c>
      <c r="L1950">
        <v>1</v>
      </c>
      <c r="M1950">
        <v>22.59</v>
      </c>
      <c r="N1950">
        <v>377382</v>
      </c>
      <c r="O1950">
        <v>1</v>
      </c>
    </row>
    <row r="1951" spans="1:15">
      <c r="A1951" t="s">
        <v>1977</v>
      </c>
      <c r="B1951" t="s">
        <v>38</v>
      </c>
      <c r="C1951">
        <v>8</v>
      </c>
      <c r="D1951">
        <v>28506393</v>
      </c>
      <c r="E1951">
        <v>2</v>
      </c>
      <c r="F1951">
        <v>11</v>
      </c>
      <c r="G1951">
        <v>15</v>
      </c>
      <c r="H1951">
        <v>68337027</v>
      </c>
      <c r="I1951">
        <v>496194</v>
      </c>
      <c r="J1951" t="s">
        <v>17</v>
      </c>
      <c r="K1951" t="s">
        <v>18</v>
      </c>
      <c r="L1951">
        <v>1</v>
      </c>
      <c r="M1951">
        <v>60.53</v>
      </c>
      <c r="N1951">
        <v>57245</v>
      </c>
      <c r="O1951">
        <v>1</v>
      </c>
    </row>
    <row r="1952" spans="1:15">
      <c r="A1952" t="s">
        <v>1978</v>
      </c>
      <c r="B1952" t="s">
        <v>38</v>
      </c>
      <c r="C1952">
        <v>6</v>
      </c>
      <c r="D1952">
        <v>10238869</v>
      </c>
      <c r="E1952">
        <v>2</v>
      </c>
      <c r="F1952">
        <v>26</v>
      </c>
      <c r="G1952">
        <v>179</v>
      </c>
      <c r="H1952">
        <v>35334584</v>
      </c>
      <c r="I1952">
        <v>243424</v>
      </c>
      <c r="J1952" t="s">
        <v>21</v>
      </c>
      <c r="K1952" t="s">
        <v>30</v>
      </c>
      <c r="L1952">
        <v>3</v>
      </c>
      <c r="M1952">
        <v>0.9</v>
      </c>
      <c r="N1952">
        <v>865413</v>
      </c>
      <c r="O1952">
        <v>1</v>
      </c>
    </row>
    <row r="1953" spans="1:15">
      <c r="A1953" t="s">
        <v>1979</v>
      </c>
      <c r="B1953" t="s">
        <v>32</v>
      </c>
      <c r="C1953">
        <v>4</v>
      </c>
      <c r="D1953">
        <v>46636189</v>
      </c>
      <c r="E1953">
        <v>1</v>
      </c>
      <c r="F1953">
        <v>21</v>
      </c>
      <c r="G1953">
        <v>843</v>
      </c>
      <c r="H1953">
        <v>18694290</v>
      </c>
      <c r="I1953">
        <v>128300</v>
      </c>
      <c r="J1953" t="s">
        <v>21</v>
      </c>
      <c r="K1953" t="s">
        <v>30</v>
      </c>
      <c r="L1953">
        <v>5</v>
      </c>
      <c r="M1953">
        <v>84</v>
      </c>
      <c r="N1953">
        <v>142821</v>
      </c>
      <c r="O1953">
        <v>1</v>
      </c>
    </row>
    <row r="1954" spans="1:15">
      <c r="A1954" t="s">
        <v>1980</v>
      </c>
      <c r="B1954" t="s">
        <v>24</v>
      </c>
      <c r="C1954">
        <v>7</v>
      </c>
      <c r="D1954">
        <v>35602113</v>
      </c>
      <c r="E1954">
        <v>2</v>
      </c>
      <c r="F1954">
        <v>9</v>
      </c>
      <c r="G1954">
        <v>38</v>
      </c>
      <c r="H1954">
        <v>78429988</v>
      </c>
      <c r="I1954">
        <v>959578</v>
      </c>
      <c r="J1954" t="s">
        <v>25</v>
      </c>
      <c r="K1954" t="s">
        <v>18</v>
      </c>
      <c r="L1954">
        <v>6</v>
      </c>
      <c r="M1954">
        <v>64.52</v>
      </c>
      <c r="N1954">
        <v>375948</v>
      </c>
      <c r="O1954">
        <v>1</v>
      </c>
    </row>
    <row r="1955" spans="1:15">
      <c r="A1955" t="s">
        <v>1981</v>
      </c>
      <c r="B1955" t="s">
        <v>27</v>
      </c>
      <c r="C1955">
        <v>10</v>
      </c>
      <c r="D1955">
        <v>32525892</v>
      </c>
      <c r="E1955">
        <v>1</v>
      </c>
      <c r="F1955">
        <v>19</v>
      </c>
      <c r="G1955">
        <v>29</v>
      </c>
      <c r="H1955">
        <v>44785152</v>
      </c>
      <c r="I1955">
        <v>784321</v>
      </c>
      <c r="J1955" t="s">
        <v>21</v>
      </c>
      <c r="K1955" t="s">
        <v>18</v>
      </c>
      <c r="L1955">
        <v>7</v>
      </c>
      <c r="M1955">
        <v>28.06</v>
      </c>
      <c r="N1955">
        <v>813813</v>
      </c>
      <c r="O1955">
        <v>1</v>
      </c>
    </row>
    <row r="1956" spans="1:15">
      <c r="A1956" t="s">
        <v>1982</v>
      </c>
      <c r="B1956" t="s">
        <v>24</v>
      </c>
      <c r="C1956">
        <v>6</v>
      </c>
      <c r="D1956">
        <v>27097414</v>
      </c>
      <c r="E1956">
        <v>1</v>
      </c>
      <c r="F1956">
        <v>8</v>
      </c>
      <c r="G1956">
        <v>601</v>
      </c>
      <c r="H1956">
        <v>39613233</v>
      </c>
      <c r="I1956">
        <v>812210</v>
      </c>
      <c r="J1956" t="s">
        <v>21</v>
      </c>
      <c r="K1956" t="s">
        <v>30</v>
      </c>
      <c r="L1956">
        <v>5</v>
      </c>
      <c r="M1956">
        <v>30.9</v>
      </c>
      <c r="N1956">
        <v>605676</v>
      </c>
      <c r="O1956">
        <v>1</v>
      </c>
    </row>
    <row r="1957" spans="1:15">
      <c r="A1957" t="s">
        <v>1983</v>
      </c>
      <c r="B1957" t="s">
        <v>38</v>
      </c>
      <c r="C1957">
        <v>12</v>
      </c>
      <c r="D1957">
        <v>19245477</v>
      </c>
      <c r="E1957">
        <v>2</v>
      </c>
      <c r="F1957">
        <v>6</v>
      </c>
      <c r="G1957">
        <v>777</v>
      </c>
      <c r="H1957">
        <v>53565656</v>
      </c>
      <c r="I1957">
        <v>697684</v>
      </c>
      <c r="J1957" t="s">
        <v>21</v>
      </c>
      <c r="K1957" t="s">
        <v>18</v>
      </c>
      <c r="L1957">
        <v>2</v>
      </c>
      <c r="M1957">
        <v>29.36</v>
      </c>
      <c r="N1957">
        <v>684985</v>
      </c>
      <c r="O1957">
        <v>1</v>
      </c>
    </row>
    <row r="1958" spans="1:15">
      <c r="A1958" t="s">
        <v>1984</v>
      </c>
      <c r="B1958" t="s">
        <v>16</v>
      </c>
      <c r="C1958">
        <v>6</v>
      </c>
      <c r="D1958">
        <v>23893716</v>
      </c>
      <c r="E1958">
        <v>4</v>
      </c>
      <c r="F1958">
        <v>20</v>
      </c>
      <c r="G1958">
        <v>274</v>
      </c>
      <c r="H1958">
        <v>65596365</v>
      </c>
      <c r="I1958">
        <v>503414</v>
      </c>
      <c r="J1958" t="s">
        <v>21</v>
      </c>
      <c r="K1958" t="s">
        <v>30</v>
      </c>
      <c r="L1958">
        <v>4</v>
      </c>
      <c r="M1958">
        <v>2.85</v>
      </c>
      <c r="N1958">
        <v>747376</v>
      </c>
      <c r="O1958">
        <v>1</v>
      </c>
    </row>
    <row r="1959" spans="1:15">
      <c r="A1959" t="s">
        <v>1985</v>
      </c>
      <c r="B1959" t="s">
        <v>16</v>
      </c>
      <c r="C1959">
        <v>9</v>
      </c>
      <c r="D1959">
        <v>17306241</v>
      </c>
      <c r="E1959">
        <v>2</v>
      </c>
      <c r="F1959">
        <v>24</v>
      </c>
      <c r="G1959">
        <v>909</v>
      </c>
      <c r="H1959">
        <v>40279709</v>
      </c>
      <c r="I1959">
        <v>796965</v>
      </c>
      <c r="J1959" t="s">
        <v>25</v>
      </c>
      <c r="K1959" t="s">
        <v>22</v>
      </c>
      <c r="L1959">
        <v>6</v>
      </c>
      <c r="M1959">
        <v>81.91</v>
      </c>
      <c r="N1959">
        <v>164544</v>
      </c>
      <c r="O1959">
        <v>1</v>
      </c>
    </row>
    <row r="1960" spans="1:15">
      <c r="A1960" t="s">
        <v>1986</v>
      </c>
      <c r="B1960" t="s">
        <v>24</v>
      </c>
      <c r="C1960">
        <v>9</v>
      </c>
      <c r="D1960">
        <v>12600225</v>
      </c>
      <c r="E1960">
        <v>3</v>
      </c>
      <c r="F1960">
        <v>0</v>
      </c>
      <c r="G1960">
        <v>725</v>
      </c>
      <c r="H1960">
        <v>91383681</v>
      </c>
      <c r="I1960">
        <v>776822</v>
      </c>
      <c r="J1960" t="s">
        <v>25</v>
      </c>
      <c r="K1960" t="s">
        <v>22</v>
      </c>
      <c r="L1960">
        <v>1</v>
      </c>
      <c r="M1960">
        <v>21.8</v>
      </c>
      <c r="N1960">
        <v>242061</v>
      </c>
      <c r="O1960">
        <v>1</v>
      </c>
    </row>
    <row r="1961" spans="1:15">
      <c r="A1961" t="s">
        <v>1987</v>
      </c>
      <c r="B1961" t="s">
        <v>16</v>
      </c>
      <c r="C1961">
        <v>13</v>
      </c>
      <c r="D1961">
        <v>9887041</v>
      </c>
      <c r="E1961">
        <v>3</v>
      </c>
      <c r="F1961">
        <v>23</v>
      </c>
      <c r="G1961">
        <v>204</v>
      </c>
      <c r="H1961">
        <v>11829409</v>
      </c>
      <c r="I1961">
        <v>452025</v>
      </c>
      <c r="J1961" t="s">
        <v>21</v>
      </c>
      <c r="K1961" t="s">
        <v>30</v>
      </c>
      <c r="L1961">
        <v>5</v>
      </c>
      <c r="M1961">
        <v>18.3</v>
      </c>
      <c r="N1961">
        <v>932614</v>
      </c>
      <c r="O1961">
        <v>1</v>
      </c>
    </row>
    <row r="1962" spans="1:15">
      <c r="A1962" t="s">
        <v>1988</v>
      </c>
      <c r="B1962" t="s">
        <v>20</v>
      </c>
      <c r="C1962">
        <v>11</v>
      </c>
      <c r="D1962">
        <v>36727672</v>
      </c>
      <c r="E1962">
        <v>1</v>
      </c>
      <c r="F1962">
        <v>25</v>
      </c>
      <c r="G1962">
        <v>114</v>
      </c>
      <c r="H1962">
        <v>33376939</v>
      </c>
      <c r="I1962">
        <v>647924</v>
      </c>
      <c r="J1962" t="s">
        <v>25</v>
      </c>
      <c r="K1962" t="s">
        <v>18</v>
      </c>
      <c r="L1962">
        <v>1</v>
      </c>
      <c r="M1962">
        <v>34.590000000000003</v>
      </c>
      <c r="N1962">
        <v>453604</v>
      </c>
      <c r="O1962">
        <v>1</v>
      </c>
    </row>
    <row r="1963" spans="1:15">
      <c r="A1963" t="s">
        <v>1989</v>
      </c>
      <c r="B1963" t="s">
        <v>38</v>
      </c>
      <c r="C1963">
        <v>2</v>
      </c>
      <c r="D1963">
        <v>32556063</v>
      </c>
      <c r="E1963">
        <v>3</v>
      </c>
      <c r="F1963">
        <v>13</v>
      </c>
      <c r="G1963">
        <v>436</v>
      </c>
      <c r="H1963">
        <v>63556603</v>
      </c>
      <c r="I1963">
        <v>680135</v>
      </c>
      <c r="J1963" t="s">
        <v>17</v>
      </c>
      <c r="K1963" t="s">
        <v>30</v>
      </c>
      <c r="L1963">
        <v>3</v>
      </c>
      <c r="M1963">
        <v>86.11</v>
      </c>
      <c r="N1963">
        <v>335513</v>
      </c>
      <c r="O1963">
        <v>1</v>
      </c>
    </row>
    <row r="1964" spans="1:15">
      <c r="A1964" t="s">
        <v>1990</v>
      </c>
      <c r="B1964" t="s">
        <v>20</v>
      </c>
      <c r="C1964">
        <v>10</v>
      </c>
      <c r="D1964">
        <v>30487662</v>
      </c>
      <c r="E1964">
        <v>4</v>
      </c>
      <c r="F1964">
        <v>24</v>
      </c>
      <c r="G1964">
        <v>619</v>
      </c>
      <c r="H1964">
        <v>81170384</v>
      </c>
      <c r="I1964">
        <v>756381</v>
      </c>
      <c r="J1964" t="s">
        <v>17</v>
      </c>
      <c r="K1964" t="s">
        <v>22</v>
      </c>
      <c r="L1964">
        <v>2</v>
      </c>
      <c r="M1964">
        <v>67.510000000000005</v>
      </c>
      <c r="N1964">
        <v>222714</v>
      </c>
      <c r="O1964">
        <v>1</v>
      </c>
    </row>
    <row r="1965" spans="1:15">
      <c r="A1965" t="s">
        <v>1991</v>
      </c>
      <c r="B1965" t="s">
        <v>38</v>
      </c>
      <c r="C1965">
        <v>13</v>
      </c>
      <c r="D1965">
        <v>36419321</v>
      </c>
      <c r="E1965">
        <v>1</v>
      </c>
      <c r="F1965">
        <v>9</v>
      </c>
      <c r="G1965">
        <v>103</v>
      </c>
      <c r="H1965">
        <v>82058499</v>
      </c>
      <c r="I1965">
        <v>525284</v>
      </c>
      <c r="J1965" t="s">
        <v>25</v>
      </c>
      <c r="K1965" t="s">
        <v>18</v>
      </c>
      <c r="L1965">
        <v>7</v>
      </c>
      <c r="M1965">
        <v>11.77</v>
      </c>
      <c r="N1965">
        <v>806754</v>
      </c>
      <c r="O1965">
        <v>1</v>
      </c>
    </row>
    <row r="1966" spans="1:15">
      <c r="A1966" t="s">
        <v>1992</v>
      </c>
      <c r="B1966" t="s">
        <v>32</v>
      </c>
      <c r="C1966">
        <v>1</v>
      </c>
      <c r="D1966">
        <v>32248850</v>
      </c>
      <c r="E1966">
        <v>4</v>
      </c>
      <c r="F1966">
        <v>13</v>
      </c>
      <c r="G1966">
        <v>695</v>
      </c>
      <c r="H1966">
        <v>16780241</v>
      </c>
      <c r="I1966">
        <v>677476</v>
      </c>
      <c r="J1966" t="s">
        <v>17</v>
      </c>
      <c r="K1966" t="s">
        <v>30</v>
      </c>
      <c r="L1966">
        <v>2</v>
      </c>
      <c r="M1966">
        <v>52.53</v>
      </c>
      <c r="N1966">
        <v>796690</v>
      </c>
      <c r="O1966">
        <v>1</v>
      </c>
    </row>
    <row r="1967" spans="1:15">
      <c r="A1967" t="s">
        <v>1993</v>
      </c>
      <c r="B1967" t="s">
        <v>38</v>
      </c>
      <c r="C1967">
        <v>10</v>
      </c>
      <c r="D1967">
        <v>47256161</v>
      </c>
      <c r="E1967">
        <v>3</v>
      </c>
      <c r="F1967">
        <v>27</v>
      </c>
      <c r="G1967">
        <v>100</v>
      </c>
      <c r="H1967">
        <v>16955836</v>
      </c>
      <c r="I1967">
        <v>738187</v>
      </c>
      <c r="J1967" t="s">
        <v>21</v>
      </c>
      <c r="K1967" t="s">
        <v>22</v>
      </c>
      <c r="L1967">
        <v>9</v>
      </c>
      <c r="M1967">
        <v>46.58</v>
      </c>
      <c r="N1967">
        <v>57203</v>
      </c>
      <c r="O1967">
        <v>1</v>
      </c>
    </row>
    <row r="1968" spans="1:15">
      <c r="A1968" t="s">
        <v>1994</v>
      </c>
      <c r="B1968" t="s">
        <v>38</v>
      </c>
      <c r="C1968">
        <v>2</v>
      </c>
      <c r="D1968">
        <v>21403268</v>
      </c>
      <c r="E1968">
        <v>2</v>
      </c>
      <c r="F1968">
        <v>8</v>
      </c>
      <c r="G1968">
        <v>823</v>
      </c>
      <c r="H1968">
        <v>91154546</v>
      </c>
      <c r="I1968">
        <v>120890</v>
      </c>
      <c r="J1968" t="s">
        <v>25</v>
      </c>
      <c r="K1968" t="s">
        <v>22</v>
      </c>
      <c r="L1968">
        <v>8</v>
      </c>
      <c r="M1968">
        <v>40.520000000000003</v>
      </c>
      <c r="N1968">
        <v>445113</v>
      </c>
      <c r="O1968">
        <v>1</v>
      </c>
    </row>
    <row r="1969" spans="1:15">
      <c r="A1969" t="s">
        <v>1995</v>
      </c>
      <c r="B1969" t="s">
        <v>16</v>
      </c>
      <c r="C1969">
        <v>9</v>
      </c>
      <c r="D1969">
        <v>22235799</v>
      </c>
      <c r="E1969">
        <v>2</v>
      </c>
      <c r="F1969">
        <v>22</v>
      </c>
      <c r="G1969">
        <v>27</v>
      </c>
      <c r="H1969">
        <v>83233337</v>
      </c>
      <c r="I1969">
        <v>6576</v>
      </c>
      <c r="J1969" t="s">
        <v>21</v>
      </c>
      <c r="K1969" t="s">
        <v>18</v>
      </c>
      <c r="L1969">
        <v>6</v>
      </c>
      <c r="M1969">
        <v>68.52</v>
      </c>
      <c r="N1969">
        <v>691302</v>
      </c>
      <c r="O1969">
        <v>1</v>
      </c>
    </row>
    <row r="1970" spans="1:15">
      <c r="A1970" t="s">
        <v>1996</v>
      </c>
      <c r="B1970" t="s">
        <v>29</v>
      </c>
      <c r="C1970">
        <v>12</v>
      </c>
      <c r="D1970">
        <v>24105123</v>
      </c>
      <c r="E1970">
        <v>2</v>
      </c>
      <c r="F1970">
        <v>16</v>
      </c>
      <c r="G1970">
        <v>730</v>
      </c>
      <c r="H1970">
        <v>50553023</v>
      </c>
      <c r="I1970">
        <v>379749</v>
      </c>
      <c r="J1970" t="s">
        <v>17</v>
      </c>
      <c r="K1970" t="s">
        <v>22</v>
      </c>
      <c r="L1970">
        <v>9</v>
      </c>
      <c r="M1970">
        <v>67</v>
      </c>
      <c r="N1970">
        <v>88785</v>
      </c>
      <c r="O1970">
        <v>1</v>
      </c>
    </row>
    <row r="1971" spans="1:15">
      <c r="A1971" t="s">
        <v>1997</v>
      </c>
      <c r="B1971" t="s">
        <v>20</v>
      </c>
      <c r="C1971">
        <v>6</v>
      </c>
      <c r="D1971">
        <v>3809311</v>
      </c>
      <c r="E1971">
        <v>3</v>
      </c>
      <c r="F1971">
        <v>18</v>
      </c>
      <c r="G1971">
        <v>768</v>
      </c>
      <c r="H1971">
        <v>72869268</v>
      </c>
      <c r="I1971">
        <v>265568</v>
      </c>
      <c r="J1971" t="s">
        <v>21</v>
      </c>
      <c r="K1971" t="s">
        <v>18</v>
      </c>
      <c r="L1971">
        <v>3</v>
      </c>
      <c r="M1971">
        <v>50.99</v>
      </c>
      <c r="N1971">
        <v>235394</v>
      </c>
      <c r="O1971">
        <v>1</v>
      </c>
    </row>
    <row r="1972" spans="1:15">
      <c r="A1972" t="s">
        <v>1998</v>
      </c>
      <c r="B1972" t="s">
        <v>24</v>
      </c>
      <c r="C1972">
        <v>7</v>
      </c>
      <c r="D1972">
        <v>11466803</v>
      </c>
      <c r="E1972">
        <v>3</v>
      </c>
      <c r="F1972">
        <v>5</v>
      </c>
      <c r="G1972">
        <v>656</v>
      </c>
      <c r="H1972">
        <v>45924849</v>
      </c>
      <c r="I1972">
        <v>425982</v>
      </c>
      <c r="J1972" t="s">
        <v>21</v>
      </c>
      <c r="K1972" t="s">
        <v>30</v>
      </c>
      <c r="L1972">
        <v>2</v>
      </c>
      <c r="M1972">
        <v>16.149999999999999</v>
      </c>
      <c r="N1972">
        <v>287823</v>
      </c>
      <c r="O1972">
        <v>1</v>
      </c>
    </row>
    <row r="1973" spans="1:15">
      <c r="A1973" t="s">
        <v>1999</v>
      </c>
      <c r="B1973" t="s">
        <v>32</v>
      </c>
      <c r="C1973">
        <v>1</v>
      </c>
      <c r="D1973">
        <v>17068063</v>
      </c>
      <c r="E1973">
        <v>4</v>
      </c>
      <c r="F1973">
        <v>26</v>
      </c>
      <c r="G1973">
        <v>91</v>
      </c>
      <c r="H1973">
        <v>28065370</v>
      </c>
      <c r="I1973">
        <v>78465</v>
      </c>
      <c r="J1973" t="s">
        <v>17</v>
      </c>
      <c r="K1973" t="s">
        <v>30</v>
      </c>
      <c r="L1973">
        <v>6</v>
      </c>
      <c r="M1973">
        <v>26.08</v>
      </c>
      <c r="N1973">
        <v>767206</v>
      </c>
      <c r="O1973">
        <v>1</v>
      </c>
    </row>
    <row r="1974" spans="1:15">
      <c r="A1974" t="s">
        <v>2000</v>
      </c>
      <c r="B1974" t="s">
        <v>32</v>
      </c>
      <c r="C1974">
        <v>5</v>
      </c>
      <c r="D1974">
        <v>45464452</v>
      </c>
      <c r="E1974">
        <v>3</v>
      </c>
      <c r="F1974">
        <v>22</v>
      </c>
      <c r="G1974">
        <v>696</v>
      </c>
      <c r="H1974">
        <v>57213371</v>
      </c>
      <c r="I1974">
        <v>364436</v>
      </c>
      <c r="J1974" t="s">
        <v>17</v>
      </c>
      <c r="K1974" t="s">
        <v>18</v>
      </c>
      <c r="L1974">
        <v>9</v>
      </c>
      <c r="M1974">
        <v>8.51</v>
      </c>
      <c r="N1974">
        <v>616067</v>
      </c>
      <c r="O1974">
        <v>1</v>
      </c>
    </row>
    <row r="1975" spans="1:15">
      <c r="A1975" t="s">
        <v>2001</v>
      </c>
      <c r="B1975" t="s">
        <v>29</v>
      </c>
      <c r="C1975">
        <v>13</v>
      </c>
      <c r="D1975">
        <v>18103076</v>
      </c>
      <c r="E1975">
        <v>2</v>
      </c>
      <c r="F1975">
        <v>10</v>
      </c>
      <c r="G1975">
        <v>432</v>
      </c>
      <c r="H1975">
        <v>15232006</v>
      </c>
      <c r="I1975">
        <v>380972</v>
      </c>
      <c r="J1975" t="s">
        <v>25</v>
      </c>
      <c r="K1975" t="s">
        <v>30</v>
      </c>
      <c r="L1975">
        <v>6</v>
      </c>
      <c r="M1975">
        <v>16.350000000000001</v>
      </c>
      <c r="N1975">
        <v>445058</v>
      </c>
      <c r="O1975">
        <v>1</v>
      </c>
    </row>
    <row r="1976" spans="1:15">
      <c r="A1976" t="s">
        <v>2002</v>
      </c>
      <c r="B1976" t="s">
        <v>32</v>
      </c>
      <c r="C1976">
        <v>4</v>
      </c>
      <c r="D1976">
        <v>49211411</v>
      </c>
      <c r="E1976">
        <v>1</v>
      </c>
      <c r="F1976">
        <v>18</v>
      </c>
      <c r="G1976">
        <v>52</v>
      </c>
      <c r="H1976">
        <v>63088489</v>
      </c>
      <c r="I1976">
        <v>771555</v>
      </c>
      <c r="J1976" t="s">
        <v>17</v>
      </c>
      <c r="K1976" t="s">
        <v>30</v>
      </c>
      <c r="L1976">
        <v>7</v>
      </c>
      <c r="M1976">
        <v>3.06</v>
      </c>
      <c r="N1976">
        <v>77638</v>
      </c>
      <c r="O1976">
        <v>1</v>
      </c>
    </row>
    <row r="1977" spans="1:15">
      <c r="A1977" t="s">
        <v>2003</v>
      </c>
      <c r="B1977" t="s">
        <v>29</v>
      </c>
      <c r="C1977">
        <v>4</v>
      </c>
      <c r="D1977">
        <v>17902927</v>
      </c>
      <c r="E1977">
        <v>3</v>
      </c>
      <c r="F1977">
        <v>12</v>
      </c>
      <c r="G1977">
        <v>948</v>
      </c>
      <c r="H1977">
        <v>55465373</v>
      </c>
      <c r="I1977">
        <v>294128</v>
      </c>
      <c r="J1977" t="s">
        <v>17</v>
      </c>
      <c r="K1977" t="s">
        <v>22</v>
      </c>
      <c r="L1977">
        <v>9</v>
      </c>
      <c r="M1977">
        <v>7.14</v>
      </c>
      <c r="N1977">
        <v>773856</v>
      </c>
      <c r="O1977">
        <v>1</v>
      </c>
    </row>
    <row r="1978" spans="1:15">
      <c r="A1978" t="s">
        <v>2004</v>
      </c>
      <c r="B1978" t="s">
        <v>24</v>
      </c>
      <c r="C1978">
        <v>8</v>
      </c>
      <c r="D1978">
        <v>35979835</v>
      </c>
      <c r="E1978">
        <v>1</v>
      </c>
      <c r="F1978">
        <v>13</v>
      </c>
      <c r="G1978">
        <v>811</v>
      </c>
      <c r="H1978">
        <v>5917454</v>
      </c>
      <c r="I1978">
        <v>167067</v>
      </c>
      <c r="J1978" t="s">
        <v>17</v>
      </c>
      <c r="K1978" t="s">
        <v>30</v>
      </c>
      <c r="L1978">
        <v>6</v>
      </c>
      <c r="M1978">
        <v>60.58</v>
      </c>
      <c r="N1978">
        <v>688922</v>
      </c>
      <c r="O1978">
        <v>1</v>
      </c>
    </row>
    <row r="1979" spans="1:15">
      <c r="A1979" t="s">
        <v>2005</v>
      </c>
      <c r="B1979" t="s">
        <v>38</v>
      </c>
      <c r="C1979">
        <v>10</v>
      </c>
      <c r="D1979">
        <v>1182132</v>
      </c>
      <c r="E1979">
        <v>3</v>
      </c>
      <c r="F1979">
        <v>27</v>
      </c>
      <c r="G1979">
        <v>939</v>
      </c>
      <c r="H1979">
        <v>45165484</v>
      </c>
      <c r="I1979">
        <v>970765</v>
      </c>
      <c r="J1979" t="s">
        <v>17</v>
      </c>
      <c r="K1979" t="s">
        <v>18</v>
      </c>
      <c r="L1979">
        <v>2</v>
      </c>
      <c r="M1979">
        <v>23.38</v>
      </c>
      <c r="N1979">
        <v>65081</v>
      </c>
      <c r="O1979">
        <v>1</v>
      </c>
    </row>
    <row r="1980" spans="1:15">
      <c r="A1980" t="s">
        <v>2006</v>
      </c>
      <c r="B1980" t="s">
        <v>27</v>
      </c>
      <c r="C1980">
        <v>0</v>
      </c>
      <c r="D1980">
        <v>35462757</v>
      </c>
      <c r="E1980">
        <v>1</v>
      </c>
      <c r="F1980">
        <v>2</v>
      </c>
      <c r="G1980">
        <v>351</v>
      </c>
      <c r="H1980">
        <v>47805560</v>
      </c>
      <c r="I1980">
        <v>238486</v>
      </c>
      <c r="J1980" t="s">
        <v>25</v>
      </c>
      <c r="K1980" t="s">
        <v>18</v>
      </c>
      <c r="L1980">
        <v>4</v>
      </c>
      <c r="M1980">
        <v>53.94</v>
      </c>
      <c r="N1980">
        <v>599050</v>
      </c>
      <c r="O1980">
        <v>1</v>
      </c>
    </row>
    <row r="1981" spans="1:15">
      <c r="A1981" t="s">
        <v>2007</v>
      </c>
      <c r="B1981" t="s">
        <v>16</v>
      </c>
      <c r="C1981">
        <v>4</v>
      </c>
      <c r="D1981">
        <v>39786394</v>
      </c>
      <c r="E1981">
        <v>2</v>
      </c>
      <c r="F1981">
        <v>29</v>
      </c>
      <c r="G1981">
        <v>392</v>
      </c>
      <c r="H1981">
        <v>17281605</v>
      </c>
      <c r="I1981">
        <v>325783</v>
      </c>
      <c r="J1981" t="s">
        <v>25</v>
      </c>
      <c r="K1981" t="s">
        <v>30</v>
      </c>
      <c r="L1981">
        <v>7</v>
      </c>
      <c r="M1981">
        <v>75.56</v>
      </c>
      <c r="N1981">
        <v>584232</v>
      </c>
      <c r="O1981">
        <v>1</v>
      </c>
    </row>
    <row r="1982" spans="1:15">
      <c r="A1982" t="s">
        <v>2008</v>
      </c>
      <c r="B1982" t="s">
        <v>20</v>
      </c>
      <c r="C1982">
        <v>11</v>
      </c>
      <c r="D1982">
        <v>46201809</v>
      </c>
      <c r="E1982">
        <v>4</v>
      </c>
      <c r="F1982">
        <v>6</v>
      </c>
      <c r="G1982">
        <v>942</v>
      </c>
      <c r="H1982">
        <v>16549395</v>
      </c>
      <c r="I1982">
        <v>869011</v>
      </c>
      <c r="J1982" t="s">
        <v>17</v>
      </c>
      <c r="K1982" t="s">
        <v>22</v>
      </c>
      <c r="L1982">
        <v>4</v>
      </c>
      <c r="M1982">
        <v>63.01</v>
      </c>
      <c r="N1982">
        <v>432596</v>
      </c>
      <c r="O1982">
        <v>1</v>
      </c>
    </row>
    <row r="1983" spans="1:15">
      <c r="A1983" t="s">
        <v>2009</v>
      </c>
      <c r="B1983" t="s">
        <v>20</v>
      </c>
      <c r="C1983">
        <v>10</v>
      </c>
      <c r="D1983">
        <v>22554034</v>
      </c>
      <c r="E1983">
        <v>4</v>
      </c>
      <c r="F1983">
        <v>8</v>
      </c>
      <c r="G1983">
        <v>671</v>
      </c>
      <c r="H1983">
        <v>48727389</v>
      </c>
      <c r="I1983">
        <v>561010</v>
      </c>
      <c r="J1983" t="s">
        <v>17</v>
      </c>
      <c r="K1983" t="s">
        <v>18</v>
      </c>
      <c r="L1983">
        <v>7</v>
      </c>
      <c r="M1983">
        <v>85.39</v>
      </c>
      <c r="N1983">
        <v>704776</v>
      </c>
      <c r="O1983">
        <v>1</v>
      </c>
    </row>
    <row r="1984" spans="1:15">
      <c r="A1984" t="s">
        <v>2010</v>
      </c>
      <c r="B1984" t="s">
        <v>29</v>
      </c>
      <c r="C1984">
        <v>9</v>
      </c>
      <c r="D1984">
        <v>29829121</v>
      </c>
      <c r="E1984">
        <v>2</v>
      </c>
      <c r="F1984">
        <v>26</v>
      </c>
      <c r="G1984">
        <v>84</v>
      </c>
      <c r="H1984">
        <v>41235571</v>
      </c>
      <c r="I1984">
        <v>34989</v>
      </c>
      <c r="J1984" t="s">
        <v>25</v>
      </c>
      <c r="K1984" t="s">
        <v>18</v>
      </c>
      <c r="L1984">
        <v>2</v>
      </c>
      <c r="M1984">
        <v>1.56</v>
      </c>
      <c r="N1984">
        <v>962151</v>
      </c>
      <c r="O1984">
        <v>1</v>
      </c>
    </row>
    <row r="1985" spans="1:15">
      <c r="A1985" t="s">
        <v>2011</v>
      </c>
      <c r="B1985" t="s">
        <v>38</v>
      </c>
      <c r="C1985">
        <v>10</v>
      </c>
      <c r="D1985">
        <v>5281063</v>
      </c>
      <c r="E1985">
        <v>4</v>
      </c>
      <c r="F1985">
        <v>20</v>
      </c>
      <c r="G1985">
        <v>782</v>
      </c>
      <c r="H1985">
        <v>85558307</v>
      </c>
      <c r="I1985">
        <v>130220</v>
      </c>
      <c r="J1985" t="s">
        <v>21</v>
      </c>
      <c r="K1985" t="s">
        <v>18</v>
      </c>
      <c r="L1985">
        <v>2</v>
      </c>
      <c r="M1985">
        <v>45.44</v>
      </c>
      <c r="N1985">
        <v>453479</v>
      </c>
      <c r="O1985">
        <v>1</v>
      </c>
    </row>
    <row r="1986" spans="1:15">
      <c r="A1986" t="s">
        <v>2012</v>
      </c>
      <c r="B1986" t="s">
        <v>20</v>
      </c>
      <c r="C1986">
        <v>4</v>
      </c>
      <c r="D1986">
        <v>24291005</v>
      </c>
      <c r="E1986">
        <v>2</v>
      </c>
      <c r="F1986">
        <v>28</v>
      </c>
      <c r="G1986">
        <v>74</v>
      </c>
      <c r="H1986">
        <v>31268869</v>
      </c>
      <c r="I1986">
        <v>113748</v>
      </c>
      <c r="J1986" t="s">
        <v>17</v>
      </c>
      <c r="K1986" t="s">
        <v>30</v>
      </c>
      <c r="L1986">
        <v>9</v>
      </c>
      <c r="M1986">
        <v>38.369999999999997</v>
      </c>
      <c r="N1986">
        <v>305815</v>
      </c>
      <c r="O1986">
        <v>1</v>
      </c>
    </row>
    <row r="1987" spans="1:15">
      <c r="A1987" t="s">
        <v>2013</v>
      </c>
      <c r="B1987" t="s">
        <v>38</v>
      </c>
      <c r="C1987">
        <v>7</v>
      </c>
      <c r="D1987">
        <v>20313097</v>
      </c>
      <c r="E1987">
        <v>2</v>
      </c>
      <c r="F1987">
        <v>29</v>
      </c>
      <c r="G1987">
        <v>549</v>
      </c>
      <c r="H1987">
        <v>92684944</v>
      </c>
      <c r="I1987">
        <v>256266</v>
      </c>
      <c r="J1987" t="s">
        <v>21</v>
      </c>
      <c r="K1987" t="s">
        <v>30</v>
      </c>
      <c r="L1987">
        <v>5</v>
      </c>
      <c r="M1987">
        <v>74.69</v>
      </c>
      <c r="N1987">
        <v>348069</v>
      </c>
      <c r="O1987">
        <v>1</v>
      </c>
    </row>
    <row r="1988" spans="1:15">
      <c r="A1988" t="s">
        <v>2014</v>
      </c>
      <c r="B1988" t="s">
        <v>29</v>
      </c>
      <c r="C1988">
        <v>12</v>
      </c>
      <c r="D1988">
        <v>23694696</v>
      </c>
      <c r="E1988">
        <v>2</v>
      </c>
      <c r="F1988">
        <v>6</v>
      </c>
      <c r="G1988">
        <v>206</v>
      </c>
      <c r="H1988">
        <v>81504820</v>
      </c>
      <c r="I1988">
        <v>840430</v>
      </c>
      <c r="J1988" t="s">
        <v>25</v>
      </c>
      <c r="K1988" t="s">
        <v>18</v>
      </c>
      <c r="L1988">
        <v>8</v>
      </c>
      <c r="M1988">
        <v>38.32</v>
      </c>
      <c r="N1988">
        <v>85197</v>
      </c>
      <c r="O1988">
        <v>1</v>
      </c>
    </row>
    <row r="1989" spans="1:15">
      <c r="A1989" t="s">
        <v>2015</v>
      </c>
      <c r="B1989" t="s">
        <v>27</v>
      </c>
      <c r="C1989">
        <v>6</v>
      </c>
      <c r="D1989">
        <v>27426935</v>
      </c>
      <c r="E1989">
        <v>4</v>
      </c>
      <c r="F1989">
        <v>27</v>
      </c>
      <c r="G1989">
        <v>649</v>
      </c>
      <c r="H1989">
        <v>58975660</v>
      </c>
      <c r="I1989">
        <v>125808</v>
      </c>
      <c r="J1989" t="s">
        <v>21</v>
      </c>
      <c r="K1989" t="s">
        <v>22</v>
      </c>
      <c r="L1989">
        <v>3</v>
      </c>
      <c r="M1989">
        <v>42.48</v>
      </c>
      <c r="N1989">
        <v>38210</v>
      </c>
      <c r="O1989">
        <v>1</v>
      </c>
    </row>
    <row r="1990" spans="1:15">
      <c r="A1990" t="s">
        <v>2016</v>
      </c>
      <c r="B1990" t="s">
        <v>38</v>
      </c>
      <c r="C1990">
        <v>5</v>
      </c>
      <c r="D1990">
        <v>2278284</v>
      </c>
      <c r="E1990">
        <v>4</v>
      </c>
      <c r="F1990">
        <v>12</v>
      </c>
      <c r="G1990">
        <v>641</v>
      </c>
      <c r="H1990">
        <v>84555771</v>
      </c>
      <c r="I1990">
        <v>676340</v>
      </c>
      <c r="J1990" t="s">
        <v>25</v>
      </c>
      <c r="K1990" t="s">
        <v>30</v>
      </c>
      <c r="L1990">
        <v>4</v>
      </c>
      <c r="M1990">
        <v>36.31</v>
      </c>
      <c r="N1990">
        <v>238025</v>
      </c>
      <c r="O1990">
        <v>1</v>
      </c>
    </row>
    <row r="1991" spans="1:15">
      <c r="A1991" t="s">
        <v>2017</v>
      </c>
      <c r="B1991" t="s">
        <v>29</v>
      </c>
      <c r="C1991">
        <v>10</v>
      </c>
      <c r="D1991">
        <v>21039250</v>
      </c>
      <c r="E1991">
        <v>4</v>
      </c>
      <c r="F1991">
        <v>26</v>
      </c>
      <c r="G1991">
        <v>69</v>
      </c>
      <c r="H1991">
        <v>15185815</v>
      </c>
      <c r="I1991">
        <v>80979</v>
      </c>
      <c r="J1991" t="s">
        <v>25</v>
      </c>
      <c r="K1991" t="s">
        <v>22</v>
      </c>
      <c r="L1991">
        <v>8</v>
      </c>
      <c r="M1991">
        <v>85.99</v>
      </c>
      <c r="N1991">
        <v>30776</v>
      </c>
      <c r="O1991">
        <v>1</v>
      </c>
    </row>
    <row r="1992" spans="1:15">
      <c r="A1992" t="s">
        <v>2018</v>
      </c>
      <c r="B1992" t="s">
        <v>20</v>
      </c>
      <c r="C1992">
        <v>2</v>
      </c>
      <c r="D1992">
        <v>45415736</v>
      </c>
      <c r="E1992">
        <v>2</v>
      </c>
      <c r="F1992">
        <v>23</v>
      </c>
      <c r="G1992">
        <v>292</v>
      </c>
      <c r="H1992">
        <v>28225069</v>
      </c>
      <c r="I1992">
        <v>38479</v>
      </c>
      <c r="J1992" t="s">
        <v>21</v>
      </c>
      <c r="K1992" t="s">
        <v>30</v>
      </c>
      <c r="L1992">
        <v>9</v>
      </c>
      <c r="M1992">
        <v>29.49</v>
      </c>
      <c r="N1992">
        <v>644584</v>
      </c>
      <c r="O1992">
        <v>1</v>
      </c>
    </row>
    <row r="1993" spans="1:15">
      <c r="A1993" t="s">
        <v>2019</v>
      </c>
      <c r="B1993" t="s">
        <v>20</v>
      </c>
      <c r="C1993">
        <v>2</v>
      </c>
      <c r="D1993">
        <v>28731</v>
      </c>
      <c r="E1993">
        <v>1</v>
      </c>
      <c r="F1993">
        <v>8</v>
      </c>
      <c r="G1993">
        <v>885</v>
      </c>
      <c r="H1993">
        <v>80543727</v>
      </c>
      <c r="I1993">
        <v>617863</v>
      </c>
      <c r="J1993" t="s">
        <v>21</v>
      </c>
      <c r="K1993" t="s">
        <v>18</v>
      </c>
      <c r="L1993">
        <v>6</v>
      </c>
      <c r="M1993">
        <v>54.44</v>
      </c>
      <c r="N1993">
        <v>170539</v>
      </c>
      <c r="O1993">
        <v>1</v>
      </c>
    </row>
    <row r="1994" spans="1:15">
      <c r="A1994" t="s">
        <v>2020</v>
      </c>
      <c r="B1994" t="s">
        <v>27</v>
      </c>
      <c r="C1994">
        <v>5</v>
      </c>
      <c r="D1994">
        <v>7599346</v>
      </c>
      <c r="E1994">
        <v>2</v>
      </c>
      <c r="F1994">
        <v>14</v>
      </c>
      <c r="G1994">
        <v>651</v>
      </c>
      <c r="H1994">
        <v>71315781</v>
      </c>
      <c r="I1994">
        <v>411629</v>
      </c>
      <c r="J1994" t="s">
        <v>21</v>
      </c>
      <c r="K1994" t="s">
        <v>22</v>
      </c>
      <c r="L1994">
        <v>5</v>
      </c>
      <c r="M1994">
        <v>72.55</v>
      </c>
      <c r="N1994">
        <v>225553</v>
      </c>
      <c r="O1994">
        <v>1</v>
      </c>
    </row>
    <row r="1995" spans="1:15">
      <c r="A1995" t="s">
        <v>2021</v>
      </c>
      <c r="B1995" t="s">
        <v>29</v>
      </c>
      <c r="C1995">
        <v>1</v>
      </c>
      <c r="D1995">
        <v>45264499</v>
      </c>
      <c r="E1995">
        <v>4</v>
      </c>
      <c r="F1995">
        <v>20</v>
      </c>
      <c r="G1995">
        <v>739</v>
      </c>
      <c r="H1995">
        <v>45558537</v>
      </c>
      <c r="I1995">
        <v>665545</v>
      </c>
      <c r="J1995" t="s">
        <v>21</v>
      </c>
      <c r="K1995" t="s">
        <v>22</v>
      </c>
      <c r="L1995">
        <v>7</v>
      </c>
      <c r="M1995">
        <v>42.1</v>
      </c>
      <c r="N1995">
        <v>677259</v>
      </c>
      <c r="O1995">
        <v>1</v>
      </c>
    </row>
    <row r="1996" spans="1:15">
      <c r="A1996" t="s">
        <v>2022</v>
      </c>
      <c r="B1996" t="s">
        <v>27</v>
      </c>
      <c r="C1996">
        <v>12</v>
      </c>
      <c r="D1996">
        <v>16517489</v>
      </c>
      <c r="E1996">
        <v>3</v>
      </c>
      <c r="F1996">
        <v>11</v>
      </c>
      <c r="G1996">
        <v>767</v>
      </c>
      <c r="H1996">
        <v>1190440</v>
      </c>
      <c r="I1996">
        <v>383737</v>
      </c>
      <c r="J1996" t="s">
        <v>21</v>
      </c>
      <c r="K1996" t="s">
        <v>18</v>
      </c>
      <c r="L1996">
        <v>2</v>
      </c>
      <c r="M1996">
        <v>21.06</v>
      </c>
      <c r="N1996">
        <v>982339</v>
      </c>
      <c r="O1996">
        <v>1</v>
      </c>
    </row>
    <row r="1997" spans="1:15">
      <c r="A1997" t="s">
        <v>2023</v>
      </c>
      <c r="B1997" t="s">
        <v>32</v>
      </c>
      <c r="C1997">
        <v>6</v>
      </c>
      <c r="D1997">
        <v>7983266</v>
      </c>
      <c r="E1997">
        <v>1</v>
      </c>
      <c r="F1997">
        <v>0</v>
      </c>
      <c r="G1997">
        <v>660</v>
      </c>
      <c r="H1997">
        <v>87868924</v>
      </c>
      <c r="I1997">
        <v>945284</v>
      </c>
      <c r="J1997" t="s">
        <v>21</v>
      </c>
      <c r="K1997" t="s">
        <v>30</v>
      </c>
      <c r="L1997">
        <v>5</v>
      </c>
      <c r="M1997">
        <v>58.85</v>
      </c>
      <c r="N1997">
        <v>588989</v>
      </c>
      <c r="O1997">
        <v>1</v>
      </c>
    </row>
    <row r="1998" spans="1:15">
      <c r="A1998" t="s">
        <v>2024</v>
      </c>
      <c r="B1998" t="s">
        <v>24</v>
      </c>
      <c r="C1998">
        <v>13</v>
      </c>
      <c r="D1998">
        <v>37208496</v>
      </c>
      <c r="E1998">
        <v>2</v>
      </c>
      <c r="F1998">
        <v>13</v>
      </c>
      <c r="G1998">
        <v>743</v>
      </c>
      <c r="H1998">
        <v>43263188</v>
      </c>
      <c r="I1998">
        <v>935442</v>
      </c>
      <c r="J1998" t="s">
        <v>25</v>
      </c>
      <c r="K1998" t="s">
        <v>18</v>
      </c>
      <c r="L1998">
        <v>9</v>
      </c>
      <c r="M1998">
        <v>63.03</v>
      </c>
      <c r="N1998">
        <v>133159</v>
      </c>
      <c r="O1998">
        <v>1</v>
      </c>
    </row>
    <row r="1999" spans="1:15">
      <c r="A1999" t="s">
        <v>2025</v>
      </c>
      <c r="B1999" t="s">
        <v>27</v>
      </c>
      <c r="C1999">
        <v>0</v>
      </c>
      <c r="D1999">
        <v>5116420</v>
      </c>
      <c r="E1999">
        <v>1</v>
      </c>
      <c r="F1999">
        <v>3</v>
      </c>
      <c r="G1999">
        <v>278</v>
      </c>
      <c r="H1999">
        <v>51353344</v>
      </c>
      <c r="I1999">
        <v>309462</v>
      </c>
      <c r="J1999" t="s">
        <v>17</v>
      </c>
      <c r="K1999" t="s">
        <v>22</v>
      </c>
      <c r="L1999">
        <v>9</v>
      </c>
      <c r="M1999">
        <v>20.5</v>
      </c>
      <c r="N1999">
        <v>449946</v>
      </c>
      <c r="O1999">
        <v>1</v>
      </c>
    </row>
    <row r="2000" spans="1:15">
      <c r="A2000" t="s">
        <v>2026</v>
      </c>
      <c r="B2000" t="s">
        <v>29</v>
      </c>
      <c r="C2000">
        <v>4</v>
      </c>
      <c r="D2000">
        <v>23649198</v>
      </c>
      <c r="E2000">
        <v>1</v>
      </c>
      <c r="F2000">
        <v>25</v>
      </c>
      <c r="G2000">
        <v>719</v>
      </c>
      <c r="H2000">
        <v>25458355</v>
      </c>
      <c r="I2000">
        <v>326536</v>
      </c>
      <c r="J2000" t="s">
        <v>21</v>
      </c>
      <c r="K2000" t="s">
        <v>18</v>
      </c>
      <c r="L2000">
        <v>7</v>
      </c>
      <c r="M2000">
        <v>28.46</v>
      </c>
      <c r="N2000">
        <v>528871</v>
      </c>
      <c r="O2000">
        <v>1</v>
      </c>
    </row>
    <row r="2001" spans="1:15">
      <c r="A2001" t="s">
        <v>2027</v>
      </c>
      <c r="B2001" t="s">
        <v>29</v>
      </c>
      <c r="C2001">
        <v>4</v>
      </c>
      <c r="D2001">
        <v>48754752</v>
      </c>
      <c r="E2001">
        <v>2</v>
      </c>
      <c r="F2001">
        <v>11</v>
      </c>
      <c r="G2001">
        <v>518</v>
      </c>
      <c r="H2001">
        <v>75021222</v>
      </c>
      <c r="I2001">
        <v>32955</v>
      </c>
      <c r="J2001" t="s">
        <v>17</v>
      </c>
      <c r="K2001" t="s">
        <v>22</v>
      </c>
      <c r="L2001">
        <v>4</v>
      </c>
      <c r="M2001">
        <v>4.7300000000000004</v>
      </c>
      <c r="N2001">
        <v>78317</v>
      </c>
      <c r="O2001">
        <v>1</v>
      </c>
    </row>
    <row r="2002" spans="1:15">
      <c r="A2002" t="s">
        <v>2028</v>
      </c>
      <c r="B2002" t="s">
        <v>20</v>
      </c>
      <c r="C2002">
        <v>6</v>
      </c>
      <c r="D2002">
        <v>36964762</v>
      </c>
      <c r="E2002">
        <v>1</v>
      </c>
      <c r="F2002">
        <v>6</v>
      </c>
      <c r="G2002">
        <v>147</v>
      </c>
      <c r="H2002">
        <v>23302946</v>
      </c>
      <c r="I2002">
        <v>627376</v>
      </c>
      <c r="J2002" t="s">
        <v>21</v>
      </c>
      <c r="K2002" t="s">
        <v>18</v>
      </c>
      <c r="L2002">
        <v>8</v>
      </c>
      <c r="M2002">
        <v>10.59</v>
      </c>
      <c r="N2002">
        <v>758156</v>
      </c>
      <c r="O2002">
        <v>1</v>
      </c>
    </row>
    <row r="2003" spans="1:15">
      <c r="A2003" t="s">
        <v>2029</v>
      </c>
      <c r="B2003" t="s">
        <v>20</v>
      </c>
      <c r="C2003">
        <v>9</v>
      </c>
      <c r="D2003">
        <v>16118689</v>
      </c>
      <c r="E2003">
        <v>4</v>
      </c>
      <c r="F2003">
        <v>11</v>
      </c>
      <c r="G2003">
        <v>921</v>
      </c>
      <c r="H2003">
        <v>13909556</v>
      </c>
      <c r="I2003">
        <v>980739</v>
      </c>
      <c r="J2003" t="s">
        <v>17</v>
      </c>
      <c r="K2003" t="s">
        <v>30</v>
      </c>
      <c r="L2003">
        <v>7</v>
      </c>
      <c r="M2003">
        <v>11.34</v>
      </c>
      <c r="N2003">
        <v>249346</v>
      </c>
      <c r="O2003">
        <v>1</v>
      </c>
    </row>
    <row r="2004" spans="1:15">
      <c r="A2004" t="s">
        <v>2030</v>
      </c>
      <c r="B2004" t="s">
        <v>16</v>
      </c>
      <c r="C2004">
        <v>3</v>
      </c>
      <c r="D2004">
        <v>1475984</v>
      </c>
      <c r="E2004">
        <v>3</v>
      </c>
      <c r="F2004">
        <v>13</v>
      </c>
      <c r="G2004">
        <v>483</v>
      </c>
      <c r="H2004">
        <v>58785370</v>
      </c>
      <c r="I2004">
        <v>390606</v>
      </c>
      <c r="J2004" t="s">
        <v>21</v>
      </c>
      <c r="K2004" t="s">
        <v>18</v>
      </c>
      <c r="L2004">
        <v>4</v>
      </c>
      <c r="M2004">
        <v>61.18</v>
      </c>
      <c r="N2004">
        <v>157195</v>
      </c>
      <c r="O2004">
        <v>1</v>
      </c>
    </row>
    <row r="2005" spans="1:15">
      <c r="A2005" t="s">
        <v>2031</v>
      </c>
      <c r="B2005" t="s">
        <v>27</v>
      </c>
      <c r="C2005">
        <v>14</v>
      </c>
      <c r="D2005">
        <v>29379992</v>
      </c>
      <c r="E2005">
        <v>3</v>
      </c>
      <c r="F2005">
        <v>29</v>
      </c>
      <c r="G2005">
        <v>688</v>
      </c>
      <c r="H2005">
        <v>95849656</v>
      </c>
      <c r="I2005">
        <v>987859</v>
      </c>
      <c r="J2005" t="s">
        <v>25</v>
      </c>
      <c r="K2005" t="s">
        <v>22</v>
      </c>
      <c r="L2005">
        <v>2</v>
      </c>
      <c r="M2005">
        <v>26.15</v>
      </c>
      <c r="N2005">
        <v>608770</v>
      </c>
      <c r="O2005">
        <v>1</v>
      </c>
    </row>
    <row r="2006" spans="1:15">
      <c r="A2006" t="s">
        <v>2032</v>
      </c>
      <c r="B2006" t="s">
        <v>27</v>
      </c>
      <c r="C2006">
        <v>2</v>
      </c>
      <c r="D2006">
        <v>22012837</v>
      </c>
      <c r="E2006">
        <v>4</v>
      </c>
      <c r="F2006">
        <v>18</v>
      </c>
      <c r="G2006">
        <v>673</v>
      </c>
      <c r="H2006">
        <v>36986948</v>
      </c>
      <c r="I2006">
        <v>30145</v>
      </c>
      <c r="J2006" t="s">
        <v>17</v>
      </c>
      <c r="K2006" t="s">
        <v>22</v>
      </c>
      <c r="L2006">
        <v>2</v>
      </c>
      <c r="M2006">
        <v>24.82</v>
      </c>
      <c r="N2006">
        <v>620412</v>
      </c>
      <c r="O2006">
        <v>1</v>
      </c>
    </row>
    <row r="2007" spans="1:15">
      <c r="A2007" t="s">
        <v>2033</v>
      </c>
      <c r="B2007" t="s">
        <v>24</v>
      </c>
      <c r="C2007">
        <v>5</v>
      </c>
      <c r="D2007">
        <v>22426606</v>
      </c>
      <c r="E2007">
        <v>4</v>
      </c>
      <c r="F2007">
        <v>22</v>
      </c>
      <c r="G2007">
        <v>786</v>
      </c>
      <c r="H2007">
        <v>85307902</v>
      </c>
      <c r="I2007">
        <v>400368</v>
      </c>
      <c r="J2007" t="s">
        <v>17</v>
      </c>
      <c r="K2007" t="s">
        <v>22</v>
      </c>
      <c r="L2007">
        <v>3</v>
      </c>
      <c r="M2007">
        <v>49.22</v>
      </c>
      <c r="N2007">
        <v>504893</v>
      </c>
      <c r="O2007">
        <v>1</v>
      </c>
    </row>
    <row r="2008" spans="1:15">
      <c r="A2008" t="s">
        <v>2034</v>
      </c>
      <c r="B2008" t="s">
        <v>27</v>
      </c>
      <c r="C2008">
        <v>0</v>
      </c>
      <c r="D2008">
        <v>48288162</v>
      </c>
      <c r="E2008">
        <v>1</v>
      </c>
      <c r="F2008">
        <v>17</v>
      </c>
      <c r="G2008">
        <v>205</v>
      </c>
      <c r="H2008">
        <v>30477155</v>
      </c>
      <c r="I2008">
        <v>684298</v>
      </c>
      <c r="J2008" t="s">
        <v>17</v>
      </c>
      <c r="K2008" t="s">
        <v>18</v>
      </c>
      <c r="L2008">
        <v>1</v>
      </c>
      <c r="M2008">
        <v>64.75</v>
      </c>
      <c r="N2008">
        <v>238124</v>
      </c>
      <c r="O2008">
        <v>1</v>
      </c>
    </row>
    <row r="2009" spans="1:15">
      <c r="A2009" t="s">
        <v>2035</v>
      </c>
      <c r="B2009" t="s">
        <v>24</v>
      </c>
      <c r="C2009">
        <v>2</v>
      </c>
      <c r="D2009">
        <v>40538716</v>
      </c>
      <c r="E2009">
        <v>1</v>
      </c>
      <c r="F2009">
        <v>0</v>
      </c>
      <c r="G2009">
        <v>780</v>
      </c>
      <c r="H2009">
        <v>87736870</v>
      </c>
      <c r="I2009">
        <v>206433</v>
      </c>
      <c r="J2009" t="s">
        <v>17</v>
      </c>
      <c r="K2009" t="s">
        <v>30</v>
      </c>
      <c r="L2009">
        <v>7</v>
      </c>
      <c r="M2009">
        <v>17.54</v>
      </c>
      <c r="N2009">
        <v>222851</v>
      </c>
      <c r="O2009">
        <v>1</v>
      </c>
    </row>
    <row r="2010" spans="1:15">
      <c r="A2010" t="s">
        <v>2036</v>
      </c>
      <c r="B2010" t="s">
        <v>24</v>
      </c>
      <c r="C2010">
        <v>13</v>
      </c>
      <c r="D2010">
        <v>7451767</v>
      </c>
      <c r="E2010">
        <v>3</v>
      </c>
      <c r="F2010">
        <v>12</v>
      </c>
      <c r="G2010">
        <v>370</v>
      </c>
      <c r="H2010">
        <v>7373192</v>
      </c>
      <c r="I2010">
        <v>670775</v>
      </c>
      <c r="J2010" t="s">
        <v>21</v>
      </c>
      <c r="K2010" t="s">
        <v>22</v>
      </c>
      <c r="L2010">
        <v>5</v>
      </c>
      <c r="M2010">
        <v>94.46</v>
      </c>
      <c r="N2010">
        <v>969011</v>
      </c>
      <c r="O2010">
        <v>1</v>
      </c>
    </row>
    <row r="2011" spans="1:15">
      <c r="A2011" t="s">
        <v>2037</v>
      </c>
      <c r="B2011" t="s">
        <v>27</v>
      </c>
      <c r="C2011">
        <v>14</v>
      </c>
      <c r="D2011">
        <v>21383526</v>
      </c>
      <c r="E2011">
        <v>4</v>
      </c>
      <c r="F2011">
        <v>8</v>
      </c>
      <c r="G2011">
        <v>933</v>
      </c>
      <c r="H2011">
        <v>75545391</v>
      </c>
      <c r="I2011">
        <v>322254</v>
      </c>
      <c r="J2011" t="s">
        <v>17</v>
      </c>
      <c r="K2011" t="s">
        <v>30</v>
      </c>
      <c r="L2011">
        <v>8</v>
      </c>
      <c r="M2011">
        <v>12.03</v>
      </c>
      <c r="N2011">
        <v>776267</v>
      </c>
      <c r="O2011">
        <v>1</v>
      </c>
    </row>
    <row r="2012" spans="1:15">
      <c r="A2012" t="s">
        <v>2038</v>
      </c>
      <c r="B2012" t="s">
        <v>24</v>
      </c>
      <c r="C2012">
        <v>6</v>
      </c>
      <c r="D2012">
        <v>39056778</v>
      </c>
      <c r="E2012">
        <v>1</v>
      </c>
      <c r="F2012">
        <v>20</v>
      </c>
      <c r="G2012">
        <v>12</v>
      </c>
      <c r="H2012">
        <v>22356060</v>
      </c>
      <c r="I2012">
        <v>734465</v>
      </c>
      <c r="J2012" t="s">
        <v>17</v>
      </c>
      <c r="K2012" t="s">
        <v>18</v>
      </c>
      <c r="L2012">
        <v>1</v>
      </c>
      <c r="M2012">
        <v>73.59</v>
      </c>
      <c r="N2012">
        <v>668195</v>
      </c>
      <c r="O2012">
        <v>1</v>
      </c>
    </row>
    <row r="2013" spans="1:15">
      <c r="A2013" t="s">
        <v>2039</v>
      </c>
      <c r="B2013" t="s">
        <v>24</v>
      </c>
      <c r="C2013">
        <v>1</v>
      </c>
      <c r="D2013">
        <v>3644860</v>
      </c>
      <c r="E2013">
        <v>2</v>
      </c>
      <c r="F2013">
        <v>6</v>
      </c>
      <c r="G2013">
        <v>663</v>
      </c>
      <c r="H2013">
        <v>30424619</v>
      </c>
      <c r="I2013">
        <v>244049</v>
      </c>
      <c r="J2013" t="s">
        <v>25</v>
      </c>
      <c r="K2013" t="s">
        <v>30</v>
      </c>
      <c r="L2013">
        <v>3</v>
      </c>
      <c r="M2013">
        <v>28.28</v>
      </c>
      <c r="N2013">
        <v>111281</v>
      </c>
      <c r="O2013">
        <v>1</v>
      </c>
    </row>
    <row r="2014" spans="1:15">
      <c r="A2014" t="s">
        <v>2040</v>
      </c>
      <c r="B2014" t="s">
        <v>24</v>
      </c>
      <c r="C2014">
        <v>9</v>
      </c>
      <c r="D2014">
        <v>10763866</v>
      </c>
      <c r="E2014">
        <v>2</v>
      </c>
      <c r="F2014">
        <v>0</v>
      </c>
      <c r="G2014">
        <v>477</v>
      </c>
      <c r="H2014">
        <v>86607591</v>
      </c>
      <c r="I2014">
        <v>980845</v>
      </c>
      <c r="J2014" t="s">
        <v>21</v>
      </c>
      <c r="K2014" t="s">
        <v>22</v>
      </c>
      <c r="L2014">
        <v>2</v>
      </c>
      <c r="M2014">
        <v>45.91</v>
      </c>
      <c r="N2014">
        <v>342014</v>
      </c>
      <c r="O2014">
        <v>1</v>
      </c>
    </row>
    <row r="2015" spans="1:15">
      <c r="A2015" t="s">
        <v>2041</v>
      </c>
      <c r="B2015" t="s">
        <v>16</v>
      </c>
      <c r="C2015">
        <v>9</v>
      </c>
      <c r="D2015">
        <v>31191764</v>
      </c>
      <c r="E2015">
        <v>4</v>
      </c>
      <c r="F2015">
        <v>27</v>
      </c>
      <c r="G2015">
        <v>522</v>
      </c>
      <c r="H2015">
        <v>53549678</v>
      </c>
      <c r="I2015">
        <v>673562</v>
      </c>
      <c r="J2015" t="s">
        <v>21</v>
      </c>
      <c r="K2015" t="s">
        <v>18</v>
      </c>
      <c r="L2015">
        <v>3</v>
      </c>
      <c r="M2015">
        <v>78.77</v>
      </c>
      <c r="N2015">
        <v>353132</v>
      </c>
      <c r="O2015">
        <v>1</v>
      </c>
    </row>
    <row r="2016" spans="1:15">
      <c r="A2016" t="s">
        <v>2042</v>
      </c>
      <c r="B2016" t="s">
        <v>32</v>
      </c>
      <c r="C2016">
        <v>3</v>
      </c>
      <c r="D2016">
        <v>33554288</v>
      </c>
      <c r="E2016">
        <v>1</v>
      </c>
      <c r="F2016">
        <v>23</v>
      </c>
      <c r="G2016">
        <v>883</v>
      </c>
      <c r="H2016">
        <v>23656362</v>
      </c>
      <c r="I2016">
        <v>215106</v>
      </c>
      <c r="J2016" t="s">
        <v>17</v>
      </c>
      <c r="K2016" t="s">
        <v>18</v>
      </c>
      <c r="L2016">
        <v>6</v>
      </c>
      <c r="M2016">
        <v>50.46</v>
      </c>
      <c r="N2016">
        <v>981610</v>
      </c>
      <c r="O2016">
        <v>1</v>
      </c>
    </row>
    <row r="2017" spans="1:15">
      <c r="A2017" t="s">
        <v>2043</v>
      </c>
      <c r="B2017" t="s">
        <v>24</v>
      </c>
      <c r="C2017">
        <v>1</v>
      </c>
      <c r="D2017">
        <v>13182465</v>
      </c>
      <c r="E2017">
        <v>1</v>
      </c>
      <c r="F2017">
        <v>6</v>
      </c>
      <c r="G2017">
        <v>144</v>
      </c>
      <c r="H2017">
        <v>41293009</v>
      </c>
      <c r="I2017">
        <v>503444</v>
      </c>
      <c r="J2017" t="s">
        <v>17</v>
      </c>
      <c r="K2017" t="s">
        <v>22</v>
      </c>
      <c r="L2017">
        <v>4</v>
      </c>
      <c r="M2017">
        <v>98.95</v>
      </c>
      <c r="N2017">
        <v>421219</v>
      </c>
      <c r="O2017">
        <v>1</v>
      </c>
    </row>
    <row r="2018" spans="1:15">
      <c r="A2018" t="s">
        <v>2044</v>
      </c>
      <c r="B2018" t="s">
        <v>16</v>
      </c>
      <c r="C2018">
        <v>8</v>
      </c>
      <c r="D2018">
        <v>28375568</v>
      </c>
      <c r="E2018">
        <v>1</v>
      </c>
      <c r="F2018">
        <v>18</v>
      </c>
      <c r="G2018">
        <v>273</v>
      </c>
      <c r="H2018">
        <v>63240956</v>
      </c>
      <c r="I2018">
        <v>334714</v>
      </c>
      <c r="J2018" t="s">
        <v>17</v>
      </c>
      <c r="K2018" t="s">
        <v>30</v>
      </c>
      <c r="L2018">
        <v>8</v>
      </c>
      <c r="M2018">
        <v>10.15</v>
      </c>
      <c r="N2018">
        <v>394045</v>
      </c>
      <c r="O2018">
        <v>1</v>
      </c>
    </row>
    <row r="2019" spans="1:15">
      <c r="A2019" t="s">
        <v>2045</v>
      </c>
      <c r="B2019" t="s">
        <v>20</v>
      </c>
      <c r="C2019">
        <v>1</v>
      </c>
      <c r="D2019">
        <v>35756442</v>
      </c>
      <c r="E2019">
        <v>2</v>
      </c>
      <c r="F2019">
        <v>25</v>
      </c>
      <c r="G2019">
        <v>71</v>
      </c>
      <c r="H2019">
        <v>79558043</v>
      </c>
      <c r="I2019">
        <v>321838</v>
      </c>
      <c r="J2019" t="s">
        <v>25</v>
      </c>
      <c r="K2019" t="s">
        <v>18</v>
      </c>
      <c r="L2019">
        <v>5</v>
      </c>
      <c r="M2019">
        <v>43.75</v>
      </c>
      <c r="N2019">
        <v>896427</v>
      </c>
      <c r="O2019">
        <v>1</v>
      </c>
    </row>
    <row r="2020" spans="1:15">
      <c r="A2020" t="s">
        <v>2046</v>
      </c>
      <c r="B2020" t="s">
        <v>16</v>
      </c>
      <c r="C2020">
        <v>3</v>
      </c>
      <c r="D2020">
        <v>5618901</v>
      </c>
      <c r="E2020">
        <v>1</v>
      </c>
      <c r="F2020">
        <v>10</v>
      </c>
      <c r="G2020">
        <v>718</v>
      </c>
      <c r="H2020">
        <v>46290406</v>
      </c>
      <c r="I2020">
        <v>448908</v>
      </c>
      <c r="J2020" t="s">
        <v>25</v>
      </c>
      <c r="K2020" t="s">
        <v>18</v>
      </c>
      <c r="L2020">
        <v>4</v>
      </c>
      <c r="M2020">
        <v>88.86</v>
      </c>
      <c r="N2020">
        <v>701996</v>
      </c>
      <c r="O2020">
        <v>1</v>
      </c>
    </row>
    <row r="2021" spans="1:15">
      <c r="A2021" t="s">
        <v>2047</v>
      </c>
      <c r="B2021" t="s">
        <v>16</v>
      </c>
      <c r="C2021">
        <v>5</v>
      </c>
      <c r="D2021">
        <v>12109231</v>
      </c>
      <c r="E2021">
        <v>1</v>
      </c>
      <c r="F2021">
        <v>29</v>
      </c>
      <c r="G2021">
        <v>577</v>
      </c>
      <c r="H2021">
        <v>67281227</v>
      </c>
      <c r="I2021">
        <v>441411</v>
      </c>
      <c r="J2021" t="s">
        <v>21</v>
      </c>
      <c r="K2021" t="s">
        <v>22</v>
      </c>
      <c r="L2021">
        <v>8</v>
      </c>
      <c r="M2021">
        <v>99.47</v>
      </c>
      <c r="N2021">
        <v>512159</v>
      </c>
      <c r="O2021">
        <v>1</v>
      </c>
    </row>
    <row r="2022" spans="1:15">
      <c r="A2022" t="s">
        <v>2048</v>
      </c>
      <c r="B2022" t="s">
        <v>32</v>
      </c>
      <c r="C2022">
        <v>3</v>
      </c>
      <c r="D2022">
        <v>6255218</v>
      </c>
      <c r="E2022">
        <v>4</v>
      </c>
      <c r="F2022">
        <v>4</v>
      </c>
      <c r="G2022">
        <v>217</v>
      </c>
      <c r="H2022">
        <v>85631038</v>
      </c>
      <c r="I2022">
        <v>297807</v>
      </c>
      <c r="J2022" t="s">
        <v>21</v>
      </c>
      <c r="K2022" t="s">
        <v>18</v>
      </c>
      <c r="L2022">
        <v>1</v>
      </c>
      <c r="M2022">
        <v>30.51</v>
      </c>
      <c r="N2022">
        <v>749199</v>
      </c>
      <c r="O2022">
        <v>1</v>
      </c>
    </row>
    <row r="2023" spans="1:15">
      <c r="A2023" t="s">
        <v>2049</v>
      </c>
      <c r="B2023" t="s">
        <v>20</v>
      </c>
      <c r="C2023">
        <v>4</v>
      </c>
      <c r="D2023">
        <v>2055614</v>
      </c>
      <c r="E2023">
        <v>4</v>
      </c>
      <c r="F2023">
        <v>18</v>
      </c>
      <c r="G2023">
        <v>916</v>
      </c>
      <c r="H2023">
        <v>75448352</v>
      </c>
      <c r="I2023">
        <v>507404</v>
      </c>
      <c r="J2023" t="s">
        <v>25</v>
      </c>
      <c r="K2023" t="s">
        <v>18</v>
      </c>
      <c r="L2023">
        <v>8</v>
      </c>
      <c r="M2023">
        <v>69.41</v>
      </c>
      <c r="N2023">
        <v>87443</v>
      </c>
      <c r="O2023">
        <v>1</v>
      </c>
    </row>
    <row r="2024" spans="1:15">
      <c r="A2024" t="s">
        <v>2050</v>
      </c>
      <c r="B2024" t="s">
        <v>24</v>
      </c>
      <c r="C2024">
        <v>7</v>
      </c>
      <c r="D2024">
        <v>18394842</v>
      </c>
      <c r="E2024">
        <v>4</v>
      </c>
      <c r="F2024">
        <v>0</v>
      </c>
      <c r="G2024">
        <v>782</v>
      </c>
      <c r="H2024">
        <v>40771814</v>
      </c>
      <c r="I2024">
        <v>790940</v>
      </c>
      <c r="J2024" t="s">
        <v>25</v>
      </c>
      <c r="K2024" t="s">
        <v>18</v>
      </c>
      <c r="L2024">
        <v>4</v>
      </c>
      <c r="M2024">
        <v>63.26</v>
      </c>
      <c r="N2024">
        <v>453877</v>
      </c>
      <c r="O2024">
        <v>1</v>
      </c>
    </row>
    <row r="2025" spans="1:15">
      <c r="A2025" t="s">
        <v>2051</v>
      </c>
      <c r="B2025" t="s">
        <v>16</v>
      </c>
      <c r="C2025">
        <v>6</v>
      </c>
      <c r="D2025">
        <v>31153669</v>
      </c>
      <c r="E2025">
        <v>3</v>
      </c>
      <c r="F2025">
        <v>10</v>
      </c>
      <c r="G2025">
        <v>643</v>
      </c>
      <c r="H2025">
        <v>73849342</v>
      </c>
      <c r="I2025">
        <v>36898</v>
      </c>
      <c r="J2025" t="s">
        <v>25</v>
      </c>
      <c r="K2025" t="s">
        <v>30</v>
      </c>
      <c r="L2025">
        <v>9</v>
      </c>
      <c r="M2025">
        <v>1.43</v>
      </c>
      <c r="N2025">
        <v>454096</v>
      </c>
      <c r="O2025">
        <v>1</v>
      </c>
    </row>
    <row r="2026" spans="1:15">
      <c r="A2026" t="s">
        <v>2052</v>
      </c>
      <c r="B2026" t="s">
        <v>16</v>
      </c>
      <c r="C2026">
        <v>8</v>
      </c>
      <c r="D2026">
        <v>39548817</v>
      </c>
      <c r="E2026">
        <v>1</v>
      </c>
      <c r="F2026">
        <v>18</v>
      </c>
      <c r="G2026">
        <v>866</v>
      </c>
      <c r="H2026">
        <v>4353526</v>
      </c>
      <c r="I2026">
        <v>879706</v>
      </c>
      <c r="J2026" t="s">
        <v>17</v>
      </c>
      <c r="K2026" t="s">
        <v>18</v>
      </c>
      <c r="L2026">
        <v>5</v>
      </c>
      <c r="M2026">
        <v>15.72</v>
      </c>
      <c r="N2026">
        <v>919161</v>
      </c>
      <c r="O2026">
        <v>1</v>
      </c>
    </row>
    <row r="2027" spans="1:15">
      <c r="A2027" t="s">
        <v>2053</v>
      </c>
      <c r="B2027" t="s">
        <v>16</v>
      </c>
      <c r="C2027">
        <v>1</v>
      </c>
      <c r="D2027">
        <v>2666958</v>
      </c>
      <c r="E2027">
        <v>3</v>
      </c>
      <c r="F2027">
        <v>29</v>
      </c>
      <c r="G2027">
        <v>768</v>
      </c>
      <c r="H2027">
        <v>36340973</v>
      </c>
      <c r="I2027">
        <v>531941</v>
      </c>
      <c r="J2027" t="s">
        <v>25</v>
      </c>
      <c r="K2027" t="s">
        <v>22</v>
      </c>
      <c r="L2027">
        <v>5</v>
      </c>
      <c r="M2027">
        <v>68.41</v>
      </c>
      <c r="N2027">
        <v>896364</v>
      </c>
      <c r="O2027">
        <v>1</v>
      </c>
    </row>
    <row r="2028" spans="1:15">
      <c r="A2028" t="s">
        <v>2054</v>
      </c>
      <c r="B2028" t="s">
        <v>24</v>
      </c>
      <c r="C2028">
        <v>8</v>
      </c>
      <c r="D2028">
        <v>37711115</v>
      </c>
      <c r="E2028">
        <v>2</v>
      </c>
      <c r="F2028">
        <v>18</v>
      </c>
      <c r="G2028">
        <v>174</v>
      </c>
      <c r="H2028">
        <v>57164152</v>
      </c>
      <c r="I2028">
        <v>111000</v>
      </c>
      <c r="J2028" t="s">
        <v>25</v>
      </c>
      <c r="K2028" t="s">
        <v>30</v>
      </c>
      <c r="L2028">
        <v>3</v>
      </c>
      <c r="M2028">
        <v>23.19</v>
      </c>
      <c r="N2028">
        <v>589429</v>
      </c>
      <c r="O2028">
        <v>1</v>
      </c>
    </row>
    <row r="2029" spans="1:15">
      <c r="A2029" t="s">
        <v>2055</v>
      </c>
      <c r="B2029" t="s">
        <v>38</v>
      </c>
      <c r="C2029">
        <v>8</v>
      </c>
      <c r="D2029">
        <v>31138539</v>
      </c>
      <c r="E2029">
        <v>4</v>
      </c>
      <c r="F2029">
        <v>10</v>
      </c>
      <c r="G2029">
        <v>866</v>
      </c>
      <c r="H2029">
        <v>26463514</v>
      </c>
      <c r="I2029">
        <v>495173</v>
      </c>
      <c r="J2029" t="s">
        <v>17</v>
      </c>
      <c r="K2029" t="s">
        <v>18</v>
      </c>
      <c r="L2029">
        <v>2</v>
      </c>
      <c r="M2029">
        <v>3.07</v>
      </c>
      <c r="N2029">
        <v>289924</v>
      </c>
      <c r="O2029">
        <v>1</v>
      </c>
    </row>
    <row r="2030" spans="1:15">
      <c r="A2030" t="s">
        <v>2056</v>
      </c>
      <c r="B2030" t="s">
        <v>32</v>
      </c>
      <c r="C2030">
        <v>10</v>
      </c>
      <c r="D2030">
        <v>41780737</v>
      </c>
      <c r="E2030">
        <v>1</v>
      </c>
      <c r="F2030">
        <v>17</v>
      </c>
      <c r="G2030">
        <v>91</v>
      </c>
      <c r="H2030">
        <v>38934757</v>
      </c>
      <c r="I2030">
        <v>106545</v>
      </c>
      <c r="J2030" t="s">
        <v>17</v>
      </c>
      <c r="K2030" t="s">
        <v>30</v>
      </c>
      <c r="L2030">
        <v>2</v>
      </c>
      <c r="M2030">
        <v>31.75</v>
      </c>
      <c r="N2030">
        <v>753161</v>
      </c>
      <c r="O2030">
        <v>1</v>
      </c>
    </row>
    <row r="2031" spans="1:15">
      <c r="A2031" t="s">
        <v>2057</v>
      </c>
      <c r="B2031" t="s">
        <v>16</v>
      </c>
      <c r="C2031">
        <v>13</v>
      </c>
      <c r="D2031">
        <v>11168290</v>
      </c>
      <c r="E2031">
        <v>4</v>
      </c>
      <c r="F2031">
        <v>12</v>
      </c>
      <c r="G2031">
        <v>764</v>
      </c>
      <c r="H2031">
        <v>71101304</v>
      </c>
      <c r="I2031">
        <v>215508</v>
      </c>
      <c r="J2031" t="s">
        <v>25</v>
      </c>
      <c r="K2031" t="s">
        <v>22</v>
      </c>
      <c r="L2031">
        <v>1</v>
      </c>
      <c r="M2031">
        <v>38.479999999999997</v>
      </c>
      <c r="N2031">
        <v>201679</v>
      </c>
      <c r="O2031">
        <v>1</v>
      </c>
    </row>
    <row r="2032" spans="1:15">
      <c r="A2032" t="s">
        <v>2058</v>
      </c>
      <c r="B2032" t="s">
        <v>29</v>
      </c>
      <c r="C2032">
        <v>2</v>
      </c>
      <c r="D2032">
        <v>41706459</v>
      </c>
      <c r="E2032">
        <v>2</v>
      </c>
      <c r="F2032">
        <v>11</v>
      </c>
      <c r="G2032">
        <v>925</v>
      </c>
      <c r="H2032">
        <v>11455872</v>
      </c>
      <c r="I2032">
        <v>503542</v>
      </c>
      <c r="J2032" t="s">
        <v>25</v>
      </c>
      <c r="K2032" t="s">
        <v>18</v>
      </c>
      <c r="L2032">
        <v>1</v>
      </c>
      <c r="M2032">
        <v>32.799999999999997</v>
      </c>
      <c r="N2032">
        <v>203682</v>
      </c>
      <c r="O2032">
        <v>1</v>
      </c>
    </row>
    <row r="2033" spans="1:15">
      <c r="A2033" t="s">
        <v>2059</v>
      </c>
      <c r="B2033" t="s">
        <v>32</v>
      </c>
      <c r="C2033">
        <v>13</v>
      </c>
      <c r="D2033">
        <v>22142651</v>
      </c>
      <c r="E2033">
        <v>4</v>
      </c>
      <c r="F2033">
        <v>21</v>
      </c>
      <c r="G2033">
        <v>262</v>
      </c>
      <c r="H2033">
        <v>73264123</v>
      </c>
      <c r="I2033">
        <v>203988</v>
      </c>
      <c r="J2033" t="s">
        <v>21</v>
      </c>
      <c r="K2033" t="s">
        <v>18</v>
      </c>
      <c r="L2033">
        <v>8</v>
      </c>
      <c r="M2033">
        <v>68.760000000000005</v>
      </c>
      <c r="N2033">
        <v>804531</v>
      </c>
      <c r="O2033">
        <v>1</v>
      </c>
    </row>
    <row r="2034" spans="1:15">
      <c r="A2034" t="s">
        <v>2060</v>
      </c>
      <c r="B2034" t="s">
        <v>16</v>
      </c>
      <c r="C2034">
        <v>11</v>
      </c>
      <c r="D2034">
        <v>189334</v>
      </c>
      <c r="E2034">
        <v>2</v>
      </c>
      <c r="F2034">
        <v>15</v>
      </c>
      <c r="G2034">
        <v>309</v>
      </c>
      <c r="H2034">
        <v>91363981</v>
      </c>
      <c r="I2034">
        <v>444805</v>
      </c>
      <c r="J2034" t="s">
        <v>21</v>
      </c>
      <c r="K2034" t="s">
        <v>22</v>
      </c>
      <c r="L2034">
        <v>5</v>
      </c>
      <c r="M2034">
        <v>73.569999999999993</v>
      </c>
      <c r="N2034">
        <v>820716</v>
      </c>
      <c r="O2034">
        <v>1</v>
      </c>
    </row>
    <row r="2035" spans="1:15">
      <c r="A2035" t="s">
        <v>2061</v>
      </c>
      <c r="B2035" t="s">
        <v>29</v>
      </c>
      <c r="C2035">
        <v>2</v>
      </c>
      <c r="D2035">
        <v>6442263</v>
      </c>
      <c r="E2035">
        <v>2</v>
      </c>
      <c r="F2035">
        <v>22</v>
      </c>
      <c r="G2035">
        <v>295</v>
      </c>
      <c r="H2035">
        <v>97050505</v>
      </c>
      <c r="I2035">
        <v>523792</v>
      </c>
      <c r="J2035" t="s">
        <v>25</v>
      </c>
      <c r="K2035" t="s">
        <v>18</v>
      </c>
      <c r="L2035">
        <v>1</v>
      </c>
      <c r="M2035">
        <v>98.06</v>
      </c>
      <c r="N2035">
        <v>435101</v>
      </c>
      <c r="O2035">
        <v>1</v>
      </c>
    </row>
    <row r="2036" spans="1:15">
      <c r="A2036" t="s">
        <v>2062</v>
      </c>
      <c r="B2036" t="s">
        <v>16</v>
      </c>
      <c r="C2036">
        <v>4</v>
      </c>
      <c r="D2036">
        <v>9420274</v>
      </c>
      <c r="E2036">
        <v>4</v>
      </c>
      <c r="F2036">
        <v>2</v>
      </c>
      <c r="G2036">
        <v>598</v>
      </c>
      <c r="H2036">
        <v>50920938</v>
      </c>
      <c r="I2036">
        <v>501831</v>
      </c>
      <c r="J2036" t="s">
        <v>17</v>
      </c>
      <c r="K2036" t="s">
        <v>22</v>
      </c>
      <c r="L2036">
        <v>5</v>
      </c>
      <c r="M2036">
        <v>10.07</v>
      </c>
      <c r="N2036">
        <v>626393</v>
      </c>
      <c r="O2036">
        <v>1</v>
      </c>
    </row>
    <row r="2037" spans="1:15">
      <c r="A2037" t="s">
        <v>2063</v>
      </c>
      <c r="B2037" t="s">
        <v>27</v>
      </c>
      <c r="C2037">
        <v>3</v>
      </c>
      <c r="D2037">
        <v>21899333</v>
      </c>
      <c r="E2037">
        <v>3</v>
      </c>
      <c r="F2037">
        <v>10</v>
      </c>
      <c r="G2037">
        <v>16</v>
      </c>
      <c r="H2037">
        <v>64956372</v>
      </c>
      <c r="I2037">
        <v>229083</v>
      </c>
      <c r="J2037" t="s">
        <v>17</v>
      </c>
      <c r="K2037" t="s">
        <v>18</v>
      </c>
      <c r="L2037">
        <v>3</v>
      </c>
      <c r="M2037">
        <v>97.64</v>
      </c>
      <c r="N2037">
        <v>430885</v>
      </c>
      <c r="O2037">
        <v>1</v>
      </c>
    </row>
    <row r="2038" spans="1:15">
      <c r="A2038" t="s">
        <v>2064</v>
      </c>
      <c r="B2038" t="s">
        <v>16</v>
      </c>
      <c r="C2038">
        <v>7</v>
      </c>
      <c r="D2038">
        <v>43872835</v>
      </c>
      <c r="E2038">
        <v>3</v>
      </c>
      <c r="F2038">
        <v>12</v>
      </c>
      <c r="G2038">
        <v>714</v>
      </c>
      <c r="H2038">
        <v>80694892</v>
      </c>
      <c r="I2038">
        <v>554014</v>
      </c>
      <c r="J2038" t="s">
        <v>25</v>
      </c>
      <c r="K2038" t="s">
        <v>30</v>
      </c>
      <c r="L2038">
        <v>4</v>
      </c>
      <c r="M2038">
        <v>69</v>
      </c>
      <c r="N2038">
        <v>842502</v>
      </c>
      <c r="O2038">
        <v>1</v>
      </c>
    </row>
    <row r="2039" spans="1:15">
      <c r="A2039" t="s">
        <v>2065</v>
      </c>
      <c r="B2039" t="s">
        <v>16</v>
      </c>
      <c r="C2039">
        <v>8</v>
      </c>
      <c r="D2039">
        <v>32564006</v>
      </c>
      <c r="E2039">
        <v>2</v>
      </c>
      <c r="F2039">
        <v>26</v>
      </c>
      <c r="G2039">
        <v>121</v>
      </c>
      <c r="H2039">
        <v>28287464</v>
      </c>
      <c r="I2039">
        <v>669511</v>
      </c>
      <c r="J2039" t="s">
        <v>25</v>
      </c>
      <c r="K2039" t="s">
        <v>22</v>
      </c>
      <c r="L2039">
        <v>2</v>
      </c>
      <c r="M2039">
        <v>92.48</v>
      </c>
      <c r="N2039">
        <v>881521</v>
      </c>
      <c r="O2039">
        <v>1</v>
      </c>
    </row>
    <row r="2040" spans="1:15">
      <c r="A2040" t="s">
        <v>2066</v>
      </c>
      <c r="B2040" t="s">
        <v>24</v>
      </c>
      <c r="C2040">
        <v>6</v>
      </c>
      <c r="D2040">
        <v>7740313</v>
      </c>
      <c r="E2040">
        <v>2</v>
      </c>
      <c r="F2040">
        <v>0</v>
      </c>
      <c r="G2040">
        <v>21</v>
      </c>
      <c r="H2040">
        <v>76439006</v>
      </c>
      <c r="I2040">
        <v>849352</v>
      </c>
      <c r="J2040" t="s">
        <v>25</v>
      </c>
      <c r="K2040" t="s">
        <v>22</v>
      </c>
      <c r="L2040">
        <v>2</v>
      </c>
      <c r="M2040">
        <v>26.23</v>
      </c>
      <c r="N2040">
        <v>948002</v>
      </c>
      <c r="O2040">
        <v>1</v>
      </c>
    </row>
    <row r="2041" spans="1:15">
      <c r="A2041" t="s">
        <v>2067</v>
      </c>
      <c r="B2041" t="s">
        <v>16</v>
      </c>
      <c r="C2041">
        <v>1</v>
      </c>
      <c r="D2041">
        <v>2114533</v>
      </c>
      <c r="E2041">
        <v>4</v>
      </c>
      <c r="F2041">
        <v>2</v>
      </c>
      <c r="G2041">
        <v>970</v>
      </c>
      <c r="H2041">
        <v>17781574</v>
      </c>
      <c r="I2041">
        <v>52055</v>
      </c>
      <c r="J2041" t="s">
        <v>25</v>
      </c>
      <c r="K2041" t="s">
        <v>30</v>
      </c>
      <c r="L2041">
        <v>9</v>
      </c>
      <c r="M2041">
        <v>70.17</v>
      </c>
      <c r="N2041">
        <v>839829</v>
      </c>
      <c r="O2041">
        <v>1</v>
      </c>
    </row>
    <row r="2042" spans="1:15">
      <c r="A2042" t="s">
        <v>2068</v>
      </c>
      <c r="B2042" t="s">
        <v>38</v>
      </c>
      <c r="C2042">
        <v>9</v>
      </c>
      <c r="D2042">
        <v>26584214</v>
      </c>
      <c r="E2042">
        <v>4</v>
      </c>
      <c r="F2042">
        <v>0</v>
      </c>
      <c r="G2042">
        <v>307</v>
      </c>
      <c r="H2042">
        <v>25715004</v>
      </c>
      <c r="I2042">
        <v>667372</v>
      </c>
      <c r="J2042" t="s">
        <v>21</v>
      </c>
      <c r="K2042" t="s">
        <v>18</v>
      </c>
      <c r="L2042">
        <v>6</v>
      </c>
      <c r="M2042">
        <v>17.48</v>
      </c>
      <c r="N2042">
        <v>654739</v>
      </c>
      <c r="O2042">
        <v>1</v>
      </c>
    </row>
    <row r="2043" spans="1:15">
      <c r="A2043" t="s">
        <v>2069</v>
      </c>
      <c r="B2043" t="s">
        <v>29</v>
      </c>
      <c r="C2043">
        <v>7</v>
      </c>
      <c r="D2043">
        <v>13872616</v>
      </c>
      <c r="E2043">
        <v>2</v>
      </c>
      <c r="F2043">
        <v>27</v>
      </c>
      <c r="G2043">
        <v>177</v>
      </c>
      <c r="H2043">
        <v>33067435</v>
      </c>
      <c r="I2043">
        <v>50275</v>
      </c>
      <c r="J2043" t="s">
        <v>21</v>
      </c>
      <c r="K2043" t="s">
        <v>22</v>
      </c>
      <c r="L2043">
        <v>3</v>
      </c>
      <c r="M2043">
        <v>32.99</v>
      </c>
      <c r="N2043">
        <v>930001</v>
      </c>
      <c r="O2043">
        <v>1</v>
      </c>
    </row>
    <row r="2044" spans="1:15">
      <c r="A2044" t="s">
        <v>2070</v>
      </c>
      <c r="B2044" t="s">
        <v>32</v>
      </c>
      <c r="C2044">
        <v>13</v>
      </c>
      <c r="D2044">
        <v>18169629</v>
      </c>
      <c r="E2044">
        <v>4</v>
      </c>
      <c r="F2044">
        <v>11</v>
      </c>
      <c r="G2044">
        <v>438</v>
      </c>
      <c r="H2044">
        <v>80273005</v>
      </c>
      <c r="I2044">
        <v>254225</v>
      </c>
      <c r="J2044" t="s">
        <v>17</v>
      </c>
      <c r="K2044" t="s">
        <v>18</v>
      </c>
      <c r="L2044">
        <v>1</v>
      </c>
      <c r="M2044">
        <v>60.32</v>
      </c>
      <c r="N2044">
        <v>614562</v>
      </c>
      <c r="O2044">
        <v>1</v>
      </c>
    </row>
    <row r="2045" spans="1:15">
      <c r="A2045" t="s">
        <v>2071</v>
      </c>
      <c r="B2045" t="s">
        <v>38</v>
      </c>
      <c r="C2045">
        <v>8</v>
      </c>
      <c r="D2045">
        <v>15777335</v>
      </c>
      <c r="E2045">
        <v>2</v>
      </c>
      <c r="F2045">
        <v>17</v>
      </c>
      <c r="G2045">
        <v>621</v>
      </c>
      <c r="H2045">
        <v>16919889</v>
      </c>
      <c r="I2045">
        <v>807910</v>
      </c>
      <c r="J2045" t="s">
        <v>17</v>
      </c>
      <c r="K2045" t="s">
        <v>18</v>
      </c>
      <c r="L2045">
        <v>1</v>
      </c>
      <c r="M2045">
        <v>46.91</v>
      </c>
      <c r="N2045">
        <v>377526</v>
      </c>
      <c r="O2045">
        <v>1</v>
      </c>
    </row>
    <row r="2046" spans="1:15">
      <c r="A2046" t="s">
        <v>2072</v>
      </c>
      <c r="B2046" t="s">
        <v>38</v>
      </c>
      <c r="C2046">
        <v>11</v>
      </c>
      <c r="D2046">
        <v>1870875</v>
      </c>
      <c r="E2046">
        <v>4</v>
      </c>
      <c r="F2046">
        <v>28</v>
      </c>
      <c r="G2046">
        <v>752</v>
      </c>
      <c r="H2046">
        <v>75420471</v>
      </c>
      <c r="I2046">
        <v>472446</v>
      </c>
      <c r="J2046" t="s">
        <v>17</v>
      </c>
      <c r="K2046" t="s">
        <v>18</v>
      </c>
      <c r="L2046">
        <v>1</v>
      </c>
      <c r="M2046">
        <v>23.94</v>
      </c>
      <c r="N2046">
        <v>198734</v>
      </c>
      <c r="O2046">
        <v>1</v>
      </c>
    </row>
    <row r="2047" spans="1:15">
      <c r="A2047" t="s">
        <v>2073</v>
      </c>
      <c r="B2047" t="s">
        <v>24</v>
      </c>
      <c r="C2047">
        <v>8</v>
      </c>
      <c r="D2047">
        <v>17195877</v>
      </c>
      <c r="E2047">
        <v>4</v>
      </c>
      <c r="F2047">
        <v>17</v>
      </c>
      <c r="G2047">
        <v>424</v>
      </c>
      <c r="H2047">
        <v>9838020</v>
      </c>
      <c r="I2047">
        <v>760419</v>
      </c>
      <c r="J2047" t="s">
        <v>17</v>
      </c>
      <c r="K2047" t="s">
        <v>18</v>
      </c>
      <c r="L2047">
        <v>7</v>
      </c>
      <c r="M2047">
        <v>39.06</v>
      </c>
      <c r="N2047">
        <v>743564</v>
      </c>
      <c r="O2047">
        <v>1</v>
      </c>
    </row>
    <row r="2048" spans="1:15">
      <c r="A2048" t="s">
        <v>2074</v>
      </c>
      <c r="B2048" t="s">
        <v>20</v>
      </c>
      <c r="C2048">
        <v>12</v>
      </c>
      <c r="D2048">
        <v>2719152</v>
      </c>
      <c r="E2048">
        <v>4</v>
      </c>
      <c r="F2048">
        <v>12</v>
      </c>
      <c r="G2048">
        <v>464</v>
      </c>
      <c r="H2048">
        <v>58480320</v>
      </c>
      <c r="I2048">
        <v>189185</v>
      </c>
      <c r="J2048" t="s">
        <v>17</v>
      </c>
      <c r="K2048" t="s">
        <v>18</v>
      </c>
      <c r="L2048">
        <v>5</v>
      </c>
      <c r="M2048">
        <v>58.22</v>
      </c>
      <c r="N2048">
        <v>935183</v>
      </c>
      <c r="O2048">
        <v>1</v>
      </c>
    </row>
    <row r="2049" spans="1:15">
      <c r="A2049" t="s">
        <v>2075</v>
      </c>
      <c r="B2049" t="s">
        <v>38</v>
      </c>
      <c r="C2049">
        <v>11</v>
      </c>
      <c r="D2049">
        <v>41866787</v>
      </c>
      <c r="E2049">
        <v>4</v>
      </c>
      <c r="F2049">
        <v>4</v>
      </c>
      <c r="G2049">
        <v>678</v>
      </c>
      <c r="H2049">
        <v>40236984</v>
      </c>
      <c r="I2049">
        <v>168338</v>
      </c>
      <c r="J2049" t="s">
        <v>25</v>
      </c>
      <c r="K2049" t="s">
        <v>18</v>
      </c>
      <c r="L2049">
        <v>8</v>
      </c>
      <c r="M2049">
        <v>11.24</v>
      </c>
      <c r="N2049">
        <v>572014</v>
      </c>
      <c r="O2049">
        <v>1</v>
      </c>
    </row>
    <row r="2050" spans="1:15">
      <c r="A2050" t="s">
        <v>2076</v>
      </c>
      <c r="B2050" t="s">
        <v>38</v>
      </c>
      <c r="C2050">
        <v>4</v>
      </c>
      <c r="D2050">
        <v>48167961</v>
      </c>
      <c r="E2050">
        <v>3</v>
      </c>
      <c r="F2050">
        <v>2</v>
      </c>
      <c r="G2050">
        <v>277</v>
      </c>
      <c r="H2050">
        <v>6638994</v>
      </c>
      <c r="I2050">
        <v>301386</v>
      </c>
      <c r="J2050" t="s">
        <v>21</v>
      </c>
      <c r="K2050" t="s">
        <v>22</v>
      </c>
      <c r="L2050">
        <v>1</v>
      </c>
      <c r="M2050">
        <v>51.69</v>
      </c>
      <c r="N2050">
        <v>52439</v>
      </c>
      <c r="O2050">
        <v>1</v>
      </c>
    </row>
    <row r="2051" spans="1:15">
      <c r="A2051" t="s">
        <v>2077</v>
      </c>
      <c r="B2051" t="s">
        <v>20</v>
      </c>
      <c r="C2051">
        <v>1</v>
      </c>
      <c r="D2051">
        <v>25436599</v>
      </c>
      <c r="E2051">
        <v>1</v>
      </c>
      <c r="F2051">
        <v>12</v>
      </c>
      <c r="G2051">
        <v>716</v>
      </c>
      <c r="H2051">
        <v>12432074</v>
      </c>
      <c r="I2051">
        <v>184351</v>
      </c>
      <c r="J2051" t="s">
        <v>21</v>
      </c>
      <c r="K2051" t="s">
        <v>18</v>
      </c>
      <c r="L2051">
        <v>3</v>
      </c>
      <c r="M2051">
        <v>54.28</v>
      </c>
      <c r="N2051">
        <v>497854</v>
      </c>
      <c r="O2051">
        <v>1</v>
      </c>
    </row>
    <row r="2052" spans="1:15">
      <c r="A2052" t="s">
        <v>2078</v>
      </c>
      <c r="B2052" t="s">
        <v>29</v>
      </c>
      <c r="C2052">
        <v>2</v>
      </c>
      <c r="D2052">
        <v>26608403</v>
      </c>
      <c r="E2052">
        <v>3</v>
      </c>
      <c r="F2052">
        <v>8</v>
      </c>
      <c r="G2052">
        <v>852</v>
      </c>
      <c r="H2052">
        <v>34219933</v>
      </c>
      <c r="I2052">
        <v>400822</v>
      </c>
      <c r="J2052" t="s">
        <v>25</v>
      </c>
      <c r="K2052" t="s">
        <v>18</v>
      </c>
      <c r="L2052">
        <v>6</v>
      </c>
      <c r="M2052">
        <v>42.27</v>
      </c>
      <c r="N2052">
        <v>608701</v>
      </c>
      <c r="O2052">
        <v>1</v>
      </c>
    </row>
    <row r="2053" spans="1:15">
      <c r="A2053" t="s">
        <v>2079</v>
      </c>
      <c r="B2053" t="s">
        <v>20</v>
      </c>
      <c r="C2053">
        <v>13</v>
      </c>
      <c r="D2053">
        <v>30211986</v>
      </c>
      <c r="E2053">
        <v>3</v>
      </c>
      <c r="F2053">
        <v>12</v>
      </c>
      <c r="G2053">
        <v>742</v>
      </c>
      <c r="H2053">
        <v>51226085</v>
      </c>
      <c r="I2053">
        <v>634044</v>
      </c>
      <c r="J2053" t="s">
        <v>21</v>
      </c>
      <c r="K2053" t="s">
        <v>22</v>
      </c>
      <c r="L2053">
        <v>1</v>
      </c>
      <c r="M2053">
        <v>72.92</v>
      </c>
      <c r="N2053">
        <v>25878</v>
      </c>
      <c r="O2053">
        <v>1</v>
      </c>
    </row>
    <row r="2054" spans="1:15">
      <c r="A2054" t="s">
        <v>2080</v>
      </c>
      <c r="B2054" t="s">
        <v>20</v>
      </c>
      <c r="C2054">
        <v>0</v>
      </c>
      <c r="D2054">
        <v>37415383</v>
      </c>
      <c r="E2054">
        <v>4</v>
      </c>
      <c r="F2054">
        <v>17</v>
      </c>
      <c r="G2054">
        <v>837</v>
      </c>
      <c r="H2054">
        <v>95533126</v>
      </c>
      <c r="I2054">
        <v>841638</v>
      </c>
      <c r="J2054" t="s">
        <v>21</v>
      </c>
      <c r="K2054" t="s">
        <v>22</v>
      </c>
      <c r="L2054">
        <v>3</v>
      </c>
      <c r="M2054">
        <v>62.11</v>
      </c>
      <c r="N2054">
        <v>716668</v>
      </c>
      <c r="O2054">
        <v>1</v>
      </c>
    </row>
    <row r="2055" spans="1:15">
      <c r="A2055" t="s">
        <v>2081</v>
      </c>
      <c r="B2055" t="s">
        <v>38</v>
      </c>
      <c r="C2055">
        <v>14</v>
      </c>
      <c r="D2055">
        <v>31421280</v>
      </c>
      <c r="E2055">
        <v>1</v>
      </c>
      <c r="F2055">
        <v>7</v>
      </c>
      <c r="G2055">
        <v>687</v>
      </c>
      <c r="H2055">
        <v>75411042</v>
      </c>
      <c r="I2055">
        <v>823902</v>
      </c>
      <c r="J2055" t="s">
        <v>25</v>
      </c>
      <c r="K2055" t="s">
        <v>22</v>
      </c>
      <c r="L2055">
        <v>1</v>
      </c>
      <c r="M2055">
        <v>35.26</v>
      </c>
      <c r="N2055">
        <v>102343</v>
      </c>
      <c r="O2055">
        <v>1</v>
      </c>
    </row>
    <row r="2056" spans="1:15">
      <c r="A2056" t="s">
        <v>2082</v>
      </c>
      <c r="B2056" t="s">
        <v>16</v>
      </c>
      <c r="C2056">
        <v>0</v>
      </c>
      <c r="D2056">
        <v>33346372</v>
      </c>
      <c r="E2056">
        <v>2</v>
      </c>
      <c r="F2056">
        <v>2</v>
      </c>
      <c r="G2056">
        <v>926</v>
      </c>
      <c r="H2056">
        <v>91149838</v>
      </c>
      <c r="I2056">
        <v>301552</v>
      </c>
      <c r="J2056" t="s">
        <v>25</v>
      </c>
      <c r="K2056" t="s">
        <v>30</v>
      </c>
      <c r="L2056">
        <v>5</v>
      </c>
      <c r="M2056">
        <v>32.020000000000003</v>
      </c>
      <c r="N2056">
        <v>386110</v>
      </c>
      <c r="O2056">
        <v>1</v>
      </c>
    </row>
    <row r="2057" spans="1:15">
      <c r="A2057" t="s">
        <v>2083</v>
      </c>
      <c r="B2057" t="s">
        <v>38</v>
      </c>
      <c r="C2057">
        <v>10</v>
      </c>
      <c r="D2057">
        <v>42849857</v>
      </c>
      <c r="E2057">
        <v>4</v>
      </c>
      <c r="F2057">
        <v>20</v>
      </c>
      <c r="G2057">
        <v>525</v>
      </c>
      <c r="H2057">
        <v>72941235</v>
      </c>
      <c r="I2057">
        <v>514274</v>
      </c>
      <c r="J2057" t="s">
        <v>25</v>
      </c>
      <c r="K2057" t="s">
        <v>30</v>
      </c>
      <c r="L2057">
        <v>2</v>
      </c>
      <c r="M2057">
        <v>96.94</v>
      </c>
      <c r="N2057">
        <v>740942</v>
      </c>
      <c r="O2057">
        <v>1</v>
      </c>
    </row>
    <row r="2058" spans="1:15">
      <c r="A2058" t="s">
        <v>2084</v>
      </c>
      <c r="B2058" t="s">
        <v>16</v>
      </c>
      <c r="C2058">
        <v>7</v>
      </c>
      <c r="D2058">
        <v>42471217</v>
      </c>
      <c r="E2058">
        <v>3</v>
      </c>
      <c r="F2058">
        <v>27</v>
      </c>
      <c r="G2058">
        <v>483</v>
      </c>
      <c r="H2058">
        <v>36866628</v>
      </c>
      <c r="I2058">
        <v>462940</v>
      </c>
      <c r="J2058" t="s">
        <v>21</v>
      </c>
      <c r="K2058" t="s">
        <v>18</v>
      </c>
      <c r="L2058">
        <v>7</v>
      </c>
      <c r="M2058">
        <v>36.950000000000003</v>
      </c>
      <c r="N2058">
        <v>864806</v>
      </c>
      <c r="O2058">
        <v>1</v>
      </c>
    </row>
    <row r="2059" spans="1:15">
      <c r="A2059" t="s">
        <v>2085</v>
      </c>
      <c r="B2059" t="s">
        <v>38</v>
      </c>
      <c r="C2059">
        <v>11</v>
      </c>
      <c r="D2059">
        <v>22665014</v>
      </c>
      <c r="E2059">
        <v>3</v>
      </c>
      <c r="F2059">
        <v>18</v>
      </c>
      <c r="G2059">
        <v>183</v>
      </c>
      <c r="H2059">
        <v>89604587</v>
      </c>
      <c r="I2059">
        <v>647655</v>
      </c>
      <c r="J2059" t="s">
        <v>17</v>
      </c>
      <c r="K2059" t="s">
        <v>30</v>
      </c>
      <c r="L2059">
        <v>2</v>
      </c>
      <c r="M2059">
        <v>19.07</v>
      </c>
      <c r="N2059">
        <v>506042</v>
      </c>
      <c r="O2059">
        <v>1</v>
      </c>
    </row>
    <row r="2060" spans="1:15">
      <c r="A2060" t="s">
        <v>2086</v>
      </c>
      <c r="B2060" t="s">
        <v>27</v>
      </c>
      <c r="C2060">
        <v>11</v>
      </c>
      <c r="D2060">
        <v>46484801</v>
      </c>
      <c r="E2060">
        <v>1</v>
      </c>
      <c r="F2060">
        <v>22</v>
      </c>
      <c r="G2060">
        <v>900</v>
      </c>
      <c r="H2060">
        <v>91456846</v>
      </c>
      <c r="I2060">
        <v>816088</v>
      </c>
      <c r="J2060" t="s">
        <v>25</v>
      </c>
      <c r="K2060" t="s">
        <v>30</v>
      </c>
      <c r="L2060">
        <v>9</v>
      </c>
      <c r="M2060">
        <v>56.68</v>
      </c>
      <c r="N2060">
        <v>739554</v>
      </c>
      <c r="O2060">
        <v>1</v>
      </c>
    </row>
    <row r="2061" spans="1:15">
      <c r="A2061" t="s">
        <v>2087</v>
      </c>
      <c r="B2061" t="s">
        <v>24</v>
      </c>
      <c r="C2061">
        <v>1</v>
      </c>
      <c r="D2061">
        <v>41007780</v>
      </c>
      <c r="E2061">
        <v>4</v>
      </c>
      <c r="F2061">
        <v>2</v>
      </c>
      <c r="G2061">
        <v>287</v>
      </c>
      <c r="H2061">
        <v>66272772</v>
      </c>
      <c r="I2061">
        <v>20870</v>
      </c>
      <c r="J2061" t="s">
        <v>21</v>
      </c>
      <c r="K2061" t="s">
        <v>22</v>
      </c>
      <c r="L2061">
        <v>6</v>
      </c>
      <c r="M2061">
        <v>23.6</v>
      </c>
      <c r="N2061">
        <v>832278</v>
      </c>
      <c r="O2061">
        <v>1</v>
      </c>
    </row>
    <row r="2062" spans="1:15">
      <c r="A2062" t="s">
        <v>2088</v>
      </c>
      <c r="B2062" t="s">
        <v>24</v>
      </c>
      <c r="C2062">
        <v>7</v>
      </c>
      <c r="D2062">
        <v>21023412</v>
      </c>
      <c r="E2062">
        <v>1</v>
      </c>
      <c r="F2062">
        <v>14</v>
      </c>
      <c r="G2062">
        <v>113</v>
      </c>
      <c r="H2062">
        <v>61480976</v>
      </c>
      <c r="I2062">
        <v>956309</v>
      </c>
      <c r="J2062" t="s">
        <v>17</v>
      </c>
      <c r="K2062" t="s">
        <v>18</v>
      </c>
      <c r="L2062">
        <v>5</v>
      </c>
      <c r="M2062">
        <v>93.18</v>
      </c>
      <c r="N2062">
        <v>152393</v>
      </c>
      <c r="O2062">
        <v>1</v>
      </c>
    </row>
    <row r="2063" spans="1:15">
      <c r="A2063" t="s">
        <v>2089</v>
      </c>
      <c r="B2063" t="s">
        <v>29</v>
      </c>
      <c r="C2063">
        <v>14</v>
      </c>
      <c r="D2063">
        <v>45353775</v>
      </c>
      <c r="E2063">
        <v>1</v>
      </c>
      <c r="F2063">
        <v>9</v>
      </c>
      <c r="G2063">
        <v>971</v>
      </c>
      <c r="H2063">
        <v>92274149</v>
      </c>
      <c r="I2063">
        <v>179353</v>
      </c>
      <c r="J2063" t="s">
        <v>25</v>
      </c>
      <c r="K2063" t="s">
        <v>30</v>
      </c>
      <c r="L2063">
        <v>8</v>
      </c>
      <c r="M2063">
        <v>8.2100000000000009</v>
      </c>
      <c r="N2063">
        <v>362456</v>
      </c>
      <c r="O2063">
        <v>1</v>
      </c>
    </row>
    <row r="2064" spans="1:15">
      <c r="A2064" t="s">
        <v>2090</v>
      </c>
      <c r="B2064" t="s">
        <v>16</v>
      </c>
      <c r="C2064">
        <v>6</v>
      </c>
      <c r="D2064">
        <v>7635861</v>
      </c>
      <c r="E2064">
        <v>1</v>
      </c>
      <c r="F2064">
        <v>24</v>
      </c>
      <c r="G2064">
        <v>680</v>
      </c>
      <c r="H2064">
        <v>99804076</v>
      </c>
      <c r="I2064">
        <v>949602</v>
      </c>
      <c r="J2064" t="s">
        <v>25</v>
      </c>
      <c r="K2064" t="s">
        <v>30</v>
      </c>
      <c r="L2064">
        <v>1</v>
      </c>
      <c r="M2064">
        <v>5.26</v>
      </c>
      <c r="N2064">
        <v>622446</v>
      </c>
      <c r="O2064">
        <v>1</v>
      </c>
    </row>
    <row r="2065" spans="1:15">
      <c r="A2065" t="s">
        <v>2091</v>
      </c>
      <c r="B2065" t="s">
        <v>20</v>
      </c>
      <c r="C2065">
        <v>1</v>
      </c>
      <c r="D2065">
        <v>43824663</v>
      </c>
      <c r="E2065">
        <v>2</v>
      </c>
      <c r="F2065">
        <v>20</v>
      </c>
      <c r="G2065">
        <v>485</v>
      </c>
      <c r="H2065">
        <v>92067743</v>
      </c>
      <c r="I2065">
        <v>784553</v>
      </c>
      <c r="J2065" t="s">
        <v>25</v>
      </c>
      <c r="K2065" t="s">
        <v>22</v>
      </c>
      <c r="L2065">
        <v>8</v>
      </c>
      <c r="M2065">
        <v>14.07</v>
      </c>
      <c r="N2065">
        <v>300561</v>
      </c>
      <c r="O2065">
        <v>1</v>
      </c>
    </row>
    <row r="2066" spans="1:15">
      <c r="A2066" t="s">
        <v>2092</v>
      </c>
      <c r="B2066" t="s">
        <v>32</v>
      </c>
      <c r="C2066">
        <v>7</v>
      </c>
      <c r="D2066">
        <v>28507969</v>
      </c>
      <c r="E2066">
        <v>2</v>
      </c>
      <c r="F2066">
        <v>9</v>
      </c>
      <c r="G2066">
        <v>930</v>
      </c>
      <c r="H2066">
        <v>67283668</v>
      </c>
      <c r="I2066">
        <v>866072</v>
      </c>
      <c r="J2066" t="s">
        <v>17</v>
      </c>
      <c r="K2066" t="s">
        <v>22</v>
      </c>
      <c r="L2066">
        <v>4</v>
      </c>
      <c r="M2066">
        <v>12.18</v>
      </c>
      <c r="N2066">
        <v>719287</v>
      </c>
      <c r="O2066">
        <v>1</v>
      </c>
    </row>
    <row r="2067" spans="1:15">
      <c r="A2067" t="s">
        <v>2093</v>
      </c>
      <c r="B2067" t="s">
        <v>20</v>
      </c>
      <c r="C2067">
        <v>6</v>
      </c>
      <c r="D2067">
        <v>49414774</v>
      </c>
      <c r="E2067">
        <v>4</v>
      </c>
      <c r="F2067">
        <v>29</v>
      </c>
      <c r="G2067">
        <v>684</v>
      </c>
      <c r="H2067">
        <v>61257692</v>
      </c>
      <c r="I2067">
        <v>641424</v>
      </c>
      <c r="J2067" t="s">
        <v>17</v>
      </c>
      <c r="K2067" t="s">
        <v>30</v>
      </c>
      <c r="L2067">
        <v>8</v>
      </c>
      <c r="M2067">
        <v>24.86</v>
      </c>
      <c r="N2067">
        <v>945001</v>
      </c>
      <c r="O2067">
        <v>1</v>
      </c>
    </row>
    <row r="2068" spans="1:15">
      <c r="A2068" t="s">
        <v>2094</v>
      </c>
      <c r="B2068" t="s">
        <v>38</v>
      </c>
      <c r="C2068">
        <v>7</v>
      </c>
      <c r="D2068">
        <v>18033406</v>
      </c>
      <c r="E2068">
        <v>2</v>
      </c>
      <c r="F2068">
        <v>11</v>
      </c>
      <c r="G2068">
        <v>695</v>
      </c>
      <c r="H2068">
        <v>1698750</v>
      </c>
      <c r="I2068">
        <v>894873</v>
      </c>
      <c r="J2068" t="s">
        <v>25</v>
      </c>
      <c r="K2068" t="s">
        <v>30</v>
      </c>
      <c r="L2068">
        <v>3</v>
      </c>
      <c r="M2068">
        <v>64.78</v>
      </c>
      <c r="N2068">
        <v>535139</v>
      </c>
      <c r="O2068">
        <v>1</v>
      </c>
    </row>
    <row r="2069" spans="1:15">
      <c r="A2069" t="s">
        <v>2095</v>
      </c>
      <c r="B2069" t="s">
        <v>20</v>
      </c>
      <c r="C2069">
        <v>6</v>
      </c>
      <c r="D2069">
        <v>47833663</v>
      </c>
      <c r="E2069">
        <v>1</v>
      </c>
      <c r="F2069">
        <v>28</v>
      </c>
      <c r="G2069">
        <v>771</v>
      </c>
      <c r="H2069">
        <v>59975389</v>
      </c>
      <c r="I2069">
        <v>704618</v>
      </c>
      <c r="J2069" t="s">
        <v>17</v>
      </c>
      <c r="K2069" t="s">
        <v>30</v>
      </c>
      <c r="L2069">
        <v>1</v>
      </c>
      <c r="M2069">
        <v>10.52</v>
      </c>
      <c r="N2069">
        <v>591248</v>
      </c>
      <c r="O2069">
        <v>1</v>
      </c>
    </row>
    <row r="2070" spans="1:15">
      <c r="A2070" t="s">
        <v>2096</v>
      </c>
      <c r="B2070" t="s">
        <v>27</v>
      </c>
      <c r="C2070">
        <v>14</v>
      </c>
      <c r="D2070">
        <v>16788362</v>
      </c>
      <c r="E2070">
        <v>2</v>
      </c>
      <c r="F2070">
        <v>11</v>
      </c>
      <c r="G2070">
        <v>417</v>
      </c>
      <c r="H2070">
        <v>61349668</v>
      </c>
      <c r="I2070">
        <v>969422</v>
      </c>
      <c r="J2070" t="s">
        <v>21</v>
      </c>
      <c r="K2070" t="s">
        <v>22</v>
      </c>
      <c r="L2070">
        <v>1</v>
      </c>
      <c r="M2070">
        <v>75.23</v>
      </c>
      <c r="N2070">
        <v>878031</v>
      </c>
      <c r="O2070">
        <v>1</v>
      </c>
    </row>
    <row r="2071" spans="1:15">
      <c r="A2071" t="s">
        <v>2097</v>
      </c>
      <c r="B2071" t="s">
        <v>38</v>
      </c>
      <c r="C2071">
        <v>7</v>
      </c>
      <c r="D2071">
        <v>31176715</v>
      </c>
      <c r="E2071">
        <v>1</v>
      </c>
      <c r="F2071">
        <v>19</v>
      </c>
      <c r="G2071">
        <v>732</v>
      </c>
      <c r="H2071">
        <v>64257286</v>
      </c>
      <c r="I2071">
        <v>923877</v>
      </c>
      <c r="J2071" t="s">
        <v>17</v>
      </c>
      <c r="K2071" t="s">
        <v>18</v>
      </c>
      <c r="L2071">
        <v>7</v>
      </c>
      <c r="M2071">
        <v>74.709999999999994</v>
      </c>
      <c r="N2071">
        <v>449058</v>
      </c>
      <c r="O2071">
        <v>1</v>
      </c>
    </row>
    <row r="2072" spans="1:15">
      <c r="A2072" t="s">
        <v>2098</v>
      </c>
      <c r="B2072" t="s">
        <v>27</v>
      </c>
      <c r="C2072">
        <v>12</v>
      </c>
      <c r="D2072">
        <v>38852021</v>
      </c>
      <c r="E2072">
        <v>2</v>
      </c>
      <c r="F2072">
        <v>16</v>
      </c>
      <c r="G2072">
        <v>354</v>
      </c>
      <c r="H2072">
        <v>1995688</v>
      </c>
      <c r="I2072">
        <v>746011</v>
      </c>
      <c r="J2072" t="s">
        <v>17</v>
      </c>
      <c r="K2072" t="s">
        <v>18</v>
      </c>
      <c r="L2072">
        <v>1</v>
      </c>
      <c r="M2072">
        <v>99.18</v>
      </c>
      <c r="N2072">
        <v>873168</v>
      </c>
      <c r="O2072">
        <v>1</v>
      </c>
    </row>
    <row r="2073" spans="1:15">
      <c r="A2073" t="s">
        <v>2099</v>
      </c>
      <c r="B2073" t="s">
        <v>38</v>
      </c>
      <c r="C2073">
        <v>8</v>
      </c>
      <c r="D2073">
        <v>486501</v>
      </c>
      <c r="E2073">
        <v>4</v>
      </c>
      <c r="F2073">
        <v>18</v>
      </c>
      <c r="G2073">
        <v>780</v>
      </c>
      <c r="H2073">
        <v>98506361</v>
      </c>
      <c r="I2073">
        <v>253945</v>
      </c>
      <c r="J2073" t="s">
        <v>17</v>
      </c>
      <c r="K2073" t="s">
        <v>22</v>
      </c>
      <c r="L2073">
        <v>2</v>
      </c>
      <c r="M2073">
        <v>61.93</v>
      </c>
      <c r="N2073">
        <v>380638</v>
      </c>
      <c r="O2073">
        <v>1</v>
      </c>
    </row>
    <row r="2074" spans="1:15">
      <c r="A2074" t="s">
        <v>2100</v>
      </c>
      <c r="B2074" t="s">
        <v>16</v>
      </c>
      <c r="C2074">
        <v>8</v>
      </c>
      <c r="D2074">
        <v>9358162</v>
      </c>
      <c r="E2074">
        <v>1</v>
      </c>
      <c r="F2074">
        <v>28</v>
      </c>
      <c r="G2074">
        <v>906</v>
      </c>
      <c r="H2074">
        <v>86575378</v>
      </c>
      <c r="I2074">
        <v>602180</v>
      </c>
      <c r="J2074" t="s">
        <v>17</v>
      </c>
      <c r="K2074" t="s">
        <v>22</v>
      </c>
      <c r="L2074">
        <v>5</v>
      </c>
      <c r="M2074">
        <v>57.25</v>
      </c>
      <c r="N2074">
        <v>259630</v>
      </c>
      <c r="O2074">
        <v>1</v>
      </c>
    </row>
    <row r="2075" spans="1:15">
      <c r="A2075" t="s">
        <v>2101</v>
      </c>
      <c r="B2075" t="s">
        <v>24</v>
      </c>
      <c r="C2075">
        <v>6</v>
      </c>
      <c r="D2075">
        <v>45634352</v>
      </c>
      <c r="E2075">
        <v>2</v>
      </c>
      <c r="F2075">
        <v>5</v>
      </c>
      <c r="G2075">
        <v>954</v>
      </c>
      <c r="H2075">
        <v>94798552</v>
      </c>
      <c r="I2075">
        <v>447275</v>
      </c>
      <c r="J2075" t="s">
        <v>25</v>
      </c>
      <c r="K2075" t="s">
        <v>22</v>
      </c>
      <c r="L2075">
        <v>5</v>
      </c>
      <c r="M2075">
        <v>83.93</v>
      </c>
      <c r="N2075">
        <v>922064</v>
      </c>
      <c r="O2075">
        <v>1</v>
      </c>
    </row>
    <row r="2076" spans="1:15">
      <c r="A2076" t="s">
        <v>2102</v>
      </c>
      <c r="B2076" t="s">
        <v>29</v>
      </c>
      <c r="C2076">
        <v>3</v>
      </c>
      <c r="D2076">
        <v>38579291</v>
      </c>
      <c r="E2076">
        <v>3</v>
      </c>
      <c r="F2076">
        <v>18</v>
      </c>
      <c r="G2076">
        <v>347</v>
      </c>
      <c r="H2076">
        <v>4454649</v>
      </c>
      <c r="I2076">
        <v>757967</v>
      </c>
      <c r="J2076" t="s">
        <v>25</v>
      </c>
      <c r="K2076" t="s">
        <v>18</v>
      </c>
      <c r="L2076">
        <v>1</v>
      </c>
      <c r="M2076">
        <v>59.75</v>
      </c>
      <c r="N2076">
        <v>458536</v>
      </c>
      <c r="O2076">
        <v>1</v>
      </c>
    </row>
    <row r="2077" spans="1:15">
      <c r="A2077" t="s">
        <v>2103</v>
      </c>
      <c r="B2077" t="s">
        <v>29</v>
      </c>
      <c r="C2077">
        <v>11</v>
      </c>
      <c r="D2077">
        <v>39777766</v>
      </c>
      <c r="E2077">
        <v>3</v>
      </c>
      <c r="F2077">
        <v>23</v>
      </c>
      <c r="G2077">
        <v>553</v>
      </c>
      <c r="H2077">
        <v>12256471</v>
      </c>
      <c r="I2077">
        <v>429015</v>
      </c>
      <c r="J2077" t="s">
        <v>17</v>
      </c>
      <c r="K2077" t="s">
        <v>22</v>
      </c>
      <c r="L2077">
        <v>6</v>
      </c>
      <c r="M2077">
        <v>80.41</v>
      </c>
      <c r="N2077">
        <v>283553</v>
      </c>
      <c r="O2077">
        <v>1</v>
      </c>
    </row>
    <row r="2078" spans="1:15">
      <c r="A2078" t="s">
        <v>2104</v>
      </c>
      <c r="B2078" t="s">
        <v>24</v>
      </c>
      <c r="C2078">
        <v>2</v>
      </c>
      <c r="D2078">
        <v>46340672</v>
      </c>
      <c r="E2078">
        <v>2</v>
      </c>
      <c r="F2078">
        <v>4</v>
      </c>
      <c r="G2078">
        <v>313</v>
      </c>
      <c r="H2078">
        <v>36531819</v>
      </c>
      <c r="I2078">
        <v>67092</v>
      </c>
      <c r="J2078" t="s">
        <v>21</v>
      </c>
      <c r="K2078" t="s">
        <v>18</v>
      </c>
      <c r="L2078">
        <v>8</v>
      </c>
      <c r="M2078">
        <v>98.18</v>
      </c>
      <c r="N2078">
        <v>736625</v>
      </c>
      <c r="O2078">
        <v>1</v>
      </c>
    </row>
    <row r="2079" spans="1:15">
      <c r="A2079" t="s">
        <v>2105</v>
      </c>
      <c r="B2079" t="s">
        <v>29</v>
      </c>
      <c r="C2079">
        <v>9</v>
      </c>
      <c r="D2079">
        <v>27014547</v>
      </c>
      <c r="E2079">
        <v>3</v>
      </c>
      <c r="F2079">
        <v>11</v>
      </c>
      <c r="G2079">
        <v>412</v>
      </c>
      <c r="H2079">
        <v>11100691</v>
      </c>
      <c r="I2079">
        <v>540318</v>
      </c>
      <c r="J2079" t="s">
        <v>25</v>
      </c>
      <c r="K2079" t="s">
        <v>22</v>
      </c>
      <c r="L2079">
        <v>4</v>
      </c>
      <c r="M2079">
        <v>49.25</v>
      </c>
      <c r="N2079">
        <v>598641</v>
      </c>
      <c r="O2079">
        <v>1</v>
      </c>
    </row>
    <row r="2080" spans="1:15">
      <c r="A2080" t="s">
        <v>2106</v>
      </c>
      <c r="B2080" t="s">
        <v>38</v>
      </c>
      <c r="C2080">
        <v>1</v>
      </c>
      <c r="D2080">
        <v>25682889</v>
      </c>
      <c r="E2080">
        <v>3</v>
      </c>
      <c r="F2080">
        <v>21</v>
      </c>
      <c r="G2080">
        <v>423</v>
      </c>
      <c r="H2080">
        <v>24495095</v>
      </c>
      <c r="I2080">
        <v>681850</v>
      </c>
      <c r="J2080" t="s">
        <v>17</v>
      </c>
      <c r="K2080" t="s">
        <v>18</v>
      </c>
      <c r="L2080">
        <v>4</v>
      </c>
      <c r="M2080">
        <v>27.94</v>
      </c>
      <c r="N2080">
        <v>706084</v>
      </c>
      <c r="O2080">
        <v>1</v>
      </c>
    </row>
    <row r="2081" spans="1:15">
      <c r="A2081" t="s">
        <v>2107</v>
      </c>
      <c r="B2081" t="s">
        <v>38</v>
      </c>
      <c r="C2081">
        <v>6</v>
      </c>
      <c r="D2081">
        <v>4575271</v>
      </c>
      <c r="E2081">
        <v>2</v>
      </c>
      <c r="F2081">
        <v>9</v>
      </c>
      <c r="G2081">
        <v>140</v>
      </c>
      <c r="H2081">
        <v>20504446</v>
      </c>
      <c r="I2081">
        <v>229504</v>
      </c>
      <c r="J2081" t="s">
        <v>25</v>
      </c>
      <c r="K2081" t="s">
        <v>18</v>
      </c>
      <c r="L2081">
        <v>2</v>
      </c>
      <c r="M2081">
        <v>32.32</v>
      </c>
      <c r="N2081">
        <v>808675</v>
      </c>
      <c r="O2081">
        <v>1</v>
      </c>
    </row>
    <row r="2082" spans="1:15">
      <c r="A2082" t="s">
        <v>2108</v>
      </c>
      <c r="B2082" t="s">
        <v>32</v>
      </c>
      <c r="C2082">
        <v>6</v>
      </c>
      <c r="D2082">
        <v>17474874</v>
      </c>
      <c r="E2082">
        <v>4</v>
      </c>
      <c r="F2082">
        <v>29</v>
      </c>
      <c r="G2082">
        <v>525</v>
      </c>
      <c r="H2082">
        <v>832373</v>
      </c>
      <c r="I2082">
        <v>938193</v>
      </c>
      <c r="J2082" t="s">
        <v>21</v>
      </c>
      <c r="K2082" t="s">
        <v>22</v>
      </c>
      <c r="L2082">
        <v>3</v>
      </c>
      <c r="M2082">
        <v>28.28</v>
      </c>
      <c r="N2082">
        <v>683931</v>
      </c>
      <c r="O2082">
        <v>1</v>
      </c>
    </row>
    <row r="2083" spans="1:15">
      <c r="A2083" t="s">
        <v>2109</v>
      </c>
      <c r="B2083" t="s">
        <v>24</v>
      </c>
      <c r="C2083">
        <v>2</v>
      </c>
      <c r="D2083">
        <v>14825792</v>
      </c>
      <c r="E2083">
        <v>2</v>
      </c>
      <c r="F2083">
        <v>25</v>
      </c>
      <c r="G2083">
        <v>302</v>
      </c>
      <c r="H2083">
        <v>28920801</v>
      </c>
      <c r="I2083">
        <v>678374</v>
      </c>
      <c r="J2083" t="s">
        <v>21</v>
      </c>
      <c r="K2083" t="s">
        <v>30</v>
      </c>
      <c r="L2083">
        <v>5</v>
      </c>
      <c r="M2083">
        <v>80.150000000000006</v>
      </c>
      <c r="N2083">
        <v>256839</v>
      </c>
      <c r="O2083">
        <v>1</v>
      </c>
    </row>
    <row r="2084" spans="1:15">
      <c r="A2084" t="s">
        <v>2110</v>
      </c>
      <c r="B2084" t="s">
        <v>27</v>
      </c>
      <c r="C2084">
        <v>12</v>
      </c>
      <c r="D2084">
        <v>31179707</v>
      </c>
      <c r="E2084">
        <v>2</v>
      </c>
      <c r="F2084">
        <v>5</v>
      </c>
      <c r="G2084">
        <v>871</v>
      </c>
      <c r="H2084">
        <v>39827642</v>
      </c>
      <c r="I2084">
        <v>370933</v>
      </c>
      <c r="J2084" t="s">
        <v>17</v>
      </c>
      <c r="K2084" t="s">
        <v>30</v>
      </c>
      <c r="L2084">
        <v>6</v>
      </c>
      <c r="M2084">
        <v>29.94</v>
      </c>
      <c r="N2084">
        <v>303750</v>
      </c>
      <c r="O2084">
        <v>1</v>
      </c>
    </row>
    <row r="2085" spans="1:15">
      <c r="A2085" t="s">
        <v>2111</v>
      </c>
      <c r="B2085" t="s">
        <v>38</v>
      </c>
      <c r="C2085">
        <v>6</v>
      </c>
      <c r="D2085">
        <v>24962796</v>
      </c>
      <c r="E2085">
        <v>4</v>
      </c>
      <c r="F2085">
        <v>28</v>
      </c>
      <c r="G2085">
        <v>920</v>
      </c>
      <c r="H2085">
        <v>11150490</v>
      </c>
      <c r="I2085">
        <v>768608</v>
      </c>
      <c r="J2085" t="s">
        <v>21</v>
      </c>
      <c r="K2085" t="s">
        <v>22</v>
      </c>
      <c r="L2085">
        <v>5</v>
      </c>
      <c r="M2085">
        <v>62.86</v>
      </c>
      <c r="N2085">
        <v>239956</v>
      </c>
      <c r="O2085">
        <v>1</v>
      </c>
    </row>
    <row r="2086" spans="1:15">
      <c r="A2086" t="s">
        <v>2112</v>
      </c>
      <c r="B2086" t="s">
        <v>20</v>
      </c>
      <c r="C2086">
        <v>9</v>
      </c>
      <c r="D2086">
        <v>45278745</v>
      </c>
      <c r="E2086">
        <v>3</v>
      </c>
      <c r="F2086">
        <v>20</v>
      </c>
      <c r="G2086">
        <v>421</v>
      </c>
      <c r="H2086">
        <v>82292087</v>
      </c>
      <c r="I2086">
        <v>961765</v>
      </c>
      <c r="J2086" t="s">
        <v>25</v>
      </c>
      <c r="K2086" t="s">
        <v>30</v>
      </c>
      <c r="L2086">
        <v>2</v>
      </c>
      <c r="M2086">
        <v>25.78</v>
      </c>
      <c r="N2086">
        <v>509472</v>
      </c>
      <c r="O2086">
        <v>1</v>
      </c>
    </row>
    <row r="2087" spans="1:15">
      <c r="A2087" t="s">
        <v>2113</v>
      </c>
      <c r="B2087" t="s">
        <v>38</v>
      </c>
      <c r="C2087">
        <v>4</v>
      </c>
      <c r="D2087">
        <v>32774730</v>
      </c>
      <c r="E2087">
        <v>4</v>
      </c>
      <c r="F2087">
        <v>12</v>
      </c>
      <c r="G2087">
        <v>394</v>
      </c>
      <c r="H2087">
        <v>36467782</v>
      </c>
      <c r="I2087">
        <v>35944</v>
      </c>
      <c r="J2087" t="s">
        <v>25</v>
      </c>
      <c r="K2087" t="s">
        <v>30</v>
      </c>
      <c r="L2087">
        <v>4</v>
      </c>
      <c r="M2087">
        <v>11.73</v>
      </c>
      <c r="N2087">
        <v>523565</v>
      </c>
      <c r="O2087">
        <v>1</v>
      </c>
    </row>
    <row r="2088" spans="1:15">
      <c r="A2088" t="s">
        <v>2114</v>
      </c>
      <c r="B2088" t="s">
        <v>16</v>
      </c>
      <c r="C2088">
        <v>5</v>
      </c>
      <c r="D2088">
        <v>47627596</v>
      </c>
      <c r="E2088">
        <v>4</v>
      </c>
      <c r="F2088">
        <v>10</v>
      </c>
      <c r="G2088">
        <v>479</v>
      </c>
      <c r="H2088">
        <v>92304911</v>
      </c>
      <c r="I2088">
        <v>342703</v>
      </c>
      <c r="J2088" t="s">
        <v>21</v>
      </c>
      <c r="K2088" t="s">
        <v>30</v>
      </c>
      <c r="L2088">
        <v>8</v>
      </c>
      <c r="M2088">
        <v>33.71</v>
      </c>
      <c r="N2088">
        <v>144932</v>
      </c>
      <c r="O2088">
        <v>1</v>
      </c>
    </row>
    <row r="2089" spans="1:15">
      <c r="A2089" t="s">
        <v>2115</v>
      </c>
      <c r="B2089" t="s">
        <v>29</v>
      </c>
      <c r="C2089">
        <v>6</v>
      </c>
      <c r="D2089">
        <v>29668920</v>
      </c>
      <c r="E2089">
        <v>2</v>
      </c>
      <c r="F2089">
        <v>12</v>
      </c>
      <c r="G2089">
        <v>58</v>
      </c>
      <c r="H2089">
        <v>63075263</v>
      </c>
      <c r="I2089">
        <v>109092</v>
      </c>
      <c r="J2089" t="s">
        <v>17</v>
      </c>
      <c r="K2089" t="s">
        <v>22</v>
      </c>
      <c r="L2089">
        <v>1</v>
      </c>
      <c r="M2089">
        <v>21.32</v>
      </c>
      <c r="N2089">
        <v>746013</v>
      </c>
      <c r="O2089">
        <v>1</v>
      </c>
    </row>
    <row r="2090" spans="1:15">
      <c r="A2090" t="s">
        <v>2116</v>
      </c>
      <c r="B2090" t="s">
        <v>27</v>
      </c>
      <c r="C2090">
        <v>10</v>
      </c>
      <c r="D2090">
        <v>11391298</v>
      </c>
      <c r="E2090">
        <v>1</v>
      </c>
      <c r="F2090">
        <v>20</v>
      </c>
      <c r="G2090">
        <v>16</v>
      </c>
      <c r="H2090">
        <v>40444244</v>
      </c>
      <c r="I2090">
        <v>684865</v>
      </c>
      <c r="J2090" t="s">
        <v>17</v>
      </c>
      <c r="K2090" t="s">
        <v>30</v>
      </c>
      <c r="L2090">
        <v>4</v>
      </c>
      <c r="M2090">
        <v>42.61</v>
      </c>
      <c r="N2090">
        <v>158775</v>
      </c>
      <c r="O2090">
        <v>1</v>
      </c>
    </row>
    <row r="2091" spans="1:15">
      <c r="A2091" t="s">
        <v>2117</v>
      </c>
      <c r="B2091" t="s">
        <v>27</v>
      </c>
      <c r="C2091">
        <v>14</v>
      </c>
      <c r="D2091">
        <v>11332850</v>
      </c>
      <c r="E2091">
        <v>2</v>
      </c>
      <c r="F2091">
        <v>6</v>
      </c>
      <c r="G2091">
        <v>235</v>
      </c>
      <c r="H2091">
        <v>79987548</v>
      </c>
      <c r="I2091">
        <v>446531</v>
      </c>
      <c r="J2091" t="s">
        <v>17</v>
      </c>
      <c r="K2091" t="s">
        <v>30</v>
      </c>
      <c r="L2091">
        <v>8</v>
      </c>
      <c r="M2091">
        <v>68.64</v>
      </c>
      <c r="N2091">
        <v>12964</v>
      </c>
      <c r="O2091">
        <v>1</v>
      </c>
    </row>
    <row r="2092" spans="1:15">
      <c r="A2092" t="s">
        <v>2118</v>
      </c>
      <c r="B2092" t="s">
        <v>29</v>
      </c>
      <c r="C2092">
        <v>7</v>
      </c>
      <c r="D2092">
        <v>7928360</v>
      </c>
      <c r="E2092">
        <v>4</v>
      </c>
      <c r="F2092">
        <v>17</v>
      </c>
      <c r="G2092">
        <v>544</v>
      </c>
      <c r="H2092">
        <v>75227990</v>
      </c>
      <c r="I2092">
        <v>143229</v>
      </c>
      <c r="J2092" t="s">
        <v>25</v>
      </c>
      <c r="K2092" t="s">
        <v>22</v>
      </c>
      <c r="L2092">
        <v>9</v>
      </c>
      <c r="M2092">
        <v>27.99</v>
      </c>
      <c r="N2092">
        <v>816148</v>
      </c>
      <c r="O2092">
        <v>1</v>
      </c>
    </row>
    <row r="2093" spans="1:15">
      <c r="A2093" t="s">
        <v>2119</v>
      </c>
      <c r="B2093" t="s">
        <v>27</v>
      </c>
      <c r="C2093">
        <v>4</v>
      </c>
      <c r="D2093">
        <v>5717015</v>
      </c>
      <c r="E2093">
        <v>1</v>
      </c>
      <c r="F2093">
        <v>4</v>
      </c>
      <c r="G2093">
        <v>744</v>
      </c>
      <c r="H2093">
        <v>10258300</v>
      </c>
      <c r="I2093">
        <v>371252</v>
      </c>
      <c r="J2093" t="s">
        <v>25</v>
      </c>
      <c r="K2093" t="s">
        <v>22</v>
      </c>
      <c r="L2093">
        <v>8</v>
      </c>
      <c r="M2093">
        <v>89.16</v>
      </c>
      <c r="N2093">
        <v>719764</v>
      </c>
      <c r="O2093">
        <v>1</v>
      </c>
    </row>
    <row r="2094" spans="1:15">
      <c r="A2094" t="s">
        <v>2120</v>
      </c>
      <c r="B2094" t="s">
        <v>20</v>
      </c>
      <c r="C2094">
        <v>0</v>
      </c>
      <c r="D2094">
        <v>15531781</v>
      </c>
      <c r="E2094">
        <v>2</v>
      </c>
      <c r="F2094">
        <v>21</v>
      </c>
      <c r="G2094">
        <v>26</v>
      </c>
      <c r="H2094">
        <v>4110177</v>
      </c>
      <c r="I2094">
        <v>407914</v>
      </c>
      <c r="J2094" t="s">
        <v>25</v>
      </c>
      <c r="K2094" t="s">
        <v>18</v>
      </c>
      <c r="L2094">
        <v>2</v>
      </c>
      <c r="M2094">
        <v>4.87</v>
      </c>
      <c r="N2094">
        <v>539398</v>
      </c>
      <c r="O2094">
        <v>1</v>
      </c>
    </row>
    <row r="2095" spans="1:15">
      <c r="A2095" t="s">
        <v>2121</v>
      </c>
      <c r="B2095" t="s">
        <v>24</v>
      </c>
      <c r="C2095">
        <v>3</v>
      </c>
      <c r="D2095">
        <v>6112117</v>
      </c>
      <c r="E2095">
        <v>3</v>
      </c>
      <c r="F2095">
        <v>7</v>
      </c>
      <c r="G2095">
        <v>162</v>
      </c>
      <c r="H2095">
        <v>58282005</v>
      </c>
      <c r="I2095">
        <v>404700</v>
      </c>
      <c r="J2095" t="s">
        <v>21</v>
      </c>
      <c r="K2095" t="s">
        <v>18</v>
      </c>
      <c r="L2095">
        <v>2</v>
      </c>
      <c r="M2095">
        <v>84.24</v>
      </c>
      <c r="N2095">
        <v>924301</v>
      </c>
      <c r="O2095">
        <v>1</v>
      </c>
    </row>
    <row r="2096" spans="1:15">
      <c r="A2096" t="s">
        <v>2122</v>
      </c>
      <c r="B2096" t="s">
        <v>24</v>
      </c>
      <c r="C2096">
        <v>7</v>
      </c>
      <c r="D2096">
        <v>38922057</v>
      </c>
      <c r="E2096">
        <v>1</v>
      </c>
      <c r="F2096">
        <v>13</v>
      </c>
      <c r="G2096">
        <v>743</v>
      </c>
      <c r="H2096">
        <v>6432904</v>
      </c>
      <c r="I2096">
        <v>361077</v>
      </c>
      <c r="J2096" t="s">
        <v>21</v>
      </c>
      <c r="K2096" t="s">
        <v>30</v>
      </c>
      <c r="L2096">
        <v>2</v>
      </c>
      <c r="M2096">
        <v>35.42</v>
      </c>
      <c r="N2096">
        <v>390133</v>
      </c>
      <c r="O2096">
        <v>1</v>
      </c>
    </row>
    <row r="2097" spans="1:15">
      <c r="A2097" t="s">
        <v>2123</v>
      </c>
      <c r="B2097" t="s">
        <v>27</v>
      </c>
      <c r="C2097">
        <v>2</v>
      </c>
      <c r="D2097">
        <v>30867278</v>
      </c>
      <c r="E2097">
        <v>4</v>
      </c>
      <c r="F2097">
        <v>22</v>
      </c>
      <c r="G2097">
        <v>95</v>
      </c>
      <c r="H2097">
        <v>13108764</v>
      </c>
      <c r="I2097">
        <v>922347</v>
      </c>
      <c r="J2097" t="s">
        <v>25</v>
      </c>
      <c r="K2097" t="s">
        <v>22</v>
      </c>
      <c r="L2097">
        <v>4</v>
      </c>
      <c r="M2097">
        <v>80.069999999999993</v>
      </c>
      <c r="N2097">
        <v>590462</v>
      </c>
      <c r="O2097">
        <v>1</v>
      </c>
    </row>
    <row r="2098" spans="1:15">
      <c r="A2098" t="s">
        <v>2124</v>
      </c>
      <c r="B2098" t="s">
        <v>27</v>
      </c>
      <c r="C2098">
        <v>13</v>
      </c>
      <c r="D2098">
        <v>11269484</v>
      </c>
      <c r="E2098">
        <v>1</v>
      </c>
      <c r="F2098">
        <v>15</v>
      </c>
      <c r="G2098">
        <v>355</v>
      </c>
      <c r="H2098">
        <v>9493865</v>
      </c>
      <c r="I2098">
        <v>432525</v>
      </c>
      <c r="J2098" t="s">
        <v>17</v>
      </c>
      <c r="K2098" t="s">
        <v>30</v>
      </c>
      <c r="L2098">
        <v>3</v>
      </c>
      <c r="M2098">
        <v>63.98</v>
      </c>
      <c r="N2098">
        <v>166098</v>
      </c>
      <c r="O2098">
        <v>1</v>
      </c>
    </row>
    <row r="2099" spans="1:15">
      <c r="A2099" t="s">
        <v>2125</v>
      </c>
      <c r="B2099" t="s">
        <v>27</v>
      </c>
      <c r="C2099">
        <v>12</v>
      </c>
      <c r="D2099">
        <v>21136272</v>
      </c>
      <c r="E2099">
        <v>3</v>
      </c>
      <c r="F2099">
        <v>26</v>
      </c>
      <c r="G2099">
        <v>591</v>
      </c>
      <c r="H2099">
        <v>42688741</v>
      </c>
      <c r="I2099">
        <v>693076</v>
      </c>
      <c r="J2099" t="s">
        <v>17</v>
      </c>
      <c r="K2099" t="s">
        <v>22</v>
      </c>
      <c r="L2099">
        <v>5</v>
      </c>
      <c r="M2099">
        <v>73.12</v>
      </c>
      <c r="N2099">
        <v>863157</v>
      </c>
      <c r="O2099">
        <v>1</v>
      </c>
    </row>
    <row r="2100" spans="1:15">
      <c r="A2100" t="s">
        <v>2126</v>
      </c>
      <c r="B2100" t="s">
        <v>27</v>
      </c>
      <c r="C2100">
        <v>12</v>
      </c>
      <c r="D2100">
        <v>43434076</v>
      </c>
      <c r="E2100">
        <v>2</v>
      </c>
      <c r="F2100">
        <v>12</v>
      </c>
      <c r="G2100">
        <v>717</v>
      </c>
      <c r="H2100">
        <v>71073206</v>
      </c>
      <c r="I2100">
        <v>936573</v>
      </c>
      <c r="J2100" t="s">
        <v>25</v>
      </c>
      <c r="K2100" t="s">
        <v>30</v>
      </c>
      <c r="L2100">
        <v>3</v>
      </c>
      <c r="M2100">
        <v>27.5</v>
      </c>
      <c r="N2100">
        <v>205364</v>
      </c>
      <c r="O2100">
        <v>1</v>
      </c>
    </row>
    <row r="2101" spans="1:15">
      <c r="A2101" t="s">
        <v>2127</v>
      </c>
      <c r="B2101" t="s">
        <v>29</v>
      </c>
      <c r="C2101">
        <v>7</v>
      </c>
      <c r="D2101">
        <v>19976656</v>
      </c>
      <c r="E2101">
        <v>1</v>
      </c>
      <c r="F2101">
        <v>21</v>
      </c>
      <c r="G2101">
        <v>910</v>
      </c>
      <c r="H2101">
        <v>6318915</v>
      </c>
      <c r="I2101">
        <v>565129</v>
      </c>
      <c r="J2101" t="s">
        <v>25</v>
      </c>
      <c r="K2101" t="s">
        <v>18</v>
      </c>
      <c r="L2101">
        <v>4</v>
      </c>
      <c r="M2101">
        <v>5.19</v>
      </c>
      <c r="N2101">
        <v>874928</v>
      </c>
      <c r="O2101">
        <v>1</v>
      </c>
    </row>
    <row r="2102" spans="1:15">
      <c r="A2102" t="s">
        <v>2128</v>
      </c>
      <c r="B2102" t="s">
        <v>32</v>
      </c>
      <c r="C2102">
        <v>6</v>
      </c>
      <c r="D2102">
        <v>41522455</v>
      </c>
      <c r="E2102">
        <v>1</v>
      </c>
      <c r="F2102">
        <v>26</v>
      </c>
      <c r="G2102">
        <v>482</v>
      </c>
      <c r="H2102">
        <v>36864509</v>
      </c>
      <c r="I2102">
        <v>650675</v>
      </c>
      <c r="J2102" t="s">
        <v>17</v>
      </c>
      <c r="K2102" t="s">
        <v>30</v>
      </c>
      <c r="L2102">
        <v>2</v>
      </c>
      <c r="M2102">
        <v>2.9</v>
      </c>
      <c r="N2102">
        <v>93463</v>
      </c>
      <c r="O2102">
        <v>1</v>
      </c>
    </row>
    <row r="2103" spans="1:15">
      <c r="A2103" t="s">
        <v>2129</v>
      </c>
      <c r="B2103" t="s">
        <v>24</v>
      </c>
      <c r="C2103">
        <v>4</v>
      </c>
      <c r="D2103">
        <v>8792412</v>
      </c>
      <c r="E2103">
        <v>1</v>
      </c>
      <c r="F2103">
        <v>28</v>
      </c>
      <c r="G2103">
        <v>614</v>
      </c>
      <c r="H2103">
        <v>67216179</v>
      </c>
      <c r="I2103">
        <v>237680</v>
      </c>
      <c r="J2103" t="s">
        <v>25</v>
      </c>
      <c r="K2103" t="s">
        <v>22</v>
      </c>
      <c r="L2103">
        <v>2</v>
      </c>
      <c r="M2103">
        <v>0.27</v>
      </c>
      <c r="N2103">
        <v>993573</v>
      </c>
      <c r="O2103">
        <v>1</v>
      </c>
    </row>
    <row r="2104" spans="1:15">
      <c r="A2104" t="s">
        <v>2130</v>
      </c>
      <c r="B2104" t="s">
        <v>20</v>
      </c>
      <c r="C2104">
        <v>8</v>
      </c>
      <c r="D2104">
        <v>11109016</v>
      </c>
      <c r="E2104">
        <v>1</v>
      </c>
      <c r="F2104">
        <v>28</v>
      </c>
      <c r="G2104">
        <v>430</v>
      </c>
      <c r="H2104">
        <v>17719521</v>
      </c>
      <c r="I2104">
        <v>975631</v>
      </c>
      <c r="J2104" t="s">
        <v>25</v>
      </c>
      <c r="K2104" t="s">
        <v>30</v>
      </c>
      <c r="L2104">
        <v>9</v>
      </c>
      <c r="M2104">
        <v>4.24</v>
      </c>
      <c r="N2104">
        <v>45142</v>
      </c>
      <c r="O2104">
        <v>1</v>
      </c>
    </row>
    <row r="2105" spans="1:15">
      <c r="A2105" t="s">
        <v>2131</v>
      </c>
      <c r="B2105" t="s">
        <v>24</v>
      </c>
      <c r="C2105">
        <v>14</v>
      </c>
      <c r="D2105">
        <v>43665211</v>
      </c>
      <c r="E2105">
        <v>4</v>
      </c>
      <c r="F2105">
        <v>25</v>
      </c>
      <c r="G2105">
        <v>508</v>
      </c>
      <c r="H2105">
        <v>86968232</v>
      </c>
      <c r="I2105">
        <v>259656</v>
      </c>
      <c r="J2105" t="s">
        <v>21</v>
      </c>
      <c r="K2105" t="s">
        <v>18</v>
      </c>
      <c r="L2105">
        <v>2</v>
      </c>
      <c r="M2105">
        <v>98.76</v>
      </c>
      <c r="N2105">
        <v>362663</v>
      </c>
      <c r="O2105">
        <v>1</v>
      </c>
    </row>
    <row r="2106" spans="1:15">
      <c r="A2106" t="s">
        <v>2132</v>
      </c>
      <c r="B2106" t="s">
        <v>27</v>
      </c>
      <c r="C2106">
        <v>0</v>
      </c>
      <c r="D2106">
        <v>20964885</v>
      </c>
      <c r="E2106">
        <v>1</v>
      </c>
      <c r="F2106">
        <v>12</v>
      </c>
      <c r="G2106">
        <v>225</v>
      </c>
      <c r="H2106">
        <v>16182788</v>
      </c>
      <c r="I2106">
        <v>902559</v>
      </c>
      <c r="J2106" t="s">
        <v>17</v>
      </c>
      <c r="K2106" t="s">
        <v>30</v>
      </c>
      <c r="L2106">
        <v>6</v>
      </c>
      <c r="M2106">
        <v>94.83</v>
      </c>
      <c r="N2106">
        <v>670201</v>
      </c>
      <c r="O2106">
        <v>1</v>
      </c>
    </row>
    <row r="2107" spans="1:15">
      <c r="A2107" t="s">
        <v>2133</v>
      </c>
      <c r="B2107" t="s">
        <v>27</v>
      </c>
      <c r="C2107">
        <v>7</v>
      </c>
      <c r="D2107">
        <v>34085327</v>
      </c>
      <c r="E2107">
        <v>4</v>
      </c>
      <c r="F2107">
        <v>11</v>
      </c>
      <c r="G2107">
        <v>25</v>
      </c>
      <c r="H2107">
        <v>8770163</v>
      </c>
      <c r="I2107">
        <v>198649</v>
      </c>
      <c r="J2107" t="s">
        <v>21</v>
      </c>
      <c r="K2107" t="s">
        <v>30</v>
      </c>
      <c r="L2107">
        <v>3</v>
      </c>
      <c r="M2107">
        <v>46.73</v>
      </c>
      <c r="N2107">
        <v>11502</v>
      </c>
      <c r="O2107">
        <v>1</v>
      </c>
    </row>
    <row r="2108" spans="1:15">
      <c r="A2108" t="s">
        <v>2134</v>
      </c>
      <c r="B2108" t="s">
        <v>27</v>
      </c>
      <c r="C2108">
        <v>4</v>
      </c>
      <c r="D2108">
        <v>3925134</v>
      </c>
      <c r="E2108">
        <v>2</v>
      </c>
      <c r="F2108">
        <v>24</v>
      </c>
      <c r="G2108">
        <v>727</v>
      </c>
      <c r="H2108">
        <v>37647224</v>
      </c>
      <c r="I2108">
        <v>554633</v>
      </c>
      <c r="J2108" t="s">
        <v>17</v>
      </c>
      <c r="K2108" t="s">
        <v>30</v>
      </c>
      <c r="L2108">
        <v>9</v>
      </c>
      <c r="M2108">
        <v>97.95</v>
      </c>
      <c r="N2108">
        <v>706453</v>
      </c>
      <c r="O2108">
        <v>1</v>
      </c>
    </row>
    <row r="2109" spans="1:15">
      <c r="A2109" t="s">
        <v>2135</v>
      </c>
      <c r="B2109" t="s">
        <v>24</v>
      </c>
      <c r="C2109">
        <v>9</v>
      </c>
      <c r="D2109">
        <v>3939969</v>
      </c>
      <c r="E2109">
        <v>2</v>
      </c>
      <c r="F2109">
        <v>4</v>
      </c>
      <c r="G2109">
        <v>803</v>
      </c>
      <c r="H2109">
        <v>99574618</v>
      </c>
      <c r="I2109">
        <v>380433</v>
      </c>
      <c r="J2109" t="s">
        <v>17</v>
      </c>
      <c r="K2109" t="s">
        <v>22</v>
      </c>
      <c r="L2109">
        <v>3</v>
      </c>
      <c r="M2109">
        <v>46.95</v>
      </c>
      <c r="N2109">
        <v>636056</v>
      </c>
      <c r="O2109">
        <v>1</v>
      </c>
    </row>
    <row r="2110" spans="1:15">
      <c r="A2110" t="s">
        <v>2136</v>
      </c>
      <c r="B2110" t="s">
        <v>29</v>
      </c>
      <c r="C2110">
        <v>1</v>
      </c>
      <c r="D2110">
        <v>38928482</v>
      </c>
      <c r="E2110">
        <v>2</v>
      </c>
      <c r="F2110">
        <v>27</v>
      </c>
      <c r="G2110">
        <v>950</v>
      </c>
      <c r="H2110">
        <v>14123051</v>
      </c>
      <c r="I2110">
        <v>104633</v>
      </c>
      <c r="J2110" t="s">
        <v>25</v>
      </c>
      <c r="K2110" t="s">
        <v>18</v>
      </c>
      <c r="L2110">
        <v>6</v>
      </c>
      <c r="M2110">
        <v>29.72</v>
      </c>
      <c r="N2110">
        <v>339947</v>
      </c>
      <c r="O2110">
        <v>1</v>
      </c>
    </row>
    <row r="2111" spans="1:15">
      <c r="A2111" t="s">
        <v>2137</v>
      </c>
      <c r="B2111" t="s">
        <v>38</v>
      </c>
      <c r="C2111">
        <v>3</v>
      </c>
      <c r="D2111">
        <v>7435656</v>
      </c>
      <c r="E2111">
        <v>4</v>
      </c>
      <c r="F2111">
        <v>3</v>
      </c>
      <c r="G2111">
        <v>968</v>
      </c>
      <c r="H2111">
        <v>65942751</v>
      </c>
      <c r="I2111">
        <v>841210</v>
      </c>
      <c r="J2111" t="s">
        <v>25</v>
      </c>
      <c r="K2111" t="s">
        <v>18</v>
      </c>
      <c r="L2111">
        <v>6</v>
      </c>
      <c r="M2111">
        <v>12.18</v>
      </c>
      <c r="N2111">
        <v>429978</v>
      </c>
      <c r="O2111">
        <v>1</v>
      </c>
    </row>
    <row r="2112" spans="1:15">
      <c r="A2112" t="s">
        <v>2138</v>
      </c>
      <c r="B2112" t="s">
        <v>20</v>
      </c>
      <c r="C2112">
        <v>2</v>
      </c>
      <c r="D2112">
        <v>46345350</v>
      </c>
      <c r="E2112">
        <v>3</v>
      </c>
      <c r="F2112">
        <v>19</v>
      </c>
      <c r="G2112">
        <v>562</v>
      </c>
      <c r="H2112">
        <v>86144861</v>
      </c>
      <c r="I2112">
        <v>953198</v>
      </c>
      <c r="J2112" t="s">
        <v>21</v>
      </c>
      <c r="K2112" t="s">
        <v>18</v>
      </c>
      <c r="L2112">
        <v>1</v>
      </c>
      <c r="M2112">
        <v>74.7</v>
      </c>
      <c r="N2112">
        <v>620924</v>
      </c>
      <c r="O2112">
        <v>1</v>
      </c>
    </row>
    <row r="2113" spans="1:15">
      <c r="A2113" t="s">
        <v>2139</v>
      </c>
      <c r="B2113" t="s">
        <v>24</v>
      </c>
      <c r="C2113">
        <v>6</v>
      </c>
      <c r="D2113">
        <v>46485071</v>
      </c>
      <c r="E2113">
        <v>4</v>
      </c>
      <c r="F2113">
        <v>16</v>
      </c>
      <c r="G2113">
        <v>90</v>
      </c>
      <c r="H2113">
        <v>93005113</v>
      </c>
      <c r="I2113">
        <v>786811</v>
      </c>
      <c r="J2113" t="s">
        <v>21</v>
      </c>
      <c r="K2113" t="s">
        <v>30</v>
      </c>
      <c r="L2113">
        <v>4</v>
      </c>
      <c r="M2113">
        <v>84.65</v>
      </c>
      <c r="N2113">
        <v>259472</v>
      </c>
      <c r="O2113">
        <v>1</v>
      </c>
    </row>
    <row r="2114" spans="1:15">
      <c r="A2114" t="s">
        <v>2140</v>
      </c>
      <c r="B2114" t="s">
        <v>27</v>
      </c>
      <c r="C2114">
        <v>10</v>
      </c>
      <c r="D2114">
        <v>20380613</v>
      </c>
      <c r="E2114">
        <v>3</v>
      </c>
      <c r="F2114">
        <v>25</v>
      </c>
      <c r="G2114">
        <v>251</v>
      </c>
      <c r="H2114">
        <v>91519175</v>
      </c>
      <c r="I2114">
        <v>932718</v>
      </c>
      <c r="J2114" t="s">
        <v>25</v>
      </c>
      <c r="K2114" t="s">
        <v>30</v>
      </c>
      <c r="L2114">
        <v>5</v>
      </c>
      <c r="M2114">
        <v>99.94</v>
      </c>
      <c r="N2114">
        <v>409995</v>
      </c>
      <c r="O2114">
        <v>1</v>
      </c>
    </row>
    <row r="2115" spans="1:15">
      <c r="A2115" t="s">
        <v>2141</v>
      </c>
      <c r="B2115" t="s">
        <v>20</v>
      </c>
      <c r="C2115">
        <v>6</v>
      </c>
      <c r="D2115">
        <v>38464889</v>
      </c>
      <c r="E2115">
        <v>4</v>
      </c>
      <c r="F2115">
        <v>12</v>
      </c>
      <c r="G2115">
        <v>221</v>
      </c>
      <c r="H2115">
        <v>13886348</v>
      </c>
      <c r="I2115">
        <v>454285</v>
      </c>
      <c r="J2115" t="s">
        <v>17</v>
      </c>
      <c r="K2115" t="s">
        <v>18</v>
      </c>
      <c r="L2115">
        <v>8</v>
      </c>
      <c r="M2115">
        <v>23.11</v>
      </c>
      <c r="N2115">
        <v>147078</v>
      </c>
      <c r="O2115">
        <v>1</v>
      </c>
    </row>
    <row r="2116" spans="1:15">
      <c r="A2116" t="s">
        <v>2142</v>
      </c>
      <c r="B2116" t="s">
        <v>27</v>
      </c>
      <c r="C2116">
        <v>7</v>
      </c>
      <c r="D2116">
        <v>26675422</v>
      </c>
      <c r="E2116">
        <v>1</v>
      </c>
      <c r="F2116">
        <v>1</v>
      </c>
      <c r="G2116">
        <v>251</v>
      </c>
      <c r="H2116">
        <v>25824640</v>
      </c>
      <c r="I2116">
        <v>337555</v>
      </c>
      <c r="J2116" t="s">
        <v>25</v>
      </c>
      <c r="K2116" t="s">
        <v>30</v>
      </c>
      <c r="L2116">
        <v>8</v>
      </c>
      <c r="M2116">
        <v>90.66</v>
      </c>
      <c r="N2116">
        <v>975041</v>
      </c>
      <c r="O2116">
        <v>1</v>
      </c>
    </row>
    <row r="2117" spans="1:15">
      <c r="A2117" t="s">
        <v>2143</v>
      </c>
      <c r="B2117" t="s">
        <v>38</v>
      </c>
      <c r="C2117">
        <v>5</v>
      </c>
      <c r="D2117">
        <v>7182027</v>
      </c>
      <c r="E2117">
        <v>2</v>
      </c>
      <c r="F2117">
        <v>18</v>
      </c>
      <c r="G2117">
        <v>732</v>
      </c>
      <c r="H2117">
        <v>26038484</v>
      </c>
      <c r="I2117">
        <v>979612</v>
      </c>
      <c r="J2117" t="s">
        <v>21</v>
      </c>
      <c r="K2117" t="s">
        <v>22</v>
      </c>
      <c r="L2117">
        <v>1</v>
      </c>
      <c r="M2117">
        <v>1.22</v>
      </c>
      <c r="N2117">
        <v>239255</v>
      </c>
      <c r="O2117">
        <v>1</v>
      </c>
    </row>
    <row r="2118" spans="1:15">
      <c r="A2118" t="s">
        <v>2144</v>
      </c>
      <c r="B2118" t="s">
        <v>20</v>
      </c>
      <c r="C2118">
        <v>11</v>
      </c>
      <c r="D2118">
        <v>10267273</v>
      </c>
      <c r="E2118">
        <v>1</v>
      </c>
      <c r="F2118">
        <v>16</v>
      </c>
      <c r="G2118">
        <v>717</v>
      </c>
      <c r="H2118">
        <v>48091415</v>
      </c>
      <c r="I2118">
        <v>431418</v>
      </c>
      <c r="J2118" t="s">
        <v>21</v>
      </c>
      <c r="K2118" t="s">
        <v>18</v>
      </c>
      <c r="L2118">
        <v>7</v>
      </c>
      <c r="M2118">
        <v>31.48</v>
      </c>
      <c r="N2118">
        <v>225625</v>
      </c>
      <c r="O2118">
        <v>1</v>
      </c>
    </row>
    <row r="2119" spans="1:15">
      <c r="A2119" t="s">
        <v>2145</v>
      </c>
      <c r="B2119" t="s">
        <v>32</v>
      </c>
      <c r="C2119">
        <v>8</v>
      </c>
      <c r="D2119">
        <v>15942195</v>
      </c>
      <c r="E2119">
        <v>3</v>
      </c>
      <c r="F2119">
        <v>22</v>
      </c>
      <c r="G2119">
        <v>811</v>
      </c>
      <c r="H2119">
        <v>91779001</v>
      </c>
      <c r="I2119">
        <v>736583</v>
      </c>
      <c r="J2119" t="s">
        <v>17</v>
      </c>
      <c r="K2119" t="s">
        <v>22</v>
      </c>
      <c r="L2119">
        <v>3</v>
      </c>
      <c r="M2119">
        <v>76.64</v>
      </c>
      <c r="N2119">
        <v>669668</v>
      </c>
      <c r="O2119">
        <v>1</v>
      </c>
    </row>
    <row r="2120" spans="1:15">
      <c r="A2120" t="s">
        <v>2146</v>
      </c>
      <c r="B2120" t="s">
        <v>32</v>
      </c>
      <c r="C2120">
        <v>8</v>
      </c>
      <c r="D2120">
        <v>16306717</v>
      </c>
      <c r="E2120">
        <v>2</v>
      </c>
      <c r="F2120">
        <v>23</v>
      </c>
      <c r="G2120">
        <v>151</v>
      </c>
      <c r="H2120">
        <v>18402544</v>
      </c>
      <c r="I2120">
        <v>184156</v>
      </c>
      <c r="J2120" t="s">
        <v>17</v>
      </c>
      <c r="K2120" t="s">
        <v>18</v>
      </c>
      <c r="L2120">
        <v>5</v>
      </c>
      <c r="M2120">
        <v>34.79</v>
      </c>
      <c r="N2120">
        <v>931179</v>
      </c>
      <c r="O2120">
        <v>1</v>
      </c>
    </row>
    <row r="2121" spans="1:15">
      <c r="A2121" t="s">
        <v>2147</v>
      </c>
      <c r="B2121" t="s">
        <v>27</v>
      </c>
      <c r="C2121">
        <v>0</v>
      </c>
      <c r="D2121">
        <v>23103988</v>
      </c>
      <c r="E2121">
        <v>3</v>
      </c>
      <c r="F2121">
        <v>4</v>
      </c>
      <c r="G2121">
        <v>452</v>
      </c>
      <c r="H2121">
        <v>12120309</v>
      </c>
      <c r="I2121">
        <v>479367</v>
      </c>
      <c r="J2121" t="s">
        <v>25</v>
      </c>
      <c r="K2121" t="s">
        <v>18</v>
      </c>
      <c r="L2121">
        <v>6</v>
      </c>
      <c r="M2121">
        <v>49.88</v>
      </c>
      <c r="N2121">
        <v>725962</v>
      </c>
      <c r="O2121">
        <v>1</v>
      </c>
    </row>
    <row r="2122" spans="1:15">
      <c r="A2122" t="s">
        <v>2148</v>
      </c>
      <c r="B2122" t="s">
        <v>32</v>
      </c>
      <c r="C2122">
        <v>1</v>
      </c>
      <c r="D2122">
        <v>22325419</v>
      </c>
      <c r="E2122">
        <v>4</v>
      </c>
      <c r="F2122">
        <v>6</v>
      </c>
      <c r="G2122">
        <v>588</v>
      </c>
      <c r="H2122">
        <v>34115409</v>
      </c>
      <c r="I2122">
        <v>428956</v>
      </c>
      <c r="J2122" t="s">
        <v>21</v>
      </c>
      <c r="K2122" t="s">
        <v>22</v>
      </c>
      <c r="L2122">
        <v>3</v>
      </c>
      <c r="M2122">
        <v>30.24</v>
      </c>
      <c r="N2122">
        <v>428036</v>
      </c>
      <c r="O2122">
        <v>1</v>
      </c>
    </row>
    <row r="2123" spans="1:15">
      <c r="A2123" t="s">
        <v>2149</v>
      </c>
      <c r="B2123" t="s">
        <v>32</v>
      </c>
      <c r="C2123">
        <v>12</v>
      </c>
      <c r="D2123">
        <v>6583893</v>
      </c>
      <c r="E2123">
        <v>1</v>
      </c>
      <c r="F2123">
        <v>25</v>
      </c>
      <c r="G2123">
        <v>275</v>
      </c>
      <c r="H2123">
        <v>3567773</v>
      </c>
      <c r="I2123">
        <v>637092</v>
      </c>
      <c r="J2123" t="s">
        <v>21</v>
      </c>
      <c r="K2123" t="s">
        <v>30</v>
      </c>
      <c r="L2123">
        <v>1</v>
      </c>
      <c r="M2123">
        <v>26.64</v>
      </c>
      <c r="N2123">
        <v>50020</v>
      </c>
      <c r="O2123">
        <v>1</v>
      </c>
    </row>
    <row r="2124" spans="1:15">
      <c r="A2124" t="s">
        <v>2150</v>
      </c>
      <c r="B2124" t="s">
        <v>27</v>
      </c>
      <c r="C2124">
        <v>1</v>
      </c>
      <c r="D2124">
        <v>23390693</v>
      </c>
      <c r="E2124">
        <v>4</v>
      </c>
      <c r="F2124">
        <v>28</v>
      </c>
      <c r="G2124">
        <v>62</v>
      </c>
      <c r="H2124">
        <v>14277470</v>
      </c>
      <c r="I2124">
        <v>917085</v>
      </c>
      <c r="J2124" t="s">
        <v>25</v>
      </c>
      <c r="K2124" t="s">
        <v>22</v>
      </c>
      <c r="L2124">
        <v>4</v>
      </c>
      <c r="M2124">
        <v>42.89</v>
      </c>
      <c r="N2124">
        <v>690473</v>
      </c>
      <c r="O2124">
        <v>1</v>
      </c>
    </row>
    <row r="2125" spans="1:15">
      <c r="A2125" t="s">
        <v>2151</v>
      </c>
      <c r="B2125" t="s">
        <v>16</v>
      </c>
      <c r="C2125">
        <v>2</v>
      </c>
      <c r="D2125">
        <v>24249095</v>
      </c>
      <c r="E2125">
        <v>3</v>
      </c>
      <c r="F2125">
        <v>12</v>
      </c>
      <c r="G2125">
        <v>748</v>
      </c>
      <c r="H2125">
        <v>33123779</v>
      </c>
      <c r="I2125">
        <v>678237</v>
      </c>
      <c r="J2125" t="s">
        <v>25</v>
      </c>
      <c r="K2125" t="s">
        <v>30</v>
      </c>
      <c r="L2125">
        <v>4</v>
      </c>
      <c r="M2125">
        <v>25.53</v>
      </c>
      <c r="N2125">
        <v>543070</v>
      </c>
      <c r="O2125">
        <v>1</v>
      </c>
    </row>
    <row r="2126" spans="1:15">
      <c r="A2126" t="s">
        <v>2152</v>
      </c>
      <c r="B2126" t="s">
        <v>20</v>
      </c>
      <c r="C2126">
        <v>9</v>
      </c>
      <c r="D2126">
        <v>39849123</v>
      </c>
      <c r="E2126">
        <v>4</v>
      </c>
      <c r="F2126">
        <v>13</v>
      </c>
      <c r="G2126">
        <v>56</v>
      </c>
      <c r="H2126">
        <v>64472828</v>
      </c>
      <c r="I2126">
        <v>693969</v>
      </c>
      <c r="J2126" t="s">
        <v>25</v>
      </c>
      <c r="K2126" t="s">
        <v>30</v>
      </c>
      <c r="L2126">
        <v>6</v>
      </c>
      <c r="M2126">
        <v>30.65</v>
      </c>
      <c r="N2126">
        <v>432662</v>
      </c>
      <c r="O2126">
        <v>1</v>
      </c>
    </row>
    <row r="2127" spans="1:15">
      <c r="A2127" t="s">
        <v>2153</v>
      </c>
      <c r="B2127" t="s">
        <v>38</v>
      </c>
      <c r="C2127">
        <v>6</v>
      </c>
      <c r="D2127">
        <v>2129659</v>
      </c>
      <c r="E2127">
        <v>2</v>
      </c>
      <c r="F2127">
        <v>6</v>
      </c>
      <c r="G2127">
        <v>397</v>
      </c>
      <c r="H2127">
        <v>57579940</v>
      </c>
      <c r="I2127">
        <v>927477</v>
      </c>
      <c r="J2127" t="s">
        <v>17</v>
      </c>
      <c r="K2127" t="s">
        <v>30</v>
      </c>
      <c r="L2127">
        <v>7</v>
      </c>
      <c r="M2127">
        <v>3.27</v>
      </c>
      <c r="N2127">
        <v>273747</v>
      </c>
      <c r="O2127">
        <v>1</v>
      </c>
    </row>
    <row r="2128" spans="1:15">
      <c r="A2128" t="s">
        <v>2154</v>
      </c>
      <c r="B2128" t="s">
        <v>20</v>
      </c>
      <c r="C2128">
        <v>13</v>
      </c>
      <c r="D2128">
        <v>34486437</v>
      </c>
      <c r="E2128">
        <v>3</v>
      </c>
      <c r="F2128">
        <v>18</v>
      </c>
      <c r="G2128">
        <v>192</v>
      </c>
      <c r="H2128">
        <v>29752526</v>
      </c>
      <c r="I2128">
        <v>654895</v>
      </c>
      <c r="J2128" t="s">
        <v>21</v>
      </c>
      <c r="K2128" t="s">
        <v>30</v>
      </c>
      <c r="L2128">
        <v>1</v>
      </c>
      <c r="M2128">
        <v>62.73</v>
      </c>
      <c r="N2128">
        <v>555622</v>
      </c>
      <c r="O2128">
        <v>1</v>
      </c>
    </row>
    <row r="2129" spans="1:15">
      <c r="A2129" t="s">
        <v>2155</v>
      </c>
      <c r="B2129" t="s">
        <v>27</v>
      </c>
      <c r="C2129">
        <v>11</v>
      </c>
      <c r="D2129">
        <v>44229923</v>
      </c>
      <c r="E2129">
        <v>3</v>
      </c>
      <c r="F2129">
        <v>9</v>
      </c>
      <c r="G2129">
        <v>325</v>
      </c>
      <c r="H2129">
        <v>22668655</v>
      </c>
      <c r="I2129">
        <v>436203</v>
      </c>
      <c r="J2129" t="s">
        <v>17</v>
      </c>
      <c r="K2129" t="s">
        <v>18</v>
      </c>
      <c r="L2129">
        <v>1</v>
      </c>
      <c r="M2129">
        <v>84.24</v>
      </c>
      <c r="N2129">
        <v>264344</v>
      </c>
      <c r="O2129">
        <v>1</v>
      </c>
    </row>
    <row r="2130" spans="1:15">
      <c r="A2130" t="s">
        <v>2156</v>
      </c>
      <c r="B2130" t="s">
        <v>24</v>
      </c>
      <c r="C2130">
        <v>10</v>
      </c>
      <c r="D2130">
        <v>10492035</v>
      </c>
      <c r="E2130">
        <v>1</v>
      </c>
      <c r="F2130">
        <v>17</v>
      </c>
      <c r="G2130">
        <v>45</v>
      </c>
      <c r="H2130">
        <v>20079482</v>
      </c>
      <c r="I2130">
        <v>156230</v>
      </c>
      <c r="J2130" t="s">
        <v>21</v>
      </c>
      <c r="K2130" t="s">
        <v>30</v>
      </c>
      <c r="L2130">
        <v>8</v>
      </c>
      <c r="M2130">
        <v>60.78</v>
      </c>
      <c r="N2130">
        <v>433240</v>
      </c>
      <c r="O2130">
        <v>1</v>
      </c>
    </row>
    <row r="2131" spans="1:15">
      <c r="A2131" t="s">
        <v>2157</v>
      </c>
      <c r="B2131" t="s">
        <v>16</v>
      </c>
      <c r="C2131">
        <v>2</v>
      </c>
      <c r="D2131">
        <v>26177556</v>
      </c>
      <c r="E2131">
        <v>3</v>
      </c>
      <c r="F2131">
        <v>14</v>
      </c>
      <c r="G2131">
        <v>670</v>
      </c>
      <c r="H2131">
        <v>12121859</v>
      </c>
      <c r="I2131">
        <v>648939</v>
      </c>
      <c r="J2131" t="s">
        <v>21</v>
      </c>
      <c r="K2131" t="s">
        <v>18</v>
      </c>
      <c r="L2131">
        <v>6</v>
      </c>
      <c r="M2131">
        <v>64.400000000000006</v>
      </c>
      <c r="N2131">
        <v>505112</v>
      </c>
      <c r="O2131">
        <v>1</v>
      </c>
    </row>
    <row r="2132" spans="1:15">
      <c r="A2132" t="s">
        <v>2158</v>
      </c>
      <c r="B2132" t="s">
        <v>32</v>
      </c>
      <c r="C2132">
        <v>12</v>
      </c>
      <c r="D2132">
        <v>8070023</v>
      </c>
      <c r="E2132">
        <v>1</v>
      </c>
      <c r="F2132">
        <v>23</v>
      </c>
      <c r="G2132">
        <v>374</v>
      </c>
      <c r="H2132">
        <v>48576845</v>
      </c>
      <c r="I2132">
        <v>287149</v>
      </c>
      <c r="J2132" t="s">
        <v>25</v>
      </c>
      <c r="K2132" t="s">
        <v>22</v>
      </c>
      <c r="L2132">
        <v>1</v>
      </c>
      <c r="M2132">
        <v>93.28</v>
      </c>
      <c r="N2132">
        <v>723372</v>
      </c>
      <c r="O2132">
        <v>1</v>
      </c>
    </row>
    <row r="2133" spans="1:15">
      <c r="A2133" t="s">
        <v>2159</v>
      </c>
      <c r="B2133" t="s">
        <v>20</v>
      </c>
      <c r="C2133">
        <v>8</v>
      </c>
      <c r="D2133">
        <v>12447412</v>
      </c>
      <c r="E2133">
        <v>3</v>
      </c>
      <c r="F2133">
        <v>16</v>
      </c>
      <c r="G2133">
        <v>728</v>
      </c>
      <c r="H2133">
        <v>13934122</v>
      </c>
      <c r="I2133">
        <v>951697</v>
      </c>
      <c r="J2133" t="s">
        <v>21</v>
      </c>
      <c r="K2133" t="s">
        <v>22</v>
      </c>
      <c r="L2133">
        <v>1</v>
      </c>
      <c r="M2133">
        <v>71.84</v>
      </c>
      <c r="N2133">
        <v>876696</v>
      </c>
      <c r="O2133">
        <v>1</v>
      </c>
    </row>
    <row r="2134" spans="1:15">
      <c r="A2134" t="s">
        <v>2160</v>
      </c>
      <c r="B2134" t="s">
        <v>24</v>
      </c>
      <c r="C2134">
        <v>4</v>
      </c>
      <c r="D2134">
        <v>44500399</v>
      </c>
      <c r="E2134">
        <v>3</v>
      </c>
      <c r="F2134">
        <v>8</v>
      </c>
      <c r="G2134">
        <v>30</v>
      </c>
      <c r="H2134">
        <v>74340837</v>
      </c>
      <c r="I2134">
        <v>104281</v>
      </c>
      <c r="J2134" t="s">
        <v>21</v>
      </c>
      <c r="K2134" t="s">
        <v>22</v>
      </c>
      <c r="L2134">
        <v>9</v>
      </c>
      <c r="M2134">
        <v>46.25</v>
      </c>
      <c r="N2134">
        <v>988223</v>
      </c>
      <c r="O2134">
        <v>1</v>
      </c>
    </row>
    <row r="2135" spans="1:15">
      <c r="A2135" t="s">
        <v>2161</v>
      </c>
      <c r="B2135" t="s">
        <v>29</v>
      </c>
      <c r="C2135">
        <v>0</v>
      </c>
      <c r="D2135">
        <v>30696161</v>
      </c>
      <c r="E2135">
        <v>4</v>
      </c>
      <c r="F2135">
        <v>14</v>
      </c>
      <c r="G2135">
        <v>445</v>
      </c>
      <c r="H2135">
        <v>58006173</v>
      </c>
      <c r="I2135">
        <v>297910</v>
      </c>
      <c r="J2135" t="s">
        <v>17</v>
      </c>
      <c r="K2135" t="s">
        <v>22</v>
      </c>
      <c r="L2135">
        <v>2</v>
      </c>
      <c r="M2135">
        <v>84.32</v>
      </c>
      <c r="N2135">
        <v>236089</v>
      </c>
      <c r="O2135">
        <v>1</v>
      </c>
    </row>
    <row r="2136" spans="1:15">
      <c r="A2136" t="s">
        <v>2162</v>
      </c>
      <c r="B2136" t="s">
        <v>29</v>
      </c>
      <c r="C2136">
        <v>2</v>
      </c>
      <c r="D2136">
        <v>6035422</v>
      </c>
      <c r="E2136">
        <v>2</v>
      </c>
      <c r="F2136">
        <v>24</v>
      </c>
      <c r="G2136">
        <v>648</v>
      </c>
      <c r="H2136">
        <v>82738257</v>
      </c>
      <c r="I2136">
        <v>960392</v>
      </c>
      <c r="J2136" t="s">
        <v>21</v>
      </c>
      <c r="K2136" t="s">
        <v>18</v>
      </c>
      <c r="L2136">
        <v>8</v>
      </c>
      <c r="M2136">
        <v>67.180000000000007</v>
      </c>
      <c r="N2136">
        <v>764295</v>
      </c>
      <c r="O2136">
        <v>1</v>
      </c>
    </row>
    <row r="2137" spans="1:15">
      <c r="A2137" t="s">
        <v>2163</v>
      </c>
      <c r="B2137" t="s">
        <v>29</v>
      </c>
      <c r="C2137">
        <v>2</v>
      </c>
      <c r="D2137">
        <v>1738767</v>
      </c>
      <c r="E2137">
        <v>1</v>
      </c>
      <c r="F2137">
        <v>4</v>
      </c>
      <c r="G2137">
        <v>998</v>
      </c>
      <c r="H2137">
        <v>82008077</v>
      </c>
      <c r="I2137">
        <v>351281</v>
      </c>
      <c r="J2137" t="s">
        <v>21</v>
      </c>
      <c r="K2137" t="s">
        <v>18</v>
      </c>
      <c r="L2137">
        <v>7</v>
      </c>
      <c r="M2137">
        <v>84.8</v>
      </c>
      <c r="N2137">
        <v>813405</v>
      </c>
      <c r="O2137">
        <v>1</v>
      </c>
    </row>
    <row r="2138" spans="1:15">
      <c r="A2138" t="s">
        <v>2164</v>
      </c>
      <c r="B2138" t="s">
        <v>20</v>
      </c>
      <c r="C2138">
        <v>5</v>
      </c>
      <c r="D2138">
        <v>40755853</v>
      </c>
      <c r="E2138">
        <v>2</v>
      </c>
      <c r="F2138">
        <v>18</v>
      </c>
      <c r="G2138">
        <v>583</v>
      </c>
      <c r="H2138">
        <v>66024430</v>
      </c>
      <c r="I2138">
        <v>485568</v>
      </c>
      <c r="J2138" t="s">
        <v>25</v>
      </c>
      <c r="K2138" t="s">
        <v>30</v>
      </c>
      <c r="L2138">
        <v>1</v>
      </c>
      <c r="M2138">
        <v>9.59</v>
      </c>
      <c r="N2138">
        <v>591041</v>
      </c>
      <c r="O2138">
        <v>1</v>
      </c>
    </row>
    <row r="2139" spans="1:15">
      <c r="A2139" t="s">
        <v>2165</v>
      </c>
      <c r="B2139" t="s">
        <v>16</v>
      </c>
      <c r="C2139">
        <v>4</v>
      </c>
      <c r="D2139">
        <v>21028361</v>
      </c>
      <c r="E2139">
        <v>2</v>
      </c>
      <c r="F2139">
        <v>20</v>
      </c>
      <c r="G2139">
        <v>361</v>
      </c>
      <c r="H2139">
        <v>18223964</v>
      </c>
      <c r="I2139">
        <v>877310</v>
      </c>
      <c r="J2139" t="s">
        <v>21</v>
      </c>
      <c r="K2139" t="s">
        <v>30</v>
      </c>
      <c r="L2139">
        <v>1</v>
      </c>
      <c r="M2139">
        <v>72.75</v>
      </c>
      <c r="N2139">
        <v>160445</v>
      </c>
      <c r="O2139">
        <v>1</v>
      </c>
    </row>
    <row r="2140" spans="1:15">
      <c r="A2140" t="s">
        <v>2166</v>
      </c>
      <c r="B2140" t="s">
        <v>38</v>
      </c>
      <c r="C2140">
        <v>4</v>
      </c>
      <c r="D2140">
        <v>33355180</v>
      </c>
      <c r="E2140">
        <v>3</v>
      </c>
      <c r="F2140">
        <v>1</v>
      </c>
      <c r="G2140">
        <v>432</v>
      </c>
      <c r="H2140">
        <v>19173889</v>
      </c>
      <c r="I2140">
        <v>333094</v>
      </c>
      <c r="J2140" t="s">
        <v>25</v>
      </c>
      <c r="K2140" t="s">
        <v>18</v>
      </c>
      <c r="L2140">
        <v>7</v>
      </c>
      <c r="M2140">
        <v>50.86</v>
      </c>
      <c r="N2140">
        <v>90529</v>
      </c>
      <c r="O2140">
        <v>1</v>
      </c>
    </row>
    <row r="2141" spans="1:15">
      <c r="A2141" t="s">
        <v>2167</v>
      </c>
      <c r="B2141" t="s">
        <v>32</v>
      </c>
      <c r="C2141">
        <v>7</v>
      </c>
      <c r="D2141">
        <v>910679</v>
      </c>
      <c r="E2141">
        <v>3</v>
      </c>
      <c r="F2141">
        <v>12</v>
      </c>
      <c r="G2141">
        <v>815</v>
      </c>
      <c r="H2141">
        <v>51306308</v>
      </c>
      <c r="I2141">
        <v>25150</v>
      </c>
      <c r="J2141" t="s">
        <v>17</v>
      </c>
      <c r="K2141" t="s">
        <v>18</v>
      </c>
      <c r="L2141">
        <v>4</v>
      </c>
      <c r="M2141">
        <v>7.5</v>
      </c>
      <c r="N2141">
        <v>296675</v>
      </c>
      <c r="O2141">
        <v>1</v>
      </c>
    </row>
    <row r="2142" spans="1:15">
      <c r="A2142" t="s">
        <v>2168</v>
      </c>
      <c r="B2142" t="s">
        <v>32</v>
      </c>
      <c r="C2142">
        <v>4</v>
      </c>
      <c r="D2142">
        <v>35116025</v>
      </c>
      <c r="E2142">
        <v>2</v>
      </c>
      <c r="F2142">
        <v>3</v>
      </c>
      <c r="G2142">
        <v>97</v>
      </c>
      <c r="H2142">
        <v>11389714</v>
      </c>
      <c r="I2142">
        <v>221944</v>
      </c>
      <c r="J2142" t="s">
        <v>21</v>
      </c>
      <c r="K2142" t="s">
        <v>18</v>
      </c>
      <c r="L2142">
        <v>4</v>
      </c>
      <c r="M2142">
        <v>88.84</v>
      </c>
      <c r="N2142">
        <v>404958</v>
      </c>
      <c r="O2142">
        <v>1</v>
      </c>
    </row>
    <row r="2143" spans="1:15">
      <c r="A2143" t="s">
        <v>2169</v>
      </c>
      <c r="B2143" t="s">
        <v>38</v>
      </c>
      <c r="C2143">
        <v>4</v>
      </c>
      <c r="D2143">
        <v>4837967</v>
      </c>
      <c r="E2143">
        <v>3</v>
      </c>
      <c r="F2143">
        <v>25</v>
      </c>
      <c r="G2143">
        <v>787</v>
      </c>
      <c r="H2143">
        <v>68267436</v>
      </c>
      <c r="I2143">
        <v>810723</v>
      </c>
      <c r="J2143" t="s">
        <v>21</v>
      </c>
      <c r="K2143" t="s">
        <v>30</v>
      </c>
      <c r="L2143">
        <v>3</v>
      </c>
      <c r="M2143">
        <v>68.150000000000006</v>
      </c>
      <c r="N2143">
        <v>975879</v>
      </c>
      <c r="O2143">
        <v>1</v>
      </c>
    </row>
    <row r="2144" spans="1:15">
      <c r="A2144" t="s">
        <v>2170</v>
      </c>
      <c r="B2144" t="s">
        <v>20</v>
      </c>
      <c r="C2144">
        <v>10</v>
      </c>
      <c r="D2144">
        <v>4277195</v>
      </c>
      <c r="E2144">
        <v>3</v>
      </c>
      <c r="F2144">
        <v>6</v>
      </c>
      <c r="G2144">
        <v>246</v>
      </c>
      <c r="H2144">
        <v>10698899</v>
      </c>
      <c r="I2144">
        <v>109829</v>
      </c>
      <c r="J2144" t="s">
        <v>17</v>
      </c>
      <c r="K2144" t="s">
        <v>18</v>
      </c>
      <c r="L2144">
        <v>5</v>
      </c>
      <c r="M2144">
        <v>69.09</v>
      </c>
      <c r="N2144">
        <v>251655</v>
      </c>
      <c r="O2144">
        <v>1</v>
      </c>
    </row>
    <row r="2145" spans="1:15">
      <c r="A2145" t="s">
        <v>2171</v>
      </c>
      <c r="B2145" t="s">
        <v>16</v>
      </c>
      <c r="C2145">
        <v>3</v>
      </c>
      <c r="D2145">
        <v>35139170</v>
      </c>
      <c r="E2145">
        <v>1</v>
      </c>
      <c r="F2145">
        <v>25</v>
      </c>
      <c r="G2145">
        <v>344</v>
      </c>
      <c r="H2145">
        <v>53979325</v>
      </c>
      <c r="I2145">
        <v>255046</v>
      </c>
      <c r="J2145" t="s">
        <v>25</v>
      </c>
      <c r="K2145" t="s">
        <v>22</v>
      </c>
      <c r="L2145">
        <v>7</v>
      </c>
      <c r="M2145">
        <v>27.99</v>
      </c>
      <c r="N2145">
        <v>659128</v>
      </c>
      <c r="O2145">
        <v>1</v>
      </c>
    </row>
    <row r="2146" spans="1:15">
      <c r="A2146" t="s">
        <v>2172</v>
      </c>
      <c r="B2146" t="s">
        <v>38</v>
      </c>
      <c r="C2146">
        <v>13</v>
      </c>
      <c r="D2146">
        <v>13255450</v>
      </c>
      <c r="E2146">
        <v>3</v>
      </c>
      <c r="F2146">
        <v>27</v>
      </c>
      <c r="G2146">
        <v>945</v>
      </c>
      <c r="H2146">
        <v>27402909</v>
      </c>
      <c r="I2146">
        <v>33252</v>
      </c>
      <c r="J2146" t="s">
        <v>17</v>
      </c>
      <c r="K2146" t="s">
        <v>22</v>
      </c>
      <c r="L2146">
        <v>2</v>
      </c>
      <c r="M2146">
        <v>27.8</v>
      </c>
      <c r="N2146">
        <v>540558</v>
      </c>
      <c r="O2146">
        <v>1</v>
      </c>
    </row>
    <row r="2147" spans="1:15">
      <c r="A2147" t="s">
        <v>2173</v>
      </c>
      <c r="B2147" t="s">
        <v>24</v>
      </c>
      <c r="C2147">
        <v>13</v>
      </c>
      <c r="D2147">
        <v>16225458</v>
      </c>
      <c r="E2147">
        <v>4</v>
      </c>
      <c r="F2147">
        <v>20</v>
      </c>
      <c r="G2147">
        <v>181</v>
      </c>
      <c r="H2147">
        <v>26450483</v>
      </c>
      <c r="I2147">
        <v>792887</v>
      </c>
      <c r="J2147" t="s">
        <v>17</v>
      </c>
      <c r="K2147" t="s">
        <v>30</v>
      </c>
      <c r="L2147">
        <v>7</v>
      </c>
      <c r="M2147">
        <v>89.49</v>
      </c>
      <c r="N2147">
        <v>482528</v>
      </c>
      <c r="O2147">
        <v>1</v>
      </c>
    </row>
    <row r="2148" spans="1:15">
      <c r="A2148" t="s">
        <v>2174</v>
      </c>
      <c r="B2148" t="s">
        <v>20</v>
      </c>
      <c r="C2148">
        <v>13</v>
      </c>
      <c r="D2148">
        <v>2702909</v>
      </c>
      <c r="E2148">
        <v>2</v>
      </c>
      <c r="F2148">
        <v>4</v>
      </c>
      <c r="G2148">
        <v>668</v>
      </c>
      <c r="H2148">
        <v>97050032</v>
      </c>
      <c r="I2148">
        <v>13804</v>
      </c>
      <c r="J2148" t="s">
        <v>25</v>
      </c>
      <c r="K2148" t="s">
        <v>22</v>
      </c>
      <c r="L2148">
        <v>2</v>
      </c>
      <c r="M2148">
        <v>16.579999999999998</v>
      </c>
      <c r="N2148">
        <v>542536</v>
      </c>
      <c r="O2148">
        <v>1</v>
      </c>
    </row>
    <row r="2149" spans="1:15">
      <c r="A2149" t="s">
        <v>2175</v>
      </c>
      <c r="B2149" t="s">
        <v>38</v>
      </c>
      <c r="C2149">
        <v>2</v>
      </c>
      <c r="D2149">
        <v>21776117</v>
      </c>
      <c r="E2149">
        <v>4</v>
      </c>
      <c r="F2149">
        <v>4</v>
      </c>
      <c r="G2149">
        <v>101</v>
      </c>
      <c r="H2149">
        <v>56756272</v>
      </c>
      <c r="I2149">
        <v>960210</v>
      </c>
      <c r="J2149" t="s">
        <v>17</v>
      </c>
      <c r="K2149" t="s">
        <v>18</v>
      </c>
      <c r="L2149">
        <v>9</v>
      </c>
      <c r="M2149">
        <v>71.959999999999994</v>
      </c>
      <c r="N2149">
        <v>225768</v>
      </c>
      <c r="O2149">
        <v>1</v>
      </c>
    </row>
    <row r="2150" spans="1:15">
      <c r="A2150" t="s">
        <v>2176</v>
      </c>
      <c r="B2150" t="s">
        <v>16</v>
      </c>
      <c r="C2150">
        <v>0</v>
      </c>
      <c r="D2150">
        <v>12448578</v>
      </c>
      <c r="E2150">
        <v>4</v>
      </c>
      <c r="F2150">
        <v>8</v>
      </c>
      <c r="G2150">
        <v>528</v>
      </c>
      <c r="H2150">
        <v>80826456</v>
      </c>
      <c r="I2150">
        <v>210305</v>
      </c>
      <c r="J2150" t="s">
        <v>17</v>
      </c>
      <c r="K2150" t="s">
        <v>30</v>
      </c>
      <c r="L2150">
        <v>8</v>
      </c>
      <c r="M2150">
        <v>99.46</v>
      </c>
      <c r="N2150">
        <v>97765</v>
      </c>
      <c r="O2150">
        <v>1</v>
      </c>
    </row>
    <row r="2151" spans="1:15">
      <c r="A2151" t="s">
        <v>2177</v>
      </c>
      <c r="B2151" t="s">
        <v>38</v>
      </c>
      <c r="C2151">
        <v>8</v>
      </c>
      <c r="D2151">
        <v>20746407</v>
      </c>
      <c r="E2151">
        <v>2</v>
      </c>
      <c r="F2151">
        <v>28</v>
      </c>
      <c r="G2151">
        <v>727</v>
      </c>
      <c r="H2151">
        <v>62955194</v>
      </c>
      <c r="I2151">
        <v>754750</v>
      </c>
      <c r="J2151" t="s">
        <v>25</v>
      </c>
      <c r="K2151" t="s">
        <v>30</v>
      </c>
      <c r="L2151">
        <v>7</v>
      </c>
      <c r="M2151">
        <v>63.41</v>
      </c>
      <c r="N2151">
        <v>272604</v>
      </c>
      <c r="O2151">
        <v>1</v>
      </c>
    </row>
    <row r="2152" spans="1:15">
      <c r="A2152" t="s">
        <v>2178</v>
      </c>
      <c r="B2152" t="s">
        <v>32</v>
      </c>
      <c r="C2152">
        <v>4</v>
      </c>
      <c r="D2152">
        <v>28260042</v>
      </c>
      <c r="E2152">
        <v>1</v>
      </c>
      <c r="F2152">
        <v>27</v>
      </c>
      <c r="G2152">
        <v>498</v>
      </c>
      <c r="H2152">
        <v>85843369</v>
      </c>
      <c r="I2152">
        <v>495920</v>
      </c>
      <c r="J2152" t="s">
        <v>25</v>
      </c>
      <c r="K2152" t="s">
        <v>30</v>
      </c>
      <c r="L2152">
        <v>8</v>
      </c>
      <c r="M2152">
        <v>65.94</v>
      </c>
      <c r="N2152">
        <v>344481</v>
      </c>
      <c r="O2152">
        <v>1</v>
      </c>
    </row>
    <row r="2153" spans="1:15">
      <c r="A2153" t="s">
        <v>2179</v>
      </c>
      <c r="B2153" t="s">
        <v>29</v>
      </c>
      <c r="C2153">
        <v>2</v>
      </c>
      <c r="D2153">
        <v>22948172</v>
      </c>
      <c r="E2153">
        <v>4</v>
      </c>
      <c r="F2153">
        <v>25</v>
      </c>
      <c r="G2153">
        <v>843</v>
      </c>
      <c r="H2153">
        <v>24247888</v>
      </c>
      <c r="I2153">
        <v>922287</v>
      </c>
      <c r="J2153" t="s">
        <v>21</v>
      </c>
      <c r="K2153" t="s">
        <v>18</v>
      </c>
      <c r="L2153">
        <v>5</v>
      </c>
      <c r="M2153">
        <v>40.24</v>
      </c>
      <c r="N2153">
        <v>625339</v>
      </c>
      <c r="O2153">
        <v>1</v>
      </c>
    </row>
    <row r="2154" spans="1:15">
      <c r="A2154" t="s">
        <v>2180</v>
      </c>
      <c r="B2154" t="s">
        <v>38</v>
      </c>
      <c r="C2154">
        <v>2</v>
      </c>
      <c r="D2154">
        <v>24865998</v>
      </c>
      <c r="E2154">
        <v>1</v>
      </c>
      <c r="F2154">
        <v>20</v>
      </c>
      <c r="G2154">
        <v>887</v>
      </c>
      <c r="H2154">
        <v>61093895</v>
      </c>
      <c r="I2154">
        <v>247063</v>
      </c>
      <c r="J2154" t="s">
        <v>25</v>
      </c>
      <c r="K2154" t="s">
        <v>18</v>
      </c>
      <c r="L2154">
        <v>5</v>
      </c>
      <c r="M2154">
        <v>54.44</v>
      </c>
      <c r="N2154">
        <v>178050</v>
      </c>
      <c r="O2154">
        <v>1</v>
      </c>
    </row>
    <row r="2155" spans="1:15">
      <c r="A2155" t="s">
        <v>2181</v>
      </c>
      <c r="B2155" t="s">
        <v>38</v>
      </c>
      <c r="C2155">
        <v>3</v>
      </c>
      <c r="D2155">
        <v>24208598</v>
      </c>
      <c r="E2155">
        <v>1</v>
      </c>
      <c r="F2155">
        <v>2</v>
      </c>
      <c r="G2155">
        <v>922</v>
      </c>
      <c r="H2155">
        <v>42993041</v>
      </c>
      <c r="I2155">
        <v>430539</v>
      </c>
      <c r="J2155" t="s">
        <v>25</v>
      </c>
      <c r="K2155" t="s">
        <v>18</v>
      </c>
      <c r="L2155">
        <v>8</v>
      </c>
      <c r="M2155">
        <v>39.75</v>
      </c>
      <c r="N2155">
        <v>13522</v>
      </c>
      <c r="O2155">
        <v>1</v>
      </c>
    </row>
    <row r="2156" spans="1:15">
      <c r="A2156" t="s">
        <v>2182</v>
      </c>
      <c r="B2156" t="s">
        <v>16</v>
      </c>
      <c r="C2156">
        <v>13</v>
      </c>
      <c r="D2156">
        <v>49364218</v>
      </c>
      <c r="E2156">
        <v>1</v>
      </c>
      <c r="F2156">
        <v>2</v>
      </c>
      <c r="G2156">
        <v>598</v>
      </c>
      <c r="H2156">
        <v>55998027</v>
      </c>
      <c r="I2156">
        <v>766353</v>
      </c>
      <c r="J2156" t="s">
        <v>17</v>
      </c>
      <c r="K2156" t="s">
        <v>18</v>
      </c>
      <c r="L2156">
        <v>3</v>
      </c>
      <c r="M2156">
        <v>14.62</v>
      </c>
      <c r="N2156">
        <v>714730</v>
      </c>
      <c r="O2156">
        <v>1</v>
      </c>
    </row>
    <row r="2157" spans="1:15">
      <c r="A2157" t="s">
        <v>2183</v>
      </c>
      <c r="B2157" t="s">
        <v>38</v>
      </c>
      <c r="C2157">
        <v>1</v>
      </c>
      <c r="D2157">
        <v>43037182</v>
      </c>
      <c r="E2157">
        <v>3</v>
      </c>
      <c r="F2157">
        <v>7</v>
      </c>
      <c r="G2157">
        <v>178</v>
      </c>
      <c r="H2157">
        <v>89079198</v>
      </c>
      <c r="I2157">
        <v>701545</v>
      </c>
      <c r="J2157" t="s">
        <v>21</v>
      </c>
      <c r="K2157" t="s">
        <v>22</v>
      </c>
      <c r="L2157">
        <v>9</v>
      </c>
      <c r="M2157">
        <v>52.27</v>
      </c>
      <c r="N2157">
        <v>700043</v>
      </c>
      <c r="O2157">
        <v>1</v>
      </c>
    </row>
    <row r="2158" spans="1:15">
      <c r="A2158" t="s">
        <v>2184</v>
      </c>
      <c r="B2158" t="s">
        <v>32</v>
      </c>
      <c r="C2158">
        <v>3</v>
      </c>
      <c r="D2158">
        <v>44243189</v>
      </c>
      <c r="E2158">
        <v>4</v>
      </c>
      <c r="F2158">
        <v>18</v>
      </c>
      <c r="G2158">
        <v>637</v>
      </c>
      <c r="H2158">
        <v>3395947</v>
      </c>
      <c r="I2158">
        <v>513159</v>
      </c>
      <c r="J2158" t="s">
        <v>25</v>
      </c>
      <c r="K2158" t="s">
        <v>30</v>
      </c>
      <c r="L2158">
        <v>3</v>
      </c>
      <c r="M2158">
        <v>74.650000000000006</v>
      </c>
      <c r="N2158">
        <v>685604</v>
      </c>
      <c r="O2158">
        <v>1</v>
      </c>
    </row>
    <row r="2159" spans="1:15">
      <c r="A2159" t="s">
        <v>2185</v>
      </c>
      <c r="B2159" t="s">
        <v>27</v>
      </c>
      <c r="C2159">
        <v>13</v>
      </c>
      <c r="D2159">
        <v>50042</v>
      </c>
      <c r="E2159">
        <v>2</v>
      </c>
      <c r="F2159">
        <v>12</v>
      </c>
      <c r="G2159">
        <v>479</v>
      </c>
      <c r="H2159">
        <v>90080843</v>
      </c>
      <c r="I2159">
        <v>375689</v>
      </c>
      <c r="J2159" t="s">
        <v>25</v>
      </c>
      <c r="K2159" t="s">
        <v>18</v>
      </c>
      <c r="L2159">
        <v>9</v>
      </c>
      <c r="M2159">
        <v>41.16</v>
      </c>
      <c r="N2159">
        <v>713099</v>
      </c>
      <c r="O2159">
        <v>1</v>
      </c>
    </row>
    <row r="2160" spans="1:15">
      <c r="A2160" t="s">
        <v>2186</v>
      </c>
      <c r="B2160" t="s">
        <v>24</v>
      </c>
      <c r="C2160">
        <v>2</v>
      </c>
      <c r="D2160">
        <v>483330</v>
      </c>
      <c r="E2160">
        <v>2</v>
      </c>
      <c r="F2160">
        <v>11</v>
      </c>
      <c r="G2160">
        <v>866</v>
      </c>
      <c r="H2160">
        <v>66905898</v>
      </c>
      <c r="I2160">
        <v>354187</v>
      </c>
      <c r="J2160" t="s">
        <v>21</v>
      </c>
      <c r="K2160" t="s">
        <v>22</v>
      </c>
      <c r="L2160">
        <v>5</v>
      </c>
      <c r="M2160">
        <v>42.07</v>
      </c>
      <c r="N2160">
        <v>718169</v>
      </c>
      <c r="O2160">
        <v>1</v>
      </c>
    </row>
    <row r="2161" spans="1:15">
      <c r="A2161" t="s">
        <v>2187</v>
      </c>
      <c r="B2161" t="s">
        <v>20</v>
      </c>
      <c r="C2161">
        <v>3</v>
      </c>
      <c r="D2161">
        <v>48985911</v>
      </c>
      <c r="E2161">
        <v>4</v>
      </c>
      <c r="F2161">
        <v>10</v>
      </c>
      <c r="G2161">
        <v>737</v>
      </c>
      <c r="H2161">
        <v>62065632</v>
      </c>
      <c r="I2161">
        <v>88473</v>
      </c>
      <c r="J2161" t="s">
        <v>17</v>
      </c>
      <c r="K2161" t="s">
        <v>22</v>
      </c>
      <c r="L2161">
        <v>9</v>
      </c>
      <c r="M2161">
        <v>98.97</v>
      </c>
      <c r="N2161">
        <v>769373</v>
      </c>
      <c r="O2161">
        <v>1</v>
      </c>
    </row>
    <row r="2162" spans="1:15">
      <c r="A2162" t="s">
        <v>2188</v>
      </c>
      <c r="B2162" t="s">
        <v>20</v>
      </c>
      <c r="C2162">
        <v>14</v>
      </c>
      <c r="D2162">
        <v>20177664</v>
      </c>
      <c r="E2162">
        <v>2</v>
      </c>
      <c r="F2162">
        <v>19</v>
      </c>
      <c r="G2162">
        <v>380</v>
      </c>
      <c r="H2162">
        <v>76580593</v>
      </c>
      <c r="I2162">
        <v>591258</v>
      </c>
      <c r="J2162" t="s">
        <v>21</v>
      </c>
      <c r="K2162" t="s">
        <v>30</v>
      </c>
      <c r="L2162">
        <v>9</v>
      </c>
      <c r="M2162">
        <v>2.2799999999999998</v>
      </c>
      <c r="N2162">
        <v>917873</v>
      </c>
      <c r="O2162">
        <v>1</v>
      </c>
    </row>
    <row r="2163" spans="1:15">
      <c r="A2163" t="s">
        <v>2189</v>
      </c>
      <c r="B2163" t="s">
        <v>16</v>
      </c>
      <c r="C2163">
        <v>13</v>
      </c>
      <c r="D2163">
        <v>1368259</v>
      </c>
      <c r="E2163">
        <v>4</v>
      </c>
      <c r="F2163">
        <v>7</v>
      </c>
      <c r="G2163">
        <v>91</v>
      </c>
      <c r="H2163">
        <v>51021997</v>
      </c>
      <c r="I2163">
        <v>400276</v>
      </c>
      <c r="J2163" t="s">
        <v>21</v>
      </c>
      <c r="K2163" t="s">
        <v>22</v>
      </c>
      <c r="L2163">
        <v>9</v>
      </c>
      <c r="M2163">
        <v>38.94</v>
      </c>
      <c r="N2163">
        <v>453912</v>
      </c>
      <c r="O2163">
        <v>1</v>
      </c>
    </row>
    <row r="2164" spans="1:15">
      <c r="A2164" t="s">
        <v>2190</v>
      </c>
      <c r="B2164" t="s">
        <v>29</v>
      </c>
      <c r="C2164">
        <v>2</v>
      </c>
      <c r="D2164">
        <v>27231966</v>
      </c>
      <c r="E2164">
        <v>2</v>
      </c>
      <c r="F2164">
        <v>14</v>
      </c>
      <c r="G2164">
        <v>89</v>
      </c>
      <c r="H2164">
        <v>5666847</v>
      </c>
      <c r="I2164">
        <v>608733</v>
      </c>
      <c r="J2164" t="s">
        <v>17</v>
      </c>
      <c r="K2164" t="s">
        <v>30</v>
      </c>
      <c r="L2164">
        <v>7</v>
      </c>
      <c r="M2164">
        <v>5.12</v>
      </c>
      <c r="N2164">
        <v>529776</v>
      </c>
      <c r="O2164">
        <v>1</v>
      </c>
    </row>
    <row r="2165" spans="1:15">
      <c r="A2165" t="s">
        <v>2191</v>
      </c>
      <c r="B2165" t="s">
        <v>27</v>
      </c>
      <c r="C2165">
        <v>0</v>
      </c>
      <c r="D2165">
        <v>21823661</v>
      </c>
      <c r="E2165">
        <v>3</v>
      </c>
      <c r="F2165">
        <v>0</v>
      </c>
      <c r="G2165">
        <v>400</v>
      </c>
      <c r="H2165">
        <v>52515964</v>
      </c>
      <c r="I2165">
        <v>899706</v>
      </c>
      <c r="J2165" t="s">
        <v>25</v>
      </c>
      <c r="K2165" t="s">
        <v>22</v>
      </c>
      <c r="L2165">
        <v>7</v>
      </c>
      <c r="M2165">
        <v>39.549999999999997</v>
      </c>
      <c r="N2165">
        <v>360101</v>
      </c>
      <c r="O2165">
        <v>1</v>
      </c>
    </row>
    <row r="2166" spans="1:15">
      <c r="A2166" t="s">
        <v>2192</v>
      </c>
      <c r="B2166" t="s">
        <v>16</v>
      </c>
      <c r="C2166">
        <v>0</v>
      </c>
      <c r="D2166">
        <v>31770954</v>
      </c>
      <c r="E2166">
        <v>1</v>
      </c>
      <c r="F2166">
        <v>13</v>
      </c>
      <c r="G2166">
        <v>272</v>
      </c>
      <c r="H2166">
        <v>96641365</v>
      </c>
      <c r="I2166">
        <v>56114</v>
      </c>
      <c r="J2166" t="s">
        <v>21</v>
      </c>
      <c r="K2166" t="s">
        <v>30</v>
      </c>
      <c r="L2166">
        <v>5</v>
      </c>
      <c r="M2166">
        <v>81.319999999999993</v>
      </c>
      <c r="N2166">
        <v>454249</v>
      </c>
      <c r="O2166">
        <v>1</v>
      </c>
    </row>
    <row r="2167" spans="1:15">
      <c r="A2167" t="s">
        <v>2193</v>
      </c>
      <c r="B2167" t="s">
        <v>32</v>
      </c>
      <c r="C2167">
        <v>9</v>
      </c>
      <c r="D2167">
        <v>38417588</v>
      </c>
      <c r="E2167">
        <v>4</v>
      </c>
      <c r="F2167">
        <v>18</v>
      </c>
      <c r="G2167">
        <v>431</v>
      </c>
      <c r="H2167">
        <v>98215282</v>
      </c>
      <c r="I2167">
        <v>791585</v>
      </c>
      <c r="J2167" t="s">
        <v>17</v>
      </c>
      <c r="K2167" t="s">
        <v>22</v>
      </c>
      <c r="L2167">
        <v>5</v>
      </c>
      <c r="M2167">
        <v>41.56</v>
      </c>
      <c r="N2167">
        <v>964046</v>
      </c>
      <c r="O2167">
        <v>1</v>
      </c>
    </row>
    <row r="2168" spans="1:15">
      <c r="A2168" t="s">
        <v>2194</v>
      </c>
      <c r="B2168" t="s">
        <v>24</v>
      </c>
      <c r="C2168">
        <v>7</v>
      </c>
      <c r="D2168">
        <v>25155923</v>
      </c>
      <c r="E2168">
        <v>4</v>
      </c>
      <c r="F2168">
        <v>11</v>
      </c>
      <c r="G2168">
        <v>744</v>
      </c>
      <c r="H2168">
        <v>30886564</v>
      </c>
      <c r="I2168">
        <v>963207</v>
      </c>
      <c r="J2168" t="s">
        <v>25</v>
      </c>
      <c r="K2168" t="s">
        <v>18</v>
      </c>
      <c r="L2168">
        <v>8</v>
      </c>
      <c r="M2168">
        <v>22.29</v>
      </c>
      <c r="N2168">
        <v>308810</v>
      </c>
      <c r="O2168">
        <v>1</v>
      </c>
    </row>
    <row r="2169" spans="1:15">
      <c r="A2169" t="s">
        <v>2195</v>
      </c>
      <c r="B2169" t="s">
        <v>16</v>
      </c>
      <c r="C2169">
        <v>11</v>
      </c>
      <c r="D2169">
        <v>32423502</v>
      </c>
      <c r="E2169">
        <v>1</v>
      </c>
      <c r="F2169">
        <v>28</v>
      </c>
      <c r="G2169">
        <v>387</v>
      </c>
      <c r="H2169">
        <v>5263507</v>
      </c>
      <c r="I2169">
        <v>685177</v>
      </c>
      <c r="J2169" t="s">
        <v>17</v>
      </c>
      <c r="K2169" t="s">
        <v>22</v>
      </c>
      <c r="L2169">
        <v>3</v>
      </c>
      <c r="M2169">
        <v>49.72</v>
      </c>
      <c r="N2169">
        <v>676934</v>
      </c>
      <c r="O2169">
        <v>1</v>
      </c>
    </row>
    <row r="2170" spans="1:15">
      <c r="A2170" t="s">
        <v>2196</v>
      </c>
      <c r="B2170" t="s">
        <v>24</v>
      </c>
      <c r="C2170">
        <v>1</v>
      </c>
      <c r="D2170">
        <v>6226403</v>
      </c>
      <c r="E2170">
        <v>3</v>
      </c>
      <c r="F2170">
        <v>16</v>
      </c>
      <c r="G2170">
        <v>893</v>
      </c>
      <c r="H2170">
        <v>62387914</v>
      </c>
      <c r="I2170">
        <v>69615</v>
      </c>
      <c r="J2170" t="s">
        <v>21</v>
      </c>
      <c r="K2170" t="s">
        <v>18</v>
      </c>
      <c r="L2170">
        <v>6</v>
      </c>
      <c r="M2170">
        <v>14.2</v>
      </c>
      <c r="N2170">
        <v>5253</v>
      </c>
      <c r="O2170">
        <v>1</v>
      </c>
    </row>
    <row r="2171" spans="1:15">
      <c r="A2171" t="s">
        <v>2197</v>
      </c>
      <c r="B2171" t="s">
        <v>32</v>
      </c>
      <c r="C2171">
        <v>8</v>
      </c>
      <c r="D2171">
        <v>18590299</v>
      </c>
      <c r="E2171">
        <v>4</v>
      </c>
      <c r="F2171">
        <v>14</v>
      </c>
      <c r="G2171">
        <v>246</v>
      </c>
      <c r="H2171">
        <v>16406947</v>
      </c>
      <c r="I2171">
        <v>570122</v>
      </c>
      <c r="J2171" t="s">
        <v>21</v>
      </c>
      <c r="K2171" t="s">
        <v>22</v>
      </c>
      <c r="L2171">
        <v>6</v>
      </c>
      <c r="M2171">
        <v>51.13</v>
      </c>
      <c r="N2171">
        <v>413732</v>
      </c>
      <c r="O2171">
        <v>1</v>
      </c>
    </row>
    <row r="2172" spans="1:15">
      <c r="A2172" t="s">
        <v>2198</v>
      </c>
      <c r="B2172" t="s">
        <v>16</v>
      </c>
      <c r="C2172">
        <v>3</v>
      </c>
      <c r="D2172">
        <v>5800822</v>
      </c>
      <c r="E2172">
        <v>4</v>
      </c>
      <c r="F2172">
        <v>17</v>
      </c>
      <c r="G2172">
        <v>86</v>
      </c>
      <c r="H2172">
        <v>32484891</v>
      </c>
      <c r="I2172">
        <v>872431</v>
      </c>
      <c r="J2172" t="s">
        <v>17</v>
      </c>
      <c r="K2172" t="s">
        <v>18</v>
      </c>
      <c r="L2172">
        <v>9</v>
      </c>
      <c r="M2172">
        <v>3.22</v>
      </c>
      <c r="N2172">
        <v>537412</v>
      </c>
      <c r="O2172">
        <v>1</v>
      </c>
    </row>
    <row r="2173" spans="1:15">
      <c r="A2173" t="s">
        <v>2199</v>
      </c>
      <c r="B2173" t="s">
        <v>27</v>
      </c>
      <c r="C2173">
        <v>5</v>
      </c>
      <c r="D2173">
        <v>12184110</v>
      </c>
      <c r="E2173">
        <v>3</v>
      </c>
      <c r="F2173">
        <v>19</v>
      </c>
      <c r="G2173">
        <v>368</v>
      </c>
      <c r="H2173">
        <v>52397380</v>
      </c>
      <c r="I2173">
        <v>728024</v>
      </c>
      <c r="J2173" t="s">
        <v>17</v>
      </c>
      <c r="K2173" t="s">
        <v>30</v>
      </c>
      <c r="L2173">
        <v>7</v>
      </c>
      <c r="M2173">
        <v>69.77</v>
      </c>
      <c r="N2173">
        <v>980890</v>
      </c>
      <c r="O2173">
        <v>1</v>
      </c>
    </row>
    <row r="2174" spans="1:15">
      <c r="A2174" t="s">
        <v>2200</v>
      </c>
      <c r="B2174" t="s">
        <v>32</v>
      </c>
      <c r="C2174">
        <v>5</v>
      </c>
      <c r="D2174">
        <v>20910383</v>
      </c>
      <c r="E2174">
        <v>3</v>
      </c>
      <c r="F2174">
        <v>20</v>
      </c>
      <c r="G2174">
        <v>725</v>
      </c>
      <c r="H2174">
        <v>35174785</v>
      </c>
      <c r="I2174">
        <v>362970</v>
      </c>
      <c r="J2174" t="s">
        <v>21</v>
      </c>
      <c r="K2174" t="s">
        <v>22</v>
      </c>
      <c r="L2174">
        <v>7</v>
      </c>
      <c r="M2174">
        <v>88.67</v>
      </c>
      <c r="N2174">
        <v>739777</v>
      </c>
      <c r="O2174">
        <v>1</v>
      </c>
    </row>
    <row r="2175" spans="1:15">
      <c r="A2175" t="s">
        <v>2201</v>
      </c>
      <c r="B2175" t="s">
        <v>32</v>
      </c>
      <c r="C2175">
        <v>14</v>
      </c>
      <c r="D2175">
        <v>35406434</v>
      </c>
      <c r="E2175">
        <v>1</v>
      </c>
      <c r="F2175">
        <v>1</v>
      </c>
      <c r="G2175">
        <v>165</v>
      </c>
      <c r="H2175">
        <v>89991583</v>
      </c>
      <c r="I2175">
        <v>169997</v>
      </c>
      <c r="J2175" t="s">
        <v>17</v>
      </c>
      <c r="K2175" t="s">
        <v>18</v>
      </c>
      <c r="L2175">
        <v>2</v>
      </c>
      <c r="M2175">
        <v>72.88</v>
      </c>
      <c r="N2175">
        <v>887328</v>
      </c>
      <c r="O2175">
        <v>1</v>
      </c>
    </row>
    <row r="2176" spans="1:15">
      <c r="A2176" t="s">
        <v>2202</v>
      </c>
      <c r="B2176" t="s">
        <v>32</v>
      </c>
      <c r="C2176">
        <v>11</v>
      </c>
      <c r="D2176">
        <v>47178432</v>
      </c>
      <c r="E2176">
        <v>2</v>
      </c>
      <c r="F2176">
        <v>6</v>
      </c>
      <c r="G2176">
        <v>282</v>
      </c>
      <c r="H2176">
        <v>61197954</v>
      </c>
      <c r="I2176">
        <v>513256</v>
      </c>
      <c r="J2176" t="s">
        <v>25</v>
      </c>
      <c r="K2176" t="s">
        <v>18</v>
      </c>
      <c r="L2176">
        <v>9</v>
      </c>
      <c r="M2176">
        <v>58.1</v>
      </c>
      <c r="N2176">
        <v>988828</v>
      </c>
      <c r="O2176">
        <v>1</v>
      </c>
    </row>
    <row r="2177" spans="1:15">
      <c r="A2177" t="s">
        <v>2203</v>
      </c>
      <c r="B2177" t="s">
        <v>16</v>
      </c>
      <c r="C2177">
        <v>4</v>
      </c>
      <c r="D2177">
        <v>614921</v>
      </c>
      <c r="E2177">
        <v>3</v>
      </c>
      <c r="F2177">
        <v>18</v>
      </c>
      <c r="G2177">
        <v>691</v>
      </c>
      <c r="H2177">
        <v>18510376</v>
      </c>
      <c r="I2177">
        <v>430512</v>
      </c>
      <c r="J2177" t="s">
        <v>21</v>
      </c>
      <c r="K2177" t="s">
        <v>18</v>
      </c>
      <c r="L2177">
        <v>5</v>
      </c>
      <c r="M2177">
        <v>31.26</v>
      </c>
      <c r="N2177">
        <v>441637</v>
      </c>
      <c r="O2177">
        <v>1</v>
      </c>
    </row>
    <row r="2178" spans="1:15">
      <c r="A2178" t="s">
        <v>2204</v>
      </c>
      <c r="B2178" t="s">
        <v>16</v>
      </c>
      <c r="C2178">
        <v>12</v>
      </c>
      <c r="D2178">
        <v>33611920</v>
      </c>
      <c r="E2178">
        <v>3</v>
      </c>
      <c r="F2178">
        <v>8</v>
      </c>
      <c r="G2178">
        <v>203</v>
      </c>
      <c r="H2178">
        <v>29093533</v>
      </c>
      <c r="I2178">
        <v>656330</v>
      </c>
      <c r="J2178" t="s">
        <v>21</v>
      </c>
      <c r="K2178" t="s">
        <v>18</v>
      </c>
      <c r="L2178">
        <v>6</v>
      </c>
      <c r="M2178">
        <v>72.819999999999993</v>
      </c>
      <c r="N2178">
        <v>765229</v>
      </c>
      <c r="O2178">
        <v>1</v>
      </c>
    </row>
    <row r="2179" spans="1:15">
      <c r="A2179" t="s">
        <v>2205</v>
      </c>
      <c r="B2179" t="s">
        <v>38</v>
      </c>
      <c r="C2179">
        <v>5</v>
      </c>
      <c r="D2179">
        <v>44213130</v>
      </c>
      <c r="E2179">
        <v>4</v>
      </c>
      <c r="F2179">
        <v>8</v>
      </c>
      <c r="G2179">
        <v>520</v>
      </c>
      <c r="H2179">
        <v>87259915</v>
      </c>
      <c r="I2179">
        <v>615958</v>
      </c>
      <c r="J2179" t="s">
        <v>21</v>
      </c>
      <c r="K2179" t="s">
        <v>18</v>
      </c>
      <c r="L2179">
        <v>4</v>
      </c>
      <c r="M2179">
        <v>96.77</v>
      </c>
      <c r="N2179">
        <v>679026</v>
      </c>
      <c r="O2179">
        <v>1</v>
      </c>
    </row>
    <row r="2180" spans="1:15">
      <c r="A2180" t="s">
        <v>2206</v>
      </c>
      <c r="B2180" t="s">
        <v>16</v>
      </c>
      <c r="C2180">
        <v>10</v>
      </c>
      <c r="D2180">
        <v>14427732</v>
      </c>
      <c r="E2180">
        <v>3</v>
      </c>
      <c r="F2180">
        <v>6</v>
      </c>
      <c r="G2180">
        <v>182</v>
      </c>
      <c r="H2180">
        <v>15170065</v>
      </c>
      <c r="I2180">
        <v>606574</v>
      </c>
      <c r="J2180" t="s">
        <v>21</v>
      </c>
      <c r="K2180" t="s">
        <v>22</v>
      </c>
      <c r="L2180">
        <v>8</v>
      </c>
      <c r="M2180">
        <v>60.91</v>
      </c>
      <c r="N2180">
        <v>562201</v>
      </c>
      <c r="O2180">
        <v>1</v>
      </c>
    </row>
    <row r="2181" spans="1:15">
      <c r="A2181" t="s">
        <v>2207</v>
      </c>
      <c r="B2181" t="s">
        <v>29</v>
      </c>
      <c r="C2181">
        <v>14</v>
      </c>
      <c r="D2181">
        <v>21178818</v>
      </c>
      <c r="E2181">
        <v>3</v>
      </c>
      <c r="F2181">
        <v>17</v>
      </c>
      <c r="G2181">
        <v>509</v>
      </c>
      <c r="H2181">
        <v>41516082</v>
      </c>
      <c r="I2181">
        <v>802072</v>
      </c>
      <c r="J2181" t="s">
        <v>21</v>
      </c>
      <c r="K2181" t="s">
        <v>18</v>
      </c>
      <c r="L2181">
        <v>1</v>
      </c>
      <c r="M2181">
        <v>13.71</v>
      </c>
      <c r="N2181">
        <v>492982</v>
      </c>
      <c r="O2181">
        <v>1</v>
      </c>
    </row>
    <row r="2182" spans="1:15">
      <c r="A2182" t="s">
        <v>2208</v>
      </c>
      <c r="B2182" t="s">
        <v>32</v>
      </c>
      <c r="C2182">
        <v>10</v>
      </c>
      <c r="D2182">
        <v>4705404</v>
      </c>
      <c r="E2182">
        <v>2</v>
      </c>
      <c r="F2182">
        <v>12</v>
      </c>
      <c r="G2182">
        <v>647</v>
      </c>
      <c r="H2182">
        <v>42292482</v>
      </c>
      <c r="I2182">
        <v>763043</v>
      </c>
      <c r="J2182" t="s">
        <v>25</v>
      </c>
      <c r="K2182" t="s">
        <v>18</v>
      </c>
      <c r="L2182">
        <v>6</v>
      </c>
      <c r="M2182">
        <v>46.09</v>
      </c>
      <c r="N2182">
        <v>360057</v>
      </c>
      <c r="O2182">
        <v>1</v>
      </c>
    </row>
    <row r="2183" spans="1:15">
      <c r="A2183" t="s">
        <v>2209</v>
      </c>
      <c r="B2183" t="s">
        <v>29</v>
      </c>
      <c r="C2183">
        <v>13</v>
      </c>
      <c r="D2183">
        <v>14971055</v>
      </c>
      <c r="E2183">
        <v>3</v>
      </c>
      <c r="F2183">
        <v>4</v>
      </c>
      <c r="G2183">
        <v>586</v>
      </c>
      <c r="H2183">
        <v>37028623</v>
      </c>
      <c r="I2183">
        <v>452985</v>
      </c>
      <c r="J2183" t="s">
        <v>21</v>
      </c>
      <c r="K2183" t="s">
        <v>22</v>
      </c>
      <c r="L2183">
        <v>1</v>
      </c>
      <c r="M2183">
        <v>86.06</v>
      </c>
      <c r="N2183">
        <v>605933</v>
      </c>
      <c r="O2183">
        <v>1</v>
      </c>
    </row>
    <row r="2184" spans="1:15">
      <c r="A2184" t="s">
        <v>2210</v>
      </c>
      <c r="B2184" t="s">
        <v>27</v>
      </c>
      <c r="C2184">
        <v>3</v>
      </c>
      <c r="D2184">
        <v>32913268</v>
      </c>
      <c r="E2184">
        <v>2</v>
      </c>
      <c r="F2184">
        <v>29</v>
      </c>
      <c r="G2184">
        <v>920</v>
      </c>
      <c r="H2184">
        <v>75961473</v>
      </c>
      <c r="I2184">
        <v>770024</v>
      </c>
      <c r="J2184" t="s">
        <v>21</v>
      </c>
      <c r="K2184" t="s">
        <v>18</v>
      </c>
      <c r="L2184">
        <v>4</v>
      </c>
      <c r="M2184">
        <v>95.95</v>
      </c>
      <c r="N2184">
        <v>271571</v>
      </c>
      <c r="O2184">
        <v>1</v>
      </c>
    </row>
    <row r="2185" spans="1:15">
      <c r="A2185" t="s">
        <v>2211</v>
      </c>
      <c r="B2185" t="s">
        <v>24</v>
      </c>
      <c r="C2185">
        <v>9</v>
      </c>
      <c r="D2185">
        <v>35828212</v>
      </c>
      <c r="E2185">
        <v>4</v>
      </c>
      <c r="F2185">
        <v>18</v>
      </c>
      <c r="G2185">
        <v>782</v>
      </c>
      <c r="H2185">
        <v>17947290</v>
      </c>
      <c r="I2185">
        <v>247421</v>
      </c>
      <c r="J2185" t="s">
        <v>25</v>
      </c>
      <c r="K2185" t="s">
        <v>18</v>
      </c>
      <c r="L2185">
        <v>3</v>
      </c>
      <c r="M2185">
        <v>30.01</v>
      </c>
      <c r="N2185">
        <v>308081</v>
      </c>
      <c r="O2185">
        <v>1</v>
      </c>
    </row>
    <row r="2186" spans="1:15">
      <c r="A2186" t="s">
        <v>2212</v>
      </c>
      <c r="B2186" t="s">
        <v>27</v>
      </c>
      <c r="C2186">
        <v>12</v>
      </c>
      <c r="D2186">
        <v>25836831</v>
      </c>
      <c r="E2186">
        <v>2</v>
      </c>
      <c r="F2186">
        <v>24</v>
      </c>
      <c r="G2186">
        <v>934</v>
      </c>
      <c r="H2186">
        <v>11662849</v>
      </c>
      <c r="I2186">
        <v>681002</v>
      </c>
      <c r="J2186" t="s">
        <v>17</v>
      </c>
      <c r="K2186" t="s">
        <v>30</v>
      </c>
      <c r="L2186">
        <v>4</v>
      </c>
      <c r="M2186">
        <v>88.8</v>
      </c>
      <c r="N2186">
        <v>348934</v>
      </c>
      <c r="O2186">
        <v>1</v>
      </c>
    </row>
    <row r="2187" spans="1:15">
      <c r="A2187" t="s">
        <v>2213</v>
      </c>
      <c r="B2187" t="s">
        <v>29</v>
      </c>
      <c r="C2187">
        <v>3</v>
      </c>
      <c r="D2187">
        <v>14504806</v>
      </c>
      <c r="E2187">
        <v>3</v>
      </c>
      <c r="F2187">
        <v>19</v>
      </c>
      <c r="G2187">
        <v>512</v>
      </c>
      <c r="H2187">
        <v>7793199</v>
      </c>
      <c r="I2187">
        <v>848267</v>
      </c>
      <c r="J2187" t="s">
        <v>21</v>
      </c>
      <c r="K2187" t="s">
        <v>22</v>
      </c>
      <c r="L2187">
        <v>1</v>
      </c>
      <c r="M2187">
        <v>38.82</v>
      </c>
      <c r="N2187">
        <v>41441</v>
      </c>
      <c r="O2187">
        <v>1</v>
      </c>
    </row>
    <row r="2188" spans="1:15">
      <c r="A2188" t="s">
        <v>2214</v>
      </c>
      <c r="B2188" t="s">
        <v>32</v>
      </c>
      <c r="C2188">
        <v>9</v>
      </c>
      <c r="D2188">
        <v>2539265</v>
      </c>
      <c r="E2188">
        <v>2</v>
      </c>
      <c r="F2188">
        <v>5</v>
      </c>
      <c r="G2188">
        <v>256</v>
      </c>
      <c r="H2188">
        <v>15392869</v>
      </c>
      <c r="I2188">
        <v>438193</v>
      </c>
      <c r="J2188" t="s">
        <v>17</v>
      </c>
      <c r="K2188" t="s">
        <v>18</v>
      </c>
      <c r="L2188">
        <v>4</v>
      </c>
      <c r="M2188">
        <v>86.53</v>
      </c>
      <c r="N2188">
        <v>458070</v>
      </c>
      <c r="O2188">
        <v>1</v>
      </c>
    </row>
    <row r="2189" spans="1:15">
      <c r="A2189" t="s">
        <v>2215</v>
      </c>
      <c r="B2189" t="s">
        <v>20</v>
      </c>
      <c r="C2189">
        <v>9</v>
      </c>
      <c r="D2189">
        <v>30577028</v>
      </c>
      <c r="E2189">
        <v>4</v>
      </c>
      <c r="F2189">
        <v>5</v>
      </c>
      <c r="G2189">
        <v>853</v>
      </c>
      <c r="H2189">
        <v>76336080</v>
      </c>
      <c r="I2189">
        <v>393088</v>
      </c>
      <c r="J2189" t="s">
        <v>17</v>
      </c>
      <c r="K2189" t="s">
        <v>22</v>
      </c>
      <c r="L2189">
        <v>7</v>
      </c>
      <c r="M2189">
        <v>37.86</v>
      </c>
      <c r="N2189">
        <v>999672</v>
      </c>
      <c r="O2189">
        <v>1</v>
      </c>
    </row>
    <row r="2190" spans="1:15">
      <c r="A2190" t="s">
        <v>2216</v>
      </c>
      <c r="B2190" t="s">
        <v>24</v>
      </c>
      <c r="C2190">
        <v>4</v>
      </c>
      <c r="D2190">
        <v>19741246</v>
      </c>
      <c r="E2190">
        <v>3</v>
      </c>
      <c r="F2190">
        <v>14</v>
      </c>
      <c r="G2190">
        <v>314</v>
      </c>
      <c r="H2190">
        <v>55495673</v>
      </c>
      <c r="I2190">
        <v>430751</v>
      </c>
      <c r="J2190" t="s">
        <v>25</v>
      </c>
      <c r="K2190" t="s">
        <v>30</v>
      </c>
      <c r="L2190">
        <v>5</v>
      </c>
      <c r="M2190">
        <v>48.04</v>
      </c>
      <c r="N2190">
        <v>899920</v>
      </c>
      <c r="O2190">
        <v>1</v>
      </c>
    </row>
    <row r="2191" spans="1:15">
      <c r="A2191" t="s">
        <v>2217</v>
      </c>
      <c r="B2191" t="s">
        <v>24</v>
      </c>
      <c r="C2191">
        <v>11</v>
      </c>
      <c r="D2191">
        <v>15007359</v>
      </c>
      <c r="E2191">
        <v>1</v>
      </c>
      <c r="F2191">
        <v>24</v>
      </c>
      <c r="G2191">
        <v>691</v>
      </c>
      <c r="H2191">
        <v>71274579</v>
      </c>
      <c r="I2191">
        <v>543839</v>
      </c>
      <c r="J2191" t="s">
        <v>17</v>
      </c>
      <c r="K2191" t="s">
        <v>30</v>
      </c>
      <c r="L2191">
        <v>6</v>
      </c>
      <c r="M2191">
        <v>7.82</v>
      </c>
      <c r="N2191">
        <v>261717</v>
      </c>
      <c r="O2191">
        <v>1</v>
      </c>
    </row>
    <row r="2192" spans="1:15">
      <c r="A2192" t="s">
        <v>2218</v>
      </c>
      <c r="B2192" t="s">
        <v>38</v>
      </c>
      <c r="C2192">
        <v>10</v>
      </c>
      <c r="D2192">
        <v>39455329</v>
      </c>
      <c r="E2192">
        <v>1</v>
      </c>
      <c r="F2192">
        <v>3</v>
      </c>
      <c r="G2192">
        <v>211</v>
      </c>
      <c r="H2192">
        <v>70874754</v>
      </c>
      <c r="I2192">
        <v>881350</v>
      </c>
      <c r="J2192" t="s">
        <v>25</v>
      </c>
      <c r="K2192" t="s">
        <v>22</v>
      </c>
      <c r="L2192">
        <v>8</v>
      </c>
      <c r="M2192">
        <v>42.08</v>
      </c>
      <c r="N2192">
        <v>59357</v>
      </c>
      <c r="O2192">
        <v>1</v>
      </c>
    </row>
    <row r="2193" spans="1:15">
      <c r="A2193" t="s">
        <v>2219</v>
      </c>
      <c r="B2193" t="s">
        <v>16</v>
      </c>
      <c r="C2193">
        <v>0</v>
      </c>
      <c r="D2193">
        <v>20321984</v>
      </c>
      <c r="E2193">
        <v>1</v>
      </c>
      <c r="F2193">
        <v>25</v>
      </c>
      <c r="G2193">
        <v>237</v>
      </c>
      <c r="H2193">
        <v>94029216</v>
      </c>
      <c r="I2193">
        <v>83512</v>
      </c>
      <c r="J2193" t="s">
        <v>25</v>
      </c>
      <c r="K2193" t="s">
        <v>30</v>
      </c>
      <c r="L2193">
        <v>8</v>
      </c>
      <c r="M2193">
        <v>5.55</v>
      </c>
      <c r="N2193">
        <v>331500</v>
      </c>
      <c r="O2193">
        <v>1</v>
      </c>
    </row>
    <row r="2194" spans="1:15">
      <c r="A2194" t="s">
        <v>2220</v>
      </c>
      <c r="B2194" t="s">
        <v>16</v>
      </c>
      <c r="C2194">
        <v>4</v>
      </c>
      <c r="D2194">
        <v>49457726</v>
      </c>
      <c r="E2194">
        <v>4</v>
      </c>
      <c r="F2194">
        <v>24</v>
      </c>
      <c r="G2194">
        <v>641</v>
      </c>
      <c r="H2194">
        <v>82359773</v>
      </c>
      <c r="I2194">
        <v>682661</v>
      </c>
      <c r="J2194" t="s">
        <v>17</v>
      </c>
      <c r="K2194" t="s">
        <v>30</v>
      </c>
      <c r="L2194">
        <v>1</v>
      </c>
      <c r="M2194">
        <v>55.42</v>
      </c>
      <c r="N2194">
        <v>357902</v>
      </c>
      <c r="O2194">
        <v>1</v>
      </c>
    </row>
    <row r="2195" spans="1:15">
      <c r="A2195" t="s">
        <v>2221</v>
      </c>
      <c r="B2195" t="s">
        <v>38</v>
      </c>
      <c r="C2195">
        <v>5</v>
      </c>
      <c r="D2195">
        <v>4977065</v>
      </c>
      <c r="E2195">
        <v>2</v>
      </c>
      <c r="F2195">
        <v>16</v>
      </c>
      <c r="G2195">
        <v>762</v>
      </c>
      <c r="H2195">
        <v>50771110</v>
      </c>
      <c r="I2195">
        <v>502737</v>
      </c>
      <c r="J2195" t="s">
        <v>25</v>
      </c>
      <c r="K2195" t="s">
        <v>22</v>
      </c>
      <c r="L2195">
        <v>2</v>
      </c>
      <c r="M2195">
        <v>49.9</v>
      </c>
      <c r="N2195">
        <v>74164</v>
      </c>
      <c r="O2195">
        <v>1</v>
      </c>
    </row>
    <row r="2196" spans="1:15">
      <c r="A2196" t="s">
        <v>2222</v>
      </c>
      <c r="B2196" t="s">
        <v>29</v>
      </c>
      <c r="C2196">
        <v>14</v>
      </c>
      <c r="D2196">
        <v>7544529</v>
      </c>
      <c r="E2196">
        <v>2</v>
      </c>
      <c r="F2196">
        <v>7</v>
      </c>
      <c r="G2196">
        <v>809</v>
      </c>
      <c r="H2196">
        <v>43316630</v>
      </c>
      <c r="I2196">
        <v>780559</v>
      </c>
      <c r="J2196" t="s">
        <v>17</v>
      </c>
      <c r="K2196" t="s">
        <v>30</v>
      </c>
      <c r="L2196">
        <v>8</v>
      </c>
      <c r="M2196">
        <v>59.19</v>
      </c>
      <c r="N2196">
        <v>87117</v>
      </c>
      <c r="O2196">
        <v>1</v>
      </c>
    </row>
    <row r="2197" spans="1:15">
      <c r="A2197" t="s">
        <v>2223</v>
      </c>
      <c r="B2197" t="s">
        <v>16</v>
      </c>
      <c r="C2197">
        <v>13</v>
      </c>
      <c r="D2197">
        <v>23768416</v>
      </c>
      <c r="E2197">
        <v>3</v>
      </c>
      <c r="F2197">
        <v>0</v>
      </c>
      <c r="G2197">
        <v>296</v>
      </c>
      <c r="H2197">
        <v>84481645</v>
      </c>
      <c r="I2197">
        <v>674662</v>
      </c>
      <c r="J2197" t="s">
        <v>25</v>
      </c>
      <c r="K2197" t="s">
        <v>18</v>
      </c>
      <c r="L2197">
        <v>5</v>
      </c>
      <c r="M2197">
        <v>76.5</v>
      </c>
      <c r="N2197">
        <v>539555</v>
      </c>
      <c r="O2197">
        <v>1</v>
      </c>
    </row>
    <row r="2198" spans="1:15">
      <c r="A2198" t="s">
        <v>2224</v>
      </c>
      <c r="B2198" t="s">
        <v>24</v>
      </c>
      <c r="C2198">
        <v>5</v>
      </c>
      <c r="D2198">
        <v>14571874</v>
      </c>
      <c r="E2198">
        <v>3</v>
      </c>
      <c r="F2198">
        <v>1</v>
      </c>
      <c r="G2198">
        <v>926</v>
      </c>
      <c r="H2198">
        <v>72173640</v>
      </c>
      <c r="I2198">
        <v>520099</v>
      </c>
      <c r="J2198" t="s">
        <v>17</v>
      </c>
      <c r="K2198" t="s">
        <v>30</v>
      </c>
      <c r="L2198">
        <v>4</v>
      </c>
      <c r="M2198">
        <v>36.880000000000003</v>
      </c>
      <c r="N2198">
        <v>694280</v>
      </c>
      <c r="O2198">
        <v>1</v>
      </c>
    </row>
    <row r="2199" spans="1:15">
      <c r="A2199" t="s">
        <v>2225</v>
      </c>
      <c r="B2199" t="s">
        <v>16</v>
      </c>
      <c r="C2199">
        <v>13</v>
      </c>
      <c r="D2199">
        <v>37475456</v>
      </c>
      <c r="E2199">
        <v>3</v>
      </c>
      <c r="F2199">
        <v>1</v>
      </c>
      <c r="G2199">
        <v>16</v>
      </c>
      <c r="H2199">
        <v>89291841</v>
      </c>
      <c r="I2199">
        <v>691098</v>
      </c>
      <c r="J2199" t="s">
        <v>25</v>
      </c>
      <c r="K2199" t="s">
        <v>18</v>
      </c>
      <c r="L2199">
        <v>7</v>
      </c>
      <c r="M2199">
        <v>7.28</v>
      </c>
      <c r="N2199">
        <v>546217</v>
      </c>
      <c r="O2199">
        <v>1</v>
      </c>
    </row>
    <row r="2200" spans="1:15">
      <c r="A2200" t="s">
        <v>2226</v>
      </c>
      <c r="B2200" t="s">
        <v>27</v>
      </c>
      <c r="C2200">
        <v>12</v>
      </c>
      <c r="D2200">
        <v>22559520</v>
      </c>
      <c r="E2200">
        <v>1</v>
      </c>
      <c r="F2200">
        <v>20</v>
      </c>
      <c r="G2200">
        <v>293</v>
      </c>
      <c r="H2200">
        <v>42248337</v>
      </c>
      <c r="I2200">
        <v>366255</v>
      </c>
      <c r="J2200" t="s">
        <v>21</v>
      </c>
      <c r="K2200" t="s">
        <v>22</v>
      </c>
      <c r="L2200">
        <v>5</v>
      </c>
      <c r="M2200">
        <v>33.22</v>
      </c>
      <c r="N2200">
        <v>118464</v>
      </c>
      <c r="O2200">
        <v>1</v>
      </c>
    </row>
    <row r="2201" spans="1:15">
      <c r="A2201" t="s">
        <v>2227</v>
      </c>
      <c r="B2201" t="s">
        <v>24</v>
      </c>
      <c r="C2201">
        <v>12</v>
      </c>
      <c r="D2201">
        <v>18919821</v>
      </c>
      <c r="E2201">
        <v>2</v>
      </c>
      <c r="F2201">
        <v>17</v>
      </c>
      <c r="G2201">
        <v>599</v>
      </c>
      <c r="H2201">
        <v>74392498</v>
      </c>
      <c r="I2201">
        <v>294965</v>
      </c>
      <c r="J2201" t="s">
        <v>21</v>
      </c>
      <c r="K2201" t="s">
        <v>22</v>
      </c>
      <c r="L2201">
        <v>7</v>
      </c>
      <c r="M2201">
        <v>84.09</v>
      </c>
      <c r="N2201">
        <v>339682</v>
      </c>
      <c r="O2201">
        <v>1</v>
      </c>
    </row>
    <row r="2202" spans="1:15">
      <c r="A2202" t="s">
        <v>2228</v>
      </c>
      <c r="B2202" t="s">
        <v>27</v>
      </c>
      <c r="C2202">
        <v>12</v>
      </c>
      <c r="D2202">
        <v>12698010</v>
      </c>
      <c r="E2202">
        <v>4</v>
      </c>
      <c r="F2202">
        <v>9</v>
      </c>
      <c r="G2202">
        <v>943</v>
      </c>
      <c r="H2202">
        <v>53149529</v>
      </c>
      <c r="I2202">
        <v>892359</v>
      </c>
      <c r="J2202" t="s">
        <v>17</v>
      </c>
      <c r="K2202" t="s">
        <v>18</v>
      </c>
      <c r="L2202">
        <v>2</v>
      </c>
      <c r="M2202">
        <v>58.95</v>
      </c>
      <c r="N2202">
        <v>887180</v>
      </c>
      <c r="O2202">
        <v>1</v>
      </c>
    </row>
    <row r="2203" spans="1:15">
      <c r="A2203" t="s">
        <v>2229</v>
      </c>
      <c r="B2203" t="s">
        <v>27</v>
      </c>
      <c r="C2203">
        <v>8</v>
      </c>
      <c r="D2203">
        <v>15848858</v>
      </c>
      <c r="E2203">
        <v>4</v>
      </c>
      <c r="F2203">
        <v>26</v>
      </c>
      <c r="G2203">
        <v>819</v>
      </c>
      <c r="H2203">
        <v>12322945</v>
      </c>
      <c r="I2203">
        <v>823033</v>
      </c>
      <c r="J2203" t="s">
        <v>17</v>
      </c>
      <c r="K2203" t="s">
        <v>18</v>
      </c>
      <c r="L2203">
        <v>2</v>
      </c>
      <c r="M2203">
        <v>25.68</v>
      </c>
      <c r="N2203">
        <v>157519</v>
      </c>
      <c r="O2203">
        <v>1</v>
      </c>
    </row>
    <row r="2204" spans="1:15">
      <c r="A2204" t="s">
        <v>2230</v>
      </c>
      <c r="B2204" t="s">
        <v>27</v>
      </c>
      <c r="C2204">
        <v>6</v>
      </c>
      <c r="D2204">
        <v>14383466</v>
      </c>
      <c r="E2204">
        <v>2</v>
      </c>
      <c r="F2204">
        <v>26</v>
      </c>
      <c r="G2204">
        <v>416</v>
      </c>
      <c r="H2204">
        <v>41566272</v>
      </c>
      <c r="I2204">
        <v>819382</v>
      </c>
      <c r="J2204" t="s">
        <v>25</v>
      </c>
      <c r="K2204" t="s">
        <v>22</v>
      </c>
      <c r="L2204">
        <v>7</v>
      </c>
      <c r="M2204">
        <v>92.92</v>
      </c>
      <c r="N2204">
        <v>534442</v>
      </c>
      <c r="O2204">
        <v>1</v>
      </c>
    </row>
    <row r="2205" spans="1:15">
      <c r="A2205" t="s">
        <v>2231</v>
      </c>
      <c r="B2205" t="s">
        <v>24</v>
      </c>
      <c r="C2205">
        <v>8</v>
      </c>
      <c r="D2205">
        <v>14489928</v>
      </c>
      <c r="E2205">
        <v>1</v>
      </c>
      <c r="F2205">
        <v>12</v>
      </c>
      <c r="G2205">
        <v>853</v>
      </c>
      <c r="H2205">
        <v>71684629</v>
      </c>
      <c r="I2205">
        <v>300273</v>
      </c>
      <c r="J2205" t="s">
        <v>17</v>
      </c>
      <c r="K2205" t="s">
        <v>30</v>
      </c>
      <c r="L2205">
        <v>9</v>
      </c>
      <c r="M2205">
        <v>17.14</v>
      </c>
      <c r="N2205">
        <v>73406</v>
      </c>
      <c r="O2205">
        <v>1</v>
      </c>
    </row>
    <row r="2206" spans="1:15">
      <c r="A2206" t="s">
        <v>2232</v>
      </c>
      <c r="B2206" t="s">
        <v>24</v>
      </c>
      <c r="C2206">
        <v>7</v>
      </c>
      <c r="D2206">
        <v>22060936</v>
      </c>
      <c r="E2206">
        <v>2</v>
      </c>
      <c r="F2206">
        <v>13</v>
      </c>
      <c r="G2206">
        <v>742</v>
      </c>
      <c r="H2206">
        <v>94737104</v>
      </c>
      <c r="I2206">
        <v>19593</v>
      </c>
      <c r="J2206" t="s">
        <v>25</v>
      </c>
      <c r="K2206" t="s">
        <v>18</v>
      </c>
      <c r="L2206">
        <v>3</v>
      </c>
      <c r="M2206">
        <v>34.08</v>
      </c>
      <c r="N2206">
        <v>196729</v>
      </c>
      <c r="O2206">
        <v>1</v>
      </c>
    </row>
    <row r="2207" spans="1:15">
      <c r="A2207" t="s">
        <v>2233</v>
      </c>
      <c r="B2207" t="s">
        <v>24</v>
      </c>
      <c r="C2207">
        <v>9</v>
      </c>
      <c r="D2207">
        <v>25511180</v>
      </c>
      <c r="E2207">
        <v>1</v>
      </c>
      <c r="F2207">
        <v>28</v>
      </c>
      <c r="G2207">
        <v>667</v>
      </c>
      <c r="H2207">
        <v>36176156</v>
      </c>
      <c r="I2207">
        <v>166405</v>
      </c>
      <c r="J2207" t="s">
        <v>25</v>
      </c>
      <c r="K2207" t="s">
        <v>30</v>
      </c>
      <c r="L2207">
        <v>7</v>
      </c>
      <c r="M2207">
        <v>0.68</v>
      </c>
      <c r="N2207">
        <v>936906</v>
      </c>
      <c r="O2207">
        <v>1</v>
      </c>
    </row>
    <row r="2208" spans="1:15">
      <c r="A2208" t="s">
        <v>2234</v>
      </c>
      <c r="B2208" t="s">
        <v>38</v>
      </c>
      <c r="C2208">
        <v>4</v>
      </c>
      <c r="D2208">
        <v>16499996</v>
      </c>
      <c r="E2208">
        <v>3</v>
      </c>
      <c r="F2208">
        <v>21</v>
      </c>
      <c r="G2208">
        <v>272</v>
      </c>
      <c r="H2208">
        <v>20627554</v>
      </c>
      <c r="I2208">
        <v>644863</v>
      </c>
      <c r="J2208" t="s">
        <v>25</v>
      </c>
      <c r="K2208" t="s">
        <v>22</v>
      </c>
      <c r="L2208">
        <v>1</v>
      </c>
      <c r="M2208">
        <v>0.82</v>
      </c>
      <c r="N2208">
        <v>919670</v>
      </c>
      <c r="O2208">
        <v>1</v>
      </c>
    </row>
    <row r="2209" spans="1:15">
      <c r="A2209" t="s">
        <v>2235</v>
      </c>
      <c r="B2209" t="s">
        <v>16</v>
      </c>
      <c r="C2209">
        <v>11</v>
      </c>
      <c r="D2209">
        <v>22240080</v>
      </c>
      <c r="E2209">
        <v>2</v>
      </c>
      <c r="F2209">
        <v>9</v>
      </c>
      <c r="G2209">
        <v>157</v>
      </c>
      <c r="H2209">
        <v>92102460</v>
      </c>
      <c r="I2209">
        <v>417517</v>
      </c>
      <c r="J2209" t="s">
        <v>21</v>
      </c>
      <c r="K2209" t="s">
        <v>30</v>
      </c>
      <c r="L2209">
        <v>5</v>
      </c>
      <c r="M2209">
        <v>48.62</v>
      </c>
      <c r="N2209">
        <v>28976</v>
      </c>
      <c r="O2209">
        <v>1</v>
      </c>
    </row>
    <row r="2210" spans="1:15">
      <c r="A2210" t="s">
        <v>2236</v>
      </c>
      <c r="B2210" t="s">
        <v>32</v>
      </c>
      <c r="C2210">
        <v>1</v>
      </c>
      <c r="D2210">
        <v>38150184</v>
      </c>
      <c r="E2210">
        <v>2</v>
      </c>
      <c r="F2210">
        <v>10</v>
      </c>
      <c r="G2210">
        <v>795</v>
      </c>
      <c r="H2210">
        <v>44880149</v>
      </c>
      <c r="I2210">
        <v>815192</v>
      </c>
      <c r="J2210" t="s">
        <v>21</v>
      </c>
      <c r="K2210" t="s">
        <v>18</v>
      </c>
      <c r="L2210">
        <v>3</v>
      </c>
      <c r="M2210">
        <v>34.72</v>
      </c>
      <c r="N2210">
        <v>112973</v>
      </c>
      <c r="O2210">
        <v>1</v>
      </c>
    </row>
    <row r="2211" spans="1:15">
      <c r="A2211" t="s">
        <v>2237</v>
      </c>
      <c r="B2211" t="s">
        <v>27</v>
      </c>
      <c r="C2211">
        <v>1</v>
      </c>
      <c r="D2211">
        <v>23706178</v>
      </c>
      <c r="E2211">
        <v>3</v>
      </c>
      <c r="F2211">
        <v>12</v>
      </c>
      <c r="G2211">
        <v>968</v>
      </c>
      <c r="H2211">
        <v>69425348</v>
      </c>
      <c r="I2211">
        <v>76191</v>
      </c>
      <c r="J2211" t="s">
        <v>25</v>
      </c>
      <c r="K2211" t="s">
        <v>22</v>
      </c>
      <c r="L2211">
        <v>9</v>
      </c>
      <c r="M2211">
        <v>89.06</v>
      </c>
      <c r="N2211">
        <v>978899</v>
      </c>
      <c r="O2211">
        <v>1</v>
      </c>
    </row>
    <row r="2212" spans="1:15">
      <c r="A2212" t="s">
        <v>2238</v>
      </c>
      <c r="B2212" t="s">
        <v>20</v>
      </c>
      <c r="C2212">
        <v>2</v>
      </c>
      <c r="D2212">
        <v>8321803</v>
      </c>
      <c r="E2212">
        <v>3</v>
      </c>
      <c r="F2212">
        <v>3</v>
      </c>
      <c r="G2212">
        <v>133</v>
      </c>
      <c r="H2212">
        <v>11488168</v>
      </c>
      <c r="I2212">
        <v>855953</v>
      </c>
      <c r="J2212" t="s">
        <v>21</v>
      </c>
      <c r="K2212" t="s">
        <v>30</v>
      </c>
      <c r="L2212">
        <v>6</v>
      </c>
      <c r="M2212">
        <v>98.41</v>
      </c>
      <c r="N2212">
        <v>90371</v>
      </c>
      <c r="O2212">
        <v>1</v>
      </c>
    </row>
    <row r="2213" spans="1:15">
      <c r="A2213" t="s">
        <v>2239</v>
      </c>
      <c r="B2213" t="s">
        <v>29</v>
      </c>
      <c r="C2213">
        <v>13</v>
      </c>
      <c r="D2213">
        <v>11142972</v>
      </c>
      <c r="E2213">
        <v>3</v>
      </c>
      <c r="F2213">
        <v>11</v>
      </c>
      <c r="G2213">
        <v>976</v>
      </c>
      <c r="H2213">
        <v>19167007</v>
      </c>
      <c r="I2213">
        <v>643767</v>
      </c>
      <c r="J2213" t="s">
        <v>21</v>
      </c>
      <c r="K2213" t="s">
        <v>22</v>
      </c>
      <c r="L2213">
        <v>9</v>
      </c>
      <c r="M2213">
        <v>45.21</v>
      </c>
      <c r="N2213">
        <v>329680</v>
      </c>
      <c r="O2213">
        <v>1</v>
      </c>
    </row>
    <row r="2214" spans="1:15">
      <c r="A2214" t="s">
        <v>2240</v>
      </c>
      <c r="B2214" t="s">
        <v>32</v>
      </c>
      <c r="C2214">
        <v>5</v>
      </c>
      <c r="D2214">
        <v>39411798</v>
      </c>
      <c r="E2214">
        <v>2</v>
      </c>
      <c r="F2214">
        <v>25</v>
      </c>
      <c r="G2214">
        <v>508</v>
      </c>
      <c r="H2214">
        <v>10646740</v>
      </c>
      <c r="I2214">
        <v>283200</v>
      </c>
      <c r="J2214" t="s">
        <v>17</v>
      </c>
      <c r="K2214" t="s">
        <v>30</v>
      </c>
      <c r="L2214">
        <v>2</v>
      </c>
      <c r="M2214">
        <v>18.73</v>
      </c>
      <c r="N2214">
        <v>563775</v>
      </c>
      <c r="O2214">
        <v>1</v>
      </c>
    </row>
    <row r="2215" spans="1:15">
      <c r="A2215" t="s">
        <v>2241</v>
      </c>
      <c r="B2215" t="s">
        <v>32</v>
      </c>
      <c r="C2215">
        <v>8</v>
      </c>
      <c r="D2215">
        <v>44746878</v>
      </c>
      <c r="E2215">
        <v>3</v>
      </c>
      <c r="F2215">
        <v>23</v>
      </c>
      <c r="G2215">
        <v>16</v>
      </c>
      <c r="H2215">
        <v>97730844</v>
      </c>
      <c r="I2215">
        <v>252615</v>
      </c>
      <c r="J2215" t="s">
        <v>21</v>
      </c>
      <c r="K2215" t="s">
        <v>18</v>
      </c>
      <c r="L2215">
        <v>8</v>
      </c>
      <c r="M2215">
        <v>54.87</v>
      </c>
      <c r="N2215">
        <v>905323</v>
      </c>
      <c r="O2215">
        <v>1</v>
      </c>
    </row>
    <row r="2216" spans="1:15">
      <c r="A2216" t="s">
        <v>2242</v>
      </c>
      <c r="B2216" t="s">
        <v>27</v>
      </c>
      <c r="C2216">
        <v>1</v>
      </c>
      <c r="D2216">
        <v>21862352</v>
      </c>
      <c r="E2216">
        <v>1</v>
      </c>
      <c r="F2216">
        <v>10</v>
      </c>
      <c r="G2216">
        <v>452</v>
      </c>
      <c r="H2216">
        <v>44885743</v>
      </c>
      <c r="I2216">
        <v>990890</v>
      </c>
      <c r="J2216" t="s">
        <v>25</v>
      </c>
      <c r="K2216" t="s">
        <v>30</v>
      </c>
      <c r="L2216">
        <v>1</v>
      </c>
      <c r="M2216">
        <v>46.79</v>
      </c>
      <c r="N2216">
        <v>801896</v>
      </c>
      <c r="O2216">
        <v>1</v>
      </c>
    </row>
    <row r="2217" spans="1:15">
      <c r="A2217" t="s">
        <v>2243</v>
      </c>
      <c r="B2217" t="s">
        <v>24</v>
      </c>
      <c r="C2217">
        <v>1</v>
      </c>
      <c r="D2217">
        <v>16860889</v>
      </c>
      <c r="E2217">
        <v>4</v>
      </c>
      <c r="F2217">
        <v>19</v>
      </c>
      <c r="G2217">
        <v>172</v>
      </c>
      <c r="H2217">
        <v>42739748</v>
      </c>
      <c r="I2217">
        <v>369848</v>
      </c>
      <c r="J2217" t="s">
        <v>21</v>
      </c>
      <c r="K2217" t="s">
        <v>18</v>
      </c>
      <c r="L2217">
        <v>4</v>
      </c>
      <c r="M2217">
        <v>99.13</v>
      </c>
      <c r="N2217">
        <v>87147</v>
      </c>
      <c r="O2217">
        <v>1</v>
      </c>
    </row>
    <row r="2218" spans="1:15">
      <c r="A2218" t="s">
        <v>2244</v>
      </c>
      <c r="B2218" t="s">
        <v>24</v>
      </c>
      <c r="C2218">
        <v>13</v>
      </c>
      <c r="D2218">
        <v>42616456</v>
      </c>
      <c r="E2218">
        <v>3</v>
      </c>
      <c r="F2218">
        <v>2</v>
      </c>
      <c r="G2218">
        <v>223</v>
      </c>
      <c r="H2218">
        <v>17204392</v>
      </c>
      <c r="I2218">
        <v>487736</v>
      </c>
      <c r="J2218" t="s">
        <v>21</v>
      </c>
      <c r="K2218" t="s">
        <v>22</v>
      </c>
      <c r="L2218">
        <v>6</v>
      </c>
      <c r="M2218">
        <v>75.38</v>
      </c>
      <c r="N2218">
        <v>837892</v>
      </c>
      <c r="O2218">
        <v>1</v>
      </c>
    </row>
    <row r="2219" spans="1:15">
      <c r="A2219" t="s">
        <v>2245</v>
      </c>
      <c r="B2219" t="s">
        <v>20</v>
      </c>
      <c r="C2219">
        <v>8</v>
      </c>
      <c r="D2219">
        <v>6246684</v>
      </c>
      <c r="E2219">
        <v>3</v>
      </c>
      <c r="F2219">
        <v>24</v>
      </c>
      <c r="G2219">
        <v>77</v>
      </c>
      <c r="H2219">
        <v>45668658</v>
      </c>
      <c r="I2219">
        <v>480139</v>
      </c>
      <c r="J2219" t="s">
        <v>25</v>
      </c>
      <c r="K2219" t="s">
        <v>18</v>
      </c>
      <c r="L2219">
        <v>9</v>
      </c>
      <c r="M2219">
        <v>50.71</v>
      </c>
      <c r="N2219">
        <v>360369</v>
      </c>
      <c r="O2219">
        <v>1</v>
      </c>
    </row>
    <row r="2220" spans="1:15">
      <c r="A2220" t="s">
        <v>2246</v>
      </c>
      <c r="B2220" t="s">
        <v>24</v>
      </c>
      <c r="C2220">
        <v>7</v>
      </c>
      <c r="D2220">
        <v>6777544</v>
      </c>
      <c r="E2220">
        <v>4</v>
      </c>
      <c r="F2220">
        <v>12</v>
      </c>
      <c r="G2220">
        <v>936</v>
      </c>
      <c r="H2220">
        <v>62539761</v>
      </c>
      <c r="I2220">
        <v>428070</v>
      </c>
      <c r="J2220" t="s">
        <v>21</v>
      </c>
      <c r="K2220" t="s">
        <v>30</v>
      </c>
      <c r="L2220">
        <v>6</v>
      </c>
      <c r="M2220">
        <v>61.59</v>
      </c>
      <c r="N2220">
        <v>958798</v>
      </c>
      <c r="O2220">
        <v>1</v>
      </c>
    </row>
    <row r="2221" spans="1:15">
      <c r="A2221" t="s">
        <v>2247</v>
      </c>
      <c r="B2221" t="s">
        <v>38</v>
      </c>
      <c r="C2221">
        <v>7</v>
      </c>
      <c r="D2221">
        <v>47198970</v>
      </c>
      <c r="E2221">
        <v>4</v>
      </c>
      <c r="F2221">
        <v>1</v>
      </c>
      <c r="G2221">
        <v>137</v>
      </c>
      <c r="H2221">
        <v>8291349</v>
      </c>
      <c r="I2221">
        <v>335478</v>
      </c>
      <c r="J2221" t="s">
        <v>25</v>
      </c>
      <c r="K2221" t="s">
        <v>30</v>
      </c>
      <c r="L2221">
        <v>6</v>
      </c>
      <c r="M2221">
        <v>25.65</v>
      </c>
      <c r="N2221">
        <v>284891</v>
      </c>
      <c r="O2221">
        <v>1</v>
      </c>
    </row>
    <row r="2222" spans="1:15">
      <c r="A2222" t="s">
        <v>2248</v>
      </c>
      <c r="B2222" t="s">
        <v>38</v>
      </c>
      <c r="C2222">
        <v>9</v>
      </c>
      <c r="D2222">
        <v>34465451</v>
      </c>
      <c r="E2222">
        <v>3</v>
      </c>
      <c r="F2222">
        <v>10</v>
      </c>
      <c r="G2222">
        <v>712</v>
      </c>
      <c r="H2222">
        <v>36962644</v>
      </c>
      <c r="I2222">
        <v>110978</v>
      </c>
      <c r="J2222" t="s">
        <v>17</v>
      </c>
      <c r="K2222" t="s">
        <v>18</v>
      </c>
      <c r="L2222">
        <v>4</v>
      </c>
      <c r="M2222">
        <v>61.91</v>
      </c>
      <c r="N2222">
        <v>633142</v>
      </c>
      <c r="O2222">
        <v>1</v>
      </c>
    </row>
    <row r="2223" spans="1:15">
      <c r="A2223" t="s">
        <v>2249</v>
      </c>
      <c r="B2223" t="s">
        <v>16</v>
      </c>
      <c r="C2223">
        <v>5</v>
      </c>
      <c r="D2223">
        <v>13870706</v>
      </c>
      <c r="E2223">
        <v>4</v>
      </c>
      <c r="F2223">
        <v>15</v>
      </c>
      <c r="G2223">
        <v>678</v>
      </c>
      <c r="H2223">
        <v>51446994</v>
      </c>
      <c r="I2223">
        <v>811171</v>
      </c>
      <c r="J2223" t="s">
        <v>25</v>
      </c>
      <c r="K2223" t="s">
        <v>22</v>
      </c>
      <c r="L2223">
        <v>2</v>
      </c>
      <c r="M2223">
        <v>55.94</v>
      </c>
      <c r="N2223">
        <v>599218</v>
      </c>
      <c r="O2223">
        <v>1</v>
      </c>
    </row>
    <row r="2224" spans="1:15">
      <c r="A2224" t="s">
        <v>2250</v>
      </c>
      <c r="B2224" t="s">
        <v>32</v>
      </c>
      <c r="C2224">
        <v>10</v>
      </c>
      <c r="D2224">
        <v>12338521</v>
      </c>
      <c r="E2224">
        <v>2</v>
      </c>
      <c r="F2224">
        <v>1</v>
      </c>
      <c r="G2224">
        <v>32</v>
      </c>
      <c r="H2224">
        <v>98597515</v>
      </c>
      <c r="I2224">
        <v>842546</v>
      </c>
      <c r="J2224" t="s">
        <v>25</v>
      </c>
      <c r="K2224" t="s">
        <v>18</v>
      </c>
      <c r="L2224">
        <v>5</v>
      </c>
      <c r="M2224">
        <v>36.26</v>
      </c>
      <c r="N2224">
        <v>819938</v>
      </c>
      <c r="O2224">
        <v>1</v>
      </c>
    </row>
    <row r="2225" spans="1:15">
      <c r="A2225" t="s">
        <v>2251</v>
      </c>
      <c r="B2225" t="s">
        <v>24</v>
      </c>
      <c r="C2225">
        <v>5</v>
      </c>
      <c r="D2225">
        <v>36720889</v>
      </c>
      <c r="E2225">
        <v>4</v>
      </c>
      <c r="F2225">
        <v>27</v>
      </c>
      <c r="G2225">
        <v>10</v>
      </c>
      <c r="H2225">
        <v>25682833</v>
      </c>
      <c r="I2225">
        <v>324254</v>
      </c>
      <c r="J2225" t="s">
        <v>25</v>
      </c>
      <c r="K2225" t="s">
        <v>18</v>
      </c>
      <c r="L2225">
        <v>6</v>
      </c>
      <c r="M2225">
        <v>75.75</v>
      </c>
      <c r="N2225">
        <v>298032</v>
      </c>
      <c r="O2225">
        <v>1</v>
      </c>
    </row>
    <row r="2226" spans="1:15">
      <c r="A2226" t="s">
        <v>2252</v>
      </c>
      <c r="B2226" t="s">
        <v>38</v>
      </c>
      <c r="C2226">
        <v>13</v>
      </c>
      <c r="D2226">
        <v>24648508</v>
      </c>
      <c r="E2226">
        <v>3</v>
      </c>
      <c r="F2226">
        <v>27</v>
      </c>
      <c r="G2226">
        <v>24</v>
      </c>
      <c r="H2226">
        <v>34756302</v>
      </c>
      <c r="I2226">
        <v>488567</v>
      </c>
      <c r="J2226" t="s">
        <v>17</v>
      </c>
      <c r="K2226" t="s">
        <v>22</v>
      </c>
      <c r="L2226">
        <v>3</v>
      </c>
      <c r="M2226">
        <v>81.63</v>
      </c>
      <c r="N2226">
        <v>392365</v>
      </c>
      <c r="O2226">
        <v>1</v>
      </c>
    </row>
    <row r="2227" spans="1:15">
      <c r="A2227" t="s">
        <v>2253</v>
      </c>
      <c r="B2227" t="s">
        <v>16</v>
      </c>
      <c r="C2227">
        <v>11</v>
      </c>
      <c r="D2227">
        <v>31094165</v>
      </c>
      <c r="E2227">
        <v>4</v>
      </c>
      <c r="F2227">
        <v>22</v>
      </c>
      <c r="G2227">
        <v>13</v>
      </c>
      <c r="H2227">
        <v>43670159</v>
      </c>
      <c r="I2227">
        <v>163843</v>
      </c>
      <c r="J2227" t="s">
        <v>25</v>
      </c>
      <c r="K2227" t="s">
        <v>30</v>
      </c>
      <c r="L2227">
        <v>4</v>
      </c>
      <c r="M2227">
        <v>49.67</v>
      </c>
      <c r="N2227">
        <v>999824</v>
      </c>
      <c r="O2227">
        <v>1</v>
      </c>
    </row>
    <row r="2228" spans="1:15">
      <c r="A2228" t="s">
        <v>2254</v>
      </c>
      <c r="B2228" t="s">
        <v>16</v>
      </c>
      <c r="C2228">
        <v>5</v>
      </c>
      <c r="D2228">
        <v>5846973</v>
      </c>
      <c r="E2228">
        <v>3</v>
      </c>
      <c r="F2228">
        <v>25</v>
      </c>
      <c r="G2228">
        <v>78</v>
      </c>
      <c r="H2228">
        <v>5588304</v>
      </c>
      <c r="I2228">
        <v>550903</v>
      </c>
      <c r="J2228" t="s">
        <v>17</v>
      </c>
      <c r="K2228" t="s">
        <v>30</v>
      </c>
      <c r="L2228">
        <v>7</v>
      </c>
      <c r="M2228">
        <v>46.03</v>
      </c>
      <c r="N2228">
        <v>88777</v>
      </c>
      <c r="O2228">
        <v>1</v>
      </c>
    </row>
    <row r="2229" spans="1:15">
      <c r="A2229" t="s">
        <v>2255</v>
      </c>
      <c r="B2229" t="s">
        <v>32</v>
      </c>
      <c r="C2229">
        <v>8</v>
      </c>
      <c r="D2229">
        <v>29504111</v>
      </c>
      <c r="E2229">
        <v>1</v>
      </c>
      <c r="F2229">
        <v>29</v>
      </c>
      <c r="G2229">
        <v>873</v>
      </c>
      <c r="H2229">
        <v>25068598</v>
      </c>
      <c r="I2229">
        <v>537564</v>
      </c>
      <c r="J2229" t="s">
        <v>17</v>
      </c>
      <c r="K2229" t="s">
        <v>22</v>
      </c>
      <c r="L2229">
        <v>9</v>
      </c>
      <c r="M2229">
        <v>56.24</v>
      </c>
      <c r="N2229">
        <v>418535</v>
      </c>
      <c r="O2229">
        <v>1</v>
      </c>
    </row>
    <row r="2230" spans="1:15">
      <c r="A2230" t="s">
        <v>2256</v>
      </c>
      <c r="B2230" t="s">
        <v>16</v>
      </c>
      <c r="C2230">
        <v>12</v>
      </c>
      <c r="D2230">
        <v>9401015</v>
      </c>
      <c r="E2230">
        <v>4</v>
      </c>
      <c r="F2230">
        <v>12</v>
      </c>
      <c r="G2230">
        <v>744</v>
      </c>
      <c r="H2230">
        <v>60179293</v>
      </c>
      <c r="I2230">
        <v>50644</v>
      </c>
      <c r="J2230" t="s">
        <v>17</v>
      </c>
      <c r="K2230" t="s">
        <v>22</v>
      </c>
      <c r="L2230">
        <v>2</v>
      </c>
      <c r="M2230">
        <v>59.44</v>
      </c>
      <c r="N2230">
        <v>601979</v>
      </c>
      <c r="O2230">
        <v>1</v>
      </c>
    </row>
    <row r="2231" spans="1:15">
      <c r="A2231" t="s">
        <v>2257</v>
      </c>
      <c r="B2231" t="s">
        <v>20</v>
      </c>
      <c r="C2231">
        <v>14</v>
      </c>
      <c r="D2231">
        <v>43345984</v>
      </c>
      <c r="E2231">
        <v>3</v>
      </c>
      <c r="F2231">
        <v>7</v>
      </c>
      <c r="G2231">
        <v>308</v>
      </c>
      <c r="H2231">
        <v>24042925</v>
      </c>
      <c r="I2231">
        <v>486110</v>
      </c>
      <c r="J2231" t="s">
        <v>17</v>
      </c>
      <c r="K2231" t="s">
        <v>18</v>
      </c>
      <c r="L2231">
        <v>6</v>
      </c>
      <c r="M2231">
        <v>50.39</v>
      </c>
      <c r="N2231">
        <v>392776</v>
      </c>
      <c r="O2231">
        <v>1</v>
      </c>
    </row>
    <row r="2232" spans="1:15">
      <c r="A2232" t="s">
        <v>2258</v>
      </c>
      <c r="B2232" t="s">
        <v>38</v>
      </c>
      <c r="C2232">
        <v>11</v>
      </c>
      <c r="D2232">
        <v>1632191</v>
      </c>
      <c r="E2232">
        <v>1</v>
      </c>
      <c r="F2232">
        <v>6</v>
      </c>
      <c r="G2232">
        <v>390</v>
      </c>
      <c r="H2232">
        <v>55928280</v>
      </c>
      <c r="I2232">
        <v>81137</v>
      </c>
      <c r="J2232" t="s">
        <v>21</v>
      </c>
      <c r="K2232" t="s">
        <v>30</v>
      </c>
      <c r="L2232">
        <v>9</v>
      </c>
      <c r="M2232">
        <v>46.88</v>
      </c>
      <c r="N2232">
        <v>146188</v>
      </c>
      <c r="O2232">
        <v>1</v>
      </c>
    </row>
    <row r="2233" spans="1:15">
      <c r="A2233" t="s">
        <v>2259</v>
      </c>
      <c r="B2233" t="s">
        <v>16</v>
      </c>
      <c r="C2233">
        <v>0</v>
      </c>
      <c r="D2233">
        <v>5269259</v>
      </c>
      <c r="E2233">
        <v>3</v>
      </c>
      <c r="F2233">
        <v>19</v>
      </c>
      <c r="G2233">
        <v>313</v>
      </c>
      <c r="H2233">
        <v>55845121</v>
      </c>
      <c r="I2233">
        <v>860835</v>
      </c>
      <c r="J2233" t="s">
        <v>17</v>
      </c>
      <c r="K2233" t="s">
        <v>30</v>
      </c>
      <c r="L2233">
        <v>9</v>
      </c>
      <c r="M2233">
        <v>53.07</v>
      </c>
      <c r="N2233">
        <v>723341</v>
      </c>
      <c r="O2233">
        <v>1</v>
      </c>
    </row>
    <row r="2234" spans="1:15">
      <c r="A2234" t="s">
        <v>2260</v>
      </c>
      <c r="B2234" t="s">
        <v>16</v>
      </c>
      <c r="C2234">
        <v>1</v>
      </c>
      <c r="D2234">
        <v>8506336</v>
      </c>
      <c r="E2234">
        <v>1</v>
      </c>
      <c r="F2234">
        <v>9</v>
      </c>
      <c r="G2234">
        <v>677</v>
      </c>
      <c r="H2234">
        <v>38404488</v>
      </c>
      <c r="I2234">
        <v>655323</v>
      </c>
      <c r="J2234" t="s">
        <v>25</v>
      </c>
      <c r="K2234" t="s">
        <v>30</v>
      </c>
      <c r="L2234">
        <v>5</v>
      </c>
      <c r="M2234">
        <v>87.06</v>
      </c>
      <c r="N2234">
        <v>928870</v>
      </c>
      <c r="O2234">
        <v>1</v>
      </c>
    </row>
    <row r="2235" spans="1:15">
      <c r="A2235" t="s">
        <v>2261</v>
      </c>
      <c r="B2235" t="s">
        <v>38</v>
      </c>
      <c r="C2235">
        <v>5</v>
      </c>
      <c r="D2235">
        <v>3734992</v>
      </c>
      <c r="E2235">
        <v>2</v>
      </c>
      <c r="F2235">
        <v>23</v>
      </c>
      <c r="G2235">
        <v>424</v>
      </c>
      <c r="H2235">
        <v>94130350</v>
      </c>
      <c r="I2235">
        <v>568424</v>
      </c>
      <c r="J2235" t="s">
        <v>25</v>
      </c>
      <c r="K2235" t="s">
        <v>22</v>
      </c>
      <c r="L2235">
        <v>1</v>
      </c>
      <c r="M2235">
        <v>96.91</v>
      </c>
      <c r="N2235">
        <v>943030</v>
      </c>
      <c r="O2235">
        <v>1</v>
      </c>
    </row>
    <row r="2236" spans="1:15">
      <c r="A2236" t="s">
        <v>2262</v>
      </c>
      <c r="B2236" t="s">
        <v>20</v>
      </c>
      <c r="C2236">
        <v>8</v>
      </c>
      <c r="D2236">
        <v>42663100</v>
      </c>
      <c r="E2236">
        <v>3</v>
      </c>
      <c r="F2236">
        <v>12</v>
      </c>
      <c r="G2236">
        <v>889</v>
      </c>
      <c r="H2236">
        <v>16598258</v>
      </c>
      <c r="I2236">
        <v>239035</v>
      </c>
      <c r="J2236" t="s">
        <v>25</v>
      </c>
      <c r="K2236" t="s">
        <v>30</v>
      </c>
      <c r="L2236">
        <v>2</v>
      </c>
      <c r="M2236">
        <v>58.5</v>
      </c>
      <c r="N2236">
        <v>894041</v>
      </c>
      <c r="O2236">
        <v>1</v>
      </c>
    </row>
    <row r="2237" spans="1:15">
      <c r="A2237" t="s">
        <v>2263</v>
      </c>
      <c r="B2237" t="s">
        <v>20</v>
      </c>
      <c r="C2237">
        <v>9</v>
      </c>
      <c r="D2237">
        <v>10800341</v>
      </c>
      <c r="E2237">
        <v>4</v>
      </c>
      <c r="F2237">
        <v>28</v>
      </c>
      <c r="G2237">
        <v>933</v>
      </c>
      <c r="H2237">
        <v>77167434</v>
      </c>
      <c r="I2237">
        <v>77606</v>
      </c>
      <c r="J2237" t="s">
        <v>25</v>
      </c>
      <c r="K2237" t="s">
        <v>30</v>
      </c>
      <c r="L2237">
        <v>3</v>
      </c>
      <c r="M2237">
        <v>54.89</v>
      </c>
      <c r="N2237">
        <v>802646</v>
      </c>
      <c r="O2237">
        <v>1</v>
      </c>
    </row>
    <row r="2238" spans="1:15">
      <c r="A2238" t="s">
        <v>2264</v>
      </c>
      <c r="B2238" t="s">
        <v>38</v>
      </c>
      <c r="C2238">
        <v>8</v>
      </c>
      <c r="D2238">
        <v>42291465</v>
      </c>
      <c r="E2238">
        <v>4</v>
      </c>
      <c r="F2238">
        <v>8</v>
      </c>
      <c r="G2238">
        <v>512</v>
      </c>
      <c r="H2238">
        <v>36693337</v>
      </c>
      <c r="I2238">
        <v>876942</v>
      </c>
      <c r="J2238" t="s">
        <v>21</v>
      </c>
      <c r="K2238" t="s">
        <v>22</v>
      </c>
      <c r="L2238">
        <v>6</v>
      </c>
      <c r="M2238">
        <v>76.099999999999994</v>
      </c>
      <c r="N2238">
        <v>632835</v>
      </c>
      <c r="O2238">
        <v>1</v>
      </c>
    </row>
    <row r="2239" spans="1:15">
      <c r="A2239" t="s">
        <v>2265</v>
      </c>
      <c r="B2239" t="s">
        <v>27</v>
      </c>
      <c r="C2239">
        <v>7</v>
      </c>
      <c r="D2239">
        <v>34889631</v>
      </c>
      <c r="E2239">
        <v>3</v>
      </c>
      <c r="F2239">
        <v>8</v>
      </c>
      <c r="G2239">
        <v>312</v>
      </c>
      <c r="H2239">
        <v>75308702</v>
      </c>
      <c r="I2239">
        <v>366169</v>
      </c>
      <c r="J2239" t="s">
        <v>21</v>
      </c>
      <c r="K2239" t="s">
        <v>22</v>
      </c>
      <c r="L2239">
        <v>4</v>
      </c>
      <c r="M2239">
        <v>79.31</v>
      </c>
      <c r="N2239">
        <v>795072</v>
      </c>
      <c r="O2239">
        <v>1</v>
      </c>
    </row>
    <row r="2240" spans="1:15">
      <c r="A2240" t="s">
        <v>2266</v>
      </c>
      <c r="B2240" t="s">
        <v>20</v>
      </c>
      <c r="C2240">
        <v>7</v>
      </c>
      <c r="D2240">
        <v>3514131</v>
      </c>
      <c r="E2240">
        <v>2</v>
      </c>
      <c r="F2240">
        <v>6</v>
      </c>
      <c r="G2240">
        <v>153</v>
      </c>
      <c r="H2240">
        <v>52473687</v>
      </c>
      <c r="I2240">
        <v>843754</v>
      </c>
      <c r="J2240" t="s">
        <v>25</v>
      </c>
      <c r="K2240" t="s">
        <v>18</v>
      </c>
      <c r="L2240">
        <v>7</v>
      </c>
      <c r="M2240">
        <v>46.42</v>
      </c>
      <c r="N2240">
        <v>720057</v>
      </c>
      <c r="O2240">
        <v>1</v>
      </c>
    </row>
    <row r="2241" spans="1:15">
      <c r="A2241" t="s">
        <v>2267</v>
      </c>
      <c r="B2241" t="s">
        <v>27</v>
      </c>
      <c r="C2241">
        <v>2</v>
      </c>
      <c r="D2241">
        <v>6609814</v>
      </c>
      <c r="E2241">
        <v>4</v>
      </c>
      <c r="F2241">
        <v>0</v>
      </c>
      <c r="G2241">
        <v>905</v>
      </c>
      <c r="H2241">
        <v>29394881</v>
      </c>
      <c r="I2241">
        <v>873500</v>
      </c>
      <c r="J2241" t="s">
        <v>21</v>
      </c>
      <c r="K2241" t="s">
        <v>22</v>
      </c>
      <c r="L2241">
        <v>9</v>
      </c>
      <c r="M2241">
        <v>75.12</v>
      </c>
      <c r="N2241">
        <v>454312</v>
      </c>
      <c r="O2241">
        <v>1</v>
      </c>
    </row>
    <row r="2242" spans="1:15">
      <c r="A2242" t="s">
        <v>2268</v>
      </c>
      <c r="B2242" t="s">
        <v>38</v>
      </c>
      <c r="C2242">
        <v>0</v>
      </c>
      <c r="D2242">
        <v>40187120</v>
      </c>
      <c r="E2242">
        <v>2</v>
      </c>
      <c r="F2242">
        <v>16</v>
      </c>
      <c r="G2242">
        <v>178</v>
      </c>
      <c r="H2242">
        <v>7423207</v>
      </c>
      <c r="I2242">
        <v>67068</v>
      </c>
      <c r="J2242" t="s">
        <v>25</v>
      </c>
      <c r="K2242" t="s">
        <v>30</v>
      </c>
      <c r="L2242">
        <v>3</v>
      </c>
      <c r="M2242">
        <v>21.84</v>
      </c>
      <c r="N2242">
        <v>115291</v>
      </c>
      <c r="O2242">
        <v>1</v>
      </c>
    </row>
    <row r="2243" spans="1:15">
      <c r="A2243" t="s">
        <v>2269</v>
      </c>
      <c r="B2243" t="s">
        <v>24</v>
      </c>
      <c r="C2243">
        <v>2</v>
      </c>
      <c r="D2243">
        <v>46625452</v>
      </c>
      <c r="E2243">
        <v>4</v>
      </c>
      <c r="F2243">
        <v>23</v>
      </c>
      <c r="G2243">
        <v>540</v>
      </c>
      <c r="H2243">
        <v>14050738</v>
      </c>
      <c r="I2243">
        <v>495576</v>
      </c>
      <c r="J2243" t="s">
        <v>21</v>
      </c>
      <c r="K2243" t="s">
        <v>22</v>
      </c>
      <c r="L2243">
        <v>7</v>
      </c>
      <c r="M2243">
        <v>38.96</v>
      </c>
      <c r="N2243">
        <v>94744</v>
      </c>
      <c r="O2243">
        <v>1</v>
      </c>
    </row>
    <row r="2244" spans="1:15">
      <c r="A2244" t="s">
        <v>2270</v>
      </c>
      <c r="B2244" t="s">
        <v>24</v>
      </c>
      <c r="C2244">
        <v>6</v>
      </c>
      <c r="D2244">
        <v>42609916</v>
      </c>
      <c r="E2244">
        <v>1</v>
      </c>
      <c r="F2244">
        <v>26</v>
      </c>
      <c r="G2244">
        <v>288</v>
      </c>
      <c r="H2244">
        <v>52979891</v>
      </c>
      <c r="I2244">
        <v>556911</v>
      </c>
      <c r="J2244" t="s">
        <v>17</v>
      </c>
      <c r="K2244" t="s">
        <v>18</v>
      </c>
      <c r="L2244">
        <v>4</v>
      </c>
      <c r="M2244">
        <v>72.88</v>
      </c>
      <c r="N2244">
        <v>651196</v>
      </c>
      <c r="O2244">
        <v>1</v>
      </c>
    </row>
    <row r="2245" spans="1:15">
      <c r="A2245" t="s">
        <v>2271</v>
      </c>
      <c r="B2245" t="s">
        <v>24</v>
      </c>
      <c r="C2245">
        <v>3</v>
      </c>
      <c r="D2245">
        <v>13132250</v>
      </c>
      <c r="E2245">
        <v>2</v>
      </c>
      <c r="F2245">
        <v>16</v>
      </c>
      <c r="G2245">
        <v>420</v>
      </c>
      <c r="H2245">
        <v>21776974</v>
      </c>
      <c r="I2245">
        <v>106238</v>
      </c>
      <c r="J2245" t="s">
        <v>17</v>
      </c>
      <c r="K2245" t="s">
        <v>18</v>
      </c>
      <c r="L2245">
        <v>8</v>
      </c>
      <c r="M2245">
        <v>80.03</v>
      </c>
      <c r="N2245">
        <v>840171</v>
      </c>
      <c r="O2245">
        <v>1</v>
      </c>
    </row>
    <row r="2246" spans="1:15">
      <c r="A2246" t="s">
        <v>2272</v>
      </c>
      <c r="B2246" t="s">
        <v>38</v>
      </c>
      <c r="C2246">
        <v>14</v>
      </c>
      <c r="D2246">
        <v>20584331</v>
      </c>
      <c r="E2246">
        <v>4</v>
      </c>
      <c r="F2246">
        <v>28</v>
      </c>
      <c r="G2246">
        <v>12</v>
      </c>
      <c r="H2246">
        <v>56685228</v>
      </c>
      <c r="I2246">
        <v>109986</v>
      </c>
      <c r="J2246" t="s">
        <v>17</v>
      </c>
      <c r="K2246" t="s">
        <v>30</v>
      </c>
      <c r="L2246">
        <v>2</v>
      </c>
      <c r="M2246">
        <v>61.74</v>
      </c>
      <c r="N2246">
        <v>450584</v>
      </c>
      <c r="O2246">
        <v>1</v>
      </c>
    </row>
    <row r="2247" spans="1:15">
      <c r="A2247" t="s">
        <v>2273</v>
      </c>
      <c r="B2247" t="s">
        <v>38</v>
      </c>
      <c r="C2247">
        <v>7</v>
      </c>
      <c r="D2247">
        <v>6540152</v>
      </c>
      <c r="E2247">
        <v>4</v>
      </c>
      <c r="F2247">
        <v>27</v>
      </c>
      <c r="G2247">
        <v>588</v>
      </c>
      <c r="H2247">
        <v>5043440</v>
      </c>
      <c r="I2247">
        <v>758291</v>
      </c>
      <c r="J2247" t="s">
        <v>25</v>
      </c>
      <c r="K2247" t="s">
        <v>30</v>
      </c>
      <c r="L2247">
        <v>9</v>
      </c>
      <c r="M2247">
        <v>40.909999999999997</v>
      </c>
      <c r="N2247">
        <v>953238</v>
      </c>
      <c r="O2247">
        <v>1</v>
      </c>
    </row>
    <row r="2248" spans="1:15">
      <c r="A2248" t="s">
        <v>2274</v>
      </c>
      <c r="B2248" t="s">
        <v>16</v>
      </c>
      <c r="C2248">
        <v>3</v>
      </c>
      <c r="D2248">
        <v>8975328</v>
      </c>
      <c r="E2248">
        <v>2</v>
      </c>
      <c r="F2248">
        <v>25</v>
      </c>
      <c r="G2248">
        <v>945</v>
      </c>
      <c r="H2248">
        <v>12645492</v>
      </c>
      <c r="I2248">
        <v>442620</v>
      </c>
      <c r="J2248" t="s">
        <v>25</v>
      </c>
      <c r="K2248" t="s">
        <v>30</v>
      </c>
      <c r="L2248">
        <v>6</v>
      </c>
      <c r="M2248">
        <v>83.55</v>
      </c>
      <c r="N2248">
        <v>877449</v>
      </c>
      <c r="O2248">
        <v>1</v>
      </c>
    </row>
    <row r="2249" spans="1:15">
      <c r="A2249" t="s">
        <v>2275</v>
      </c>
      <c r="B2249" t="s">
        <v>24</v>
      </c>
      <c r="C2249">
        <v>3</v>
      </c>
      <c r="D2249">
        <v>47826552</v>
      </c>
      <c r="E2249">
        <v>1</v>
      </c>
      <c r="F2249">
        <v>29</v>
      </c>
      <c r="G2249">
        <v>597</v>
      </c>
      <c r="H2249">
        <v>77735031</v>
      </c>
      <c r="I2249">
        <v>360438</v>
      </c>
      <c r="J2249" t="s">
        <v>21</v>
      </c>
      <c r="K2249" t="s">
        <v>30</v>
      </c>
      <c r="L2249">
        <v>2</v>
      </c>
      <c r="M2249">
        <v>50.41</v>
      </c>
      <c r="N2249">
        <v>943185</v>
      </c>
      <c r="O2249">
        <v>1</v>
      </c>
    </row>
    <row r="2250" spans="1:15">
      <c r="A2250" t="s">
        <v>2276</v>
      </c>
      <c r="B2250" t="s">
        <v>20</v>
      </c>
      <c r="C2250">
        <v>9</v>
      </c>
      <c r="D2250">
        <v>30606881</v>
      </c>
      <c r="E2250">
        <v>2</v>
      </c>
      <c r="F2250">
        <v>4</v>
      </c>
      <c r="G2250">
        <v>730</v>
      </c>
      <c r="H2250">
        <v>90234164</v>
      </c>
      <c r="I2250">
        <v>526433</v>
      </c>
      <c r="J2250" t="s">
        <v>21</v>
      </c>
      <c r="K2250" t="s">
        <v>22</v>
      </c>
      <c r="L2250">
        <v>9</v>
      </c>
      <c r="M2250">
        <v>95.92</v>
      </c>
      <c r="N2250">
        <v>819627</v>
      </c>
      <c r="O2250">
        <v>1</v>
      </c>
    </row>
    <row r="2251" spans="1:15">
      <c r="A2251" t="s">
        <v>2277</v>
      </c>
      <c r="B2251" t="s">
        <v>32</v>
      </c>
      <c r="C2251">
        <v>1</v>
      </c>
      <c r="D2251">
        <v>45216578</v>
      </c>
      <c r="E2251">
        <v>1</v>
      </c>
      <c r="F2251">
        <v>15</v>
      </c>
      <c r="G2251">
        <v>409</v>
      </c>
      <c r="H2251">
        <v>45868523</v>
      </c>
      <c r="I2251">
        <v>918152</v>
      </c>
      <c r="J2251" t="s">
        <v>25</v>
      </c>
      <c r="K2251" t="s">
        <v>30</v>
      </c>
      <c r="L2251">
        <v>8</v>
      </c>
      <c r="M2251">
        <v>91.11</v>
      </c>
      <c r="N2251">
        <v>738103</v>
      </c>
      <c r="O2251">
        <v>1</v>
      </c>
    </row>
    <row r="2252" spans="1:15">
      <c r="A2252" t="s">
        <v>2278</v>
      </c>
      <c r="B2252" t="s">
        <v>32</v>
      </c>
      <c r="C2252">
        <v>10</v>
      </c>
      <c r="D2252">
        <v>42428882</v>
      </c>
      <c r="E2252">
        <v>4</v>
      </c>
      <c r="F2252">
        <v>9</v>
      </c>
      <c r="G2252">
        <v>348</v>
      </c>
      <c r="H2252">
        <v>28172169</v>
      </c>
      <c r="I2252">
        <v>691381</v>
      </c>
      <c r="J2252" t="s">
        <v>17</v>
      </c>
      <c r="K2252" t="s">
        <v>22</v>
      </c>
      <c r="L2252">
        <v>2</v>
      </c>
      <c r="M2252">
        <v>13.56</v>
      </c>
      <c r="N2252">
        <v>711637</v>
      </c>
      <c r="O2252">
        <v>1</v>
      </c>
    </row>
    <row r="2253" spans="1:15">
      <c r="A2253" t="s">
        <v>2279</v>
      </c>
      <c r="B2253" t="s">
        <v>27</v>
      </c>
      <c r="C2253">
        <v>6</v>
      </c>
      <c r="D2253">
        <v>42141800</v>
      </c>
      <c r="E2253">
        <v>2</v>
      </c>
      <c r="F2253">
        <v>11</v>
      </c>
      <c r="G2253">
        <v>616</v>
      </c>
      <c r="H2253">
        <v>76073896</v>
      </c>
      <c r="I2253">
        <v>772431</v>
      </c>
      <c r="J2253" t="s">
        <v>25</v>
      </c>
      <c r="K2253" t="s">
        <v>18</v>
      </c>
      <c r="L2253">
        <v>7</v>
      </c>
      <c r="M2253">
        <v>39.950000000000003</v>
      </c>
      <c r="N2253">
        <v>27733</v>
      </c>
      <c r="O2253">
        <v>1</v>
      </c>
    </row>
    <row r="2254" spans="1:15">
      <c r="A2254" t="s">
        <v>2280</v>
      </c>
      <c r="B2254" t="s">
        <v>38</v>
      </c>
      <c r="C2254">
        <v>12</v>
      </c>
      <c r="D2254">
        <v>17796894</v>
      </c>
      <c r="E2254">
        <v>1</v>
      </c>
      <c r="F2254">
        <v>26</v>
      </c>
      <c r="G2254">
        <v>142</v>
      </c>
      <c r="H2254">
        <v>10495855</v>
      </c>
      <c r="I2254">
        <v>507867</v>
      </c>
      <c r="J2254" t="s">
        <v>25</v>
      </c>
      <c r="K2254" t="s">
        <v>22</v>
      </c>
      <c r="L2254">
        <v>5</v>
      </c>
      <c r="M2254">
        <v>64.59</v>
      </c>
      <c r="N2254">
        <v>794921</v>
      </c>
      <c r="O2254">
        <v>1</v>
      </c>
    </row>
    <row r="2255" spans="1:15">
      <c r="A2255" t="s">
        <v>2281</v>
      </c>
      <c r="B2255" t="s">
        <v>32</v>
      </c>
      <c r="C2255">
        <v>9</v>
      </c>
      <c r="D2255">
        <v>46148206</v>
      </c>
      <c r="E2255">
        <v>3</v>
      </c>
      <c r="F2255">
        <v>13</v>
      </c>
      <c r="G2255">
        <v>815</v>
      </c>
      <c r="H2255">
        <v>39868315</v>
      </c>
      <c r="I2255">
        <v>38546</v>
      </c>
      <c r="J2255" t="s">
        <v>21</v>
      </c>
      <c r="K2255" t="s">
        <v>22</v>
      </c>
      <c r="L2255">
        <v>2</v>
      </c>
      <c r="M2255">
        <v>30.55</v>
      </c>
      <c r="N2255">
        <v>577577</v>
      </c>
      <c r="O2255">
        <v>1</v>
      </c>
    </row>
    <row r="2256" spans="1:15">
      <c r="A2256" t="s">
        <v>2282</v>
      </c>
      <c r="B2256" t="s">
        <v>29</v>
      </c>
      <c r="C2256">
        <v>6</v>
      </c>
      <c r="D2256">
        <v>6526084</v>
      </c>
      <c r="E2256">
        <v>1</v>
      </c>
      <c r="F2256">
        <v>23</v>
      </c>
      <c r="G2256">
        <v>325</v>
      </c>
      <c r="H2256">
        <v>51239187</v>
      </c>
      <c r="I2256">
        <v>398185</v>
      </c>
      <c r="J2256" t="s">
        <v>21</v>
      </c>
      <c r="K2256" t="s">
        <v>18</v>
      </c>
      <c r="L2256">
        <v>9</v>
      </c>
      <c r="M2256">
        <v>43.64</v>
      </c>
      <c r="N2256">
        <v>833780</v>
      </c>
      <c r="O2256">
        <v>1</v>
      </c>
    </row>
    <row r="2257" spans="1:15">
      <c r="A2257" t="s">
        <v>2283</v>
      </c>
      <c r="B2257" t="s">
        <v>38</v>
      </c>
      <c r="C2257">
        <v>2</v>
      </c>
      <c r="D2257">
        <v>14151180</v>
      </c>
      <c r="E2257">
        <v>2</v>
      </c>
      <c r="F2257">
        <v>27</v>
      </c>
      <c r="G2257">
        <v>599</v>
      </c>
      <c r="H2257">
        <v>40920968</v>
      </c>
      <c r="I2257">
        <v>614684</v>
      </c>
      <c r="J2257" t="s">
        <v>25</v>
      </c>
      <c r="K2257" t="s">
        <v>30</v>
      </c>
      <c r="L2257">
        <v>9</v>
      </c>
      <c r="M2257">
        <v>55.07</v>
      </c>
      <c r="N2257">
        <v>819318</v>
      </c>
      <c r="O2257">
        <v>1</v>
      </c>
    </row>
    <row r="2258" spans="1:15">
      <c r="A2258" t="s">
        <v>2284</v>
      </c>
      <c r="B2258" t="s">
        <v>24</v>
      </c>
      <c r="C2258">
        <v>0</v>
      </c>
      <c r="D2258">
        <v>25583393</v>
      </c>
      <c r="E2258">
        <v>4</v>
      </c>
      <c r="F2258">
        <v>20</v>
      </c>
      <c r="G2258">
        <v>372</v>
      </c>
      <c r="H2258">
        <v>48512148</v>
      </c>
      <c r="I2258">
        <v>923628</v>
      </c>
      <c r="J2258" t="s">
        <v>25</v>
      </c>
      <c r="K2258" t="s">
        <v>30</v>
      </c>
      <c r="L2258">
        <v>5</v>
      </c>
      <c r="M2258">
        <v>72.73</v>
      </c>
      <c r="N2258">
        <v>48954</v>
      </c>
      <c r="O2258">
        <v>1</v>
      </c>
    </row>
    <row r="2259" spans="1:15">
      <c r="A2259" t="s">
        <v>2285</v>
      </c>
      <c r="B2259" t="s">
        <v>20</v>
      </c>
      <c r="C2259">
        <v>6</v>
      </c>
      <c r="D2259">
        <v>33725249</v>
      </c>
      <c r="E2259">
        <v>2</v>
      </c>
      <c r="F2259">
        <v>22</v>
      </c>
      <c r="G2259">
        <v>472</v>
      </c>
      <c r="H2259">
        <v>27834192</v>
      </c>
      <c r="I2259">
        <v>442115</v>
      </c>
      <c r="J2259" t="s">
        <v>21</v>
      </c>
      <c r="K2259" t="s">
        <v>18</v>
      </c>
      <c r="L2259">
        <v>4</v>
      </c>
      <c r="M2259">
        <v>27.28</v>
      </c>
      <c r="N2259">
        <v>942535</v>
      </c>
      <c r="O2259">
        <v>1</v>
      </c>
    </row>
    <row r="2260" spans="1:15">
      <c r="A2260" t="s">
        <v>2286</v>
      </c>
      <c r="B2260" t="s">
        <v>27</v>
      </c>
      <c r="C2260">
        <v>8</v>
      </c>
      <c r="D2260">
        <v>17344995</v>
      </c>
      <c r="E2260">
        <v>1</v>
      </c>
      <c r="F2260">
        <v>11</v>
      </c>
      <c r="G2260">
        <v>910</v>
      </c>
      <c r="H2260">
        <v>84471051</v>
      </c>
      <c r="I2260">
        <v>63556</v>
      </c>
      <c r="J2260" t="s">
        <v>25</v>
      </c>
      <c r="K2260" t="s">
        <v>30</v>
      </c>
      <c r="L2260">
        <v>5</v>
      </c>
      <c r="M2260">
        <v>45.68</v>
      </c>
      <c r="N2260">
        <v>498315</v>
      </c>
      <c r="O2260">
        <v>1</v>
      </c>
    </row>
    <row r="2261" spans="1:15">
      <c r="A2261" t="s">
        <v>2287</v>
      </c>
      <c r="B2261" t="s">
        <v>20</v>
      </c>
      <c r="C2261">
        <v>7</v>
      </c>
      <c r="D2261">
        <v>1711130</v>
      </c>
      <c r="E2261">
        <v>1</v>
      </c>
      <c r="F2261">
        <v>20</v>
      </c>
      <c r="G2261">
        <v>659</v>
      </c>
      <c r="H2261">
        <v>70342409</v>
      </c>
      <c r="I2261">
        <v>78666</v>
      </c>
      <c r="J2261" t="s">
        <v>25</v>
      </c>
      <c r="K2261" t="s">
        <v>22</v>
      </c>
      <c r="L2261">
        <v>7</v>
      </c>
      <c r="M2261">
        <v>88.23</v>
      </c>
      <c r="N2261">
        <v>578847</v>
      </c>
      <c r="O2261">
        <v>1</v>
      </c>
    </row>
    <row r="2262" spans="1:15">
      <c r="A2262" t="s">
        <v>2288</v>
      </c>
      <c r="B2262" t="s">
        <v>38</v>
      </c>
      <c r="C2262">
        <v>11</v>
      </c>
      <c r="D2262">
        <v>17452424</v>
      </c>
      <c r="E2262">
        <v>3</v>
      </c>
      <c r="F2262">
        <v>14</v>
      </c>
      <c r="G2262">
        <v>822</v>
      </c>
      <c r="H2262">
        <v>68018347</v>
      </c>
      <c r="I2262">
        <v>984159</v>
      </c>
      <c r="J2262" t="s">
        <v>21</v>
      </c>
      <c r="K2262" t="s">
        <v>22</v>
      </c>
      <c r="L2262">
        <v>7</v>
      </c>
      <c r="M2262">
        <v>96.39</v>
      </c>
      <c r="N2262">
        <v>81101</v>
      </c>
      <c r="O2262">
        <v>1</v>
      </c>
    </row>
    <row r="2263" spans="1:15">
      <c r="A2263" t="s">
        <v>2289</v>
      </c>
      <c r="B2263" t="s">
        <v>16</v>
      </c>
      <c r="C2263">
        <v>10</v>
      </c>
      <c r="D2263">
        <v>39557423</v>
      </c>
      <c r="E2263">
        <v>1</v>
      </c>
      <c r="F2263">
        <v>2</v>
      </c>
      <c r="G2263">
        <v>923</v>
      </c>
      <c r="H2263">
        <v>94516344</v>
      </c>
      <c r="I2263">
        <v>988945</v>
      </c>
      <c r="J2263" t="s">
        <v>17</v>
      </c>
      <c r="K2263" t="s">
        <v>22</v>
      </c>
      <c r="L2263">
        <v>8</v>
      </c>
      <c r="M2263">
        <v>36.75</v>
      </c>
      <c r="N2263">
        <v>871854</v>
      </c>
      <c r="O2263">
        <v>1</v>
      </c>
    </row>
    <row r="2264" spans="1:15">
      <c r="A2264" t="s">
        <v>2290</v>
      </c>
      <c r="B2264" t="s">
        <v>32</v>
      </c>
      <c r="C2264">
        <v>11</v>
      </c>
      <c r="D2264">
        <v>38382611</v>
      </c>
      <c r="E2264">
        <v>4</v>
      </c>
      <c r="F2264">
        <v>17</v>
      </c>
      <c r="G2264">
        <v>582</v>
      </c>
      <c r="H2264">
        <v>24534078</v>
      </c>
      <c r="I2264">
        <v>283044</v>
      </c>
      <c r="J2264" t="s">
        <v>25</v>
      </c>
      <c r="K2264" t="s">
        <v>30</v>
      </c>
      <c r="L2264">
        <v>5</v>
      </c>
      <c r="M2264">
        <v>73.739999999999995</v>
      </c>
      <c r="N2264">
        <v>515529</v>
      </c>
      <c r="O2264">
        <v>1</v>
      </c>
    </row>
    <row r="2265" spans="1:15">
      <c r="A2265" t="s">
        <v>2291</v>
      </c>
      <c r="B2265" t="s">
        <v>16</v>
      </c>
      <c r="C2265">
        <v>11</v>
      </c>
      <c r="D2265">
        <v>29206801</v>
      </c>
      <c r="E2265">
        <v>2</v>
      </c>
      <c r="F2265">
        <v>18</v>
      </c>
      <c r="G2265">
        <v>933</v>
      </c>
      <c r="H2265">
        <v>62138984</v>
      </c>
      <c r="I2265">
        <v>849611</v>
      </c>
      <c r="J2265" t="s">
        <v>25</v>
      </c>
      <c r="K2265" t="s">
        <v>18</v>
      </c>
      <c r="L2265">
        <v>1</v>
      </c>
      <c r="M2265">
        <v>30.76</v>
      </c>
      <c r="N2265">
        <v>892279</v>
      </c>
      <c r="O2265">
        <v>1</v>
      </c>
    </row>
    <row r="2266" spans="1:15">
      <c r="A2266" t="s">
        <v>2292</v>
      </c>
      <c r="B2266" t="s">
        <v>27</v>
      </c>
      <c r="C2266">
        <v>4</v>
      </c>
      <c r="D2266">
        <v>29077374</v>
      </c>
      <c r="E2266">
        <v>4</v>
      </c>
      <c r="F2266">
        <v>24</v>
      </c>
      <c r="G2266">
        <v>254</v>
      </c>
      <c r="H2266">
        <v>61218032</v>
      </c>
      <c r="I2266">
        <v>782202</v>
      </c>
      <c r="J2266" t="s">
        <v>25</v>
      </c>
      <c r="K2266" t="s">
        <v>30</v>
      </c>
      <c r="L2266">
        <v>6</v>
      </c>
      <c r="M2266">
        <v>60.95</v>
      </c>
      <c r="N2266">
        <v>82640</v>
      </c>
      <c r="O2266">
        <v>1</v>
      </c>
    </row>
    <row r="2267" spans="1:15">
      <c r="A2267" t="s">
        <v>2293</v>
      </c>
      <c r="B2267" t="s">
        <v>32</v>
      </c>
      <c r="C2267">
        <v>3</v>
      </c>
      <c r="D2267">
        <v>46311968</v>
      </c>
      <c r="E2267">
        <v>1</v>
      </c>
      <c r="F2267">
        <v>18</v>
      </c>
      <c r="G2267">
        <v>764</v>
      </c>
      <c r="H2267">
        <v>13495278</v>
      </c>
      <c r="I2267">
        <v>892061</v>
      </c>
      <c r="J2267" t="s">
        <v>21</v>
      </c>
      <c r="K2267" t="s">
        <v>18</v>
      </c>
      <c r="L2267">
        <v>3</v>
      </c>
      <c r="M2267">
        <v>12.75</v>
      </c>
      <c r="N2267">
        <v>267587</v>
      </c>
      <c r="O2267">
        <v>1</v>
      </c>
    </row>
    <row r="2268" spans="1:15">
      <c r="A2268" t="s">
        <v>2294</v>
      </c>
      <c r="B2268" t="s">
        <v>32</v>
      </c>
      <c r="C2268">
        <v>12</v>
      </c>
      <c r="D2268">
        <v>25920446</v>
      </c>
      <c r="E2268">
        <v>3</v>
      </c>
      <c r="F2268">
        <v>23</v>
      </c>
      <c r="G2268">
        <v>121</v>
      </c>
      <c r="H2268">
        <v>40259128</v>
      </c>
      <c r="I2268">
        <v>583777</v>
      </c>
      <c r="J2268" t="s">
        <v>17</v>
      </c>
      <c r="K2268" t="s">
        <v>30</v>
      </c>
      <c r="L2268">
        <v>9</v>
      </c>
      <c r="M2268">
        <v>50.99</v>
      </c>
      <c r="N2268">
        <v>79564</v>
      </c>
      <c r="O2268">
        <v>1</v>
      </c>
    </row>
    <row r="2269" spans="1:15">
      <c r="A2269" t="s">
        <v>2295</v>
      </c>
      <c r="B2269" t="s">
        <v>38</v>
      </c>
      <c r="C2269">
        <v>11</v>
      </c>
      <c r="D2269">
        <v>18636386</v>
      </c>
      <c r="E2269">
        <v>4</v>
      </c>
      <c r="F2269">
        <v>20</v>
      </c>
      <c r="G2269">
        <v>519</v>
      </c>
      <c r="H2269">
        <v>24229349</v>
      </c>
      <c r="I2269">
        <v>16724</v>
      </c>
      <c r="J2269" t="s">
        <v>17</v>
      </c>
      <c r="K2269" t="s">
        <v>18</v>
      </c>
      <c r="L2269">
        <v>9</v>
      </c>
      <c r="M2269">
        <v>31.4</v>
      </c>
      <c r="N2269">
        <v>437577</v>
      </c>
      <c r="O2269">
        <v>1</v>
      </c>
    </row>
    <row r="2270" spans="1:15">
      <c r="A2270" t="s">
        <v>2296</v>
      </c>
      <c r="B2270" t="s">
        <v>32</v>
      </c>
      <c r="C2270">
        <v>11</v>
      </c>
      <c r="D2270">
        <v>4773288</v>
      </c>
      <c r="E2270">
        <v>3</v>
      </c>
      <c r="F2270">
        <v>0</v>
      </c>
      <c r="G2270">
        <v>817</v>
      </c>
      <c r="H2270">
        <v>61121364</v>
      </c>
      <c r="I2270">
        <v>21035</v>
      </c>
      <c r="J2270" t="s">
        <v>21</v>
      </c>
      <c r="K2270" t="s">
        <v>18</v>
      </c>
      <c r="L2270">
        <v>1</v>
      </c>
      <c r="M2270">
        <v>70.89</v>
      </c>
      <c r="N2270">
        <v>989561</v>
      </c>
      <c r="O2270">
        <v>1</v>
      </c>
    </row>
    <row r="2271" spans="1:15">
      <c r="A2271" t="s">
        <v>2297</v>
      </c>
      <c r="B2271" t="s">
        <v>32</v>
      </c>
      <c r="C2271">
        <v>6</v>
      </c>
      <c r="D2271">
        <v>32943137</v>
      </c>
      <c r="E2271">
        <v>1</v>
      </c>
      <c r="F2271">
        <v>27</v>
      </c>
      <c r="G2271">
        <v>284</v>
      </c>
      <c r="H2271">
        <v>15835824</v>
      </c>
      <c r="I2271">
        <v>965841</v>
      </c>
      <c r="J2271" t="s">
        <v>17</v>
      </c>
      <c r="K2271" t="s">
        <v>22</v>
      </c>
      <c r="L2271">
        <v>6</v>
      </c>
      <c r="M2271">
        <v>37.979999999999997</v>
      </c>
      <c r="N2271">
        <v>756824</v>
      </c>
      <c r="O2271">
        <v>1</v>
      </c>
    </row>
    <row r="2272" spans="1:15">
      <c r="A2272" t="s">
        <v>2298</v>
      </c>
      <c r="B2272" t="s">
        <v>38</v>
      </c>
      <c r="C2272">
        <v>4</v>
      </c>
      <c r="D2272">
        <v>13198198</v>
      </c>
      <c r="E2272">
        <v>3</v>
      </c>
      <c r="F2272">
        <v>24</v>
      </c>
      <c r="G2272">
        <v>549</v>
      </c>
      <c r="H2272">
        <v>95494466</v>
      </c>
      <c r="I2272">
        <v>895484</v>
      </c>
      <c r="J2272" t="s">
        <v>21</v>
      </c>
      <c r="K2272" t="s">
        <v>30</v>
      </c>
      <c r="L2272">
        <v>4</v>
      </c>
      <c r="M2272">
        <v>13.71</v>
      </c>
      <c r="N2272">
        <v>771320</v>
      </c>
      <c r="O2272">
        <v>1</v>
      </c>
    </row>
    <row r="2273" spans="1:15">
      <c r="A2273" t="s">
        <v>2299</v>
      </c>
      <c r="B2273" t="s">
        <v>20</v>
      </c>
      <c r="C2273">
        <v>5</v>
      </c>
      <c r="D2273">
        <v>7324273</v>
      </c>
      <c r="E2273">
        <v>3</v>
      </c>
      <c r="F2273">
        <v>27</v>
      </c>
      <c r="G2273">
        <v>305</v>
      </c>
      <c r="H2273">
        <v>93638723</v>
      </c>
      <c r="I2273">
        <v>951641</v>
      </c>
      <c r="J2273" t="s">
        <v>21</v>
      </c>
      <c r="K2273" t="s">
        <v>18</v>
      </c>
      <c r="L2273">
        <v>5</v>
      </c>
      <c r="M2273">
        <v>67.53</v>
      </c>
      <c r="N2273">
        <v>560647</v>
      </c>
      <c r="O2273">
        <v>1</v>
      </c>
    </row>
    <row r="2274" spans="1:15">
      <c r="A2274" t="s">
        <v>2300</v>
      </c>
      <c r="B2274" t="s">
        <v>16</v>
      </c>
      <c r="C2274">
        <v>11</v>
      </c>
      <c r="D2274">
        <v>1346007</v>
      </c>
      <c r="E2274">
        <v>4</v>
      </c>
      <c r="F2274">
        <v>10</v>
      </c>
      <c r="G2274">
        <v>975</v>
      </c>
      <c r="H2274">
        <v>94035441</v>
      </c>
      <c r="I2274">
        <v>763361</v>
      </c>
      <c r="J2274" t="s">
        <v>25</v>
      </c>
      <c r="K2274" t="s">
        <v>30</v>
      </c>
      <c r="L2274">
        <v>6</v>
      </c>
      <c r="M2274">
        <v>99.03</v>
      </c>
      <c r="N2274">
        <v>124764</v>
      </c>
      <c r="O2274">
        <v>1</v>
      </c>
    </row>
    <row r="2275" spans="1:15">
      <c r="A2275" t="s">
        <v>2301</v>
      </c>
      <c r="B2275" t="s">
        <v>20</v>
      </c>
      <c r="C2275">
        <v>14</v>
      </c>
      <c r="D2275">
        <v>49181791</v>
      </c>
      <c r="E2275">
        <v>4</v>
      </c>
      <c r="F2275">
        <v>25</v>
      </c>
      <c r="G2275">
        <v>64</v>
      </c>
      <c r="H2275">
        <v>48555984</v>
      </c>
      <c r="I2275">
        <v>180253</v>
      </c>
      <c r="J2275" t="s">
        <v>17</v>
      </c>
      <c r="K2275" t="s">
        <v>22</v>
      </c>
      <c r="L2275">
        <v>8</v>
      </c>
      <c r="M2275">
        <v>65.260000000000005</v>
      </c>
      <c r="N2275">
        <v>374890</v>
      </c>
      <c r="O2275">
        <v>1</v>
      </c>
    </row>
    <row r="2276" spans="1:15">
      <c r="A2276" t="s">
        <v>2302</v>
      </c>
      <c r="B2276" t="s">
        <v>29</v>
      </c>
      <c r="C2276">
        <v>4</v>
      </c>
      <c r="D2276">
        <v>38087921</v>
      </c>
      <c r="E2276">
        <v>2</v>
      </c>
      <c r="F2276">
        <v>29</v>
      </c>
      <c r="G2276">
        <v>325</v>
      </c>
      <c r="H2276">
        <v>8166244</v>
      </c>
      <c r="I2276">
        <v>170145</v>
      </c>
      <c r="J2276" t="s">
        <v>17</v>
      </c>
      <c r="K2276" t="s">
        <v>18</v>
      </c>
      <c r="L2276">
        <v>7</v>
      </c>
      <c r="M2276">
        <v>25.12</v>
      </c>
      <c r="N2276">
        <v>997465</v>
      </c>
      <c r="O2276">
        <v>1</v>
      </c>
    </row>
    <row r="2277" spans="1:15">
      <c r="A2277" t="s">
        <v>2303</v>
      </c>
      <c r="B2277" t="s">
        <v>16</v>
      </c>
      <c r="C2277">
        <v>10</v>
      </c>
      <c r="D2277">
        <v>18162028</v>
      </c>
      <c r="E2277">
        <v>3</v>
      </c>
      <c r="F2277">
        <v>24</v>
      </c>
      <c r="G2277">
        <v>148</v>
      </c>
      <c r="H2277">
        <v>81624148</v>
      </c>
      <c r="I2277">
        <v>338257</v>
      </c>
      <c r="J2277" t="s">
        <v>21</v>
      </c>
      <c r="K2277" t="s">
        <v>30</v>
      </c>
      <c r="L2277">
        <v>6</v>
      </c>
      <c r="M2277">
        <v>12.83</v>
      </c>
      <c r="N2277">
        <v>391288</v>
      </c>
      <c r="O2277">
        <v>1</v>
      </c>
    </row>
    <row r="2278" spans="1:15">
      <c r="A2278" t="s">
        <v>2304</v>
      </c>
      <c r="B2278" t="s">
        <v>38</v>
      </c>
      <c r="C2278">
        <v>2</v>
      </c>
      <c r="D2278">
        <v>25957893</v>
      </c>
      <c r="E2278">
        <v>3</v>
      </c>
      <c r="F2278">
        <v>17</v>
      </c>
      <c r="G2278">
        <v>264</v>
      </c>
      <c r="H2278">
        <v>87854312</v>
      </c>
      <c r="I2278">
        <v>402911</v>
      </c>
      <c r="J2278" t="s">
        <v>25</v>
      </c>
      <c r="K2278" t="s">
        <v>18</v>
      </c>
      <c r="L2278">
        <v>4</v>
      </c>
      <c r="M2278">
        <v>90.72</v>
      </c>
      <c r="N2278">
        <v>952305</v>
      </c>
      <c r="O2278">
        <v>1</v>
      </c>
    </row>
    <row r="2279" spans="1:15">
      <c r="A2279" t="s">
        <v>2305</v>
      </c>
      <c r="B2279" t="s">
        <v>16</v>
      </c>
      <c r="C2279">
        <v>0</v>
      </c>
      <c r="D2279">
        <v>37080104</v>
      </c>
      <c r="E2279">
        <v>4</v>
      </c>
      <c r="F2279">
        <v>8</v>
      </c>
      <c r="G2279">
        <v>19</v>
      </c>
      <c r="H2279">
        <v>62202543</v>
      </c>
      <c r="I2279">
        <v>853656</v>
      </c>
      <c r="J2279" t="s">
        <v>17</v>
      </c>
      <c r="K2279" t="s">
        <v>30</v>
      </c>
      <c r="L2279">
        <v>2</v>
      </c>
      <c r="M2279">
        <v>34.840000000000003</v>
      </c>
      <c r="N2279">
        <v>574408</v>
      </c>
      <c r="O2279">
        <v>1</v>
      </c>
    </row>
    <row r="2280" spans="1:15">
      <c r="A2280" t="s">
        <v>2306</v>
      </c>
      <c r="B2280" t="s">
        <v>29</v>
      </c>
      <c r="C2280">
        <v>0</v>
      </c>
      <c r="D2280">
        <v>28562784</v>
      </c>
      <c r="E2280">
        <v>3</v>
      </c>
      <c r="F2280">
        <v>19</v>
      </c>
      <c r="G2280">
        <v>769</v>
      </c>
      <c r="H2280">
        <v>83260034</v>
      </c>
      <c r="I2280">
        <v>232482</v>
      </c>
      <c r="J2280" t="s">
        <v>17</v>
      </c>
      <c r="K2280" t="s">
        <v>18</v>
      </c>
      <c r="L2280">
        <v>2</v>
      </c>
      <c r="M2280">
        <v>91.55</v>
      </c>
      <c r="N2280">
        <v>33426</v>
      </c>
      <c r="O2280">
        <v>1</v>
      </c>
    </row>
    <row r="2281" spans="1:15">
      <c r="A2281" t="s">
        <v>2307</v>
      </c>
      <c r="B2281" t="s">
        <v>32</v>
      </c>
      <c r="C2281">
        <v>4</v>
      </c>
      <c r="D2281">
        <v>40411519</v>
      </c>
      <c r="E2281">
        <v>1</v>
      </c>
      <c r="F2281">
        <v>4</v>
      </c>
      <c r="G2281">
        <v>796</v>
      </c>
      <c r="H2281">
        <v>88435317</v>
      </c>
      <c r="I2281">
        <v>781430</v>
      </c>
      <c r="J2281" t="s">
        <v>17</v>
      </c>
      <c r="K2281" t="s">
        <v>18</v>
      </c>
      <c r="L2281">
        <v>8</v>
      </c>
      <c r="M2281">
        <v>65.599999999999994</v>
      </c>
      <c r="N2281">
        <v>649055</v>
      </c>
      <c r="O2281">
        <v>1</v>
      </c>
    </row>
    <row r="2282" spans="1:15">
      <c r="A2282" t="s">
        <v>2308</v>
      </c>
      <c r="B2282" t="s">
        <v>27</v>
      </c>
      <c r="C2282">
        <v>14</v>
      </c>
      <c r="D2282">
        <v>9243718</v>
      </c>
      <c r="E2282">
        <v>3</v>
      </c>
      <c r="F2282">
        <v>2</v>
      </c>
      <c r="G2282">
        <v>745</v>
      </c>
      <c r="H2282">
        <v>6983720</v>
      </c>
      <c r="I2282">
        <v>314611</v>
      </c>
      <c r="J2282" t="s">
        <v>17</v>
      </c>
      <c r="K2282" t="s">
        <v>22</v>
      </c>
      <c r="L2282">
        <v>4</v>
      </c>
      <c r="M2282">
        <v>50.57</v>
      </c>
      <c r="N2282">
        <v>35801</v>
      </c>
      <c r="O2282">
        <v>1</v>
      </c>
    </row>
    <row r="2283" spans="1:15">
      <c r="A2283" t="s">
        <v>2309</v>
      </c>
      <c r="B2283" t="s">
        <v>16</v>
      </c>
      <c r="C2283">
        <v>6</v>
      </c>
      <c r="D2283">
        <v>20369158</v>
      </c>
      <c r="E2283">
        <v>4</v>
      </c>
      <c r="F2283">
        <v>27</v>
      </c>
      <c r="G2283">
        <v>278</v>
      </c>
      <c r="H2283">
        <v>21349123</v>
      </c>
      <c r="I2283">
        <v>923976</v>
      </c>
      <c r="J2283" t="s">
        <v>17</v>
      </c>
      <c r="K2283" t="s">
        <v>30</v>
      </c>
      <c r="L2283">
        <v>8</v>
      </c>
      <c r="M2283">
        <v>33.51</v>
      </c>
      <c r="N2283">
        <v>824465</v>
      </c>
      <c r="O2283">
        <v>1</v>
      </c>
    </row>
    <row r="2284" spans="1:15">
      <c r="A2284" t="s">
        <v>2310</v>
      </c>
      <c r="B2284" t="s">
        <v>32</v>
      </c>
      <c r="C2284">
        <v>4</v>
      </c>
      <c r="D2284">
        <v>7871226</v>
      </c>
      <c r="E2284">
        <v>1</v>
      </c>
      <c r="F2284">
        <v>19</v>
      </c>
      <c r="G2284">
        <v>56</v>
      </c>
      <c r="H2284">
        <v>6828817</v>
      </c>
      <c r="I2284">
        <v>361647</v>
      </c>
      <c r="J2284" t="s">
        <v>17</v>
      </c>
      <c r="K2284" t="s">
        <v>18</v>
      </c>
      <c r="L2284">
        <v>7</v>
      </c>
      <c r="M2284">
        <v>45.46</v>
      </c>
      <c r="N2284">
        <v>532789</v>
      </c>
      <c r="O2284">
        <v>1</v>
      </c>
    </row>
    <row r="2285" spans="1:15">
      <c r="A2285" t="s">
        <v>2311</v>
      </c>
      <c r="B2285" t="s">
        <v>16</v>
      </c>
      <c r="C2285">
        <v>0</v>
      </c>
      <c r="D2285">
        <v>7288528</v>
      </c>
      <c r="E2285">
        <v>2</v>
      </c>
      <c r="F2285">
        <v>23</v>
      </c>
      <c r="G2285">
        <v>14</v>
      </c>
      <c r="H2285">
        <v>23069918</v>
      </c>
      <c r="I2285">
        <v>749134</v>
      </c>
      <c r="J2285" t="s">
        <v>17</v>
      </c>
      <c r="K2285" t="s">
        <v>22</v>
      </c>
      <c r="L2285">
        <v>6</v>
      </c>
      <c r="M2285">
        <v>21.85</v>
      </c>
      <c r="N2285">
        <v>769197</v>
      </c>
      <c r="O2285">
        <v>1</v>
      </c>
    </row>
    <row r="2286" spans="1:15">
      <c r="A2286" t="s">
        <v>2312</v>
      </c>
      <c r="B2286" t="s">
        <v>38</v>
      </c>
      <c r="C2286">
        <v>11</v>
      </c>
      <c r="D2286">
        <v>20844897</v>
      </c>
      <c r="E2286">
        <v>2</v>
      </c>
      <c r="F2286">
        <v>15</v>
      </c>
      <c r="G2286">
        <v>263</v>
      </c>
      <c r="H2286">
        <v>56039038</v>
      </c>
      <c r="I2286">
        <v>578698</v>
      </c>
      <c r="J2286" t="s">
        <v>17</v>
      </c>
      <c r="K2286" t="s">
        <v>22</v>
      </c>
      <c r="L2286">
        <v>4</v>
      </c>
      <c r="M2286">
        <v>62.7</v>
      </c>
      <c r="N2286">
        <v>775244</v>
      </c>
      <c r="O2286">
        <v>1</v>
      </c>
    </row>
    <row r="2287" spans="1:15">
      <c r="A2287" t="s">
        <v>2313</v>
      </c>
      <c r="B2287" t="s">
        <v>20</v>
      </c>
      <c r="C2287">
        <v>7</v>
      </c>
      <c r="D2287">
        <v>37380804</v>
      </c>
      <c r="E2287">
        <v>4</v>
      </c>
      <c r="F2287">
        <v>21</v>
      </c>
      <c r="G2287">
        <v>99</v>
      </c>
      <c r="H2287">
        <v>27423695</v>
      </c>
      <c r="I2287">
        <v>709874</v>
      </c>
      <c r="J2287" t="s">
        <v>25</v>
      </c>
      <c r="K2287" t="s">
        <v>30</v>
      </c>
      <c r="L2287">
        <v>6</v>
      </c>
      <c r="M2287">
        <v>57.45</v>
      </c>
      <c r="N2287">
        <v>800540</v>
      </c>
      <c r="O2287">
        <v>1</v>
      </c>
    </row>
    <row r="2288" spans="1:15">
      <c r="A2288" t="s">
        <v>2314</v>
      </c>
      <c r="B2288" t="s">
        <v>32</v>
      </c>
      <c r="C2288">
        <v>12</v>
      </c>
      <c r="D2288">
        <v>44053627</v>
      </c>
      <c r="E2288">
        <v>3</v>
      </c>
      <c r="F2288">
        <v>16</v>
      </c>
      <c r="G2288">
        <v>392</v>
      </c>
      <c r="H2288">
        <v>15652825</v>
      </c>
      <c r="I2288">
        <v>405684</v>
      </c>
      <c r="J2288" t="s">
        <v>25</v>
      </c>
      <c r="K2288" t="s">
        <v>22</v>
      </c>
      <c r="L2288">
        <v>8</v>
      </c>
      <c r="M2288">
        <v>69.69</v>
      </c>
      <c r="N2288">
        <v>103856</v>
      </c>
      <c r="O2288">
        <v>1</v>
      </c>
    </row>
    <row r="2289" spans="1:15">
      <c r="A2289" t="s">
        <v>2315</v>
      </c>
      <c r="B2289" t="s">
        <v>27</v>
      </c>
      <c r="C2289">
        <v>14</v>
      </c>
      <c r="D2289">
        <v>20583296</v>
      </c>
      <c r="E2289">
        <v>1</v>
      </c>
      <c r="F2289">
        <v>22</v>
      </c>
      <c r="G2289">
        <v>748</v>
      </c>
      <c r="H2289">
        <v>50043679</v>
      </c>
      <c r="I2289">
        <v>749019</v>
      </c>
      <c r="J2289" t="s">
        <v>21</v>
      </c>
      <c r="K2289" t="s">
        <v>30</v>
      </c>
      <c r="L2289">
        <v>3</v>
      </c>
      <c r="M2289">
        <v>43.3</v>
      </c>
      <c r="N2289">
        <v>248176</v>
      </c>
      <c r="O2289">
        <v>1</v>
      </c>
    </row>
    <row r="2290" spans="1:15">
      <c r="A2290" t="s">
        <v>2316</v>
      </c>
      <c r="B2290" t="s">
        <v>38</v>
      </c>
      <c r="C2290">
        <v>9</v>
      </c>
      <c r="D2290">
        <v>36586366</v>
      </c>
      <c r="E2290">
        <v>1</v>
      </c>
      <c r="F2290">
        <v>6</v>
      </c>
      <c r="G2290">
        <v>44</v>
      </c>
      <c r="H2290">
        <v>4560860</v>
      </c>
      <c r="I2290">
        <v>646444</v>
      </c>
      <c r="J2290" t="s">
        <v>25</v>
      </c>
      <c r="K2290" t="s">
        <v>22</v>
      </c>
      <c r="L2290">
        <v>9</v>
      </c>
      <c r="M2290">
        <v>90.74</v>
      </c>
      <c r="N2290">
        <v>489140</v>
      </c>
      <c r="O2290">
        <v>1</v>
      </c>
    </row>
    <row r="2291" spans="1:15">
      <c r="A2291" t="s">
        <v>2317</v>
      </c>
      <c r="B2291" t="s">
        <v>32</v>
      </c>
      <c r="C2291">
        <v>10</v>
      </c>
      <c r="D2291">
        <v>39681891</v>
      </c>
      <c r="E2291">
        <v>1</v>
      </c>
      <c r="F2291">
        <v>10</v>
      </c>
      <c r="G2291">
        <v>453</v>
      </c>
      <c r="H2291">
        <v>22332925</v>
      </c>
      <c r="I2291">
        <v>843205</v>
      </c>
      <c r="J2291" t="s">
        <v>25</v>
      </c>
      <c r="K2291" t="s">
        <v>22</v>
      </c>
      <c r="L2291">
        <v>9</v>
      </c>
      <c r="M2291">
        <v>88.66</v>
      </c>
      <c r="N2291">
        <v>892646</v>
      </c>
      <c r="O2291">
        <v>1</v>
      </c>
    </row>
    <row r="2292" spans="1:15">
      <c r="A2292" t="s">
        <v>2318</v>
      </c>
      <c r="B2292" t="s">
        <v>27</v>
      </c>
      <c r="C2292">
        <v>10</v>
      </c>
      <c r="D2292">
        <v>49584677</v>
      </c>
      <c r="E2292">
        <v>1</v>
      </c>
      <c r="F2292">
        <v>3</v>
      </c>
      <c r="G2292">
        <v>690</v>
      </c>
      <c r="H2292">
        <v>67117017</v>
      </c>
      <c r="I2292">
        <v>342901</v>
      </c>
      <c r="J2292" t="s">
        <v>21</v>
      </c>
      <c r="K2292" t="s">
        <v>22</v>
      </c>
      <c r="L2292">
        <v>8</v>
      </c>
      <c r="M2292">
        <v>39.14</v>
      </c>
      <c r="N2292">
        <v>865424</v>
      </c>
      <c r="O2292">
        <v>1</v>
      </c>
    </row>
    <row r="2293" spans="1:15">
      <c r="A2293" t="s">
        <v>2319</v>
      </c>
      <c r="B2293" t="s">
        <v>38</v>
      </c>
      <c r="C2293">
        <v>12</v>
      </c>
      <c r="D2293">
        <v>19577263</v>
      </c>
      <c r="E2293">
        <v>1</v>
      </c>
      <c r="F2293">
        <v>22</v>
      </c>
      <c r="G2293">
        <v>481</v>
      </c>
      <c r="H2293">
        <v>77116741</v>
      </c>
      <c r="I2293">
        <v>245095</v>
      </c>
      <c r="J2293" t="s">
        <v>21</v>
      </c>
      <c r="K2293" t="s">
        <v>22</v>
      </c>
      <c r="L2293">
        <v>6</v>
      </c>
      <c r="M2293">
        <v>90.12</v>
      </c>
      <c r="N2293">
        <v>412623</v>
      </c>
      <c r="O2293">
        <v>1</v>
      </c>
    </row>
    <row r="2294" spans="1:15">
      <c r="A2294" t="s">
        <v>2320</v>
      </c>
      <c r="B2294" t="s">
        <v>24</v>
      </c>
      <c r="C2294">
        <v>2</v>
      </c>
      <c r="D2294">
        <v>33954890</v>
      </c>
      <c r="E2294">
        <v>3</v>
      </c>
      <c r="F2294">
        <v>25</v>
      </c>
      <c r="G2294">
        <v>83</v>
      </c>
      <c r="H2294">
        <v>81402579</v>
      </c>
      <c r="I2294">
        <v>33756</v>
      </c>
      <c r="J2294" t="s">
        <v>25</v>
      </c>
      <c r="K2294" t="s">
        <v>18</v>
      </c>
      <c r="L2294">
        <v>3</v>
      </c>
      <c r="M2294">
        <v>19</v>
      </c>
      <c r="N2294">
        <v>81839</v>
      </c>
      <c r="O2294">
        <v>1</v>
      </c>
    </row>
    <row r="2295" spans="1:15">
      <c r="A2295" t="s">
        <v>2321</v>
      </c>
      <c r="B2295" t="s">
        <v>32</v>
      </c>
      <c r="C2295">
        <v>8</v>
      </c>
      <c r="D2295">
        <v>37265282</v>
      </c>
      <c r="E2295">
        <v>3</v>
      </c>
      <c r="F2295">
        <v>29</v>
      </c>
      <c r="G2295">
        <v>57</v>
      </c>
      <c r="H2295">
        <v>31608031</v>
      </c>
      <c r="I2295">
        <v>878237</v>
      </c>
      <c r="J2295" t="s">
        <v>25</v>
      </c>
      <c r="K2295" t="s">
        <v>18</v>
      </c>
      <c r="L2295">
        <v>2</v>
      </c>
      <c r="M2295">
        <v>51.31</v>
      </c>
      <c r="N2295">
        <v>539639</v>
      </c>
      <c r="O2295">
        <v>1</v>
      </c>
    </row>
    <row r="2296" spans="1:15">
      <c r="A2296" t="s">
        <v>2322</v>
      </c>
      <c r="B2296" t="s">
        <v>20</v>
      </c>
      <c r="C2296">
        <v>5</v>
      </c>
      <c r="D2296">
        <v>13946546</v>
      </c>
      <c r="E2296">
        <v>3</v>
      </c>
      <c r="F2296">
        <v>29</v>
      </c>
      <c r="G2296">
        <v>490</v>
      </c>
      <c r="H2296">
        <v>91601859</v>
      </c>
      <c r="I2296">
        <v>525919</v>
      </c>
      <c r="J2296" t="s">
        <v>21</v>
      </c>
      <c r="K2296" t="s">
        <v>22</v>
      </c>
      <c r="L2296">
        <v>9</v>
      </c>
      <c r="M2296">
        <v>45.11</v>
      </c>
      <c r="N2296">
        <v>811163</v>
      </c>
      <c r="O2296">
        <v>1</v>
      </c>
    </row>
    <row r="2297" spans="1:15">
      <c r="A2297" t="s">
        <v>2323</v>
      </c>
      <c r="B2297" t="s">
        <v>24</v>
      </c>
      <c r="C2297">
        <v>12</v>
      </c>
      <c r="D2297">
        <v>35806711</v>
      </c>
      <c r="E2297">
        <v>1</v>
      </c>
      <c r="F2297">
        <v>23</v>
      </c>
      <c r="G2297">
        <v>955</v>
      </c>
      <c r="H2297">
        <v>70707162</v>
      </c>
      <c r="I2297">
        <v>943553</v>
      </c>
      <c r="J2297" t="s">
        <v>21</v>
      </c>
      <c r="K2297" t="s">
        <v>18</v>
      </c>
      <c r="L2297">
        <v>5</v>
      </c>
      <c r="M2297">
        <v>13.43</v>
      </c>
      <c r="N2297">
        <v>586174</v>
      </c>
      <c r="O2297">
        <v>1</v>
      </c>
    </row>
    <row r="2298" spans="1:15">
      <c r="A2298" t="s">
        <v>2324</v>
      </c>
      <c r="B2298" t="s">
        <v>16</v>
      </c>
      <c r="C2298">
        <v>0</v>
      </c>
      <c r="D2298">
        <v>39520535</v>
      </c>
      <c r="E2298">
        <v>1</v>
      </c>
      <c r="F2298">
        <v>2</v>
      </c>
      <c r="G2298">
        <v>206</v>
      </c>
      <c r="H2298">
        <v>76514049</v>
      </c>
      <c r="I2298">
        <v>545153</v>
      </c>
      <c r="J2298" t="s">
        <v>21</v>
      </c>
      <c r="K2298" t="s">
        <v>30</v>
      </c>
      <c r="L2298">
        <v>9</v>
      </c>
      <c r="M2298">
        <v>30.16</v>
      </c>
      <c r="N2298">
        <v>174436</v>
      </c>
      <c r="O2298">
        <v>1</v>
      </c>
    </row>
    <row r="2299" spans="1:15">
      <c r="A2299" t="s">
        <v>2325</v>
      </c>
      <c r="B2299" t="s">
        <v>16</v>
      </c>
      <c r="C2299">
        <v>2</v>
      </c>
      <c r="D2299">
        <v>6233812</v>
      </c>
      <c r="E2299">
        <v>2</v>
      </c>
      <c r="F2299">
        <v>9</v>
      </c>
      <c r="G2299">
        <v>715</v>
      </c>
      <c r="H2299">
        <v>14840383</v>
      </c>
      <c r="I2299">
        <v>223601</v>
      </c>
      <c r="J2299" t="s">
        <v>17</v>
      </c>
      <c r="K2299" t="s">
        <v>30</v>
      </c>
      <c r="L2299">
        <v>4</v>
      </c>
      <c r="M2299">
        <v>16.03</v>
      </c>
      <c r="N2299">
        <v>118633</v>
      </c>
      <c r="O2299">
        <v>1</v>
      </c>
    </row>
    <row r="2300" spans="1:15">
      <c r="A2300" t="s">
        <v>2326</v>
      </c>
      <c r="B2300" t="s">
        <v>16</v>
      </c>
      <c r="C2300">
        <v>13</v>
      </c>
      <c r="D2300">
        <v>6839989</v>
      </c>
      <c r="E2300">
        <v>3</v>
      </c>
      <c r="F2300">
        <v>23</v>
      </c>
      <c r="G2300">
        <v>25</v>
      </c>
      <c r="H2300">
        <v>21220495</v>
      </c>
      <c r="I2300">
        <v>508129</v>
      </c>
      <c r="J2300" t="s">
        <v>25</v>
      </c>
      <c r="K2300" t="s">
        <v>22</v>
      </c>
      <c r="L2300">
        <v>6</v>
      </c>
      <c r="M2300">
        <v>0.66</v>
      </c>
      <c r="N2300">
        <v>652728</v>
      </c>
      <c r="O2300">
        <v>1</v>
      </c>
    </row>
    <row r="2301" spans="1:15">
      <c r="A2301" t="s">
        <v>2327</v>
      </c>
      <c r="B2301" t="s">
        <v>24</v>
      </c>
      <c r="C2301">
        <v>5</v>
      </c>
      <c r="D2301">
        <v>8462142</v>
      </c>
      <c r="E2301">
        <v>4</v>
      </c>
      <c r="F2301">
        <v>21</v>
      </c>
      <c r="G2301">
        <v>151</v>
      </c>
      <c r="H2301">
        <v>46897810</v>
      </c>
      <c r="I2301">
        <v>985131</v>
      </c>
      <c r="J2301" t="s">
        <v>25</v>
      </c>
      <c r="K2301" t="s">
        <v>18</v>
      </c>
      <c r="L2301">
        <v>1</v>
      </c>
      <c r="M2301">
        <v>61.13</v>
      </c>
      <c r="N2301">
        <v>62312</v>
      </c>
      <c r="O2301">
        <v>1</v>
      </c>
    </row>
    <row r="2302" spans="1:15">
      <c r="A2302" t="s">
        <v>2328</v>
      </c>
      <c r="B2302" t="s">
        <v>29</v>
      </c>
      <c r="C2302">
        <v>7</v>
      </c>
      <c r="D2302">
        <v>45108838</v>
      </c>
      <c r="E2302">
        <v>2</v>
      </c>
      <c r="F2302">
        <v>5</v>
      </c>
      <c r="G2302">
        <v>883</v>
      </c>
      <c r="H2302">
        <v>17254785</v>
      </c>
      <c r="I2302">
        <v>598658</v>
      </c>
      <c r="J2302" t="s">
        <v>17</v>
      </c>
      <c r="K2302" t="s">
        <v>18</v>
      </c>
      <c r="L2302">
        <v>4</v>
      </c>
      <c r="M2302">
        <v>25</v>
      </c>
      <c r="N2302">
        <v>707750</v>
      </c>
      <c r="O2302">
        <v>1</v>
      </c>
    </row>
    <row r="2303" spans="1:15">
      <c r="A2303" t="s">
        <v>2329</v>
      </c>
      <c r="B2303" t="s">
        <v>29</v>
      </c>
      <c r="C2303">
        <v>7</v>
      </c>
      <c r="D2303">
        <v>45903008</v>
      </c>
      <c r="E2303">
        <v>3</v>
      </c>
      <c r="F2303">
        <v>28</v>
      </c>
      <c r="G2303">
        <v>689</v>
      </c>
      <c r="H2303">
        <v>81537</v>
      </c>
      <c r="I2303">
        <v>758595</v>
      </c>
      <c r="J2303" t="s">
        <v>21</v>
      </c>
      <c r="K2303" t="s">
        <v>30</v>
      </c>
      <c r="L2303">
        <v>7</v>
      </c>
      <c r="M2303">
        <v>49.14</v>
      </c>
      <c r="N2303">
        <v>148575</v>
      </c>
      <c r="O2303">
        <v>1</v>
      </c>
    </row>
    <row r="2304" spans="1:15">
      <c r="A2304" t="s">
        <v>2330</v>
      </c>
      <c r="B2304" t="s">
        <v>16</v>
      </c>
      <c r="C2304">
        <v>4</v>
      </c>
      <c r="D2304">
        <v>39189403</v>
      </c>
      <c r="E2304">
        <v>4</v>
      </c>
      <c r="F2304">
        <v>5</v>
      </c>
      <c r="G2304">
        <v>524</v>
      </c>
      <c r="H2304">
        <v>66239900</v>
      </c>
      <c r="I2304">
        <v>307670</v>
      </c>
      <c r="J2304" t="s">
        <v>25</v>
      </c>
      <c r="K2304" t="s">
        <v>30</v>
      </c>
      <c r="L2304">
        <v>8</v>
      </c>
      <c r="M2304">
        <v>28.94</v>
      </c>
      <c r="N2304">
        <v>990560</v>
      </c>
      <c r="O2304">
        <v>1</v>
      </c>
    </row>
    <row r="2305" spans="1:15">
      <c r="A2305" t="s">
        <v>2331</v>
      </c>
      <c r="B2305" t="s">
        <v>20</v>
      </c>
      <c r="C2305">
        <v>6</v>
      </c>
      <c r="D2305">
        <v>48584380</v>
      </c>
      <c r="E2305">
        <v>3</v>
      </c>
      <c r="F2305">
        <v>12</v>
      </c>
      <c r="G2305">
        <v>120</v>
      </c>
      <c r="H2305">
        <v>8132265</v>
      </c>
      <c r="I2305">
        <v>733090</v>
      </c>
      <c r="J2305" t="s">
        <v>21</v>
      </c>
      <c r="K2305" t="s">
        <v>30</v>
      </c>
      <c r="L2305">
        <v>3</v>
      </c>
      <c r="M2305">
        <v>3.67</v>
      </c>
      <c r="N2305">
        <v>59006</v>
      </c>
      <c r="O2305">
        <v>1</v>
      </c>
    </row>
    <row r="2306" spans="1:15">
      <c r="A2306" t="s">
        <v>2332</v>
      </c>
      <c r="B2306" t="s">
        <v>20</v>
      </c>
      <c r="C2306">
        <v>0</v>
      </c>
      <c r="D2306">
        <v>3874097</v>
      </c>
      <c r="E2306">
        <v>3</v>
      </c>
      <c r="F2306">
        <v>17</v>
      </c>
      <c r="G2306">
        <v>888</v>
      </c>
      <c r="H2306">
        <v>29485806</v>
      </c>
      <c r="I2306">
        <v>916028</v>
      </c>
      <c r="J2306" t="s">
        <v>25</v>
      </c>
      <c r="K2306" t="s">
        <v>30</v>
      </c>
      <c r="L2306">
        <v>5</v>
      </c>
      <c r="M2306">
        <v>95.62</v>
      </c>
      <c r="N2306">
        <v>928414</v>
      </c>
      <c r="O2306">
        <v>1</v>
      </c>
    </row>
    <row r="2307" spans="1:15">
      <c r="A2307" t="s">
        <v>2333</v>
      </c>
      <c r="B2307" t="s">
        <v>29</v>
      </c>
      <c r="C2307">
        <v>11</v>
      </c>
      <c r="D2307">
        <v>39813048</v>
      </c>
      <c r="E2307">
        <v>3</v>
      </c>
      <c r="F2307">
        <v>25</v>
      </c>
      <c r="G2307">
        <v>389</v>
      </c>
      <c r="H2307">
        <v>20270887</v>
      </c>
      <c r="I2307">
        <v>169120</v>
      </c>
      <c r="J2307" t="s">
        <v>25</v>
      </c>
      <c r="K2307" t="s">
        <v>30</v>
      </c>
      <c r="L2307">
        <v>6</v>
      </c>
      <c r="M2307">
        <v>93.71</v>
      </c>
      <c r="N2307">
        <v>155443</v>
      </c>
      <c r="O2307">
        <v>1</v>
      </c>
    </row>
    <row r="2308" spans="1:15">
      <c r="A2308" t="s">
        <v>2334</v>
      </c>
      <c r="B2308" t="s">
        <v>27</v>
      </c>
      <c r="C2308">
        <v>9</v>
      </c>
      <c r="D2308">
        <v>1014249</v>
      </c>
      <c r="E2308">
        <v>3</v>
      </c>
      <c r="F2308">
        <v>20</v>
      </c>
      <c r="G2308">
        <v>706</v>
      </c>
      <c r="H2308">
        <v>9904646</v>
      </c>
      <c r="I2308">
        <v>803439</v>
      </c>
      <c r="J2308" t="s">
        <v>21</v>
      </c>
      <c r="K2308" t="s">
        <v>18</v>
      </c>
      <c r="L2308">
        <v>6</v>
      </c>
      <c r="M2308">
        <v>44.08</v>
      </c>
      <c r="N2308">
        <v>362331</v>
      </c>
      <c r="O2308">
        <v>1</v>
      </c>
    </row>
    <row r="2309" spans="1:15">
      <c r="A2309" t="s">
        <v>2335</v>
      </c>
      <c r="B2309" t="s">
        <v>20</v>
      </c>
      <c r="C2309">
        <v>8</v>
      </c>
      <c r="D2309">
        <v>28045675</v>
      </c>
      <c r="E2309">
        <v>1</v>
      </c>
      <c r="F2309">
        <v>12</v>
      </c>
      <c r="G2309">
        <v>836</v>
      </c>
      <c r="H2309">
        <v>6582673</v>
      </c>
      <c r="I2309">
        <v>90301</v>
      </c>
      <c r="J2309" t="s">
        <v>25</v>
      </c>
      <c r="K2309" t="s">
        <v>18</v>
      </c>
      <c r="L2309">
        <v>6</v>
      </c>
      <c r="M2309">
        <v>57.33</v>
      </c>
      <c r="N2309">
        <v>189354</v>
      </c>
      <c r="O2309">
        <v>1</v>
      </c>
    </row>
    <row r="2310" spans="1:15">
      <c r="A2310" t="s">
        <v>2336</v>
      </c>
      <c r="B2310" t="s">
        <v>29</v>
      </c>
      <c r="C2310">
        <v>7</v>
      </c>
      <c r="D2310">
        <v>21187247</v>
      </c>
      <c r="E2310">
        <v>2</v>
      </c>
      <c r="F2310">
        <v>5</v>
      </c>
      <c r="G2310">
        <v>246</v>
      </c>
      <c r="H2310">
        <v>57263773</v>
      </c>
      <c r="I2310">
        <v>104732</v>
      </c>
      <c r="J2310" t="s">
        <v>25</v>
      </c>
      <c r="K2310" t="s">
        <v>30</v>
      </c>
      <c r="L2310">
        <v>5</v>
      </c>
      <c r="M2310">
        <v>5</v>
      </c>
      <c r="N2310">
        <v>814130</v>
      </c>
      <c r="O2310">
        <v>1</v>
      </c>
    </row>
    <row r="2311" spans="1:15">
      <c r="A2311" t="s">
        <v>2337</v>
      </c>
      <c r="B2311" t="s">
        <v>24</v>
      </c>
      <c r="C2311">
        <v>1</v>
      </c>
      <c r="D2311">
        <v>28869196</v>
      </c>
      <c r="E2311">
        <v>1</v>
      </c>
      <c r="F2311">
        <v>17</v>
      </c>
      <c r="G2311">
        <v>936</v>
      </c>
      <c r="H2311">
        <v>67985105</v>
      </c>
      <c r="I2311">
        <v>378104</v>
      </c>
      <c r="J2311" t="s">
        <v>21</v>
      </c>
      <c r="K2311" t="s">
        <v>22</v>
      </c>
      <c r="L2311">
        <v>8</v>
      </c>
      <c r="M2311">
        <v>67.69</v>
      </c>
      <c r="N2311">
        <v>423403</v>
      </c>
      <c r="O2311">
        <v>1</v>
      </c>
    </row>
    <row r="2312" spans="1:15">
      <c r="A2312" t="s">
        <v>2338</v>
      </c>
      <c r="B2312" t="s">
        <v>27</v>
      </c>
      <c r="C2312">
        <v>4</v>
      </c>
      <c r="D2312">
        <v>29839813</v>
      </c>
      <c r="E2312">
        <v>1</v>
      </c>
      <c r="F2312">
        <v>17</v>
      </c>
      <c r="G2312">
        <v>784</v>
      </c>
      <c r="H2312">
        <v>6221783</v>
      </c>
      <c r="I2312">
        <v>817606</v>
      </c>
      <c r="J2312" t="s">
        <v>17</v>
      </c>
      <c r="K2312" t="s">
        <v>30</v>
      </c>
      <c r="L2312">
        <v>5</v>
      </c>
      <c r="M2312">
        <v>8.42</v>
      </c>
      <c r="N2312">
        <v>436655</v>
      </c>
      <c r="O2312">
        <v>1</v>
      </c>
    </row>
    <row r="2313" spans="1:15">
      <c r="A2313" t="s">
        <v>2339</v>
      </c>
      <c r="B2313" t="s">
        <v>29</v>
      </c>
      <c r="C2313">
        <v>11</v>
      </c>
      <c r="D2313">
        <v>49793289</v>
      </c>
      <c r="E2313">
        <v>2</v>
      </c>
      <c r="F2313">
        <v>25</v>
      </c>
      <c r="G2313">
        <v>498</v>
      </c>
      <c r="H2313">
        <v>71703997</v>
      </c>
      <c r="I2313">
        <v>576436</v>
      </c>
      <c r="J2313" t="s">
        <v>17</v>
      </c>
      <c r="K2313" t="s">
        <v>30</v>
      </c>
      <c r="L2313">
        <v>3</v>
      </c>
      <c r="M2313">
        <v>35.53</v>
      </c>
      <c r="N2313">
        <v>793688</v>
      </c>
      <c r="O2313">
        <v>1</v>
      </c>
    </row>
    <row r="2314" spans="1:15">
      <c r="A2314" t="s">
        <v>2340</v>
      </c>
      <c r="B2314" t="s">
        <v>38</v>
      </c>
      <c r="C2314">
        <v>11</v>
      </c>
      <c r="D2314">
        <v>15931018</v>
      </c>
      <c r="E2314">
        <v>2</v>
      </c>
      <c r="F2314">
        <v>8</v>
      </c>
      <c r="G2314">
        <v>677</v>
      </c>
      <c r="H2314">
        <v>37989190</v>
      </c>
      <c r="I2314">
        <v>380980</v>
      </c>
      <c r="J2314" t="s">
        <v>25</v>
      </c>
      <c r="K2314" t="s">
        <v>30</v>
      </c>
      <c r="L2314">
        <v>8</v>
      </c>
      <c r="M2314">
        <v>23.62</v>
      </c>
      <c r="N2314">
        <v>41486</v>
      </c>
      <c r="O2314">
        <v>1</v>
      </c>
    </row>
    <row r="2315" spans="1:15">
      <c r="A2315" t="s">
        <v>2341</v>
      </c>
      <c r="B2315" t="s">
        <v>38</v>
      </c>
      <c r="C2315">
        <v>5</v>
      </c>
      <c r="D2315">
        <v>14270641</v>
      </c>
      <c r="E2315">
        <v>2</v>
      </c>
      <c r="F2315">
        <v>6</v>
      </c>
      <c r="G2315">
        <v>90</v>
      </c>
      <c r="H2315">
        <v>38970761</v>
      </c>
      <c r="I2315">
        <v>495333</v>
      </c>
      <c r="J2315" t="s">
        <v>17</v>
      </c>
      <c r="K2315" t="s">
        <v>22</v>
      </c>
      <c r="L2315">
        <v>5</v>
      </c>
      <c r="M2315">
        <v>0.13</v>
      </c>
      <c r="N2315">
        <v>565267</v>
      </c>
      <c r="O2315">
        <v>1</v>
      </c>
    </row>
    <row r="2316" spans="1:15">
      <c r="A2316" t="s">
        <v>2342</v>
      </c>
      <c r="B2316" t="s">
        <v>32</v>
      </c>
      <c r="C2316">
        <v>0</v>
      </c>
      <c r="D2316">
        <v>11660109</v>
      </c>
      <c r="E2316">
        <v>4</v>
      </c>
      <c r="F2316">
        <v>7</v>
      </c>
      <c r="G2316">
        <v>511</v>
      </c>
      <c r="H2316">
        <v>44295774</v>
      </c>
      <c r="I2316">
        <v>432044</v>
      </c>
      <c r="J2316" t="s">
        <v>17</v>
      </c>
      <c r="K2316" t="s">
        <v>22</v>
      </c>
      <c r="L2316">
        <v>6</v>
      </c>
      <c r="M2316">
        <v>47.58</v>
      </c>
      <c r="N2316">
        <v>994429</v>
      </c>
      <c r="O2316">
        <v>1</v>
      </c>
    </row>
    <row r="2317" spans="1:15">
      <c r="A2317" t="s">
        <v>2343</v>
      </c>
      <c r="B2317" t="s">
        <v>32</v>
      </c>
      <c r="C2317">
        <v>1</v>
      </c>
      <c r="D2317">
        <v>44003217</v>
      </c>
      <c r="E2317">
        <v>1</v>
      </c>
      <c r="F2317">
        <v>5</v>
      </c>
      <c r="G2317">
        <v>601</v>
      </c>
      <c r="H2317">
        <v>71248182</v>
      </c>
      <c r="I2317">
        <v>442777</v>
      </c>
      <c r="J2317" t="s">
        <v>17</v>
      </c>
      <c r="K2317" t="s">
        <v>30</v>
      </c>
      <c r="L2317">
        <v>8</v>
      </c>
      <c r="M2317">
        <v>73.540000000000006</v>
      </c>
      <c r="N2317">
        <v>886516</v>
      </c>
      <c r="O2317">
        <v>1</v>
      </c>
    </row>
    <row r="2318" spans="1:15">
      <c r="A2318" t="s">
        <v>2344</v>
      </c>
      <c r="B2318" t="s">
        <v>27</v>
      </c>
      <c r="C2318">
        <v>11</v>
      </c>
      <c r="D2318">
        <v>22496935</v>
      </c>
      <c r="E2318">
        <v>4</v>
      </c>
      <c r="F2318">
        <v>12</v>
      </c>
      <c r="G2318">
        <v>331</v>
      </c>
      <c r="H2318">
        <v>67686395</v>
      </c>
      <c r="I2318">
        <v>119211</v>
      </c>
      <c r="J2318" t="s">
        <v>25</v>
      </c>
      <c r="K2318" t="s">
        <v>30</v>
      </c>
      <c r="L2318">
        <v>4</v>
      </c>
      <c r="M2318">
        <v>10.28</v>
      </c>
      <c r="N2318">
        <v>246710</v>
      </c>
      <c r="O2318">
        <v>1</v>
      </c>
    </row>
    <row r="2319" spans="1:15">
      <c r="A2319" t="s">
        <v>2345</v>
      </c>
      <c r="B2319" t="s">
        <v>24</v>
      </c>
      <c r="C2319">
        <v>12</v>
      </c>
      <c r="D2319">
        <v>15186233</v>
      </c>
      <c r="E2319">
        <v>1</v>
      </c>
      <c r="F2319">
        <v>9</v>
      </c>
      <c r="G2319">
        <v>873</v>
      </c>
      <c r="H2319">
        <v>88563782</v>
      </c>
      <c r="I2319">
        <v>288194</v>
      </c>
      <c r="J2319" t="s">
        <v>21</v>
      </c>
      <c r="K2319" t="s">
        <v>30</v>
      </c>
      <c r="L2319">
        <v>8</v>
      </c>
      <c r="M2319">
        <v>95.86</v>
      </c>
      <c r="N2319">
        <v>249341</v>
      </c>
      <c r="O2319">
        <v>1</v>
      </c>
    </row>
    <row r="2320" spans="1:15">
      <c r="A2320" t="s">
        <v>2346</v>
      </c>
      <c r="B2320" t="s">
        <v>24</v>
      </c>
      <c r="C2320">
        <v>4</v>
      </c>
      <c r="D2320">
        <v>15904661</v>
      </c>
      <c r="E2320">
        <v>4</v>
      </c>
      <c r="F2320">
        <v>26</v>
      </c>
      <c r="G2320">
        <v>46</v>
      </c>
      <c r="H2320">
        <v>48956634</v>
      </c>
      <c r="I2320">
        <v>127845</v>
      </c>
      <c r="J2320" t="s">
        <v>17</v>
      </c>
      <c r="K2320" t="s">
        <v>22</v>
      </c>
      <c r="L2320">
        <v>2</v>
      </c>
      <c r="M2320">
        <v>43.55</v>
      </c>
      <c r="N2320">
        <v>23626</v>
      </c>
      <c r="O2320">
        <v>1</v>
      </c>
    </row>
    <row r="2321" spans="1:15">
      <c r="A2321" t="s">
        <v>2347</v>
      </c>
      <c r="B2321" t="s">
        <v>27</v>
      </c>
      <c r="C2321">
        <v>12</v>
      </c>
      <c r="D2321">
        <v>28997082</v>
      </c>
      <c r="E2321">
        <v>2</v>
      </c>
      <c r="F2321">
        <v>3</v>
      </c>
      <c r="G2321">
        <v>25</v>
      </c>
      <c r="H2321">
        <v>88562171</v>
      </c>
      <c r="I2321">
        <v>30821</v>
      </c>
      <c r="J2321" t="s">
        <v>21</v>
      </c>
      <c r="K2321" t="s">
        <v>22</v>
      </c>
      <c r="L2321">
        <v>8</v>
      </c>
      <c r="M2321">
        <v>54.68</v>
      </c>
      <c r="N2321">
        <v>280590</v>
      </c>
      <c r="O2321">
        <v>1</v>
      </c>
    </row>
    <row r="2322" spans="1:15">
      <c r="A2322" t="s">
        <v>2348</v>
      </c>
      <c r="B2322" t="s">
        <v>38</v>
      </c>
      <c r="C2322">
        <v>1</v>
      </c>
      <c r="D2322">
        <v>464708</v>
      </c>
      <c r="E2322">
        <v>1</v>
      </c>
      <c r="F2322">
        <v>23</v>
      </c>
      <c r="G2322">
        <v>35</v>
      </c>
      <c r="H2322">
        <v>68563376</v>
      </c>
      <c r="I2322">
        <v>197839</v>
      </c>
      <c r="J2322" t="s">
        <v>21</v>
      </c>
      <c r="K2322" t="s">
        <v>30</v>
      </c>
      <c r="L2322">
        <v>1</v>
      </c>
      <c r="M2322">
        <v>42.3</v>
      </c>
      <c r="N2322">
        <v>548591</v>
      </c>
      <c r="O2322">
        <v>1</v>
      </c>
    </row>
    <row r="2323" spans="1:15">
      <c r="A2323" t="s">
        <v>2349</v>
      </c>
      <c r="B2323" t="s">
        <v>38</v>
      </c>
      <c r="C2323">
        <v>5</v>
      </c>
      <c r="D2323">
        <v>5271652</v>
      </c>
      <c r="E2323">
        <v>1</v>
      </c>
      <c r="F2323">
        <v>13</v>
      </c>
      <c r="G2323">
        <v>736</v>
      </c>
      <c r="H2323">
        <v>49434313</v>
      </c>
      <c r="I2323">
        <v>13502</v>
      </c>
      <c r="J2323" t="s">
        <v>21</v>
      </c>
      <c r="K2323" t="s">
        <v>30</v>
      </c>
      <c r="L2323">
        <v>9</v>
      </c>
      <c r="M2323">
        <v>74.78</v>
      </c>
      <c r="N2323">
        <v>455976</v>
      </c>
      <c r="O2323">
        <v>1</v>
      </c>
    </row>
    <row r="2324" spans="1:15">
      <c r="A2324" t="s">
        <v>2350</v>
      </c>
      <c r="B2324" t="s">
        <v>29</v>
      </c>
      <c r="C2324">
        <v>12</v>
      </c>
      <c r="D2324">
        <v>39965810</v>
      </c>
      <c r="E2324">
        <v>4</v>
      </c>
      <c r="F2324">
        <v>10</v>
      </c>
      <c r="G2324">
        <v>99</v>
      </c>
      <c r="H2324">
        <v>9119052</v>
      </c>
      <c r="I2324">
        <v>576726</v>
      </c>
      <c r="J2324" t="s">
        <v>21</v>
      </c>
      <c r="K2324" t="s">
        <v>22</v>
      </c>
      <c r="L2324">
        <v>1</v>
      </c>
      <c r="M2324">
        <v>99.24</v>
      </c>
      <c r="N2324">
        <v>336493</v>
      </c>
      <c r="O2324">
        <v>1</v>
      </c>
    </row>
    <row r="2325" spans="1:15">
      <c r="A2325" t="s">
        <v>2351</v>
      </c>
      <c r="B2325" t="s">
        <v>27</v>
      </c>
      <c r="C2325">
        <v>8</v>
      </c>
      <c r="D2325">
        <v>49520679</v>
      </c>
      <c r="E2325">
        <v>1</v>
      </c>
      <c r="F2325">
        <v>3</v>
      </c>
      <c r="G2325">
        <v>139</v>
      </c>
      <c r="H2325">
        <v>16328084</v>
      </c>
      <c r="I2325">
        <v>783745</v>
      </c>
      <c r="J2325" t="s">
        <v>17</v>
      </c>
      <c r="K2325" t="s">
        <v>18</v>
      </c>
      <c r="L2325">
        <v>6</v>
      </c>
      <c r="M2325">
        <v>59.44</v>
      </c>
      <c r="N2325">
        <v>232390</v>
      </c>
      <c r="O2325">
        <v>1</v>
      </c>
    </row>
    <row r="2326" spans="1:15">
      <c r="A2326" t="s">
        <v>2352</v>
      </c>
      <c r="B2326" t="s">
        <v>24</v>
      </c>
      <c r="C2326">
        <v>4</v>
      </c>
      <c r="D2326">
        <v>10806948</v>
      </c>
      <c r="E2326">
        <v>3</v>
      </c>
      <c r="F2326">
        <v>4</v>
      </c>
      <c r="G2326">
        <v>754</v>
      </c>
      <c r="H2326">
        <v>34849996</v>
      </c>
      <c r="I2326">
        <v>415800</v>
      </c>
      <c r="J2326" t="s">
        <v>17</v>
      </c>
      <c r="K2326" t="s">
        <v>30</v>
      </c>
      <c r="L2326">
        <v>1</v>
      </c>
      <c r="M2326">
        <v>81.64</v>
      </c>
      <c r="N2326">
        <v>177857</v>
      </c>
      <c r="O2326">
        <v>1</v>
      </c>
    </row>
    <row r="2327" spans="1:15">
      <c r="A2327" t="s">
        <v>2353</v>
      </c>
      <c r="B2327" t="s">
        <v>32</v>
      </c>
      <c r="C2327">
        <v>3</v>
      </c>
      <c r="D2327">
        <v>35636968</v>
      </c>
      <c r="E2327">
        <v>2</v>
      </c>
      <c r="F2327">
        <v>13</v>
      </c>
      <c r="G2327">
        <v>801</v>
      </c>
      <c r="H2327">
        <v>49803074</v>
      </c>
      <c r="I2327">
        <v>675281</v>
      </c>
      <c r="J2327" t="s">
        <v>17</v>
      </c>
      <c r="K2327" t="s">
        <v>22</v>
      </c>
      <c r="L2327">
        <v>4</v>
      </c>
      <c r="M2327">
        <v>88.15</v>
      </c>
      <c r="N2327">
        <v>116791</v>
      </c>
      <c r="O2327">
        <v>1</v>
      </c>
    </row>
    <row r="2328" spans="1:15">
      <c r="A2328" t="s">
        <v>2354</v>
      </c>
      <c r="B2328" t="s">
        <v>29</v>
      </c>
      <c r="C2328">
        <v>9</v>
      </c>
      <c r="D2328">
        <v>35486725</v>
      </c>
      <c r="E2328">
        <v>2</v>
      </c>
      <c r="F2328">
        <v>15</v>
      </c>
      <c r="G2328">
        <v>298</v>
      </c>
      <c r="H2328">
        <v>17430321</v>
      </c>
      <c r="I2328">
        <v>244481</v>
      </c>
      <c r="J2328" t="s">
        <v>25</v>
      </c>
      <c r="K2328" t="s">
        <v>18</v>
      </c>
      <c r="L2328">
        <v>5</v>
      </c>
      <c r="M2328">
        <v>49.77</v>
      </c>
      <c r="N2328">
        <v>678193</v>
      </c>
      <c r="O2328">
        <v>1</v>
      </c>
    </row>
    <row r="2329" spans="1:15">
      <c r="A2329" t="s">
        <v>2355</v>
      </c>
      <c r="B2329" t="s">
        <v>32</v>
      </c>
      <c r="C2329">
        <v>11</v>
      </c>
      <c r="D2329">
        <v>11791745</v>
      </c>
      <c r="E2329">
        <v>2</v>
      </c>
      <c r="F2329">
        <v>25</v>
      </c>
      <c r="G2329">
        <v>909</v>
      </c>
      <c r="H2329">
        <v>31635733</v>
      </c>
      <c r="I2329">
        <v>911661</v>
      </c>
      <c r="J2329" t="s">
        <v>25</v>
      </c>
      <c r="K2329" t="s">
        <v>22</v>
      </c>
      <c r="L2329">
        <v>9</v>
      </c>
      <c r="M2329">
        <v>45.67</v>
      </c>
      <c r="N2329">
        <v>41872</v>
      </c>
      <c r="O2329">
        <v>1</v>
      </c>
    </row>
    <row r="2330" spans="1:15">
      <c r="A2330" t="s">
        <v>2356</v>
      </c>
      <c r="B2330" t="s">
        <v>24</v>
      </c>
      <c r="C2330">
        <v>12</v>
      </c>
      <c r="D2330">
        <v>2746280</v>
      </c>
      <c r="E2330">
        <v>3</v>
      </c>
      <c r="F2330">
        <v>27</v>
      </c>
      <c r="G2330">
        <v>760</v>
      </c>
      <c r="H2330">
        <v>73926732</v>
      </c>
      <c r="I2330">
        <v>799310</v>
      </c>
      <c r="J2330" t="s">
        <v>21</v>
      </c>
      <c r="K2330" t="s">
        <v>18</v>
      </c>
      <c r="L2330">
        <v>6</v>
      </c>
      <c r="M2330">
        <v>95.2</v>
      </c>
      <c r="N2330">
        <v>963956</v>
      </c>
      <c r="O2330">
        <v>1</v>
      </c>
    </row>
    <row r="2331" spans="1:15">
      <c r="A2331" t="s">
        <v>2357</v>
      </c>
      <c r="B2331" t="s">
        <v>24</v>
      </c>
      <c r="C2331">
        <v>4</v>
      </c>
      <c r="D2331">
        <v>5151362</v>
      </c>
      <c r="E2331">
        <v>4</v>
      </c>
      <c r="F2331">
        <v>10</v>
      </c>
      <c r="G2331">
        <v>24</v>
      </c>
      <c r="H2331">
        <v>78742646</v>
      </c>
      <c r="I2331">
        <v>5453</v>
      </c>
      <c r="J2331" t="s">
        <v>17</v>
      </c>
      <c r="K2331" t="s">
        <v>18</v>
      </c>
      <c r="L2331">
        <v>8</v>
      </c>
      <c r="M2331">
        <v>15.53</v>
      </c>
      <c r="N2331">
        <v>703441</v>
      </c>
      <c r="O2331">
        <v>1</v>
      </c>
    </row>
    <row r="2332" spans="1:15">
      <c r="A2332" t="s">
        <v>2358</v>
      </c>
      <c r="B2332" t="s">
        <v>16</v>
      </c>
      <c r="C2332">
        <v>1</v>
      </c>
      <c r="D2332">
        <v>39042043</v>
      </c>
      <c r="E2332">
        <v>4</v>
      </c>
      <c r="F2332">
        <v>14</v>
      </c>
      <c r="G2332">
        <v>457</v>
      </c>
      <c r="H2332">
        <v>8884720</v>
      </c>
      <c r="I2332">
        <v>424276</v>
      </c>
      <c r="J2332" t="s">
        <v>21</v>
      </c>
      <c r="K2332" t="s">
        <v>22</v>
      </c>
      <c r="L2332">
        <v>8</v>
      </c>
      <c r="M2332">
        <v>15.73</v>
      </c>
      <c r="N2332">
        <v>960543</v>
      </c>
      <c r="O2332">
        <v>1</v>
      </c>
    </row>
    <row r="2333" spans="1:15">
      <c r="A2333" t="s">
        <v>2359</v>
      </c>
      <c r="B2333" t="s">
        <v>29</v>
      </c>
      <c r="C2333">
        <v>9</v>
      </c>
      <c r="D2333">
        <v>7205904</v>
      </c>
      <c r="E2333">
        <v>4</v>
      </c>
      <c r="F2333">
        <v>25</v>
      </c>
      <c r="G2333">
        <v>741</v>
      </c>
      <c r="H2333">
        <v>4284519</v>
      </c>
      <c r="I2333">
        <v>919635</v>
      </c>
      <c r="J2333" t="s">
        <v>21</v>
      </c>
      <c r="K2333" t="s">
        <v>22</v>
      </c>
      <c r="L2333">
        <v>2</v>
      </c>
      <c r="M2333">
        <v>40.479999999999997</v>
      </c>
      <c r="N2333">
        <v>430832</v>
      </c>
      <c r="O2333">
        <v>1</v>
      </c>
    </row>
    <row r="2334" spans="1:15">
      <c r="A2334" t="s">
        <v>2360</v>
      </c>
      <c r="B2334" t="s">
        <v>20</v>
      </c>
      <c r="C2334">
        <v>7</v>
      </c>
      <c r="D2334">
        <v>32418203</v>
      </c>
      <c r="E2334">
        <v>4</v>
      </c>
      <c r="F2334">
        <v>21</v>
      </c>
      <c r="G2334">
        <v>74</v>
      </c>
      <c r="H2334">
        <v>89697056</v>
      </c>
      <c r="I2334">
        <v>330762</v>
      </c>
      <c r="J2334" t="s">
        <v>17</v>
      </c>
      <c r="K2334" t="s">
        <v>30</v>
      </c>
      <c r="L2334">
        <v>9</v>
      </c>
      <c r="M2334">
        <v>4.04</v>
      </c>
      <c r="N2334">
        <v>905463</v>
      </c>
      <c r="O2334">
        <v>1</v>
      </c>
    </row>
    <row r="2335" spans="1:15">
      <c r="A2335" t="s">
        <v>2361</v>
      </c>
      <c r="B2335" t="s">
        <v>27</v>
      </c>
      <c r="C2335">
        <v>8</v>
      </c>
      <c r="D2335">
        <v>37052879</v>
      </c>
      <c r="E2335">
        <v>3</v>
      </c>
      <c r="F2335">
        <v>9</v>
      </c>
      <c r="G2335">
        <v>383</v>
      </c>
      <c r="H2335">
        <v>80473333</v>
      </c>
      <c r="I2335">
        <v>853522</v>
      </c>
      <c r="J2335" t="s">
        <v>21</v>
      </c>
      <c r="K2335" t="s">
        <v>30</v>
      </c>
      <c r="L2335">
        <v>5</v>
      </c>
      <c r="M2335">
        <v>59.33</v>
      </c>
      <c r="N2335">
        <v>989912</v>
      </c>
      <c r="O2335">
        <v>1</v>
      </c>
    </row>
    <row r="2336" spans="1:15">
      <c r="A2336" t="s">
        <v>2362</v>
      </c>
      <c r="B2336" t="s">
        <v>27</v>
      </c>
      <c r="C2336">
        <v>12</v>
      </c>
      <c r="D2336">
        <v>49904214</v>
      </c>
      <c r="E2336">
        <v>2</v>
      </c>
      <c r="F2336">
        <v>18</v>
      </c>
      <c r="G2336">
        <v>282</v>
      </c>
      <c r="H2336">
        <v>47128091</v>
      </c>
      <c r="I2336">
        <v>354719</v>
      </c>
      <c r="J2336" t="s">
        <v>25</v>
      </c>
      <c r="K2336" t="s">
        <v>22</v>
      </c>
      <c r="L2336">
        <v>9</v>
      </c>
      <c r="M2336">
        <v>67.87</v>
      </c>
      <c r="N2336">
        <v>148215</v>
      </c>
      <c r="O2336">
        <v>1</v>
      </c>
    </row>
    <row r="2337" spans="1:15">
      <c r="A2337" t="s">
        <v>2363</v>
      </c>
      <c r="B2337" t="s">
        <v>32</v>
      </c>
      <c r="C2337">
        <v>5</v>
      </c>
      <c r="D2337">
        <v>25904993</v>
      </c>
      <c r="E2337">
        <v>4</v>
      </c>
      <c r="F2337">
        <v>22</v>
      </c>
      <c r="G2337">
        <v>95</v>
      </c>
      <c r="H2337">
        <v>65460319</v>
      </c>
      <c r="I2337">
        <v>465194</v>
      </c>
      <c r="J2337" t="s">
        <v>25</v>
      </c>
      <c r="K2337" t="s">
        <v>30</v>
      </c>
      <c r="L2337">
        <v>2</v>
      </c>
      <c r="M2337">
        <v>5.8</v>
      </c>
      <c r="N2337">
        <v>655385</v>
      </c>
      <c r="O2337">
        <v>1</v>
      </c>
    </row>
    <row r="2338" spans="1:15">
      <c r="A2338" t="s">
        <v>2364</v>
      </c>
      <c r="B2338" t="s">
        <v>16</v>
      </c>
      <c r="C2338">
        <v>6</v>
      </c>
      <c r="D2338">
        <v>15926113</v>
      </c>
      <c r="E2338">
        <v>2</v>
      </c>
      <c r="F2338">
        <v>28</v>
      </c>
      <c r="G2338">
        <v>203</v>
      </c>
      <c r="H2338">
        <v>35425429</v>
      </c>
      <c r="I2338">
        <v>972775</v>
      </c>
      <c r="J2338" t="s">
        <v>21</v>
      </c>
      <c r="K2338" t="s">
        <v>22</v>
      </c>
      <c r="L2338">
        <v>2</v>
      </c>
      <c r="M2338">
        <v>91.91</v>
      </c>
      <c r="N2338">
        <v>812628</v>
      </c>
      <c r="O2338">
        <v>1</v>
      </c>
    </row>
    <row r="2339" spans="1:15">
      <c r="A2339" t="s">
        <v>2365</v>
      </c>
      <c r="B2339" t="s">
        <v>20</v>
      </c>
      <c r="C2339">
        <v>10</v>
      </c>
      <c r="D2339">
        <v>26937714</v>
      </c>
      <c r="E2339">
        <v>4</v>
      </c>
      <c r="F2339">
        <v>14</v>
      </c>
      <c r="G2339">
        <v>483</v>
      </c>
      <c r="H2339">
        <v>2858047</v>
      </c>
      <c r="I2339">
        <v>952104</v>
      </c>
      <c r="J2339" t="s">
        <v>25</v>
      </c>
      <c r="K2339" t="s">
        <v>18</v>
      </c>
      <c r="L2339">
        <v>2</v>
      </c>
      <c r="M2339">
        <v>61.91</v>
      </c>
      <c r="N2339">
        <v>270809</v>
      </c>
      <c r="O2339">
        <v>1</v>
      </c>
    </row>
    <row r="2340" spans="1:15">
      <c r="A2340" t="s">
        <v>2366</v>
      </c>
      <c r="B2340" t="s">
        <v>20</v>
      </c>
      <c r="C2340">
        <v>14</v>
      </c>
      <c r="D2340">
        <v>27730999</v>
      </c>
      <c r="E2340">
        <v>1</v>
      </c>
      <c r="F2340">
        <v>27</v>
      </c>
      <c r="G2340">
        <v>797</v>
      </c>
      <c r="H2340">
        <v>57830073</v>
      </c>
      <c r="I2340">
        <v>689096</v>
      </c>
      <c r="J2340" t="s">
        <v>21</v>
      </c>
      <c r="K2340" t="s">
        <v>22</v>
      </c>
      <c r="L2340">
        <v>5</v>
      </c>
      <c r="M2340">
        <v>46.06</v>
      </c>
      <c r="N2340">
        <v>166019</v>
      </c>
      <c r="O2340">
        <v>1</v>
      </c>
    </row>
    <row r="2341" spans="1:15">
      <c r="A2341" t="s">
        <v>2367</v>
      </c>
      <c r="B2341" t="s">
        <v>27</v>
      </c>
      <c r="C2341">
        <v>7</v>
      </c>
      <c r="D2341">
        <v>3898575</v>
      </c>
      <c r="E2341">
        <v>2</v>
      </c>
      <c r="F2341">
        <v>15</v>
      </c>
      <c r="G2341">
        <v>619</v>
      </c>
      <c r="H2341">
        <v>44030690</v>
      </c>
      <c r="I2341">
        <v>988549</v>
      </c>
      <c r="J2341" t="s">
        <v>17</v>
      </c>
      <c r="K2341" t="s">
        <v>18</v>
      </c>
      <c r="L2341">
        <v>5</v>
      </c>
      <c r="M2341">
        <v>86.29</v>
      </c>
      <c r="N2341">
        <v>482839</v>
      </c>
      <c r="O2341">
        <v>1</v>
      </c>
    </row>
    <row r="2342" spans="1:15">
      <c r="A2342" t="s">
        <v>2368</v>
      </c>
      <c r="B2342" t="s">
        <v>20</v>
      </c>
      <c r="C2342">
        <v>2</v>
      </c>
      <c r="D2342">
        <v>30821273</v>
      </c>
      <c r="E2342">
        <v>1</v>
      </c>
      <c r="F2342">
        <v>3</v>
      </c>
      <c r="G2342">
        <v>985</v>
      </c>
      <c r="H2342">
        <v>69023240</v>
      </c>
      <c r="I2342">
        <v>53147</v>
      </c>
      <c r="J2342" t="s">
        <v>21</v>
      </c>
      <c r="K2342" t="s">
        <v>18</v>
      </c>
      <c r="L2342">
        <v>6</v>
      </c>
      <c r="M2342">
        <v>83.52</v>
      </c>
      <c r="N2342">
        <v>312458</v>
      </c>
      <c r="O2342">
        <v>1</v>
      </c>
    </row>
    <row r="2343" spans="1:15">
      <c r="A2343" t="s">
        <v>2369</v>
      </c>
      <c r="B2343" t="s">
        <v>27</v>
      </c>
      <c r="C2343">
        <v>2</v>
      </c>
      <c r="D2343">
        <v>38765167</v>
      </c>
      <c r="E2343">
        <v>1</v>
      </c>
      <c r="F2343">
        <v>4</v>
      </c>
      <c r="G2343">
        <v>503</v>
      </c>
      <c r="H2343">
        <v>79146653</v>
      </c>
      <c r="I2343">
        <v>729484</v>
      </c>
      <c r="J2343" t="s">
        <v>21</v>
      </c>
      <c r="K2343" t="s">
        <v>30</v>
      </c>
      <c r="L2343">
        <v>7</v>
      </c>
      <c r="M2343">
        <v>39.32</v>
      </c>
      <c r="N2343">
        <v>169884</v>
      </c>
      <c r="O2343">
        <v>1</v>
      </c>
    </row>
    <row r="2344" spans="1:15">
      <c r="A2344" t="s">
        <v>2370</v>
      </c>
      <c r="B2344" t="s">
        <v>20</v>
      </c>
      <c r="C2344">
        <v>7</v>
      </c>
      <c r="D2344">
        <v>36524499</v>
      </c>
      <c r="E2344">
        <v>4</v>
      </c>
      <c r="F2344">
        <v>26</v>
      </c>
      <c r="G2344">
        <v>500</v>
      </c>
      <c r="H2344">
        <v>87690962</v>
      </c>
      <c r="I2344">
        <v>939101</v>
      </c>
      <c r="J2344" t="s">
        <v>25</v>
      </c>
      <c r="K2344" t="s">
        <v>30</v>
      </c>
      <c r="L2344">
        <v>4</v>
      </c>
      <c r="M2344">
        <v>31.8</v>
      </c>
      <c r="N2344">
        <v>889185</v>
      </c>
      <c r="O2344">
        <v>1</v>
      </c>
    </row>
    <row r="2345" spans="1:15">
      <c r="A2345" t="s">
        <v>2371</v>
      </c>
      <c r="B2345" t="s">
        <v>27</v>
      </c>
      <c r="C2345">
        <v>14</v>
      </c>
      <c r="D2345">
        <v>48437938</v>
      </c>
      <c r="E2345">
        <v>2</v>
      </c>
      <c r="F2345">
        <v>5</v>
      </c>
      <c r="G2345">
        <v>99</v>
      </c>
      <c r="H2345">
        <v>83861190</v>
      </c>
      <c r="I2345">
        <v>148367</v>
      </c>
      <c r="J2345" t="s">
        <v>21</v>
      </c>
      <c r="K2345" t="s">
        <v>18</v>
      </c>
      <c r="L2345">
        <v>1</v>
      </c>
      <c r="M2345">
        <v>28.79</v>
      </c>
      <c r="N2345">
        <v>743587</v>
      </c>
      <c r="O2345">
        <v>1</v>
      </c>
    </row>
    <row r="2346" spans="1:15">
      <c r="A2346" t="s">
        <v>2372</v>
      </c>
      <c r="B2346" t="s">
        <v>29</v>
      </c>
      <c r="C2346">
        <v>13</v>
      </c>
      <c r="D2346">
        <v>46388264</v>
      </c>
      <c r="E2346">
        <v>4</v>
      </c>
      <c r="F2346">
        <v>24</v>
      </c>
      <c r="G2346">
        <v>233</v>
      </c>
      <c r="H2346">
        <v>92501564</v>
      </c>
      <c r="I2346">
        <v>618507</v>
      </c>
      <c r="J2346" t="s">
        <v>17</v>
      </c>
      <c r="K2346" t="s">
        <v>22</v>
      </c>
      <c r="L2346">
        <v>5</v>
      </c>
      <c r="M2346">
        <v>67.97</v>
      </c>
      <c r="N2346">
        <v>480971</v>
      </c>
      <c r="O2346">
        <v>1</v>
      </c>
    </row>
    <row r="2347" spans="1:15">
      <c r="A2347" t="s">
        <v>2373</v>
      </c>
      <c r="B2347" t="s">
        <v>24</v>
      </c>
      <c r="C2347">
        <v>4</v>
      </c>
      <c r="D2347">
        <v>4268500</v>
      </c>
      <c r="E2347">
        <v>2</v>
      </c>
      <c r="F2347">
        <v>6</v>
      </c>
      <c r="G2347">
        <v>477</v>
      </c>
      <c r="H2347">
        <v>27674824</v>
      </c>
      <c r="I2347">
        <v>581433</v>
      </c>
      <c r="J2347" t="s">
        <v>21</v>
      </c>
      <c r="K2347" t="s">
        <v>30</v>
      </c>
      <c r="L2347">
        <v>5</v>
      </c>
      <c r="M2347">
        <v>17.18</v>
      </c>
      <c r="N2347">
        <v>148317</v>
      </c>
      <c r="O2347">
        <v>1</v>
      </c>
    </row>
    <row r="2348" spans="1:15">
      <c r="A2348" t="s">
        <v>2374</v>
      </c>
      <c r="B2348" t="s">
        <v>20</v>
      </c>
      <c r="C2348">
        <v>6</v>
      </c>
      <c r="D2348">
        <v>34967253</v>
      </c>
      <c r="E2348">
        <v>3</v>
      </c>
      <c r="F2348">
        <v>24</v>
      </c>
      <c r="G2348">
        <v>662</v>
      </c>
      <c r="H2348">
        <v>78500285</v>
      </c>
      <c r="I2348">
        <v>773343</v>
      </c>
      <c r="J2348" t="s">
        <v>17</v>
      </c>
      <c r="K2348" t="s">
        <v>30</v>
      </c>
      <c r="L2348">
        <v>7</v>
      </c>
      <c r="M2348">
        <v>94.88</v>
      </c>
      <c r="N2348">
        <v>562935</v>
      </c>
      <c r="O2348">
        <v>1</v>
      </c>
    </row>
    <row r="2349" spans="1:15">
      <c r="A2349" t="s">
        <v>2375</v>
      </c>
      <c r="B2349" t="s">
        <v>32</v>
      </c>
      <c r="C2349">
        <v>0</v>
      </c>
      <c r="D2349">
        <v>25024852</v>
      </c>
      <c r="E2349">
        <v>3</v>
      </c>
      <c r="F2349">
        <v>26</v>
      </c>
      <c r="G2349">
        <v>897</v>
      </c>
      <c r="H2349">
        <v>55659483</v>
      </c>
      <c r="I2349">
        <v>20008</v>
      </c>
      <c r="J2349" t="s">
        <v>17</v>
      </c>
      <c r="K2349" t="s">
        <v>22</v>
      </c>
      <c r="L2349">
        <v>2</v>
      </c>
      <c r="M2349">
        <v>11.4</v>
      </c>
      <c r="N2349">
        <v>789689</v>
      </c>
      <c r="O2349">
        <v>1</v>
      </c>
    </row>
    <row r="2350" spans="1:15">
      <c r="A2350" t="s">
        <v>2376</v>
      </c>
      <c r="B2350" t="s">
        <v>27</v>
      </c>
      <c r="C2350">
        <v>5</v>
      </c>
      <c r="D2350">
        <v>37028404</v>
      </c>
      <c r="E2350">
        <v>2</v>
      </c>
      <c r="F2350">
        <v>0</v>
      </c>
      <c r="G2350">
        <v>120</v>
      </c>
      <c r="H2350">
        <v>74843375</v>
      </c>
      <c r="I2350">
        <v>958352</v>
      </c>
      <c r="J2350" t="s">
        <v>21</v>
      </c>
      <c r="K2350" t="s">
        <v>18</v>
      </c>
      <c r="L2350">
        <v>5</v>
      </c>
      <c r="M2350">
        <v>52.55</v>
      </c>
      <c r="N2350">
        <v>416881</v>
      </c>
      <c r="O2350">
        <v>1</v>
      </c>
    </row>
    <row r="2351" spans="1:15">
      <c r="A2351" t="s">
        <v>2377</v>
      </c>
      <c r="B2351" t="s">
        <v>16</v>
      </c>
      <c r="C2351">
        <v>12</v>
      </c>
      <c r="D2351">
        <v>2586090</v>
      </c>
      <c r="E2351">
        <v>4</v>
      </c>
      <c r="F2351">
        <v>26</v>
      </c>
      <c r="G2351">
        <v>785</v>
      </c>
      <c r="H2351">
        <v>7546745</v>
      </c>
      <c r="I2351">
        <v>466634</v>
      </c>
      <c r="J2351" t="s">
        <v>25</v>
      </c>
      <c r="K2351" t="s">
        <v>18</v>
      </c>
      <c r="L2351">
        <v>2</v>
      </c>
      <c r="M2351">
        <v>11.47</v>
      </c>
      <c r="N2351">
        <v>375837</v>
      </c>
      <c r="O2351">
        <v>1</v>
      </c>
    </row>
    <row r="2352" spans="1:15">
      <c r="A2352" t="s">
        <v>2378</v>
      </c>
      <c r="B2352" t="s">
        <v>32</v>
      </c>
      <c r="C2352">
        <v>2</v>
      </c>
      <c r="D2352">
        <v>45755694</v>
      </c>
      <c r="E2352">
        <v>3</v>
      </c>
      <c r="F2352">
        <v>13</v>
      </c>
      <c r="G2352">
        <v>933</v>
      </c>
      <c r="H2352">
        <v>87110818</v>
      </c>
      <c r="I2352">
        <v>977183</v>
      </c>
      <c r="J2352" t="s">
        <v>21</v>
      </c>
      <c r="K2352" t="s">
        <v>22</v>
      </c>
      <c r="L2352">
        <v>5</v>
      </c>
      <c r="M2352">
        <v>97.86</v>
      </c>
      <c r="N2352">
        <v>406017</v>
      </c>
      <c r="O2352">
        <v>1</v>
      </c>
    </row>
    <row r="2353" spans="1:15">
      <c r="A2353" t="s">
        <v>2379</v>
      </c>
      <c r="B2353" t="s">
        <v>32</v>
      </c>
      <c r="C2353">
        <v>12</v>
      </c>
      <c r="D2353">
        <v>29675692</v>
      </c>
      <c r="E2353">
        <v>2</v>
      </c>
      <c r="F2353">
        <v>21</v>
      </c>
      <c r="G2353">
        <v>486</v>
      </c>
      <c r="H2353">
        <v>17280309</v>
      </c>
      <c r="I2353">
        <v>855595</v>
      </c>
      <c r="J2353" t="s">
        <v>21</v>
      </c>
      <c r="K2353" t="s">
        <v>30</v>
      </c>
      <c r="L2353">
        <v>9</v>
      </c>
      <c r="M2353">
        <v>76.72</v>
      </c>
      <c r="N2353">
        <v>485889</v>
      </c>
      <c r="O2353">
        <v>1</v>
      </c>
    </row>
    <row r="2354" spans="1:15">
      <c r="A2354" t="s">
        <v>2380</v>
      </c>
      <c r="B2354" t="s">
        <v>38</v>
      </c>
      <c r="C2354">
        <v>3</v>
      </c>
      <c r="D2354">
        <v>26170429</v>
      </c>
      <c r="E2354">
        <v>4</v>
      </c>
      <c r="F2354">
        <v>13</v>
      </c>
      <c r="G2354">
        <v>536</v>
      </c>
      <c r="H2354">
        <v>58452397</v>
      </c>
      <c r="I2354">
        <v>653373</v>
      </c>
      <c r="J2354" t="s">
        <v>21</v>
      </c>
      <c r="K2354" t="s">
        <v>30</v>
      </c>
      <c r="L2354">
        <v>1</v>
      </c>
      <c r="M2354">
        <v>72.75</v>
      </c>
      <c r="N2354">
        <v>560855</v>
      </c>
      <c r="O2354">
        <v>1</v>
      </c>
    </row>
    <row r="2355" spans="1:15">
      <c r="A2355" t="s">
        <v>2381</v>
      </c>
      <c r="B2355" t="s">
        <v>38</v>
      </c>
      <c r="C2355">
        <v>6</v>
      </c>
      <c r="D2355">
        <v>45108041</v>
      </c>
      <c r="E2355">
        <v>3</v>
      </c>
      <c r="F2355">
        <v>1</v>
      </c>
      <c r="G2355">
        <v>713</v>
      </c>
      <c r="H2355">
        <v>38801538</v>
      </c>
      <c r="I2355">
        <v>846477</v>
      </c>
      <c r="J2355" t="s">
        <v>25</v>
      </c>
      <c r="K2355" t="s">
        <v>18</v>
      </c>
      <c r="L2355">
        <v>2</v>
      </c>
      <c r="M2355">
        <v>47.16</v>
      </c>
      <c r="N2355">
        <v>166159</v>
      </c>
      <c r="O2355">
        <v>1</v>
      </c>
    </row>
    <row r="2356" spans="1:15">
      <c r="A2356" t="s">
        <v>2382</v>
      </c>
      <c r="B2356" t="s">
        <v>20</v>
      </c>
      <c r="C2356">
        <v>11</v>
      </c>
      <c r="D2356">
        <v>8906035</v>
      </c>
      <c r="E2356">
        <v>3</v>
      </c>
      <c r="F2356">
        <v>6</v>
      </c>
      <c r="G2356">
        <v>93</v>
      </c>
      <c r="H2356">
        <v>16980876</v>
      </c>
      <c r="I2356">
        <v>12562</v>
      </c>
      <c r="J2356" t="s">
        <v>25</v>
      </c>
      <c r="K2356" t="s">
        <v>30</v>
      </c>
      <c r="L2356">
        <v>4</v>
      </c>
      <c r="M2356">
        <v>9.0500000000000007</v>
      </c>
      <c r="N2356">
        <v>349701</v>
      </c>
      <c r="O2356">
        <v>1</v>
      </c>
    </row>
    <row r="2357" spans="1:15">
      <c r="A2357" t="s">
        <v>2383</v>
      </c>
      <c r="B2357" t="s">
        <v>24</v>
      </c>
      <c r="C2357">
        <v>14</v>
      </c>
      <c r="D2357">
        <v>21385702</v>
      </c>
      <c r="E2357">
        <v>3</v>
      </c>
      <c r="F2357">
        <v>23</v>
      </c>
      <c r="G2357">
        <v>411</v>
      </c>
      <c r="H2357">
        <v>13757224</v>
      </c>
      <c r="I2357">
        <v>508906</v>
      </c>
      <c r="J2357" t="s">
        <v>21</v>
      </c>
      <c r="K2357" t="s">
        <v>22</v>
      </c>
      <c r="L2357">
        <v>8</v>
      </c>
      <c r="M2357">
        <v>31.96</v>
      </c>
      <c r="N2357">
        <v>563943</v>
      </c>
      <c r="O2357">
        <v>1</v>
      </c>
    </row>
    <row r="2358" spans="1:15">
      <c r="A2358" t="s">
        <v>2384</v>
      </c>
      <c r="B2358" t="s">
        <v>32</v>
      </c>
      <c r="C2358">
        <v>12</v>
      </c>
      <c r="D2358">
        <v>34917880</v>
      </c>
      <c r="E2358">
        <v>2</v>
      </c>
      <c r="F2358">
        <v>20</v>
      </c>
      <c r="G2358">
        <v>878</v>
      </c>
      <c r="H2358">
        <v>22611934</v>
      </c>
      <c r="I2358">
        <v>620635</v>
      </c>
      <c r="J2358" t="s">
        <v>17</v>
      </c>
      <c r="K2358" t="s">
        <v>18</v>
      </c>
      <c r="L2358">
        <v>5</v>
      </c>
      <c r="M2358">
        <v>18.78</v>
      </c>
      <c r="N2358">
        <v>973392</v>
      </c>
      <c r="O2358">
        <v>1</v>
      </c>
    </row>
    <row r="2359" spans="1:15">
      <c r="A2359" t="s">
        <v>2385</v>
      </c>
      <c r="B2359" t="s">
        <v>24</v>
      </c>
      <c r="C2359">
        <v>8</v>
      </c>
      <c r="D2359">
        <v>40697585</v>
      </c>
      <c r="E2359">
        <v>2</v>
      </c>
      <c r="F2359">
        <v>21</v>
      </c>
      <c r="G2359">
        <v>280</v>
      </c>
      <c r="H2359">
        <v>5283249</v>
      </c>
      <c r="I2359">
        <v>600315</v>
      </c>
      <c r="J2359" t="s">
        <v>21</v>
      </c>
      <c r="K2359" t="s">
        <v>22</v>
      </c>
      <c r="L2359">
        <v>4</v>
      </c>
      <c r="M2359">
        <v>7.75</v>
      </c>
      <c r="N2359">
        <v>244897</v>
      </c>
      <c r="O2359">
        <v>1</v>
      </c>
    </row>
    <row r="2360" spans="1:15">
      <c r="A2360" t="s">
        <v>2386</v>
      </c>
      <c r="B2360" t="s">
        <v>29</v>
      </c>
      <c r="C2360">
        <v>9</v>
      </c>
      <c r="D2360">
        <v>1091913</v>
      </c>
      <c r="E2360">
        <v>4</v>
      </c>
      <c r="F2360">
        <v>27</v>
      </c>
      <c r="G2360">
        <v>609</v>
      </c>
      <c r="H2360">
        <v>41371475</v>
      </c>
      <c r="I2360">
        <v>119932</v>
      </c>
      <c r="J2360" t="s">
        <v>21</v>
      </c>
      <c r="K2360" t="s">
        <v>22</v>
      </c>
      <c r="L2360">
        <v>9</v>
      </c>
      <c r="M2360">
        <v>20.7</v>
      </c>
      <c r="N2360">
        <v>562526</v>
      </c>
      <c r="O2360">
        <v>1</v>
      </c>
    </row>
    <row r="2361" spans="1:15">
      <c r="A2361" t="s">
        <v>2387</v>
      </c>
      <c r="B2361" t="s">
        <v>27</v>
      </c>
      <c r="C2361">
        <v>10</v>
      </c>
      <c r="D2361">
        <v>31074867</v>
      </c>
      <c r="E2361">
        <v>4</v>
      </c>
      <c r="F2361">
        <v>10</v>
      </c>
      <c r="G2361">
        <v>191</v>
      </c>
      <c r="H2361">
        <v>7442437</v>
      </c>
      <c r="I2361">
        <v>326850</v>
      </c>
      <c r="J2361" t="s">
        <v>21</v>
      </c>
      <c r="K2361" t="s">
        <v>18</v>
      </c>
      <c r="L2361">
        <v>1</v>
      </c>
      <c r="M2361">
        <v>27.76</v>
      </c>
      <c r="N2361">
        <v>809547</v>
      </c>
      <c r="O2361">
        <v>1</v>
      </c>
    </row>
    <row r="2362" spans="1:15">
      <c r="A2362" t="s">
        <v>2388</v>
      </c>
      <c r="B2362" t="s">
        <v>27</v>
      </c>
      <c r="C2362">
        <v>1</v>
      </c>
      <c r="D2362">
        <v>44483307</v>
      </c>
      <c r="E2362">
        <v>4</v>
      </c>
      <c r="F2362">
        <v>4</v>
      </c>
      <c r="G2362">
        <v>674</v>
      </c>
      <c r="H2362">
        <v>36123665</v>
      </c>
      <c r="I2362">
        <v>376154</v>
      </c>
      <c r="J2362" t="s">
        <v>25</v>
      </c>
      <c r="K2362" t="s">
        <v>30</v>
      </c>
      <c r="L2362">
        <v>6</v>
      </c>
      <c r="M2362">
        <v>63.38</v>
      </c>
      <c r="N2362">
        <v>496833</v>
      </c>
      <c r="O2362">
        <v>1</v>
      </c>
    </row>
    <row r="2363" spans="1:15">
      <c r="A2363" t="s">
        <v>2389</v>
      </c>
      <c r="B2363" t="s">
        <v>32</v>
      </c>
      <c r="C2363">
        <v>3</v>
      </c>
      <c r="D2363">
        <v>39880690</v>
      </c>
      <c r="E2363">
        <v>2</v>
      </c>
      <c r="F2363">
        <v>0</v>
      </c>
      <c r="G2363">
        <v>223</v>
      </c>
      <c r="H2363">
        <v>18844495</v>
      </c>
      <c r="I2363">
        <v>974759</v>
      </c>
      <c r="J2363" t="s">
        <v>17</v>
      </c>
      <c r="K2363" t="s">
        <v>18</v>
      </c>
      <c r="L2363">
        <v>4</v>
      </c>
      <c r="M2363">
        <v>71.13</v>
      </c>
      <c r="N2363">
        <v>740558</v>
      </c>
      <c r="O2363">
        <v>1</v>
      </c>
    </row>
    <row r="2364" spans="1:15">
      <c r="A2364" t="s">
        <v>2390</v>
      </c>
      <c r="B2364" t="s">
        <v>20</v>
      </c>
      <c r="C2364">
        <v>8</v>
      </c>
      <c r="D2364">
        <v>33672032</v>
      </c>
      <c r="E2364">
        <v>1</v>
      </c>
      <c r="F2364">
        <v>8</v>
      </c>
      <c r="G2364">
        <v>620</v>
      </c>
      <c r="H2364">
        <v>50472100</v>
      </c>
      <c r="I2364">
        <v>628565</v>
      </c>
      <c r="J2364" t="s">
        <v>21</v>
      </c>
      <c r="K2364" t="s">
        <v>30</v>
      </c>
      <c r="L2364">
        <v>6</v>
      </c>
      <c r="M2364">
        <v>95.74</v>
      </c>
      <c r="N2364">
        <v>965266</v>
      </c>
      <c r="O2364">
        <v>1</v>
      </c>
    </row>
    <row r="2365" spans="1:15">
      <c r="A2365" t="s">
        <v>2391</v>
      </c>
      <c r="B2365" t="s">
        <v>29</v>
      </c>
      <c r="C2365">
        <v>3</v>
      </c>
      <c r="D2365">
        <v>29904521</v>
      </c>
      <c r="E2365">
        <v>4</v>
      </c>
      <c r="F2365">
        <v>6</v>
      </c>
      <c r="G2365">
        <v>248</v>
      </c>
      <c r="H2365">
        <v>86906577</v>
      </c>
      <c r="I2365">
        <v>62845</v>
      </c>
      <c r="J2365" t="s">
        <v>17</v>
      </c>
      <c r="K2365" t="s">
        <v>22</v>
      </c>
      <c r="L2365">
        <v>5</v>
      </c>
      <c r="M2365">
        <v>92.86</v>
      </c>
      <c r="N2365">
        <v>620136</v>
      </c>
      <c r="O2365">
        <v>1</v>
      </c>
    </row>
    <row r="2366" spans="1:15">
      <c r="A2366" t="s">
        <v>2392</v>
      </c>
      <c r="B2366" t="s">
        <v>32</v>
      </c>
      <c r="C2366">
        <v>0</v>
      </c>
      <c r="D2366">
        <v>23042914</v>
      </c>
      <c r="E2366">
        <v>2</v>
      </c>
      <c r="F2366">
        <v>8</v>
      </c>
      <c r="G2366">
        <v>329</v>
      </c>
      <c r="H2366">
        <v>26889956</v>
      </c>
      <c r="I2366">
        <v>407594</v>
      </c>
      <c r="J2366" t="s">
        <v>17</v>
      </c>
      <c r="K2366" t="s">
        <v>22</v>
      </c>
      <c r="L2366">
        <v>6</v>
      </c>
      <c r="M2366">
        <v>65.42</v>
      </c>
      <c r="N2366">
        <v>927812</v>
      </c>
      <c r="O2366">
        <v>1</v>
      </c>
    </row>
    <row r="2367" spans="1:15">
      <c r="A2367" t="s">
        <v>2393</v>
      </c>
      <c r="B2367" t="s">
        <v>32</v>
      </c>
      <c r="C2367">
        <v>9</v>
      </c>
      <c r="D2367">
        <v>19673371</v>
      </c>
      <c r="E2367">
        <v>2</v>
      </c>
      <c r="F2367">
        <v>23</v>
      </c>
      <c r="G2367">
        <v>221</v>
      </c>
      <c r="H2367">
        <v>78898110</v>
      </c>
      <c r="I2367">
        <v>890417</v>
      </c>
      <c r="J2367" t="s">
        <v>25</v>
      </c>
      <c r="K2367" t="s">
        <v>30</v>
      </c>
      <c r="L2367">
        <v>2</v>
      </c>
      <c r="M2367">
        <v>6.37</v>
      </c>
      <c r="N2367">
        <v>494979</v>
      </c>
      <c r="O2367">
        <v>1</v>
      </c>
    </row>
    <row r="2368" spans="1:15">
      <c r="A2368" t="s">
        <v>2394</v>
      </c>
      <c r="B2368" t="s">
        <v>32</v>
      </c>
      <c r="C2368">
        <v>3</v>
      </c>
      <c r="D2368">
        <v>21645865</v>
      </c>
      <c r="E2368">
        <v>3</v>
      </c>
      <c r="F2368">
        <v>2</v>
      </c>
      <c r="G2368">
        <v>739</v>
      </c>
      <c r="H2368">
        <v>52234073</v>
      </c>
      <c r="I2368">
        <v>589331</v>
      </c>
      <c r="J2368" t="s">
        <v>17</v>
      </c>
      <c r="K2368" t="s">
        <v>30</v>
      </c>
      <c r="L2368">
        <v>7</v>
      </c>
      <c r="M2368">
        <v>68.16</v>
      </c>
      <c r="N2368">
        <v>553352</v>
      </c>
      <c r="O2368">
        <v>1</v>
      </c>
    </row>
    <row r="2369" spans="1:15">
      <c r="A2369" t="s">
        <v>2395</v>
      </c>
      <c r="B2369" t="s">
        <v>24</v>
      </c>
      <c r="C2369">
        <v>12</v>
      </c>
      <c r="D2369">
        <v>34459202</v>
      </c>
      <c r="E2369">
        <v>2</v>
      </c>
      <c r="F2369">
        <v>12</v>
      </c>
      <c r="G2369">
        <v>899</v>
      </c>
      <c r="H2369">
        <v>62596522</v>
      </c>
      <c r="I2369">
        <v>429395</v>
      </c>
      <c r="J2369" t="s">
        <v>21</v>
      </c>
      <c r="K2369" t="s">
        <v>18</v>
      </c>
      <c r="L2369">
        <v>3</v>
      </c>
      <c r="M2369">
        <v>92.61</v>
      </c>
      <c r="N2369">
        <v>556877</v>
      </c>
      <c r="O2369">
        <v>1</v>
      </c>
    </row>
    <row r="2370" spans="1:15">
      <c r="A2370" t="s">
        <v>2396</v>
      </c>
      <c r="B2370" t="s">
        <v>24</v>
      </c>
      <c r="C2370">
        <v>14</v>
      </c>
      <c r="D2370">
        <v>39139387</v>
      </c>
      <c r="E2370">
        <v>4</v>
      </c>
      <c r="F2370">
        <v>15</v>
      </c>
      <c r="G2370">
        <v>805</v>
      </c>
      <c r="H2370">
        <v>391691</v>
      </c>
      <c r="I2370">
        <v>55411</v>
      </c>
      <c r="J2370" t="s">
        <v>25</v>
      </c>
      <c r="K2370" t="s">
        <v>30</v>
      </c>
      <c r="L2370">
        <v>6</v>
      </c>
      <c r="M2370">
        <v>72.89</v>
      </c>
      <c r="N2370">
        <v>976920</v>
      </c>
      <c r="O2370">
        <v>1</v>
      </c>
    </row>
    <row r="2371" spans="1:15">
      <c r="A2371" t="s">
        <v>2397</v>
      </c>
      <c r="B2371" t="s">
        <v>32</v>
      </c>
      <c r="C2371">
        <v>14</v>
      </c>
      <c r="D2371">
        <v>27435456</v>
      </c>
      <c r="E2371">
        <v>3</v>
      </c>
      <c r="F2371">
        <v>29</v>
      </c>
      <c r="G2371">
        <v>283</v>
      </c>
      <c r="H2371">
        <v>13541060</v>
      </c>
      <c r="I2371">
        <v>44270</v>
      </c>
      <c r="J2371" t="s">
        <v>21</v>
      </c>
      <c r="K2371" t="s">
        <v>22</v>
      </c>
      <c r="L2371">
        <v>2</v>
      </c>
      <c r="M2371">
        <v>73.650000000000006</v>
      </c>
      <c r="N2371">
        <v>357663</v>
      </c>
      <c r="O2371">
        <v>1</v>
      </c>
    </row>
    <row r="2372" spans="1:15">
      <c r="A2372" t="s">
        <v>2398</v>
      </c>
      <c r="B2372" t="s">
        <v>20</v>
      </c>
      <c r="C2372">
        <v>1</v>
      </c>
      <c r="D2372">
        <v>23053885</v>
      </c>
      <c r="E2372">
        <v>1</v>
      </c>
      <c r="F2372">
        <v>24</v>
      </c>
      <c r="G2372">
        <v>470</v>
      </c>
      <c r="H2372">
        <v>32662036</v>
      </c>
      <c r="I2372">
        <v>811602</v>
      </c>
      <c r="J2372" t="s">
        <v>21</v>
      </c>
      <c r="K2372" t="s">
        <v>22</v>
      </c>
      <c r="L2372">
        <v>4</v>
      </c>
      <c r="M2372">
        <v>5.71</v>
      </c>
      <c r="N2372">
        <v>336203</v>
      </c>
      <c r="O2372">
        <v>1</v>
      </c>
    </row>
    <row r="2373" spans="1:15">
      <c r="A2373" t="s">
        <v>2399</v>
      </c>
      <c r="B2373" t="s">
        <v>16</v>
      </c>
      <c r="C2373">
        <v>12</v>
      </c>
      <c r="D2373">
        <v>47014258</v>
      </c>
      <c r="E2373">
        <v>4</v>
      </c>
      <c r="F2373">
        <v>15</v>
      </c>
      <c r="G2373">
        <v>592</v>
      </c>
      <c r="H2373">
        <v>73298362</v>
      </c>
      <c r="I2373">
        <v>470012</v>
      </c>
      <c r="J2373" t="s">
        <v>21</v>
      </c>
      <c r="K2373" t="s">
        <v>22</v>
      </c>
      <c r="L2373">
        <v>2</v>
      </c>
      <c r="M2373">
        <v>8.6999999999999993</v>
      </c>
      <c r="N2373">
        <v>941116</v>
      </c>
      <c r="O2373">
        <v>1</v>
      </c>
    </row>
    <row r="2374" spans="1:15">
      <c r="A2374" t="s">
        <v>2400</v>
      </c>
      <c r="B2374" t="s">
        <v>27</v>
      </c>
      <c r="C2374">
        <v>4</v>
      </c>
      <c r="D2374">
        <v>13342848</v>
      </c>
      <c r="E2374">
        <v>3</v>
      </c>
      <c r="F2374">
        <v>9</v>
      </c>
      <c r="G2374">
        <v>559</v>
      </c>
      <c r="H2374">
        <v>76226584</v>
      </c>
      <c r="I2374">
        <v>330737</v>
      </c>
      <c r="J2374" t="s">
        <v>21</v>
      </c>
      <c r="K2374" t="s">
        <v>18</v>
      </c>
      <c r="L2374">
        <v>5</v>
      </c>
      <c r="M2374">
        <v>43.55</v>
      </c>
      <c r="N2374">
        <v>285007</v>
      </c>
      <c r="O2374">
        <v>1</v>
      </c>
    </row>
    <row r="2375" spans="1:15">
      <c r="A2375" t="s">
        <v>2401</v>
      </c>
      <c r="B2375" t="s">
        <v>32</v>
      </c>
      <c r="C2375">
        <v>2</v>
      </c>
      <c r="D2375">
        <v>32648083</v>
      </c>
      <c r="E2375">
        <v>2</v>
      </c>
      <c r="F2375">
        <v>6</v>
      </c>
      <c r="G2375">
        <v>159</v>
      </c>
      <c r="H2375">
        <v>38582295</v>
      </c>
      <c r="I2375">
        <v>130361</v>
      </c>
      <c r="J2375" t="s">
        <v>17</v>
      </c>
      <c r="K2375" t="s">
        <v>18</v>
      </c>
      <c r="L2375">
        <v>9</v>
      </c>
      <c r="M2375">
        <v>29.54</v>
      </c>
      <c r="N2375">
        <v>300483</v>
      </c>
      <c r="O2375">
        <v>1</v>
      </c>
    </row>
    <row r="2376" spans="1:15">
      <c r="A2376" t="s">
        <v>2402</v>
      </c>
      <c r="B2376" t="s">
        <v>29</v>
      </c>
      <c r="C2376">
        <v>8</v>
      </c>
      <c r="D2376">
        <v>10604999</v>
      </c>
      <c r="E2376">
        <v>2</v>
      </c>
      <c r="F2376">
        <v>18</v>
      </c>
      <c r="G2376">
        <v>267</v>
      </c>
      <c r="H2376">
        <v>26962792</v>
      </c>
      <c r="I2376">
        <v>568608</v>
      </c>
      <c r="J2376" t="s">
        <v>21</v>
      </c>
      <c r="K2376" t="s">
        <v>22</v>
      </c>
      <c r="L2376">
        <v>2</v>
      </c>
      <c r="M2376">
        <v>69.19</v>
      </c>
      <c r="N2376">
        <v>259150</v>
      </c>
      <c r="O2376">
        <v>1</v>
      </c>
    </row>
    <row r="2377" spans="1:15">
      <c r="A2377" t="s">
        <v>2403</v>
      </c>
      <c r="B2377" t="s">
        <v>27</v>
      </c>
      <c r="C2377">
        <v>5</v>
      </c>
      <c r="D2377">
        <v>6424713</v>
      </c>
      <c r="E2377">
        <v>2</v>
      </c>
      <c r="F2377">
        <v>28</v>
      </c>
      <c r="G2377">
        <v>496</v>
      </c>
      <c r="H2377">
        <v>37043331</v>
      </c>
      <c r="I2377">
        <v>221469</v>
      </c>
      <c r="J2377" t="s">
        <v>17</v>
      </c>
      <c r="K2377" t="s">
        <v>30</v>
      </c>
      <c r="L2377">
        <v>2</v>
      </c>
      <c r="M2377">
        <v>10.44</v>
      </c>
      <c r="N2377">
        <v>691534</v>
      </c>
      <c r="O2377">
        <v>1</v>
      </c>
    </row>
    <row r="2378" spans="1:15">
      <c r="A2378" t="s">
        <v>2404</v>
      </c>
      <c r="B2378" t="s">
        <v>24</v>
      </c>
      <c r="C2378">
        <v>8</v>
      </c>
      <c r="D2378">
        <v>3674902</v>
      </c>
      <c r="E2378">
        <v>3</v>
      </c>
      <c r="F2378">
        <v>5</v>
      </c>
      <c r="G2378">
        <v>165</v>
      </c>
      <c r="H2378">
        <v>94245512</v>
      </c>
      <c r="I2378">
        <v>526100</v>
      </c>
      <c r="J2378" t="s">
        <v>21</v>
      </c>
      <c r="K2378" t="s">
        <v>22</v>
      </c>
      <c r="L2378">
        <v>7</v>
      </c>
      <c r="M2378">
        <v>95.42</v>
      </c>
      <c r="N2378">
        <v>364861</v>
      </c>
      <c r="O2378">
        <v>1</v>
      </c>
    </row>
    <row r="2379" spans="1:15">
      <c r="A2379" t="s">
        <v>2405</v>
      </c>
      <c r="B2379" t="s">
        <v>27</v>
      </c>
      <c r="C2379">
        <v>13</v>
      </c>
      <c r="D2379">
        <v>26206815</v>
      </c>
      <c r="E2379">
        <v>4</v>
      </c>
      <c r="F2379">
        <v>23</v>
      </c>
      <c r="G2379">
        <v>309</v>
      </c>
      <c r="H2379">
        <v>28287575</v>
      </c>
      <c r="I2379">
        <v>629741</v>
      </c>
      <c r="J2379" t="s">
        <v>21</v>
      </c>
      <c r="K2379" t="s">
        <v>22</v>
      </c>
      <c r="L2379">
        <v>4</v>
      </c>
      <c r="M2379">
        <v>62.34</v>
      </c>
      <c r="N2379">
        <v>129659</v>
      </c>
      <c r="O2379">
        <v>1</v>
      </c>
    </row>
    <row r="2380" spans="1:15">
      <c r="A2380" t="s">
        <v>2406</v>
      </c>
      <c r="B2380" t="s">
        <v>29</v>
      </c>
      <c r="C2380">
        <v>7</v>
      </c>
      <c r="D2380">
        <v>20612660</v>
      </c>
      <c r="E2380">
        <v>1</v>
      </c>
      <c r="F2380">
        <v>21</v>
      </c>
      <c r="G2380">
        <v>85</v>
      </c>
      <c r="H2380">
        <v>58468865</v>
      </c>
      <c r="I2380">
        <v>806860</v>
      </c>
      <c r="J2380" t="s">
        <v>17</v>
      </c>
      <c r="K2380" t="s">
        <v>22</v>
      </c>
      <c r="L2380">
        <v>9</v>
      </c>
      <c r="M2380">
        <v>58.42</v>
      </c>
      <c r="N2380">
        <v>860156</v>
      </c>
      <c r="O2380">
        <v>1</v>
      </c>
    </row>
    <row r="2381" spans="1:15">
      <c r="A2381" t="s">
        <v>2407</v>
      </c>
      <c r="B2381" t="s">
        <v>29</v>
      </c>
      <c r="C2381">
        <v>2</v>
      </c>
      <c r="D2381">
        <v>15109374</v>
      </c>
      <c r="E2381">
        <v>4</v>
      </c>
      <c r="F2381">
        <v>9</v>
      </c>
      <c r="G2381">
        <v>830</v>
      </c>
      <c r="H2381">
        <v>89942177</v>
      </c>
      <c r="I2381">
        <v>503489</v>
      </c>
      <c r="J2381" t="s">
        <v>25</v>
      </c>
      <c r="K2381" t="s">
        <v>30</v>
      </c>
      <c r="L2381">
        <v>8</v>
      </c>
      <c r="M2381">
        <v>48.97</v>
      </c>
      <c r="N2381">
        <v>272762</v>
      </c>
      <c r="O2381">
        <v>1</v>
      </c>
    </row>
    <row r="2382" spans="1:15">
      <c r="A2382" t="s">
        <v>2408</v>
      </c>
      <c r="B2382" t="s">
        <v>20</v>
      </c>
      <c r="C2382">
        <v>6</v>
      </c>
      <c r="D2382">
        <v>35557308</v>
      </c>
      <c r="E2382">
        <v>1</v>
      </c>
      <c r="F2382">
        <v>0</v>
      </c>
      <c r="G2382">
        <v>742</v>
      </c>
      <c r="H2382">
        <v>9279930</v>
      </c>
      <c r="I2382">
        <v>245078</v>
      </c>
      <c r="J2382" t="s">
        <v>21</v>
      </c>
      <c r="K2382" t="s">
        <v>30</v>
      </c>
      <c r="L2382">
        <v>3</v>
      </c>
      <c r="M2382">
        <v>21.6</v>
      </c>
      <c r="N2382">
        <v>226505</v>
      </c>
      <c r="O2382">
        <v>1</v>
      </c>
    </row>
    <row r="2383" spans="1:15">
      <c r="A2383" t="s">
        <v>2409</v>
      </c>
      <c r="B2383" t="s">
        <v>38</v>
      </c>
      <c r="C2383">
        <v>4</v>
      </c>
      <c r="D2383">
        <v>33209111</v>
      </c>
      <c r="E2383">
        <v>4</v>
      </c>
      <c r="F2383">
        <v>11</v>
      </c>
      <c r="G2383">
        <v>320</v>
      </c>
      <c r="H2383">
        <v>76315107</v>
      </c>
      <c r="I2383">
        <v>42539</v>
      </c>
      <c r="J2383" t="s">
        <v>25</v>
      </c>
      <c r="K2383" t="s">
        <v>22</v>
      </c>
      <c r="L2383">
        <v>2</v>
      </c>
      <c r="M2383">
        <v>57.48</v>
      </c>
      <c r="N2383">
        <v>635590</v>
      </c>
      <c r="O2383">
        <v>1</v>
      </c>
    </row>
    <row r="2384" spans="1:15">
      <c r="A2384" t="s">
        <v>2410</v>
      </c>
      <c r="B2384" t="s">
        <v>32</v>
      </c>
      <c r="C2384">
        <v>0</v>
      </c>
      <c r="D2384">
        <v>37660238</v>
      </c>
      <c r="E2384">
        <v>3</v>
      </c>
      <c r="F2384">
        <v>0</v>
      </c>
      <c r="G2384">
        <v>487</v>
      </c>
      <c r="H2384">
        <v>6734565</v>
      </c>
      <c r="I2384">
        <v>235405</v>
      </c>
      <c r="J2384" t="s">
        <v>25</v>
      </c>
      <c r="K2384" t="s">
        <v>30</v>
      </c>
      <c r="L2384">
        <v>7</v>
      </c>
      <c r="M2384">
        <v>55.68</v>
      </c>
      <c r="N2384">
        <v>124380</v>
      </c>
      <c r="O2384">
        <v>1</v>
      </c>
    </row>
    <row r="2385" spans="1:15">
      <c r="A2385" t="s">
        <v>2411</v>
      </c>
      <c r="B2385" t="s">
        <v>32</v>
      </c>
      <c r="C2385">
        <v>8</v>
      </c>
      <c r="D2385">
        <v>40677857</v>
      </c>
      <c r="E2385">
        <v>4</v>
      </c>
      <c r="F2385">
        <v>25</v>
      </c>
      <c r="G2385">
        <v>113</v>
      </c>
      <c r="H2385">
        <v>50676418</v>
      </c>
      <c r="I2385">
        <v>947855</v>
      </c>
      <c r="J2385" t="s">
        <v>17</v>
      </c>
      <c r="K2385" t="s">
        <v>30</v>
      </c>
      <c r="L2385">
        <v>1</v>
      </c>
      <c r="M2385">
        <v>80.930000000000007</v>
      </c>
      <c r="N2385">
        <v>98302</v>
      </c>
      <c r="O2385">
        <v>1</v>
      </c>
    </row>
    <row r="2386" spans="1:15">
      <c r="A2386" t="s">
        <v>2412</v>
      </c>
      <c r="B2386" t="s">
        <v>29</v>
      </c>
      <c r="C2386">
        <v>4</v>
      </c>
      <c r="D2386">
        <v>5630451</v>
      </c>
      <c r="E2386">
        <v>4</v>
      </c>
      <c r="F2386">
        <v>16</v>
      </c>
      <c r="G2386">
        <v>858</v>
      </c>
      <c r="H2386">
        <v>20174853</v>
      </c>
      <c r="I2386">
        <v>153533</v>
      </c>
      <c r="J2386" t="s">
        <v>21</v>
      </c>
      <c r="K2386" t="s">
        <v>22</v>
      </c>
      <c r="L2386">
        <v>3</v>
      </c>
      <c r="M2386">
        <v>77.150000000000006</v>
      </c>
      <c r="N2386">
        <v>162678</v>
      </c>
      <c r="O2386">
        <v>1</v>
      </c>
    </row>
    <row r="2387" spans="1:15">
      <c r="A2387" t="s">
        <v>2413</v>
      </c>
      <c r="B2387" t="s">
        <v>38</v>
      </c>
      <c r="C2387">
        <v>8</v>
      </c>
      <c r="D2387">
        <v>45307145</v>
      </c>
      <c r="E2387">
        <v>2</v>
      </c>
      <c r="F2387">
        <v>23</v>
      </c>
      <c r="G2387">
        <v>207</v>
      </c>
      <c r="H2387">
        <v>86489687</v>
      </c>
      <c r="I2387">
        <v>24029</v>
      </c>
      <c r="J2387" t="s">
        <v>17</v>
      </c>
      <c r="K2387" t="s">
        <v>22</v>
      </c>
      <c r="L2387">
        <v>3</v>
      </c>
      <c r="M2387">
        <v>63.5</v>
      </c>
      <c r="N2387">
        <v>376477</v>
      </c>
      <c r="O2387">
        <v>1</v>
      </c>
    </row>
    <row r="2388" spans="1:15">
      <c r="A2388" t="s">
        <v>2414</v>
      </c>
      <c r="B2388" t="s">
        <v>20</v>
      </c>
      <c r="C2388">
        <v>7</v>
      </c>
      <c r="D2388">
        <v>31071155</v>
      </c>
      <c r="E2388">
        <v>3</v>
      </c>
      <c r="F2388">
        <v>24</v>
      </c>
      <c r="G2388">
        <v>76</v>
      </c>
      <c r="H2388">
        <v>58074647</v>
      </c>
      <c r="I2388">
        <v>210028</v>
      </c>
      <c r="J2388" t="s">
        <v>21</v>
      </c>
      <c r="K2388" t="s">
        <v>18</v>
      </c>
      <c r="L2388">
        <v>5</v>
      </c>
      <c r="M2388">
        <v>42.94</v>
      </c>
      <c r="N2388">
        <v>244869</v>
      </c>
      <c r="O2388">
        <v>1</v>
      </c>
    </row>
    <row r="2389" spans="1:15">
      <c r="A2389" t="s">
        <v>2415</v>
      </c>
      <c r="B2389" t="s">
        <v>24</v>
      </c>
      <c r="C2389">
        <v>2</v>
      </c>
      <c r="D2389">
        <v>36680193</v>
      </c>
      <c r="E2389">
        <v>4</v>
      </c>
      <c r="F2389">
        <v>18</v>
      </c>
      <c r="G2389">
        <v>402</v>
      </c>
      <c r="H2389">
        <v>14764295</v>
      </c>
      <c r="I2389">
        <v>307259</v>
      </c>
      <c r="J2389" t="s">
        <v>25</v>
      </c>
      <c r="K2389" t="s">
        <v>22</v>
      </c>
      <c r="L2389">
        <v>1</v>
      </c>
      <c r="M2389">
        <v>45.43</v>
      </c>
      <c r="N2389">
        <v>992692</v>
      </c>
      <c r="O2389">
        <v>1</v>
      </c>
    </row>
    <row r="2390" spans="1:15">
      <c r="A2390" t="s">
        <v>2416</v>
      </c>
      <c r="B2390" t="s">
        <v>32</v>
      </c>
      <c r="C2390">
        <v>1</v>
      </c>
      <c r="D2390">
        <v>44934371</v>
      </c>
      <c r="E2390">
        <v>2</v>
      </c>
      <c r="F2390">
        <v>7</v>
      </c>
      <c r="G2390">
        <v>711</v>
      </c>
      <c r="H2390">
        <v>59048159</v>
      </c>
      <c r="I2390">
        <v>80777</v>
      </c>
      <c r="J2390" t="s">
        <v>17</v>
      </c>
      <c r="K2390" t="s">
        <v>22</v>
      </c>
      <c r="L2390">
        <v>8</v>
      </c>
      <c r="M2390">
        <v>72.709999999999994</v>
      </c>
      <c r="N2390">
        <v>742712</v>
      </c>
      <c r="O2390">
        <v>1</v>
      </c>
    </row>
    <row r="2391" spans="1:15">
      <c r="A2391" t="s">
        <v>2417</v>
      </c>
      <c r="B2391" t="s">
        <v>32</v>
      </c>
      <c r="C2391">
        <v>7</v>
      </c>
      <c r="D2391">
        <v>24512444</v>
      </c>
      <c r="E2391">
        <v>2</v>
      </c>
      <c r="F2391">
        <v>21</v>
      </c>
      <c r="G2391">
        <v>188</v>
      </c>
      <c r="H2391">
        <v>88157808</v>
      </c>
      <c r="I2391">
        <v>924932</v>
      </c>
      <c r="J2391" t="s">
        <v>17</v>
      </c>
      <c r="K2391" t="s">
        <v>18</v>
      </c>
      <c r="L2391">
        <v>7</v>
      </c>
      <c r="M2391">
        <v>50.5</v>
      </c>
      <c r="N2391">
        <v>476794</v>
      </c>
      <c r="O2391">
        <v>1</v>
      </c>
    </row>
    <row r="2392" spans="1:15">
      <c r="A2392" t="s">
        <v>2418</v>
      </c>
      <c r="B2392" t="s">
        <v>27</v>
      </c>
      <c r="C2392">
        <v>12</v>
      </c>
      <c r="D2392">
        <v>16154375</v>
      </c>
      <c r="E2392">
        <v>4</v>
      </c>
      <c r="F2392">
        <v>26</v>
      </c>
      <c r="G2392">
        <v>356</v>
      </c>
      <c r="H2392">
        <v>91810473</v>
      </c>
      <c r="I2392">
        <v>564919</v>
      </c>
      <c r="J2392" t="s">
        <v>25</v>
      </c>
      <c r="K2392" t="s">
        <v>30</v>
      </c>
      <c r="L2392">
        <v>2</v>
      </c>
      <c r="M2392">
        <v>51.13</v>
      </c>
      <c r="N2392">
        <v>179091</v>
      </c>
      <c r="O2392">
        <v>1</v>
      </c>
    </row>
    <row r="2393" spans="1:15">
      <c r="A2393" t="s">
        <v>2419</v>
      </c>
      <c r="B2393" t="s">
        <v>16</v>
      </c>
      <c r="C2393">
        <v>8</v>
      </c>
      <c r="D2393">
        <v>48146080</v>
      </c>
      <c r="E2393">
        <v>1</v>
      </c>
      <c r="F2393">
        <v>7</v>
      </c>
      <c r="G2393">
        <v>49</v>
      </c>
      <c r="H2393">
        <v>9100862</v>
      </c>
      <c r="I2393">
        <v>544762</v>
      </c>
      <c r="J2393" t="s">
        <v>21</v>
      </c>
      <c r="K2393" t="s">
        <v>18</v>
      </c>
      <c r="L2393">
        <v>1</v>
      </c>
      <c r="M2393">
        <v>98.07</v>
      </c>
      <c r="N2393">
        <v>142132</v>
      </c>
      <c r="O2393">
        <v>1</v>
      </c>
    </row>
    <row r="2394" spans="1:15">
      <c r="A2394" t="s">
        <v>2420</v>
      </c>
      <c r="B2394" t="s">
        <v>32</v>
      </c>
      <c r="C2394">
        <v>2</v>
      </c>
      <c r="D2394">
        <v>24014004</v>
      </c>
      <c r="E2394">
        <v>2</v>
      </c>
      <c r="F2394">
        <v>27</v>
      </c>
      <c r="G2394">
        <v>218</v>
      </c>
      <c r="H2394">
        <v>69754493</v>
      </c>
      <c r="I2394">
        <v>660622</v>
      </c>
      <c r="J2394" t="s">
        <v>17</v>
      </c>
      <c r="K2394" t="s">
        <v>30</v>
      </c>
      <c r="L2394">
        <v>4</v>
      </c>
      <c r="M2394">
        <v>69.930000000000007</v>
      </c>
      <c r="N2394">
        <v>397563</v>
      </c>
      <c r="O2394">
        <v>1</v>
      </c>
    </row>
    <row r="2395" spans="1:15">
      <c r="A2395" t="s">
        <v>2421</v>
      </c>
      <c r="B2395" t="s">
        <v>29</v>
      </c>
      <c r="C2395">
        <v>7</v>
      </c>
      <c r="D2395">
        <v>39985414</v>
      </c>
      <c r="E2395">
        <v>4</v>
      </c>
      <c r="F2395">
        <v>6</v>
      </c>
      <c r="G2395">
        <v>564</v>
      </c>
      <c r="H2395">
        <v>73943848</v>
      </c>
      <c r="I2395">
        <v>36815</v>
      </c>
      <c r="J2395" t="s">
        <v>21</v>
      </c>
      <c r="K2395" t="s">
        <v>22</v>
      </c>
      <c r="L2395">
        <v>4</v>
      </c>
      <c r="M2395">
        <v>98.66</v>
      </c>
      <c r="N2395">
        <v>343545</v>
      </c>
      <c r="O2395">
        <v>1</v>
      </c>
    </row>
    <row r="2396" spans="1:15">
      <c r="A2396" t="s">
        <v>2422</v>
      </c>
      <c r="B2396" t="s">
        <v>27</v>
      </c>
      <c r="C2396">
        <v>4</v>
      </c>
      <c r="D2396">
        <v>9837851</v>
      </c>
      <c r="E2396">
        <v>1</v>
      </c>
      <c r="F2396">
        <v>19</v>
      </c>
      <c r="G2396">
        <v>464</v>
      </c>
      <c r="H2396">
        <v>98708710</v>
      </c>
      <c r="I2396">
        <v>156719</v>
      </c>
      <c r="J2396" t="s">
        <v>21</v>
      </c>
      <c r="K2396" t="s">
        <v>22</v>
      </c>
      <c r="L2396">
        <v>1</v>
      </c>
      <c r="M2396">
        <v>22.56</v>
      </c>
      <c r="N2396">
        <v>634530</v>
      </c>
      <c r="O2396">
        <v>1</v>
      </c>
    </row>
    <row r="2397" spans="1:15">
      <c r="A2397" t="s">
        <v>2423</v>
      </c>
      <c r="B2397" t="s">
        <v>38</v>
      </c>
      <c r="C2397">
        <v>12</v>
      </c>
      <c r="D2397">
        <v>26316141</v>
      </c>
      <c r="E2397">
        <v>2</v>
      </c>
      <c r="F2397">
        <v>13</v>
      </c>
      <c r="G2397">
        <v>513</v>
      </c>
      <c r="H2397">
        <v>92279468</v>
      </c>
      <c r="I2397">
        <v>495911</v>
      </c>
      <c r="J2397" t="s">
        <v>25</v>
      </c>
      <c r="K2397" t="s">
        <v>18</v>
      </c>
      <c r="L2397">
        <v>1</v>
      </c>
      <c r="M2397">
        <v>26.73</v>
      </c>
      <c r="N2397">
        <v>73116</v>
      </c>
      <c r="O2397">
        <v>1</v>
      </c>
    </row>
    <row r="2398" spans="1:15">
      <c r="A2398" t="s">
        <v>2424</v>
      </c>
      <c r="B2398" t="s">
        <v>27</v>
      </c>
      <c r="C2398">
        <v>14</v>
      </c>
      <c r="D2398">
        <v>24957076</v>
      </c>
      <c r="E2398">
        <v>1</v>
      </c>
      <c r="F2398">
        <v>25</v>
      </c>
      <c r="G2398">
        <v>251</v>
      </c>
      <c r="H2398">
        <v>66452702</v>
      </c>
      <c r="I2398">
        <v>857996</v>
      </c>
      <c r="J2398" t="s">
        <v>21</v>
      </c>
      <c r="K2398" t="s">
        <v>30</v>
      </c>
      <c r="L2398">
        <v>8</v>
      </c>
      <c r="M2398">
        <v>46.23</v>
      </c>
      <c r="N2398">
        <v>737240</v>
      </c>
      <c r="O2398">
        <v>1</v>
      </c>
    </row>
    <row r="2399" spans="1:15">
      <c r="A2399" t="s">
        <v>2425</v>
      </c>
      <c r="B2399" t="s">
        <v>24</v>
      </c>
      <c r="C2399">
        <v>2</v>
      </c>
      <c r="D2399">
        <v>13000347</v>
      </c>
      <c r="E2399">
        <v>4</v>
      </c>
      <c r="F2399">
        <v>6</v>
      </c>
      <c r="G2399">
        <v>231</v>
      </c>
      <c r="H2399">
        <v>54152184</v>
      </c>
      <c r="I2399">
        <v>825041</v>
      </c>
      <c r="J2399" t="s">
        <v>21</v>
      </c>
      <c r="K2399" t="s">
        <v>22</v>
      </c>
      <c r="L2399">
        <v>2</v>
      </c>
      <c r="M2399">
        <v>87.81</v>
      </c>
      <c r="N2399">
        <v>155959</v>
      </c>
      <c r="O2399">
        <v>1</v>
      </c>
    </row>
    <row r="2400" spans="1:15">
      <c r="A2400" t="s">
        <v>2426</v>
      </c>
      <c r="B2400" t="s">
        <v>16</v>
      </c>
      <c r="C2400">
        <v>10</v>
      </c>
      <c r="D2400">
        <v>25461971</v>
      </c>
      <c r="E2400">
        <v>3</v>
      </c>
      <c r="F2400">
        <v>17</v>
      </c>
      <c r="G2400">
        <v>354</v>
      </c>
      <c r="H2400">
        <v>70143429</v>
      </c>
      <c r="I2400">
        <v>503170</v>
      </c>
      <c r="J2400" t="s">
        <v>21</v>
      </c>
      <c r="K2400" t="s">
        <v>22</v>
      </c>
      <c r="L2400">
        <v>8</v>
      </c>
      <c r="M2400">
        <v>4.55</v>
      </c>
      <c r="N2400">
        <v>960214</v>
      </c>
      <c r="O2400">
        <v>1</v>
      </c>
    </row>
    <row r="2401" spans="1:15">
      <c r="A2401" t="s">
        <v>2427</v>
      </c>
      <c r="B2401" t="s">
        <v>16</v>
      </c>
      <c r="C2401">
        <v>13</v>
      </c>
      <c r="D2401">
        <v>45787046</v>
      </c>
      <c r="E2401">
        <v>4</v>
      </c>
      <c r="F2401">
        <v>0</v>
      </c>
      <c r="G2401">
        <v>805</v>
      </c>
      <c r="H2401">
        <v>8603561</v>
      </c>
      <c r="I2401">
        <v>983227</v>
      </c>
      <c r="J2401" t="s">
        <v>25</v>
      </c>
      <c r="K2401" t="s">
        <v>22</v>
      </c>
      <c r="L2401">
        <v>2</v>
      </c>
      <c r="M2401">
        <v>35.93</v>
      </c>
      <c r="N2401">
        <v>414324</v>
      </c>
      <c r="O2401">
        <v>1</v>
      </c>
    </row>
    <row r="2402" spans="1:15">
      <c r="A2402" t="s">
        <v>2428</v>
      </c>
      <c r="B2402" t="s">
        <v>16</v>
      </c>
      <c r="C2402">
        <v>0</v>
      </c>
      <c r="D2402">
        <v>42462331</v>
      </c>
      <c r="E2402">
        <v>4</v>
      </c>
      <c r="F2402">
        <v>24</v>
      </c>
      <c r="G2402">
        <v>745</v>
      </c>
      <c r="H2402">
        <v>94736399</v>
      </c>
      <c r="I2402">
        <v>811753</v>
      </c>
      <c r="J2402" t="s">
        <v>17</v>
      </c>
      <c r="K2402" t="s">
        <v>18</v>
      </c>
      <c r="L2402">
        <v>1</v>
      </c>
      <c r="M2402">
        <v>17.88</v>
      </c>
      <c r="N2402">
        <v>284874</v>
      </c>
      <c r="O2402">
        <v>1</v>
      </c>
    </row>
    <row r="2403" spans="1:15">
      <c r="A2403" t="s">
        <v>2429</v>
      </c>
      <c r="B2403" t="s">
        <v>27</v>
      </c>
      <c r="C2403">
        <v>0</v>
      </c>
      <c r="D2403">
        <v>9727886</v>
      </c>
      <c r="E2403">
        <v>1</v>
      </c>
      <c r="F2403">
        <v>14</v>
      </c>
      <c r="G2403">
        <v>419</v>
      </c>
      <c r="H2403">
        <v>61410773</v>
      </c>
      <c r="I2403">
        <v>83820</v>
      </c>
      <c r="J2403" t="s">
        <v>21</v>
      </c>
      <c r="K2403" t="s">
        <v>18</v>
      </c>
      <c r="L2403">
        <v>8</v>
      </c>
      <c r="M2403">
        <v>96.4</v>
      </c>
      <c r="N2403">
        <v>471064</v>
      </c>
      <c r="O2403">
        <v>1</v>
      </c>
    </row>
    <row r="2404" spans="1:15">
      <c r="A2404" t="s">
        <v>2430</v>
      </c>
      <c r="B2404" t="s">
        <v>29</v>
      </c>
      <c r="C2404">
        <v>13</v>
      </c>
      <c r="D2404">
        <v>9243717</v>
      </c>
      <c r="E2404">
        <v>2</v>
      </c>
      <c r="F2404">
        <v>22</v>
      </c>
      <c r="G2404">
        <v>517</v>
      </c>
      <c r="H2404">
        <v>7984225</v>
      </c>
      <c r="I2404">
        <v>279460</v>
      </c>
      <c r="J2404" t="s">
        <v>17</v>
      </c>
      <c r="K2404" t="s">
        <v>18</v>
      </c>
      <c r="L2404">
        <v>3</v>
      </c>
      <c r="M2404">
        <v>99.46</v>
      </c>
      <c r="N2404">
        <v>867711</v>
      </c>
      <c r="O2404">
        <v>1</v>
      </c>
    </row>
    <row r="2405" spans="1:15">
      <c r="A2405" t="s">
        <v>2431</v>
      </c>
      <c r="B2405" t="s">
        <v>38</v>
      </c>
      <c r="C2405">
        <v>0</v>
      </c>
      <c r="D2405">
        <v>4225391</v>
      </c>
      <c r="E2405">
        <v>3</v>
      </c>
      <c r="F2405">
        <v>21</v>
      </c>
      <c r="G2405">
        <v>56</v>
      </c>
      <c r="H2405">
        <v>18369682</v>
      </c>
      <c r="I2405">
        <v>666281</v>
      </c>
      <c r="J2405" t="s">
        <v>21</v>
      </c>
      <c r="K2405" t="s">
        <v>22</v>
      </c>
      <c r="L2405">
        <v>2</v>
      </c>
      <c r="M2405">
        <v>69.069999999999993</v>
      </c>
      <c r="N2405">
        <v>981228</v>
      </c>
      <c r="O2405">
        <v>1</v>
      </c>
    </row>
    <row r="2406" spans="1:15">
      <c r="A2406" t="s">
        <v>2432</v>
      </c>
      <c r="B2406" t="s">
        <v>38</v>
      </c>
      <c r="C2406">
        <v>1</v>
      </c>
      <c r="D2406">
        <v>45545815</v>
      </c>
      <c r="E2406">
        <v>1</v>
      </c>
      <c r="F2406">
        <v>22</v>
      </c>
      <c r="G2406">
        <v>951</v>
      </c>
      <c r="H2406">
        <v>11558173</v>
      </c>
      <c r="I2406">
        <v>132267</v>
      </c>
      <c r="J2406" t="s">
        <v>21</v>
      </c>
      <c r="K2406" t="s">
        <v>18</v>
      </c>
      <c r="L2406">
        <v>9</v>
      </c>
      <c r="M2406">
        <v>5.65</v>
      </c>
      <c r="N2406">
        <v>803343</v>
      </c>
      <c r="O2406">
        <v>1</v>
      </c>
    </row>
    <row r="2407" spans="1:15">
      <c r="A2407" t="s">
        <v>2433</v>
      </c>
      <c r="B2407" t="s">
        <v>20</v>
      </c>
      <c r="C2407">
        <v>8</v>
      </c>
      <c r="D2407">
        <v>19534890</v>
      </c>
      <c r="E2407">
        <v>4</v>
      </c>
      <c r="F2407">
        <v>28</v>
      </c>
      <c r="G2407">
        <v>736</v>
      </c>
      <c r="H2407">
        <v>52167578</v>
      </c>
      <c r="I2407">
        <v>160418</v>
      </c>
      <c r="J2407" t="s">
        <v>21</v>
      </c>
      <c r="K2407" t="s">
        <v>18</v>
      </c>
      <c r="L2407">
        <v>6</v>
      </c>
      <c r="M2407">
        <v>72.599999999999994</v>
      </c>
      <c r="N2407">
        <v>949247</v>
      </c>
      <c r="O2407">
        <v>1</v>
      </c>
    </row>
    <row r="2408" spans="1:15">
      <c r="A2408" t="s">
        <v>2434</v>
      </c>
      <c r="B2408" t="s">
        <v>29</v>
      </c>
      <c r="C2408">
        <v>2</v>
      </c>
      <c r="D2408">
        <v>34320487</v>
      </c>
      <c r="E2408">
        <v>2</v>
      </c>
      <c r="F2408">
        <v>11</v>
      </c>
      <c r="G2408">
        <v>214</v>
      </c>
      <c r="H2408">
        <v>79002214</v>
      </c>
      <c r="I2408">
        <v>222161</v>
      </c>
      <c r="J2408" t="s">
        <v>17</v>
      </c>
      <c r="K2408" t="s">
        <v>30</v>
      </c>
      <c r="L2408">
        <v>4</v>
      </c>
      <c r="M2408">
        <v>30.48</v>
      </c>
      <c r="N2408">
        <v>878280</v>
      </c>
      <c r="O2408">
        <v>1</v>
      </c>
    </row>
    <row r="2409" spans="1:15">
      <c r="A2409" t="s">
        <v>2435</v>
      </c>
      <c r="B2409" t="s">
        <v>24</v>
      </c>
      <c r="C2409">
        <v>14</v>
      </c>
      <c r="D2409">
        <v>29546218</v>
      </c>
      <c r="E2409">
        <v>4</v>
      </c>
      <c r="F2409">
        <v>5</v>
      </c>
      <c r="G2409">
        <v>473</v>
      </c>
      <c r="H2409">
        <v>2408121</v>
      </c>
      <c r="I2409">
        <v>625900</v>
      </c>
      <c r="J2409" t="s">
        <v>21</v>
      </c>
      <c r="K2409" t="s">
        <v>30</v>
      </c>
      <c r="L2409">
        <v>1</v>
      </c>
      <c r="M2409">
        <v>77.989999999999995</v>
      </c>
      <c r="N2409">
        <v>510894</v>
      </c>
      <c r="O2409">
        <v>1</v>
      </c>
    </row>
    <row r="2410" spans="1:15">
      <c r="A2410" t="s">
        <v>2436</v>
      </c>
      <c r="B2410" t="s">
        <v>29</v>
      </c>
      <c r="C2410">
        <v>0</v>
      </c>
      <c r="D2410">
        <v>7785069</v>
      </c>
      <c r="E2410">
        <v>2</v>
      </c>
      <c r="F2410">
        <v>10</v>
      </c>
      <c r="G2410">
        <v>324</v>
      </c>
      <c r="H2410">
        <v>44915274</v>
      </c>
      <c r="I2410">
        <v>857046</v>
      </c>
      <c r="J2410" t="s">
        <v>17</v>
      </c>
      <c r="K2410" t="s">
        <v>22</v>
      </c>
      <c r="L2410">
        <v>7</v>
      </c>
      <c r="M2410">
        <v>34.6</v>
      </c>
      <c r="N2410">
        <v>422483</v>
      </c>
      <c r="O2410">
        <v>1</v>
      </c>
    </row>
    <row r="2411" spans="1:15">
      <c r="A2411" t="s">
        <v>2437</v>
      </c>
      <c r="B2411" t="s">
        <v>38</v>
      </c>
      <c r="C2411">
        <v>3</v>
      </c>
      <c r="D2411">
        <v>5235231</v>
      </c>
      <c r="E2411">
        <v>2</v>
      </c>
      <c r="F2411">
        <v>27</v>
      </c>
      <c r="G2411">
        <v>409</v>
      </c>
      <c r="H2411">
        <v>8664001</v>
      </c>
      <c r="I2411">
        <v>926966</v>
      </c>
      <c r="J2411" t="s">
        <v>21</v>
      </c>
      <c r="K2411" t="s">
        <v>22</v>
      </c>
      <c r="L2411">
        <v>9</v>
      </c>
      <c r="M2411">
        <v>58.14</v>
      </c>
      <c r="N2411">
        <v>308088</v>
      </c>
      <c r="O2411">
        <v>1</v>
      </c>
    </row>
    <row r="2412" spans="1:15">
      <c r="A2412" t="s">
        <v>2438</v>
      </c>
      <c r="B2412" t="s">
        <v>38</v>
      </c>
      <c r="C2412">
        <v>8</v>
      </c>
      <c r="D2412">
        <v>4076248</v>
      </c>
      <c r="E2412">
        <v>3</v>
      </c>
      <c r="F2412">
        <v>1</v>
      </c>
      <c r="G2412">
        <v>241</v>
      </c>
      <c r="H2412">
        <v>73302275</v>
      </c>
      <c r="I2412">
        <v>79807</v>
      </c>
      <c r="J2412" t="s">
        <v>21</v>
      </c>
      <c r="K2412" t="s">
        <v>22</v>
      </c>
      <c r="L2412">
        <v>4</v>
      </c>
      <c r="M2412">
        <v>49.5</v>
      </c>
      <c r="N2412">
        <v>700882</v>
      </c>
      <c r="O2412">
        <v>1</v>
      </c>
    </row>
    <row r="2413" spans="1:15">
      <c r="A2413" t="s">
        <v>2439</v>
      </c>
      <c r="B2413" t="s">
        <v>29</v>
      </c>
      <c r="C2413">
        <v>13</v>
      </c>
      <c r="D2413">
        <v>26141721</v>
      </c>
      <c r="E2413">
        <v>4</v>
      </c>
      <c r="F2413">
        <v>23</v>
      </c>
      <c r="G2413">
        <v>992</v>
      </c>
      <c r="H2413">
        <v>39931827</v>
      </c>
      <c r="I2413">
        <v>206635</v>
      </c>
      <c r="J2413" t="s">
        <v>17</v>
      </c>
      <c r="K2413" t="s">
        <v>18</v>
      </c>
      <c r="L2413">
        <v>8</v>
      </c>
      <c r="M2413">
        <v>46.36</v>
      </c>
      <c r="N2413">
        <v>923611</v>
      </c>
      <c r="O2413">
        <v>1</v>
      </c>
    </row>
    <row r="2414" spans="1:15">
      <c r="A2414" t="s">
        <v>2440</v>
      </c>
      <c r="B2414" t="s">
        <v>27</v>
      </c>
      <c r="C2414">
        <v>4</v>
      </c>
      <c r="D2414">
        <v>31526174</v>
      </c>
      <c r="E2414">
        <v>1</v>
      </c>
      <c r="F2414">
        <v>19</v>
      </c>
      <c r="G2414">
        <v>362</v>
      </c>
      <c r="H2414">
        <v>83938930</v>
      </c>
      <c r="I2414">
        <v>970023</v>
      </c>
      <c r="J2414" t="s">
        <v>21</v>
      </c>
      <c r="K2414" t="s">
        <v>30</v>
      </c>
      <c r="L2414">
        <v>7</v>
      </c>
      <c r="M2414">
        <v>23.47</v>
      </c>
      <c r="N2414">
        <v>286887</v>
      </c>
      <c r="O2414">
        <v>1</v>
      </c>
    </row>
    <row r="2415" spans="1:15">
      <c r="A2415" t="s">
        <v>2441</v>
      </c>
      <c r="B2415" t="s">
        <v>38</v>
      </c>
      <c r="C2415">
        <v>12</v>
      </c>
      <c r="D2415">
        <v>14661939</v>
      </c>
      <c r="E2415">
        <v>4</v>
      </c>
      <c r="F2415">
        <v>11</v>
      </c>
      <c r="G2415">
        <v>174</v>
      </c>
      <c r="H2415">
        <v>11634120</v>
      </c>
      <c r="I2415">
        <v>167902</v>
      </c>
      <c r="J2415" t="s">
        <v>21</v>
      </c>
      <c r="K2415" t="s">
        <v>18</v>
      </c>
      <c r="L2415">
        <v>3</v>
      </c>
      <c r="M2415">
        <v>64.760000000000005</v>
      </c>
      <c r="N2415">
        <v>594418</v>
      </c>
      <c r="O2415">
        <v>1</v>
      </c>
    </row>
    <row r="2416" spans="1:15">
      <c r="A2416" t="s">
        <v>2442</v>
      </c>
      <c r="B2416" t="s">
        <v>38</v>
      </c>
      <c r="C2416">
        <v>4</v>
      </c>
      <c r="D2416">
        <v>11130989</v>
      </c>
      <c r="E2416">
        <v>2</v>
      </c>
      <c r="F2416">
        <v>16</v>
      </c>
      <c r="G2416">
        <v>700</v>
      </c>
      <c r="H2416">
        <v>86677719</v>
      </c>
      <c r="I2416">
        <v>917905</v>
      </c>
      <c r="J2416" t="s">
        <v>17</v>
      </c>
      <c r="K2416" t="s">
        <v>18</v>
      </c>
      <c r="L2416">
        <v>7</v>
      </c>
      <c r="M2416">
        <v>98.94</v>
      </c>
      <c r="N2416">
        <v>478320</v>
      </c>
      <c r="O2416">
        <v>1</v>
      </c>
    </row>
    <row r="2417" spans="1:15">
      <c r="A2417" t="s">
        <v>2443</v>
      </c>
      <c r="B2417" t="s">
        <v>32</v>
      </c>
      <c r="C2417">
        <v>2</v>
      </c>
      <c r="D2417">
        <v>7430014</v>
      </c>
      <c r="E2417">
        <v>4</v>
      </c>
      <c r="F2417">
        <v>17</v>
      </c>
      <c r="G2417">
        <v>228</v>
      </c>
      <c r="H2417">
        <v>87805960</v>
      </c>
      <c r="I2417">
        <v>150708</v>
      </c>
      <c r="J2417" t="s">
        <v>25</v>
      </c>
      <c r="K2417" t="s">
        <v>30</v>
      </c>
      <c r="L2417">
        <v>4</v>
      </c>
      <c r="M2417">
        <v>83.97</v>
      </c>
      <c r="N2417">
        <v>429125</v>
      </c>
      <c r="O2417">
        <v>1</v>
      </c>
    </row>
    <row r="2418" spans="1:15">
      <c r="A2418" t="s">
        <v>2444</v>
      </c>
      <c r="B2418" t="s">
        <v>32</v>
      </c>
      <c r="C2418">
        <v>8</v>
      </c>
      <c r="D2418">
        <v>4612520</v>
      </c>
      <c r="E2418">
        <v>4</v>
      </c>
      <c r="F2418">
        <v>21</v>
      </c>
      <c r="G2418">
        <v>970</v>
      </c>
      <c r="H2418">
        <v>33895487</v>
      </c>
      <c r="I2418">
        <v>172424</v>
      </c>
      <c r="J2418" t="s">
        <v>25</v>
      </c>
      <c r="K2418" t="s">
        <v>22</v>
      </c>
      <c r="L2418">
        <v>3</v>
      </c>
      <c r="M2418">
        <v>87.56</v>
      </c>
      <c r="N2418">
        <v>736743</v>
      </c>
      <c r="O2418">
        <v>1</v>
      </c>
    </row>
    <row r="2419" spans="1:15">
      <c r="A2419" t="s">
        <v>2445</v>
      </c>
      <c r="B2419" t="s">
        <v>16</v>
      </c>
      <c r="C2419">
        <v>13</v>
      </c>
      <c r="D2419">
        <v>29581790</v>
      </c>
      <c r="E2419">
        <v>2</v>
      </c>
      <c r="F2419">
        <v>0</v>
      </c>
      <c r="G2419">
        <v>605</v>
      </c>
      <c r="H2419">
        <v>74793227</v>
      </c>
      <c r="I2419">
        <v>953451</v>
      </c>
      <c r="J2419" t="s">
        <v>17</v>
      </c>
      <c r="K2419" t="s">
        <v>30</v>
      </c>
      <c r="L2419">
        <v>9</v>
      </c>
      <c r="M2419">
        <v>43.77</v>
      </c>
      <c r="N2419">
        <v>13904</v>
      </c>
      <c r="O2419">
        <v>1</v>
      </c>
    </row>
    <row r="2420" spans="1:15">
      <c r="A2420" t="s">
        <v>2446</v>
      </c>
      <c r="B2420" t="s">
        <v>27</v>
      </c>
      <c r="C2420">
        <v>5</v>
      </c>
      <c r="D2420">
        <v>30124984</v>
      </c>
      <c r="E2420">
        <v>4</v>
      </c>
      <c r="F2420">
        <v>7</v>
      </c>
      <c r="G2420">
        <v>682</v>
      </c>
      <c r="H2420">
        <v>26624156</v>
      </c>
      <c r="I2420">
        <v>176329</v>
      </c>
      <c r="J2420" t="s">
        <v>21</v>
      </c>
      <c r="K2420" t="s">
        <v>30</v>
      </c>
      <c r="L2420">
        <v>5</v>
      </c>
      <c r="M2420">
        <v>67.77</v>
      </c>
      <c r="N2420">
        <v>268412</v>
      </c>
      <c r="O2420">
        <v>1</v>
      </c>
    </row>
    <row r="2421" spans="1:15">
      <c r="A2421" t="s">
        <v>2447</v>
      </c>
      <c r="B2421" t="s">
        <v>16</v>
      </c>
      <c r="C2421">
        <v>10</v>
      </c>
      <c r="D2421">
        <v>45330817</v>
      </c>
      <c r="E2421">
        <v>1</v>
      </c>
      <c r="F2421">
        <v>17</v>
      </c>
      <c r="G2421">
        <v>637</v>
      </c>
      <c r="H2421">
        <v>21846301</v>
      </c>
      <c r="I2421">
        <v>68339</v>
      </c>
      <c r="J2421" t="s">
        <v>21</v>
      </c>
      <c r="K2421" t="s">
        <v>30</v>
      </c>
      <c r="L2421">
        <v>2</v>
      </c>
      <c r="M2421">
        <v>58.82</v>
      </c>
      <c r="N2421">
        <v>556970</v>
      </c>
      <c r="O2421">
        <v>1</v>
      </c>
    </row>
    <row r="2422" spans="1:15">
      <c r="A2422" t="s">
        <v>2448</v>
      </c>
      <c r="B2422" t="s">
        <v>24</v>
      </c>
      <c r="C2422">
        <v>6</v>
      </c>
      <c r="D2422">
        <v>27443832</v>
      </c>
      <c r="E2422">
        <v>2</v>
      </c>
      <c r="F2422">
        <v>2</v>
      </c>
      <c r="G2422">
        <v>646</v>
      </c>
      <c r="H2422">
        <v>53691594</v>
      </c>
      <c r="I2422">
        <v>757773</v>
      </c>
      <c r="J2422" t="s">
        <v>21</v>
      </c>
      <c r="K2422" t="s">
        <v>30</v>
      </c>
      <c r="L2422">
        <v>1</v>
      </c>
      <c r="M2422">
        <v>15.63</v>
      </c>
      <c r="N2422">
        <v>789157</v>
      </c>
      <c r="O2422">
        <v>1</v>
      </c>
    </row>
    <row r="2423" spans="1:15">
      <c r="A2423" t="s">
        <v>2449</v>
      </c>
      <c r="B2423" t="s">
        <v>24</v>
      </c>
      <c r="C2423">
        <v>14</v>
      </c>
      <c r="D2423">
        <v>14974745</v>
      </c>
      <c r="E2423">
        <v>1</v>
      </c>
      <c r="F2423">
        <v>18</v>
      </c>
      <c r="G2423">
        <v>967</v>
      </c>
      <c r="H2423">
        <v>72601640</v>
      </c>
      <c r="I2423">
        <v>278717</v>
      </c>
      <c r="J2423" t="s">
        <v>25</v>
      </c>
      <c r="K2423" t="s">
        <v>22</v>
      </c>
      <c r="L2423">
        <v>2</v>
      </c>
      <c r="M2423">
        <v>80.319999999999993</v>
      </c>
      <c r="N2423">
        <v>916135</v>
      </c>
      <c r="O2423">
        <v>1</v>
      </c>
    </row>
    <row r="2424" spans="1:15">
      <c r="A2424" t="s">
        <v>2450</v>
      </c>
      <c r="B2424" t="s">
        <v>16</v>
      </c>
      <c r="C2424">
        <v>8</v>
      </c>
      <c r="D2424">
        <v>7841883</v>
      </c>
      <c r="E2424">
        <v>4</v>
      </c>
      <c r="F2424">
        <v>2</v>
      </c>
      <c r="G2424">
        <v>303</v>
      </c>
      <c r="H2424">
        <v>20049012</v>
      </c>
      <c r="I2424">
        <v>870007</v>
      </c>
      <c r="J2424" t="s">
        <v>25</v>
      </c>
      <c r="K2424" t="s">
        <v>22</v>
      </c>
      <c r="L2424">
        <v>7</v>
      </c>
      <c r="M2424">
        <v>47.57</v>
      </c>
      <c r="N2424">
        <v>899782</v>
      </c>
      <c r="O2424">
        <v>1</v>
      </c>
    </row>
    <row r="2425" spans="1:15">
      <c r="A2425" t="s">
        <v>2451</v>
      </c>
      <c r="B2425" t="s">
        <v>20</v>
      </c>
      <c r="C2425">
        <v>10</v>
      </c>
      <c r="D2425">
        <v>38018062</v>
      </c>
      <c r="E2425">
        <v>4</v>
      </c>
      <c r="F2425">
        <v>4</v>
      </c>
      <c r="G2425">
        <v>850</v>
      </c>
      <c r="H2425">
        <v>53197134</v>
      </c>
      <c r="I2425">
        <v>15590</v>
      </c>
      <c r="J2425" t="s">
        <v>25</v>
      </c>
      <c r="K2425" t="s">
        <v>18</v>
      </c>
      <c r="L2425">
        <v>2</v>
      </c>
      <c r="M2425">
        <v>12.56</v>
      </c>
      <c r="N2425">
        <v>358323</v>
      </c>
      <c r="O2425">
        <v>1</v>
      </c>
    </row>
    <row r="2426" spans="1:15">
      <c r="A2426" t="s">
        <v>2452</v>
      </c>
      <c r="B2426" t="s">
        <v>27</v>
      </c>
      <c r="C2426">
        <v>5</v>
      </c>
      <c r="D2426">
        <v>14748277</v>
      </c>
      <c r="E2426">
        <v>3</v>
      </c>
      <c r="F2426">
        <v>16</v>
      </c>
      <c r="G2426">
        <v>634</v>
      </c>
      <c r="H2426">
        <v>78207530</v>
      </c>
      <c r="I2426">
        <v>20091</v>
      </c>
      <c r="J2426" t="s">
        <v>21</v>
      </c>
      <c r="K2426" t="s">
        <v>22</v>
      </c>
      <c r="L2426">
        <v>4</v>
      </c>
      <c r="M2426">
        <v>5.1100000000000003</v>
      </c>
      <c r="N2426">
        <v>119656</v>
      </c>
      <c r="O2426">
        <v>1</v>
      </c>
    </row>
    <row r="2427" spans="1:15">
      <c r="A2427" t="s">
        <v>2453</v>
      </c>
      <c r="B2427" t="s">
        <v>29</v>
      </c>
      <c r="C2427">
        <v>9</v>
      </c>
      <c r="D2427">
        <v>23576980</v>
      </c>
      <c r="E2427">
        <v>3</v>
      </c>
      <c r="F2427">
        <v>27</v>
      </c>
      <c r="G2427">
        <v>4</v>
      </c>
      <c r="H2427">
        <v>47733039</v>
      </c>
      <c r="I2427">
        <v>552662</v>
      </c>
      <c r="J2427" t="s">
        <v>25</v>
      </c>
      <c r="K2427" t="s">
        <v>30</v>
      </c>
      <c r="L2427">
        <v>3</v>
      </c>
      <c r="M2427">
        <v>68.52</v>
      </c>
      <c r="N2427">
        <v>671200</v>
      </c>
      <c r="O2427">
        <v>1</v>
      </c>
    </row>
    <row r="2428" spans="1:15">
      <c r="A2428" t="s">
        <v>2454</v>
      </c>
      <c r="B2428" t="s">
        <v>38</v>
      </c>
      <c r="C2428">
        <v>4</v>
      </c>
      <c r="D2428">
        <v>32890769</v>
      </c>
      <c r="E2428">
        <v>4</v>
      </c>
      <c r="F2428">
        <v>14</v>
      </c>
      <c r="G2428">
        <v>117</v>
      </c>
      <c r="H2428">
        <v>76217567</v>
      </c>
      <c r="I2428">
        <v>151982</v>
      </c>
      <c r="J2428" t="s">
        <v>21</v>
      </c>
      <c r="K2428" t="s">
        <v>30</v>
      </c>
      <c r="L2428">
        <v>2</v>
      </c>
      <c r="M2428">
        <v>79.31</v>
      </c>
      <c r="N2428">
        <v>848394</v>
      </c>
      <c r="O2428">
        <v>1</v>
      </c>
    </row>
    <row r="2429" spans="1:15">
      <c r="A2429" t="s">
        <v>2455</v>
      </c>
      <c r="B2429" t="s">
        <v>24</v>
      </c>
      <c r="C2429">
        <v>12</v>
      </c>
      <c r="D2429">
        <v>39154748</v>
      </c>
      <c r="E2429">
        <v>4</v>
      </c>
      <c r="F2429">
        <v>14</v>
      </c>
      <c r="G2429">
        <v>294</v>
      </c>
      <c r="H2429">
        <v>79201986</v>
      </c>
      <c r="I2429">
        <v>460223</v>
      </c>
      <c r="J2429" t="s">
        <v>25</v>
      </c>
      <c r="K2429" t="s">
        <v>30</v>
      </c>
      <c r="L2429">
        <v>3</v>
      </c>
      <c r="M2429">
        <v>31.49</v>
      </c>
      <c r="N2429">
        <v>371273</v>
      </c>
      <c r="O2429">
        <v>1</v>
      </c>
    </row>
    <row r="2430" spans="1:15">
      <c r="A2430" t="s">
        <v>2456</v>
      </c>
      <c r="B2430" t="s">
        <v>24</v>
      </c>
      <c r="C2430">
        <v>3</v>
      </c>
      <c r="D2430">
        <v>32472865</v>
      </c>
      <c r="E2430">
        <v>1</v>
      </c>
      <c r="F2430">
        <v>18</v>
      </c>
      <c r="G2430">
        <v>675</v>
      </c>
      <c r="H2430">
        <v>45492500</v>
      </c>
      <c r="I2430">
        <v>581401</v>
      </c>
      <c r="J2430" t="s">
        <v>17</v>
      </c>
      <c r="K2430" t="s">
        <v>30</v>
      </c>
      <c r="L2430">
        <v>7</v>
      </c>
      <c r="M2430">
        <v>42.64</v>
      </c>
      <c r="N2430">
        <v>805014</v>
      </c>
      <c r="O2430">
        <v>1</v>
      </c>
    </row>
    <row r="2431" spans="1:15">
      <c r="A2431" t="s">
        <v>2457</v>
      </c>
      <c r="B2431" t="s">
        <v>24</v>
      </c>
      <c r="C2431">
        <v>1</v>
      </c>
      <c r="D2431">
        <v>37475270</v>
      </c>
      <c r="E2431">
        <v>1</v>
      </c>
      <c r="F2431">
        <v>9</v>
      </c>
      <c r="G2431">
        <v>992</v>
      </c>
      <c r="H2431">
        <v>44147579</v>
      </c>
      <c r="I2431">
        <v>292836</v>
      </c>
      <c r="J2431" t="s">
        <v>17</v>
      </c>
      <c r="K2431" t="s">
        <v>30</v>
      </c>
      <c r="L2431">
        <v>1</v>
      </c>
      <c r="M2431">
        <v>43.07</v>
      </c>
      <c r="N2431">
        <v>189907</v>
      </c>
      <c r="O2431">
        <v>1</v>
      </c>
    </row>
    <row r="2432" spans="1:15">
      <c r="A2432" t="s">
        <v>2458</v>
      </c>
      <c r="B2432" t="s">
        <v>29</v>
      </c>
      <c r="C2432">
        <v>3</v>
      </c>
      <c r="D2432">
        <v>47511579</v>
      </c>
      <c r="E2432">
        <v>3</v>
      </c>
      <c r="F2432">
        <v>10</v>
      </c>
      <c r="G2432">
        <v>429</v>
      </c>
      <c r="H2432">
        <v>38881169</v>
      </c>
      <c r="I2432">
        <v>685735</v>
      </c>
      <c r="J2432" t="s">
        <v>25</v>
      </c>
      <c r="K2432" t="s">
        <v>30</v>
      </c>
      <c r="L2432">
        <v>4</v>
      </c>
      <c r="M2432">
        <v>21.18</v>
      </c>
      <c r="N2432">
        <v>216412</v>
      </c>
      <c r="O2432">
        <v>1</v>
      </c>
    </row>
    <row r="2433" spans="1:15">
      <c r="A2433" t="s">
        <v>2459</v>
      </c>
      <c r="B2433" t="s">
        <v>16</v>
      </c>
      <c r="C2433">
        <v>10</v>
      </c>
      <c r="D2433">
        <v>46189886</v>
      </c>
      <c r="E2433">
        <v>3</v>
      </c>
      <c r="F2433">
        <v>9</v>
      </c>
      <c r="G2433">
        <v>284</v>
      </c>
      <c r="H2433">
        <v>32866863</v>
      </c>
      <c r="I2433">
        <v>952892</v>
      </c>
      <c r="J2433" t="s">
        <v>21</v>
      </c>
      <c r="K2433" t="s">
        <v>22</v>
      </c>
      <c r="L2433">
        <v>8</v>
      </c>
      <c r="M2433">
        <v>5.79</v>
      </c>
      <c r="N2433">
        <v>327935</v>
      </c>
      <c r="O2433">
        <v>1</v>
      </c>
    </row>
    <row r="2434" spans="1:15">
      <c r="A2434" t="s">
        <v>2460</v>
      </c>
      <c r="B2434" t="s">
        <v>16</v>
      </c>
      <c r="C2434">
        <v>1</v>
      </c>
      <c r="D2434">
        <v>46981072</v>
      </c>
      <c r="E2434">
        <v>1</v>
      </c>
      <c r="F2434">
        <v>19</v>
      </c>
      <c r="G2434">
        <v>155</v>
      </c>
      <c r="H2434">
        <v>29940645</v>
      </c>
      <c r="I2434">
        <v>144827</v>
      </c>
      <c r="J2434" t="s">
        <v>21</v>
      </c>
      <c r="K2434" t="s">
        <v>22</v>
      </c>
      <c r="L2434">
        <v>6</v>
      </c>
      <c r="M2434">
        <v>96.02</v>
      </c>
      <c r="N2434">
        <v>88195</v>
      </c>
      <c r="O2434">
        <v>1</v>
      </c>
    </row>
    <row r="2435" spans="1:15">
      <c r="A2435" t="s">
        <v>2461</v>
      </c>
      <c r="B2435" t="s">
        <v>27</v>
      </c>
      <c r="C2435">
        <v>7</v>
      </c>
      <c r="D2435">
        <v>27748239</v>
      </c>
      <c r="E2435">
        <v>3</v>
      </c>
      <c r="F2435">
        <v>27</v>
      </c>
      <c r="G2435">
        <v>769</v>
      </c>
      <c r="H2435">
        <v>26476308</v>
      </c>
      <c r="I2435">
        <v>874053</v>
      </c>
      <c r="J2435" t="s">
        <v>21</v>
      </c>
      <c r="K2435" t="s">
        <v>30</v>
      </c>
      <c r="L2435">
        <v>6</v>
      </c>
      <c r="M2435">
        <v>29.53</v>
      </c>
      <c r="N2435">
        <v>637431</v>
      </c>
      <c r="O2435">
        <v>1</v>
      </c>
    </row>
    <row r="2436" spans="1:15">
      <c r="A2436" t="s">
        <v>2462</v>
      </c>
      <c r="B2436" t="s">
        <v>20</v>
      </c>
      <c r="C2436">
        <v>14</v>
      </c>
      <c r="D2436">
        <v>20336605</v>
      </c>
      <c r="E2436">
        <v>1</v>
      </c>
      <c r="F2436">
        <v>22</v>
      </c>
      <c r="G2436">
        <v>469</v>
      </c>
      <c r="H2436">
        <v>23348904</v>
      </c>
      <c r="I2436">
        <v>165682</v>
      </c>
      <c r="J2436" t="s">
        <v>17</v>
      </c>
      <c r="K2436" t="s">
        <v>30</v>
      </c>
      <c r="L2436">
        <v>5</v>
      </c>
      <c r="M2436">
        <v>68.91</v>
      </c>
      <c r="N2436">
        <v>228461</v>
      </c>
      <c r="O2436">
        <v>1</v>
      </c>
    </row>
    <row r="2437" spans="1:15">
      <c r="A2437" t="s">
        <v>2463</v>
      </c>
      <c r="B2437" t="s">
        <v>20</v>
      </c>
      <c r="C2437">
        <v>13</v>
      </c>
      <c r="D2437">
        <v>7838745</v>
      </c>
      <c r="E2437">
        <v>2</v>
      </c>
      <c r="F2437">
        <v>13</v>
      </c>
      <c r="G2437">
        <v>762</v>
      </c>
      <c r="H2437">
        <v>5930765</v>
      </c>
      <c r="I2437">
        <v>445808</v>
      </c>
      <c r="J2437" t="s">
        <v>25</v>
      </c>
      <c r="K2437" t="s">
        <v>18</v>
      </c>
      <c r="L2437">
        <v>6</v>
      </c>
      <c r="M2437">
        <v>15.87</v>
      </c>
      <c r="N2437">
        <v>288315</v>
      </c>
      <c r="O2437">
        <v>1</v>
      </c>
    </row>
    <row r="2438" spans="1:15">
      <c r="A2438" t="s">
        <v>2464</v>
      </c>
      <c r="B2438" t="s">
        <v>32</v>
      </c>
      <c r="C2438">
        <v>7</v>
      </c>
      <c r="D2438">
        <v>27333890</v>
      </c>
      <c r="E2438">
        <v>4</v>
      </c>
      <c r="F2438">
        <v>12</v>
      </c>
      <c r="G2438">
        <v>570</v>
      </c>
      <c r="H2438">
        <v>57335806</v>
      </c>
      <c r="I2438">
        <v>93312</v>
      </c>
      <c r="J2438" t="s">
        <v>25</v>
      </c>
      <c r="K2438" t="s">
        <v>18</v>
      </c>
      <c r="L2438">
        <v>3</v>
      </c>
      <c r="M2438">
        <v>70.86</v>
      </c>
      <c r="N2438">
        <v>170616</v>
      </c>
      <c r="O2438">
        <v>1</v>
      </c>
    </row>
    <row r="2439" spans="1:15">
      <c r="A2439" t="s">
        <v>2465</v>
      </c>
      <c r="B2439" t="s">
        <v>32</v>
      </c>
      <c r="C2439">
        <v>11</v>
      </c>
      <c r="D2439">
        <v>18079400</v>
      </c>
      <c r="E2439">
        <v>3</v>
      </c>
      <c r="F2439">
        <v>25</v>
      </c>
      <c r="G2439">
        <v>929</v>
      </c>
      <c r="H2439">
        <v>10795278</v>
      </c>
      <c r="I2439">
        <v>485847</v>
      </c>
      <c r="J2439" t="s">
        <v>17</v>
      </c>
      <c r="K2439" t="s">
        <v>18</v>
      </c>
      <c r="L2439">
        <v>9</v>
      </c>
      <c r="M2439">
        <v>86.64</v>
      </c>
      <c r="N2439">
        <v>513232</v>
      </c>
      <c r="O2439">
        <v>1</v>
      </c>
    </row>
    <row r="2440" spans="1:15">
      <c r="A2440" t="s">
        <v>2466</v>
      </c>
      <c r="B2440" t="s">
        <v>29</v>
      </c>
      <c r="C2440">
        <v>9</v>
      </c>
      <c r="D2440">
        <v>6841829</v>
      </c>
      <c r="E2440">
        <v>4</v>
      </c>
      <c r="F2440">
        <v>15</v>
      </c>
      <c r="G2440">
        <v>218</v>
      </c>
      <c r="H2440">
        <v>54905086</v>
      </c>
      <c r="I2440">
        <v>405950</v>
      </c>
      <c r="J2440" t="s">
        <v>25</v>
      </c>
      <c r="K2440" t="s">
        <v>22</v>
      </c>
      <c r="L2440">
        <v>4</v>
      </c>
      <c r="M2440">
        <v>45.11</v>
      </c>
      <c r="N2440">
        <v>62865</v>
      </c>
      <c r="O2440">
        <v>1</v>
      </c>
    </row>
    <row r="2441" spans="1:15">
      <c r="A2441" t="s">
        <v>2467</v>
      </c>
      <c r="B2441" t="s">
        <v>20</v>
      </c>
      <c r="C2441">
        <v>11</v>
      </c>
      <c r="D2441">
        <v>7406695</v>
      </c>
      <c r="E2441">
        <v>4</v>
      </c>
      <c r="F2441">
        <v>1</v>
      </c>
      <c r="G2441">
        <v>978</v>
      </c>
      <c r="H2441">
        <v>33910370</v>
      </c>
      <c r="I2441">
        <v>588377</v>
      </c>
      <c r="J2441" t="s">
        <v>21</v>
      </c>
      <c r="K2441" t="s">
        <v>30</v>
      </c>
      <c r="L2441">
        <v>6</v>
      </c>
      <c r="M2441">
        <v>95.85</v>
      </c>
      <c r="N2441">
        <v>540392</v>
      </c>
      <c r="O2441">
        <v>1</v>
      </c>
    </row>
    <row r="2442" spans="1:15">
      <c r="A2442" t="s">
        <v>2468</v>
      </c>
      <c r="B2442" t="s">
        <v>27</v>
      </c>
      <c r="C2442">
        <v>3</v>
      </c>
      <c r="D2442">
        <v>32685281</v>
      </c>
      <c r="E2442">
        <v>2</v>
      </c>
      <c r="F2442">
        <v>7</v>
      </c>
      <c r="G2442">
        <v>289</v>
      </c>
      <c r="H2442">
        <v>9608036</v>
      </c>
      <c r="I2442">
        <v>472898</v>
      </c>
      <c r="J2442" t="s">
        <v>25</v>
      </c>
      <c r="K2442" t="s">
        <v>18</v>
      </c>
      <c r="L2442">
        <v>2</v>
      </c>
      <c r="M2442">
        <v>23.69</v>
      </c>
      <c r="N2442">
        <v>948225</v>
      </c>
      <c r="O2442">
        <v>1</v>
      </c>
    </row>
    <row r="2443" spans="1:15">
      <c r="A2443" t="s">
        <v>2469</v>
      </c>
      <c r="B2443" t="s">
        <v>29</v>
      </c>
      <c r="C2443">
        <v>4</v>
      </c>
      <c r="D2443">
        <v>15755201</v>
      </c>
      <c r="E2443">
        <v>3</v>
      </c>
      <c r="F2443">
        <v>3</v>
      </c>
      <c r="G2443">
        <v>295</v>
      </c>
      <c r="H2443">
        <v>23267976</v>
      </c>
      <c r="I2443">
        <v>562078</v>
      </c>
      <c r="J2443" t="s">
        <v>25</v>
      </c>
      <c r="K2443" t="s">
        <v>30</v>
      </c>
      <c r="L2443">
        <v>7</v>
      </c>
      <c r="M2443">
        <v>97</v>
      </c>
      <c r="N2443">
        <v>370603</v>
      </c>
      <c r="O2443">
        <v>1</v>
      </c>
    </row>
    <row r="2444" spans="1:15">
      <c r="A2444" t="s">
        <v>2470</v>
      </c>
      <c r="B2444" t="s">
        <v>27</v>
      </c>
      <c r="C2444">
        <v>12</v>
      </c>
      <c r="D2444">
        <v>18912996</v>
      </c>
      <c r="E2444">
        <v>4</v>
      </c>
      <c r="F2444">
        <v>4</v>
      </c>
      <c r="G2444">
        <v>788</v>
      </c>
      <c r="H2444">
        <v>90021156</v>
      </c>
      <c r="I2444">
        <v>659859</v>
      </c>
      <c r="J2444" t="s">
        <v>25</v>
      </c>
      <c r="K2444" t="s">
        <v>30</v>
      </c>
      <c r="L2444">
        <v>6</v>
      </c>
      <c r="M2444">
        <v>77.010000000000005</v>
      </c>
      <c r="N2444">
        <v>318491</v>
      </c>
      <c r="O2444">
        <v>1</v>
      </c>
    </row>
    <row r="2445" spans="1:15">
      <c r="A2445" t="s">
        <v>2471</v>
      </c>
      <c r="B2445" t="s">
        <v>24</v>
      </c>
      <c r="C2445">
        <v>0</v>
      </c>
      <c r="D2445">
        <v>44309912</v>
      </c>
      <c r="E2445">
        <v>3</v>
      </c>
      <c r="F2445">
        <v>12</v>
      </c>
      <c r="G2445">
        <v>761</v>
      </c>
      <c r="H2445">
        <v>32004365</v>
      </c>
      <c r="I2445">
        <v>7258</v>
      </c>
      <c r="J2445" t="s">
        <v>21</v>
      </c>
      <c r="K2445" t="s">
        <v>22</v>
      </c>
      <c r="L2445">
        <v>7</v>
      </c>
      <c r="M2445">
        <v>48.55</v>
      </c>
      <c r="N2445">
        <v>508244</v>
      </c>
      <c r="O2445">
        <v>1</v>
      </c>
    </row>
    <row r="2446" spans="1:15">
      <c r="A2446" t="s">
        <v>2472</v>
      </c>
      <c r="B2446" t="s">
        <v>38</v>
      </c>
      <c r="C2446">
        <v>0</v>
      </c>
      <c r="D2446">
        <v>45424488</v>
      </c>
      <c r="E2446">
        <v>2</v>
      </c>
      <c r="F2446">
        <v>22</v>
      </c>
      <c r="G2446">
        <v>50</v>
      </c>
      <c r="H2446">
        <v>67566595</v>
      </c>
      <c r="I2446">
        <v>877908</v>
      </c>
      <c r="J2446" t="s">
        <v>17</v>
      </c>
      <c r="K2446" t="s">
        <v>22</v>
      </c>
      <c r="L2446">
        <v>4</v>
      </c>
      <c r="M2446">
        <v>40.869999999999997</v>
      </c>
      <c r="N2446">
        <v>609557</v>
      </c>
      <c r="O2446">
        <v>1</v>
      </c>
    </row>
    <row r="2447" spans="1:15">
      <c r="A2447" t="s">
        <v>2473</v>
      </c>
      <c r="B2447" t="s">
        <v>16</v>
      </c>
      <c r="C2447">
        <v>13</v>
      </c>
      <c r="D2447">
        <v>31848317</v>
      </c>
      <c r="E2447">
        <v>1</v>
      </c>
      <c r="F2447">
        <v>21</v>
      </c>
      <c r="G2447">
        <v>719</v>
      </c>
      <c r="H2447">
        <v>61163482</v>
      </c>
      <c r="I2447">
        <v>556356</v>
      </c>
      <c r="J2447" t="s">
        <v>21</v>
      </c>
      <c r="K2447" t="s">
        <v>30</v>
      </c>
      <c r="L2447">
        <v>2</v>
      </c>
      <c r="M2447">
        <v>46.61</v>
      </c>
      <c r="N2447">
        <v>575934</v>
      </c>
      <c r="O2447">
        <v>1</v>
      </c>
    </row>
    <row r="2448" spans="1:15">
      <c r="A2448" t="s">
        <v>2474</v>
      </c>
      <c r="B2448" t="s">
        <v>32</v>
      </c>
      <c r="C2448">
        <v>0</v>
      </c>
      <c r="D2448">
        <v>26660336</v>
      </c>
      <c r="E2448">
        <v>4</v>
      </c>
      <c r="F2448">
        <v>21</v>
      </c>
      <c r="G2448">
        <v>787</v>
      </c>
      <c r="H2448">
        <v>59693541</v>
      </c>
      <c r="I2448">
        <v>84923</v>
      </c>
      <c r="J2448" t="s">
        <v>17</v>
      </c>
      <c r="K2448" t="s">
        <v>18</v>
      </c>
      <c r="L2448">
        <v>6</v>
      </c>
      <c r="M2448">
        <v>24.97</v>
      </c>
      <c r="N2448">
        <v>99002</v>
      </c>
      <c r="O2448">
        <v>1</v>
      </c>
    </row>
    <row r="2449" spans="1:15">
      <c r="A2449" t="s">
        <v>2475</v>
      </c>
      <c r="B2449" t="s">
        <v>38</v>
      </c>
      <c r="C2449">
        <v>4</v>
      </c>
      <c r="D2449">
        <v>42413674</v>
      </c>
      <c r="E2449">
        <v>4</v>
      </c>
      <c r="F2449">
        <v>20</v>
      </c>
      <c r="G2449">
        <v>552</v>
      </c>
      <c r="H2449">
        <v>30200591</v>
      </c>
      <c r="I2449">
        <v>296513</v>
      </c>
      <c r="J2449" t="s">
        <v>17</v>
      </c>
      <c r="K2449" t="s">
        <v>30</v>
      </c>
      <c r="L2449">
        <v>5</v>
      </c>
      <c r="M2449">
        <v>1.24</v>
      </c>
      <c r="N2449">
        <v>916031</v>
      </c>
      <c r="O2449">
        <v>1</v>
      </c>
    </row>
    <row r="2450" spans="1:15">
      <c r="A2450" t="s">
        <v>2476</v>
      </c>
      <c r="B2450" t="s">
        <v>27</v>
      </c>
      <c r="C2450">
        <v>1</v>
      </c>
      <c r="D2450">
        <v>10017065</v>
      </c>
      <c r="E2450">
        <v>3</v>
      </c>
      <c r="F2450">
        <v>9</v>
      </c>
      <c r="G2450">
        <v>765</v>
      </c>
      <c r="H2450">
        <v>80114855</v>
      </c>
      <c r="I2450">
        <v>772926</v>
      </c>
      <c r="J2450" t="s">
        <v>21</v>
      </c>
      <c r="K2450" t="s">
        <v>18</v>
      </c>
      <c r="L2450">
        <v>5</v>
      </c>
      <c r="M2450">
        <v>43.97</v>
      </c>
      <c r="N2450">
        <v>789299</v>
      </c>
      <c r="O2450">
        <v>1</v>
      </c>
    </row>
    <row r="2451" spans="1:15">
      <c r="A2451" t="s">
        <v>2477</v>
      </c>
      <c r="B2451" t="s">
        <v>20</v>
      </c>
      <c r="C2451">
        <v>4</v>
      </c>
      <c r="D2451">
        <v>46700608</v>
      </c>
      <c r="E2451">
        <v>3</v>
      </c>
      <c r="F2451">
        <v>16</v>
      </c>
      <c r="G2451">
        <v>974</v>
      </c>
      <c r="H2451">
        <v>68372515</v>
      </c>
      <c r="I2451">
        <v>213714</v>
      </c>
      <c r="J2451" t="s">
        <v>17</v>
      </c>
      <c r="K2451" t="s">
        <v>30</v>
      </c>
      <c r="L2451">
        <v>9</v>
      </c>
      <c r="M2451">
        <v>67.53</v>
      </c>
      <c r="N2451">
        <v>122294</v>
      </c>
      <c r="O2451">
        <v>1</v>
      </c>
    </row>
    <row r="2452" spans="1:15">
      <c r="A2452" t="s">
        <v>2478</v>
      </c>
      <c r="B2452" t="s">
        <v>24</v>
      </c>
      <c r="C2452">
        <v>7</v>
      </c>
      <c r="D2452">
        <v>42167926</v>
      </c>
      <c r="E2452">
        <v>2</v>
      </c>
      <c r="F2452">
        <v>8</v>
      </c>
      <c r="G2452">
        <v>26</v>
      </c>
      <c r="H2452">
        <v>19793289</v>
      </c>
      <c r="I2452">
        <v>488418</v>
      </c>
      <c r="J2452" t="s">
        <v>17</v>
      </c>
      <c r="K2452" t="s">
        <v>22</v>
      </c>
      <c r="L2452">
        <v>4</v>
      </c>
      <c r="M2452">
        <v>85.02</v>
      </c>
      <c r="N2452">
        <v>175951</v>
      </c>
      <c r="O2452">
        <v>1</v>
      </c>
    </row>
    <row r="2453" spans="1:15">
      <c r="A2453" t="s">
        <v>2479</v>
      </c>
      <c r="B2453" t="s">
        <v>20</v>
      </c>
      <c r="C2453">
        <v>4</v>
      </c>
      <c r="D2453">
        <v>18975269</v>
      </c>
      <c r="E2453">
        <v>4</v>
      </c>
      <c r="F2453">
        <v>4</v>
      </c>
      <c r="G2453">
        <v>767</v>
      </c>
      <c r="H2453">
        <v>64718721</v>
      </c>
      <c r="I2453">
        <v>684299</v>
      </c>
      <c r="J2453" t="s">
        <v>21</v>
      </c>
      <c r="K2453" t="s">
        <v>18</v>
      </c>
      <c r="L2453">
        <v>4</v>
      </c>
      <c r="M2453">
        <v>81.17</v>
      </c>
      <c r="N2453">
        <v>275621</v>
      </c>
      <c r="O2453">
        <v>1</v>
      </c>
    </row>
    <row r="2454" spans="1:15">
      <c r="A2454" t="s">
        <v>2480</v>
      </c>
      <c r="B2454" t="s">
        <v>29</v>
      </c>
      <c r="C2454">
        <v>6</v>
      </c>
      <c r="D2454">
        <v>12638398</v>
      </c>
      <c r="E2454">
        <v>2</v>
      </c>
      <c r="F2454">
        <v>21</v>
      </c>
      <c r="G2454">
        <v>997</v>
      </c>
      <c r="H2454">
        <v>8335921</v>
      </c>
      <c r="I2454">
        <v>426523</v>
      </c>
      <c r="J2454" t="s">
        <v>21</v>
      </c>
      <c r="K2454" t="s">
        <v>30</v>
      </c>
      <c r="L2454">
        <v>4</v>
      </c>
      <c r="M2454">
        <v>89.65</v>
      </c>
      <c r="N2454">
        <v>616632</v>
      </c>
      <c r="O2454">
        <v>1</v>
      </c>
    </row>
    <row r="2455" spans="1:15">
      <c r="A2455" t="s">
        <v>2481</v>
      </c>
      <c r="B2455" t="s">
        <v>16</v>
      </c>
      <c r="C2455">
        <v>12</v>
      </c>
      <c r="D2455">
        <v>38847926</v>
      </c>
      <c r="E2455">
        <v>4</v>
      </c>
      <c r="F2455">
        <v>2</v>
      </c>
      <c r="G2455">
        <v>35</v>
      </c>
      <c r="H2455">
        <v>66064398</v>
      </c>
      <c r="I2455">
        <v>360287</v>
      </c>
      <c r="J2455" t="s">
        <v>17</v>
      </c>
      <c r="K2455" t="s">
        <v>18</v>
      </c>
      <c r="L2455">
        <v>4</v>
      </c>
      <c r="M2455">
        <v>0.53</v>
      </c>
      <c r="N2455">
        <v>844866</v>
      </c>
      <c r="O2455">
        <v>1</v>
      </c>
    </row>
    <row r="2456" spans="1:15">
      <c r="A2456" t="s">
        <v>2482</v>
      </c>
      <c r="B2456" t="s">
        <v>29</v>
      </c>
      <c r="C2456">
        <v>12</v>
      </c>
      <c r="D2456">
        <v>22128857</v>
      </c>
      <c r="E2456">
        <v>4</v>
      </c>
      <c r="F2456">
        <v>19</v>
      </c>
      <c r="G2456">
        <v>128</v>
      </c>
      <c r="H2456">
        <v>15443418</v>
      </c>
      <c r="I2456">
        <v>847069</v>
      </c>
      <c r="J2456" t="s">
        <v>21</v>
      </c>
      <c r="K2456" t="s">
        <v>30</v>
      </c>
      <c r="L2456">
        <v>7</v>
      </c>
      <c r="M2456">
        <v>26.15</v>
      </c>
      <c r="N2456">
        <v>782207</v>
      </c>
      <c r="O2456">
        <v>1</v>
      </c>
    </row>
    <row r="2457" spans="1:15">
      <c r="A2457" t="s">
        <v>2483</v>
      </c>
      <c r="B2457" t="s">
        <v>27</v>
      </c>
      <c r="C2457">
        <v>12</v>
      </c>
      <c r="D2457">
        <v>28819503</v>
      </c>
      <c r="E2457">
        <v>4</v>
      </c>
      <c r="F2457">
        <v>9</v>
      </c>
      <c r="G2457">
        <v>886</v>
      </c>
      <c r="H2457">
        <v>8852636</v>
      </c>
      <c r="I2457">
        <v>552692</v>
      </c>
      <c r="J2457" t="s">
        <v>21</v>
      </c>
      <c r="K2457" t="s">
        <v>18</v>
      </c>
      <c r="L2457">
        <v>8</v>
      </c>
      <c r="M2457">
        <v>16.25</v>
      </c>
      <c r="N2457">
        <v>396937</v>
      </c>
      <c r="O2457">
        <v>1</v>
      </c>
    </row>
    <row r="2458" spans="1:15">
      <c r="A2458" t="s">
        <v>2484</v>
      </c>
      <c r="B2458" t="s">
        <v>38</v>
      </c>
      <c r="C2458">
        <v>7</v>
      </c>
      <c r="D2458">
        <v>40071438</v>
      </c>
      <c r="E2458">
        <v>2</v>
      </c>
      <c r="F2458">
        <v>19</v>
      </c>
      <c r="G2458">
        <v>968</v>
      </c>
      <c r="H2458">
        <v>13458037</v>
      </c>
      <c r="I2458">
        <v>599659</v>
      </c>
      <c r="J2458" t="s">
        <v>21</v>
      </c>
      <c r="K2458" t="s">
        <v>18</v>
      </c>
      <c r="L2458">
        <v>6</v>
      </c>
      <c r="M2458">
        <v>26.85</v>
      </c>
      <c r="N2458">
        <v>502496</v>
      </c>
      <c r="O2458">
        <v>1</v>
      </c>
    </row>
    <row r="2459" spans="1:15">
      <c r="A2459" t="s">
        <v>2485</v>
      </c>
      <c r="B2459" t="s">
        <v>29</v>
      </c>
      <c r="C2459">
        <v>2</v>
      </c>
      <c r="D2459">
        <v>9858176</v>
      </c>
      <c r="E2459">
        <v>1</v>
      </c>
      <c r="F2459">
        <v>3</v>
      </c>
      <c r="G2459">
        <v>125</v>
      </c>
      <c r="H2459">
        <v>78693968</v>
      </c>
      <c r="I2459">
        <v>621884</v>
      </c>
      <c r="J2459" t="s">
        <v>25</v>
      </c>
      <c r="K2459" t="s">
        <v>30</v>
      </c>
      <c r="L2459">
        <v>9</v>
      </c>
      <c r="M2459">
        <v>1.63</v>
      </c>
      <c r="N2459">
        <v>34478</v>
      </c>
      <c r="O2459">
        <v>1</v>
      </c>
    </row>
    <row r="2460" spans="1:15">
      <c r="A2460" t="s">
        <v>2486</v>
      </c>
      <c r="B2460" t="s">
        <v>16</v>
      </c>
      <c r="C2460">
        <v>5</v>
      </c>
      <c r="D2460">
        <v>1958886</v>
      </c>
      <c r="E2460">
        <v>3</v>
      </c>
      <c r="F2460">
        <v>16</v>
      </c>
      <c r="G2460">
        <v>534</v>
      </c>
      <c r="H2460">
        <v>42855406</v>
      </c>
      <c r="I2460">
        <v>989127</v>
      </c>
      <c r="J2460" t="s">
        <v>21</v>
      </c>
      <c r="K2460" t="s">
        <v>22</v>
      </c>
      <c r="L2460">
        <v>4</v>
      </c>
      <c r="M2460">
        <v>28.71</v>
      </c>
      <c r="N2460">
        <v>540006</v>
      </c>
      <c r="O2460">
        <v>1</v>
      </c>
    </row>
    <row r="2461" spans="1:15">
      <c r="A2461" t="s">
        <v>2487</v>
      </c>
      <c r="B2461" t="s">
        <v>27</v>
      </c>
      <c r="C2461">
        <v>4</v>
      </c>
      <c r="D2461">
        <v>11996267</v>
      </c>
      <c r="E2461">
        <v>3</v>
      </c>
      <c r="F2461">
        <v>19</v>
      </c>
      <c r="G2461">
        <v>615</v>
      </c>
      <c r="H2461">
        <v>59498914</v>
      </c>
      <c r="I2461">
        <v>208435</v>
      </c>
      <c r="J2461" t="s">
        <v>25</v>
      </c>
      <c r="K2461" t="s">
        <v>18</v>
      </c>
      <c r="L2461">
        <v>9</v>
      </c>
      <c r="M2461">
        <v>73.260000000000005</v>
      </c>
      <c r="N2461">
        <v>976016</v>
      </c>
      <c r="O2461">
        <v>1</v>
      </c>
    </row>
    <row r="2462" spans="1:15">
      <c r="A2462" t="s">
        <v>2488</v>
      </c>
      <c r="B2462" t="s">
        <v>16</v>
      </c>
      <c r="C2462">
        <v>12</v>
      </c>
      <c r="D2462">
        <v>42973840</v>
      </c>
      <c r="E2462">
        <v>1</v>
      </c>
      <c r="F2462">
        <v>18</v>
      </c>
      <c r="G2462">
        <v>23</v>
      </c>
      <c r="H2462">
        <v>73270752</v>
      </c>
      <c r="I2462">
        <v>305401</v>
      </c>
      <c r="J2462" t="s">
        <v>21</v>
      </c>
      <c r="K2462" t="s">
        <v>22</v>
      </c>
      <c r="L2462">
        <v>7</v>
      </c>
      <c r="M2462">
        <v>0.49</v>
      </c>
      <c r="N2462">
        <v>380405</v>
      </c>
      <c r="O2462">
        <v>1</v>
      </c>
    </row>
    <row r="2463" spans="1:15">
      <c r="A2463" t="s">
        <v>2489</v>
      </c>
      <c r="B2463" t="s">
        <v>38</v>
      </c>
      <c r="C2463">
        <v>12</v>
      </c>
      <c r="D2463">
        <v>29213467</v>
      </c>
      <c r="E2463">
        <v>1</v>
      </c>
      <c r="F2463">
        <v>1</v>
      </c>
      <c r="G2463">
        <v>700</v>
      </c>
      <c r="H2463">
        <v>15626276</v>
      </c>
      <c r="I2463">
        <v>123274</v>
      </c>
      <c r="J2463" t="s">
        <v>21</v>
      </c>
      <c r="K2463" t="s">
        <v>30</v>
      </c>
      <c r="L2463">
        <v>4</v>
      </c>
      <c r="M2463">
        <v>64.3</v>
      </c>
      <c r="N2463">
        <v>847740</v>
      </c>
      <c r="O2463">
        <v>1</v>
      </c>
    </row>
    <row r="2464" spans="1:15">
      <c r="A2464" t="s">
        <v>2490</v>
      </c>
      <c r="B2464" t="s">
        <v>32</v>
      </c>
      <c r="C2464">
        <v>0</v>
      </c>
      <c r="D2464">
        <v>3259326</v>
      </c>
      <c r="E2464">
        <v>2</v>
      </c>
      <c r="F2464">
        <v>0</v>
      </c>
      <c r="G2464">
        <v>826</v>
      </c>
      <c r="H2464">
        <v>11168686</v>
      </c>
      <c r="I2464">
        <v>717522</v>
      </c>
      <c r="J2464" t="s">
        <v>17</v>
      </c>
      <c r="K2464" t="s">
        <v>30</v>
      </c>
      <c r="L2464">
        <v>6</v>
      </c>
      <c r="M2464">
        <v>55.11</v>
      </c>
      <c r="N2464">
        <v>120754</v>
      </c>
      <c r="O2464">
        <v>1</v>
      </c>
    </row>
    <row r="2465" spans="1:15">
      <c r="A2465" t="s">
        <v>2491</v>
      </c>
      <c r="B2465" t="s">
        <v>20</v>
      </c>
      <c r="C2465">
        <v>10</v>
      </c>
      <c r="D2465">
        <v>26313932</v>
      </c>
      <c r="E2465">
        <v>1</v>
      </c>
      <c r="F2465">
        <v>5</v>
      </c>
      <c r="G2465">
        <v>293</v>
      </c>
      <c r="H2465">
        <v>25687256</v>
      </c>
      <c r="I2465">
        <v>103291</v>
      </c>
      <c r="J2465" t="s">
        <v>25</v>
      </c>
      <c r="K2465" t="s">
        <v>18</v>
      </c>
      <c r="L2465">
        <v>2</v>
      </c>
      <c r="M2465">
        <v>56.32</v>
      </c>
      <c r="N2465">
        <v>806963</v>
      </c>
      <c r="O2465">
        <v>1</v>
      </c>
    </row>
    <row r="2466" spans="1:15">
      <c r="A2466" t="s">
        <v>2492</v>
      </c>
      <c r="B2466" t="s">
        <v>24</v>
      </c>
      <c r="C2466">
        <v>6</v>
      </c>
      <c r="D2466">
        <v>38366587</v>
      </c>
      <c r="E2466">
        <v>1</v>
      </c>
      <c r="F2466">
        <v>10</v>
      </c>
      <c r="G2466">
        <v>207</v>
      </c>
      <c r="H2466">
        <v>62068301</v>
      </c>
      <c r="I2466">
        <v>262762</v>
      </c>
      <c r="J2466" t="s">
        <v>17</v>
      </c>
      <c r="K2466" t="s">
        <v>18</v>
      </c>
      <c r="L2466">
        <v>8</v>
      </c>
      <c r="M2466">
        <v>73.13</v>
      </c>
      <c r="N2466">
        <v>370549</v>
      </c>
      <c r="O2466">
        <v>1</v>
      </c>
    </row>
    <row r="2467" spans="1:15">
      <c r="A2467" t="s">
        <v>2493</v>
      </c>
      <c r="B2467" t="s">
        <v>20</v>
      </c>
      <c r="C2467">
        <v>10</v>
      </c>
      <c r="D2467">
        <v>7385976</v>
      </c>
      <c r="E2467">
        <v>2</v>
      </c>
      <c r="F2467">
        <v>15</v>
      </c>
      <c r="G2467">
        <v>148</v>
      </c>
      <c r="H2467">
        <v>35370699</v>
      </c>
      <c r="I2467">
        <v>97704</v>
      </c>
      <c r="J2467" t="s">
        <v>25</v>
      </c>
      <c r="K2467" t="s">
        <v>30</v>
      </c>
      <c r="L2467">
        <v>9</v>
      </c>
      <c r="M2467">
        <v>98.23</v>
      </c>
      <c r="N2467">
        <v>388500</v>
      </c>
      <c r="O2467">
        <v>1</v>
      </c>
    </row>
    <row r="2468" spans="1:15">
      <c r="A2468" t="s">
        <v>2494</v>
      </c>
      <c r="B2468" t="s">
        <v>20</v>
      </c>
      <c r="C2468">
        <v>6</v>
      </c>
      <c r="D2468">
        <v>4650382</v>
      </c>
      <c r="E2468">
        <v>3</v>
      </c>
      <c r="F2468">
        <v>20</v>
      </c>
      <c r="G2468">
        <v>782</v>
      </c>
      <c r="H2468">
        <v>96748242</v>
      </c>
      <c r="I2468">
        <v>283416</v>
      </c>
      <c r="J2468" t="s">
        <v>25</v>
      </c>
      <c r="K2468" t="s">
        <v>22</v>
      </c>
      <c r="L2468">
        <v>6</v>
      </c>
      <c r="M2468">
        <v>51.12</v>
      </c>
      <c r="N2468">
        <v>966050</v>
      </c>
      <c r="O2468">
        <v>1</v>
      </c>
    </row>
    <row r="2469" spans="1:15">
      <c r="A2469" t="s">
        <v>2495</v>
      </c>
      <c r="B2469" t="s">
        <v>27</v>
      </c>
      <c r="C2469">
        <v>2</v>
      </c>
      <c r="D2469">
        <v>13978871</v>
      </c>
      <c r="E2469">
        <v>2</v>
      </c>
      <c r="F2469">
        <v>22</v>
      </c>
      <c r="G2469">
        <v>8</v>
      </c>
      <c r="H2469">
        <v>30312890</v>
      </c>
      <c r="I2469">
        <v>135412</v>
      </c>
      <c r="J2469" t="s">
        <v>21</v>
      </c>
      <c r="K2469" t="s">
        <v>22</v>
      </c>
      <c r="L2469">
        <v>4</v>
      </c>
      <c r="M2469">
        <v>18.899999999999999</v>
      </c>
      <c r="N2469">
        <v>114662</v>
      </c>
      <c r="O2469">
        <v>1</v>
      </c>
    </row>
    <row r="2470" spans="1:15">
      <c r="A2470" t="s">
        <v>2496</v>
      </c>
      <c r="B2470" t="s">
        <v>27</v>
      </c>
      <c r="C2470">
        <v>13</v>
      </c>
      <c r="D2470">
        <v>11744327</v>
      </c>
      <c r="E2470">
        <v>2</v>
      </c>
      <c r="F2470">
        <v>28</v>
      </c>
      <c r="G2470">
        <v>171</v>
      </c>
      <c r="H2470">
        <v>66063165</v>
      </c>
      <c r="I2470">
        <v>550366</v>
      </c>
      <c r="J2470" t="s">
        <v>21</v>
      </c>
      <c r="K2470" t="s">
        <v>22</v>
      </c>
      <c r="L2470">
        <v>5</v>
      </c>
      <c r="M2470">
        <v>91.45</v>
      </c>
      <c r="N2470">
        <v>651431</v>
      </c>
      <c r="O2470">
        <v>1</v>
      </c>
    </row>
    <row r="2471" spans="1:15">
      <c r="A2471" t="s">
        <v>2497</v>
      </c>
      <c r="B2471" t="s">
        <v>27</v>
      </c>
      <c r="C2471">
        <v>1</v>
      </c>
      <c r="D2471">
        <v>16338553</v>
      </c>
      <c r="E2471">
        <v>1</v>
      </c>
      <c r="F2471">
        <v>8</v>
      </c>
      <c r="G2471">
        <v>279</v>
      </c>
      <c r="H2471">
        <v>11617631</v>
      </c>
      <c r="I2471">
        <v>251800</v>
      </c>
      <c r="J2471" t="s">
        <v>21</v>
      </c>
      <c r="K2471" t="s">
        <v>22</v>
      </c>
      <c r="L2471">
        <v>1</v>
      </c>
      <c r="M2471">
        <v>59.77</v>
      </c>
      <c r="N2471">
        <v>463717</v>
      </c>
      <c r="O2471">
        <v>1</v>
      </c>
    </row>
    <row r="2472" spans="1:15">
      <c r="A2472" t="s">
        <v>2498</v>
      </c>
      <c r="B2472" t="s">
        <v>27</v>
      </c>
      <c r="C2472">
        <v>12</v>
      </c>
      <c r="D2472">
        <v>48076790</v>
      </c>
      <c r="E2472">
        <v>2</v>
      </c>
      <c r="F2472">
        <v>21</v>
      </c>
      <c r="G2472">
        <v>984</v>
      </c>
      <c r="H2472">
        <v>39169033</v>
      </c>
      <c r="I2472">
        <v>996692</v>
      </c>
      <c r="J2472" t="s">
        <v>25</v>
      </c>
      <c r="K2472" t="s">
        <v>30</v>
      </c>
      <c r="L2472">
        <v>8</v>
      </c>
      <c r="M2472">
        <v>70.63</v>
      </c>
      <c r="N2472">
        <v>839317</v>
      </c>
      <c r="O2472">
        <v>1</v>
      </c>
    </row>
    <row r="2473" spans="1:15">
      <c r="A2473" t="s">
        <v>2499</v>
      </c>
      <c r="B2473" t="s">
        <v>24</v>
      </c>
      <c r="C2473">
        <v>11</v>
      </c>
      <c r="D2473">
        <v>35704599</v>
      </c>
      <c r="E2473">
        <v>1</v>
      </c>
      <c r="F2473">
        <v>13</v>
      </c>
      <c r="G2473">
        <v>705</v>
      </c>
      <c r="H2473">
        <v>18596133</v>
      </c>
      <c r="I2473">
        <v>972199</v>
      </c>
      <c r="J2473" t="s">
        <v>17</v>
      </c>
      <c r="K2473" t="s">
        <v>30</v>
      </c>
      <c r="L2473">
        <v>2</v>
      </c>
      <c r="M2473">
        <v>73.150000000000006</v>
      </c>
      <c r="N2473">
        <v>328337</v>
      </c>
      <c r="O2473">
        <v>1</v>
      </c>
    </row>
    <row r="2474" spans="1:15">
      <c r="A2474" t="s">
        <v>2500</v>
      </c>
      <c r="B2474" t="s">
        <v>38</v>
      </c>
      <c r="C2474">
        <v>13</v>
      </c>
      <c r="D2474">
        <v>16107262</v>
      </c>
      <c r="E2474">
        <v>1</v>
      </c>
      <c r="F2474">
        <v>1</v>
      </c>
      <c r="G2474">
        <v>660</v>
      </c>
      <c r="H2474">
        <v>22722258</v>
      </c>
      <c r="I2474">
        <v>13808</v>
      </c>
      <c r="J2474" t="s">
        <v>21</v>
      </c>
      <c r="K2474" t="s">
        <v>22</v>
      </c>
      <c r="L2474">
        <v>2</v>
      </c>
      <c r="M2474">
        <v>97.91</v>
      </c>
      <c r="N2474">
        <v>760296</v>
      </c>
      <c r="O2474">
        <v>1</v>
      </c>
    </row>
    <row r="2475" spans="1:15">
      <c r="A2475" t="s">
        <v>2501</v>
      </c>
      <c r="B2475" t="s">
        <v>32</v>
      </c>
      <c r="C2475">
        <v>12</v>
      </c>
      <c r="D2475">
        <v>11695322</v>
      </c>
      <c r="E2475">
        <v>1</v>
      </c>
      <c r="F2475">
        <v>11</v>
      </c>
      <c r="G2475">
        <v>282</v>
      </c>
      <c r="H2475">
        <v>82139496</v>
      </c>
      <c r="I2475">
        <v>110545</v>
      </c>
      <c r="J2475" t="s">
        <v>25</v>
      </c>
      <c r="K2475" t="s">
        <v>22</v>
      </c>
      <c r="L2475">
        <v>6</v>
      </c>
      <c r="M2475">
        <v>75.91</v>
      </c>
      <c r="N2475">
        <v>658166</v>
      </c>
      <c r="O2475">
        <v>1</v>
      </c>
    </row>
    <row r="2476" spans="1:15">
      <c r="A2476" t="s">
        <v>2502</v>
      </c>
      <c r="B2476" t="s">
        <v>32</v>
      </c>
      <c r="C2476">
        <v>7</v>
      </c>
      <c r="D2476">
        <v>29266020</v>
      </c>
      <c r="E2476">
        <v>2</v>
      </c>
      <c r="F2476">
        <v>6</v>
      </c>
      <c r="G2476">
        <v>111</v>
      </c>
      <c r="H2476">
        <v>57861130</v>
      </c>
      <c r="I2476">
        <v>919945</v>
      </c>
      <c r="J2476" t="s">
        <v>25</v>
      </c>
      <c r="K2476" t="s">
        <v>22</v>
      </c>
      <c r="L2476">
        <v>3</v>
      </c>
      <c r="M2476">
        <v>44.68</v>
      </c>
      <c r="N2476">
        <v>15560</v>
      </c>
      <c r="O2476">
        <v>1</v>
      </c>
    </row>
    <row r="2477" spans="1:15">
      <c r="A2477" t="s">
        <v>2503</v>
      </c>
      <c r="B2477" t="s">
        <v>29</v>
      </c>
      <c r="C2477">
        <v>9</v>
      </c>
      <c r="D2477">
        <v>37114912</v>
      </c>
      <c r="E2477">
        <v>2</v>
      </c>
      <c r="F2477">
        <v>23</v>
      </c>
      <c r="G2477">
        <v>130</v>
      </c>
      <c r="H2477">
        <v>62770539</v>
      </c>
      <c r="I2477">
        <v>238514</v>
      </c>
      <c r="J2477" t="s">
        <v>17</v>
      </c>
      <c r="K2477" t="s">
        <v>18</v>
      </c>
      <c r="L2477">
        <v>5</v>
      </c>
      <c r="M2477">
        <v>82.89</v>
      </c>
      <c r="N2477">
        <v>585207</v>
      </c>
      <c r="O2477">
        <v>1</v>
      </c>
    </row>
    <row r="2478" spans="1:15">
      <c r="A2478" t="s">
        <v>2504</v>
      </c>
      <c r="B2478" t="s">
        <v>16</v>
      </c>
      <c r="C2478">
        <v>14</v>
      </c>
      <c r="D2478">
        <v>5344130</v>
      </c>
      <c r="E2478">
        <v>3</v>
      </c>
      <c r="F2478">
        <v>7</v>
      </c>
      <c r="G2478">
        <v>771</v>
      </c>
      <c r="H2478">
        <v>52927088</v>
      </c>
      <c r="I2478">
        <v>345356</v>
      </c>
      <c r="J2478" t="s">
        <v>21</v>
      </c>
      <c r="K2478" t="s">
        <v>18</v>
      </c>
      <c r="L2478">
        <v>9</v>
      </c>
      <c r="M2478">
        <v>39.92</v>
      </c>
      <c r="N2478">
        <v>861591</v>
      </c>
      <c r="O2478">
        <v>1</v>
      </c>
    </row>
    <row r="2479" spans="1:15">
      <c r="A2479" t="s">
        <v>2505</v>
      </c>
      <c r="B2479" t="s">
        <v>27</v>
      </c>
      <c r="C2479">
        <v>3</v>
      </c>
      <c r="D2479">
        <v>6447333</v>
      </c>
      <c r="E2479">
        <v>2</v>
      </c>
      <c r="F2479">
        <v>1</v>
      </c>
      <c r="G2479">
        <v>628</v>
      </c>
      <c r="H2479">
        <v>59602289</v>
      </c>
      <c r="I2479">
        <v>887329</v>
      </c>
      <c r="J2479" t="s">
        <v>17</v>
      </c>
      <c r="K2479" t="s">
        <v>30</v>
      </c>
      <c r="L2479">
        <v>2</v>
      </c>
      <c r="M2479">
        <v>67.97</v>
      </c>
      <c r="N2479">
        <v>873053</v>
      </c>
      <c r="O2479">
        <v>1</v>
      </c>
    </row>
    <row r="2480" spans="1:15">
      <c r="A2480" t="s">
        <v>2506</v>
      </c>
      <c r="B2480" t="s">
        <v>38</v>
      </c>
      <c r="C2480">
        <v>12</v>
      </c>
      <c r="D2480">
        <v>23686097</v>
      </c>
      <c r="E2480">
        <v>4</v>
      </c>
      <c r="F2480">
        <v>15</v>
      </c>
      <c r="G2480">
        <v>20</v>
      </c>
      <c r="H2480">
        <v>2884553</v>
      </c>
      <c r="I2480">
        <v>51514</v>
      </c>
      <c r="J2480" t="s">
        <v>17</v>
      </c>
      <c r="K2480" t="s">
        <v>18</v>
      </c>
      <c r="L2480">
        <v>9</v>
      </c>
      <c r="M2480">
        <v>22.98</v>
      </c>
      <c r="N2480">
        <v>340537</v>
      </c>
      <c r="O2480">
        <v>1</v>
      </c>
    </row>
    <row r="2481" spans="1:15">
      <c r="A2481" t="s">
        <v>2507</v>
      </c>
      <c r="B2481" t="s">
        <v>27</v>
      </c>
      <c r="C2481">
        <v>9</v>
      </c>
      <c r="D2481">
        <v>49283050</v>
      </c>
      <c r="E2481">
        <v>3</v>
      </c>
      <c r="F2481">
        <v>28</v>
      </c>
      <c r="G2481">
        <v>876</v>
      </c>
      <c r="H2481">
        <v>97775133</v>
      </c>
      <c r="I2481">
        <v>647557</v>
      </c>
      <c r="J2481" t="s">
        <v>25</v>
      </c>
      <c r="K2481" t="s">
        <v>18</v>
      </c>
      <c r="L2481">
        <v>1</v>
      </c>
      <c r="M2481">
        <v>62.57</v>
      </c>
      <c r="N2481">
        <v>449130</v>
      </c>
      <c r="O2481">
        <v>1</v>
      </c>
    </row>
    <row r="2482" spans="1:15">
      <c r="A2482" t="s">
        <v>2508</v>
      </c>
      <c r="B2482" t="s">
        <v>38</v>
      </c>
      <c r="C2482">
        <v>9</v>
      </c>
      <c r="D2482">
        <v>27314963</v>
      </c>
      <c r="E2482">
        <v>1</v>
      </c>
      <c r="F2482">
        <v>21</v>
      </c>
      <c r="G2482">
        <v>522</v>
      </c>
      <c r="H2482">
        <v>25825105</v>
      </c>
      <c r="I2482">
        <v>659918</v>
      </c>
      <c r="J2482" t="s">
        <v>21</v>
      </c>
      <c r="K2482" t="s">
        <v>22</v>
      </c>
      <c r="L2482">
        <v>8</v>
      </c>
      <c r="M2482">
        <v>50.07</v>
      </c>
      <c r="N2482">
        <v>916866</v>
      </c>
      <c r="O2482">
        <v>1</v>
      </c>
    </row>
    <row r="2483" spans="1:15">
      <c r="A2483" t="s">
        <v>2509</v>
      </c>
      <c r="B2483" t="s">
        <v>38</v>
      </c>
      <c r="C2483">
        <v>11</v>
      </c>
      <c r="D2483">
        <v>17670719</v>
      </c>
      <c r="E2483">
        <v>1</v>
      </c>
      <c r="F2483">
        <v>15</v>
      </c>
      <c r="G2483">
        <v>541</v>
      </c>
      <c r="H2483">
        <v>57394852</v>
      </c>
      <c r="I2483">
        <v>85248</v>
      </c>
      <c r="J2483" t="s">
        <v>17</v>
      </c>
      <c r="K2483" t="s">
        <v>30</v>
      </c>
      <c r="L2483">
        <v>8</v>
      </c>
      <c r="M2483">
        <v>87.44</v>
      </c>
      <c r="N2483">
        <v>413121</v>
      </c>
      <c r="O2483">
        <v>1</v>
      </c>
    </row>
    <row r="2484" spans="1:15">
      <c r="A2484" t="s">
        <v>2510</v>
      </c>
      <c r="B2484" t="s">
        <v>24</v>
      </c>
      <c r="C2484">
        <v>13</v>
      </c>
      <c r="D2484">
        <v>47977691</v>
      </c>
      <c r="E2484">
        <v>3</v>
      </c>
      <c r="F2484">
        <v>28</v>
      </c>
      <c r="G2484">
        <v>704</v>
      </c>
      <c r="H2484">
        <v>41536517</v>
      </c>
      <c r="I2484">
        <v>435965</v>
      </c>
      <c r="J2484" t="s">
        <v>21</v>
      </c>
      <c r="K2484" t="s">
        <v>30</v>
      </c>
      <c r="L2484">
        <v>9</v>
      </c>
      <c r="M2484">
        <v>14.24</v>
      </c>
      <c r="N2484">
        <v>553471</v>
      </c>
      <c r="O2484">
        <v>1</v>
      </c>
    </row>
    <row r="2485" spans="1:15">
      <c r="A2485" t="s">
        <v>2511</v>
      </c>
      <c r="B2485" t="s">
        <v>27</v>
      </c>
      <c r="C2485">
        <v>10</v>
      </c>
      <c r="D2485">
        <v>24061187</v>
      </c>
      <c r="E2485">
        <v>4</v>
      </c>
      <c r="F2485">
        <v>15</v>
      </c>
      <c r="G2485">
        <v>279</v>
      </c>
      <c r="H2485">
        <v>77855309</v>
      </c>
      <c r="I2485">
        <v>754281</v>
      </c>
      <c r="J2485" t="s">
        <v>21</v>
      </c>
      <c r="K2485" t="s">
        <v>22</v>
      </c>
      <c r="L2485">
        <v>3</v>
      </c>
      <c r="M2485">
        <v>12.44</v>
      </c>
      <c r="N2485">
        <v>523786</v>
      </c>
      <c r="O2485">
        <v>1</v>
      </c>
    </row>
    <row r="2486" spans="1:15">
      <c r="A2486" t="s">
        <v>2512</v>
      </c>
      <c r="B2486" t="s">
        <v>29</v>
      </c>
      <c r="C2486">
        <v>1</v>
      </c>
      <c r="D2486">
        <v>22677655</v>
      </c>
      <c r="E2486">
        <v>2</v>
      </c>
      <c r="F2486">
        <v>21</v>
      </c>
      <c r="G2486">
        <v>704</v>
      </c>
      <c r="H2486">
        <v>10146888</v>
      </c>
      <c r="I2486">
        <v>450574</v>
      </c>
      <c r="J2486" t="s">
        <v>25</v>
      </c>
      <c r="K2486" t="s">
        <v>18</v>
      </c>
      <c r="L2486">
        <v>2</v>
      </c>
      <c r="M2486">
        <v>14.52</v>
      </c>
      <c r="N2486">
        <v>665378</v>
      </c>
      <c r="O2486">
        <v>1</v>
      </c>
    </row>
    <row r="2487" spans="1:15">
      <c r="A2487" t="s">
        <v>2513</v>
      </c>
      <c r="B2487" t="s">
        <v>20</v>
      </c>
      <c r="C2487">
        <v>3</v>
      </c>
      <c r="D2487">
        <v>33775417</v>
      </c>
      <c r="E2487">
        <v>2</v>
      </c>
      <c r="F2487">
        <v>1</v>
      </c>
      <c r="G2487">
        <v>617</v>
      </c>
      <c r="H2487">
        <v>98059578</v>
      </c>
      <c r="I2487">
        <v>572755</v>
      </c>
      <c r="J2487" t="s">
        <v>17</v>
      </c>
      <c r="K2487" t="s">
        <v>18</v>
      </c>
      <c r="L2487">
        <v>3</v>
      </c>
      <c r="M2487">
        <v>8.43</v>
      </c>
      <c r="N2487">
        <v>285537</v>
      </c>
      <c r="O2487">
        <v>1</v>
      </c>
    </row>
    <row r="2488" spans="1:15">
      <c r="A2488" t="s">
        <v>2514</v>
      </c>
      <c r="B2488" t="s">
        <v>38</v>
      </c>
      <c r="C2488">
        <v>13</v>
      </c>
      <c r="D2488">
        <v>8435913</v>
      </c>
      <c r="E2488">
        <v>1</v>
      </c>
      <c r="F2488">
        <v>2</v>
      </c>
      <c r="G2488">
        <v>571</v>
      </c>
      <c r="H2488">
        <v>31686160</v>
      </c>
      <c r="I2488">
        <v>629496</v>
      </c>
      <c r="J2488" t="s">
        <v>17</v>
      </c>
      <c r="K2488" t="s">
        <v>30</v>
      </c>
      <c r="L2488">
        <v>4</v>
      </c>
      <c r="M2488">
        <v>96.69</v>
      </c>
      <c r="N2488">
        <v>194527</v>
      </c>
      <c r="O2488">
        <v>1</v>
      </c>
    </row>
    <row r="2489" spans="1:15">
      <c r="A2489" t="s">
        <v>2515</v>
      </c>
      <c r="B2489" t="s">
        <v>20</v>
      </c>
      <c r="C2489">
        <v>3</v>
      </c>
      <c r="D2489">
        <v>22227282</v>
      </c>
      <c r="E2489">
        <v>2</v>
      </c>
      <c r="F2489">
        <v>18</v>
      </c>
      <c r="G2489">
        <v>286</v>
      </c>
      <c r="H2489">
        <v>20728457</v>
      </c>
      <c r="I2489">
        <v>913595</v>
      </c>
      <c r="J2489" t="s">
        <v>25</v>
      </c>
      <c r="K2489" t="s">
        <v>18</v>
      </c>
      <c r="L2489">
        <v>8</v>
      </c>
      <c r="M2489">
        <v>13.06</v>
      </c>
      <c r="N2489">
        <v>551499</v>
      </c>
      <c r="O2489">
        <v>1</v>
      </c>
    </row>
    <row r="2490" spans="1:15">
      <c r="A2490" t="s">
        <v>2516</v>
      </c>
      <c r="B2490" t="s">
        <v>32</v>
      </c>
      <c r="C2490">
        <v>9</v>
      </c>
      <c r="D2490">
        <v>12033212</v>
      </c>
      <c r="E2490">
        <v>2</v>
      </c>
      <c r="F2490">
        <v>20</v>
      </c>
      <c r="G2490">
        <v>708</v>
      </c>
      <c r="H2490">
        <v>23568255</v>
      </c>
      <c r="I2490">
        <v>699188</v>
      </c>
      <c r="J2490" t="s">
        <v>17</v>
      </c>
      <c r="K2490" t="s">
        <v>18</v>
      </c>
      <c r="L2490">
        <v>5</v>
      </c>
      <c r="M2490">
        <v>35.53</v>
      </c>
      <c r="N2490">
        <v>833282</v>
      </c>
      <c r="O2490">
        <v>1</v>
      </c>
    </row>
    <row r="2491" spans="1:15">
      <c r="A2491" t="s">
        <v>2517</v>
      </c>
      <c r="B2491" t="s">
        <v>24</v>
      </c>
      <c r="C2491">
        <v>11</v>
      </c>
      <c r="D2491">
        <v>34572546</v>
      </c>
      <c r="E2491">
        <v>1</v>
      </c>
      <c r="F2491">
        <v>24</v>
      </c>
      <c r="G2491">
        <v>536</v>
      </c>
      <c r="H2491">
        <v>14399370</v>
      </c>
      <c r="I2491">
        <v>987012</v>
      </c>
      <c r="J2491" t="s">
        <v>21</v>
      </c>
      <c r="K2491" t="s">
        <v>22</v>
      </c>
      <c r="L2491">
        <v>6</v>
      </c>
      <c r="M2491">
        <v>73</v>
      </c>
      <c r="N2491">
        <v>369143</v>
      </c>
      <c r="O2491">
        <v>1</v>
      </c>
    </row>
    <row r="2492" spans="1:15">
      <c r="A2492" t="s">
        <v>2518</v>
      </c>
      <c r="B2492" t="s">
        <v>16</v>
      </c>
      <c r="C2492">
        <v>2</v>
      </c>
      <c r="D2492">
        <v>1487144</v>
      </c>
      <c r="E2492">
        <v>1</v>
      </c>
      <c r="F2492">
        <v>6</v>
      </c>
      <c r="G2492">
        <v>686</v>
      </c>
      <c r="H2492">
        <v>44814258</v>
      </c>
      <c r="I2492">
        <v>825068</v>
      </c>
      <c r="J2492" t="s">
        <v>21</v>
      </c>
      <c r="K2492" t="s">
        <v>22</v>
      </c>
      <c r="L2492">
        <v>2</v>
      </c>
      <c r="M2492">
        <v>12.06</v>
      </c>
      <c r="N2492">
        <v>462814</v>
      </c>
      <c r="O2492">
        <v>1</v>
      </c>
    </row>
    <row r="2493" spans="1:15">
      <c r="A2493" t="s">
        <v>2519</v>
      </c>
      <c r="B2493" t="s">
        <v>38</v>
      </c>
      <c r="C2493">
        <v>11</v>
      </c>
      <c r="D2493">
        <v>36783570</v>
      </c>
      <c r="E2493">
        <v>4</v>
      </c>
      <c r="F2493">
        <v>29</v>
      </c>
      <c r="G2493">
        <v>595</v>
      </c>
      <c r="H2493">
        <v>29499532</v>
      </c>
      <c r="I2493">
        <v>260812</v>
      </c>
      <c r="J2493" t="s">
        <v>25</v>
      </c>
      <c r="K2493" t="s">
        <v>30</v>
      </c>
      <c r="L2493">
        <v>8</v>
      </c>
      <c r="M2493">
        <v>18.78</v>
      </c>
      <c r="N2493">
        <v>583959</v>
      </c>
      <c r="O2493">
        <v>1</v>
      </c>
    </row>
    <row r="2494" spans="1:15">
      <c r="A2494" t="s">
        <v>2520</v>
      </c>
      <c r="B2494" t="s">
        <v>24</v>
      </c>
      <c r="C2494">
        <v>10</v>
      </c>
      <c r="D2494">
        <v>32800420</v>
      </c>
      <c r="E2494">
        <v>2</v>
      </c>
      <c r="F2494">
        <v>5</v>
      </c>
      <c r="G2494">
        <v>953</v>
      </c>
      <c r="H2494">
        <v>55078040</v>
      </c>
      <c r="I2494">
        <v>597914</v>
      </c>
      <c r="J2494" t="s">
        <v>17</v>
      </c>
      <c r="K2494" t="s">
        <v>18</v>
      </c>
      <c r="L2494">
        <v>8</v>
      </c>
      <c r="M2494">
        <v>26.81</v>
      </c>
      <c r="N2494">
        <v>472877</v>
      </c>
      <c r="O2494">
        <v>1</v>
      </c>
    </row>
    <row r="2495" spans="1:15">
      <c r="A2495" t="s">
        <v>2521</v>
      </c>
      <c r="B2495" t="s">
        <v>24</v>
      </c>
      <c r="C2495">
        <v>4</v>
      </c>
      <c r="D2495">
        <v>16185857</v>
      </c>
      <c r="E2495">
        <v>1</v>
      </c>
      <c r="F2495">
        <v>20</v>
      </c>
      <c r="G2495">
        <v>947</v>
      </c>
      <c r="H2495">
        <v>44118791</v>
      </c>
      <c r="I2495">
        <v>209202</v>
      </c>
      <c r="J2495" t="s">
        <v>17</v>
      </c>
      <c r="K2495" t="s">
        <v>30</v>
      </c>
      <c r="L2495">
        <v>3</v>
      </c>
      <c r="M2495">
        <v>32.29</v>
      </c>
      <c r="N2495">
        <v>647759</v>
      </c>
      <c r="O2495">
        <v>1</v>
      </c>
    </row>
    <row r="2496" spans="1:15">
      <c r="A2496" t="s">
        <v>2522</v>
      </c>
      <c r="B2496" t="s">
        <v>29</v>
      </c>
      <c r="C2496">
        <v>9</v>
      </c>
      <c r="D2496">
        <v>34731496</v>
      </c>
      <c r="E2496">
        <v>2</v>
      </c>
      <c r="F2496">
        <v>15</v>
      </c>
      <c r="G2496">
        <v>325</v>
      </c>
      <c r="H2496">
        <v>99619460</v>
      </c>
      <c r="I2496">
        <v>783571</v>
      </c>
      <c r="J2496" t="s">
        <v>25</v>
      </c>
      <c r="K2496" t="s">
        <v>30</v>
      </c>
      <c r="L2496">
        <v>1</v>
      </c>
      <c r="M2496">
        <v>13.23</v>
      </c>
      <c r="N2496">
        <v>644541</v>
      </c>
      <c r="O2496">
        <v>1</v>
      </c>
    </row>
    <row r="2497" spans="1:15">
      <c r="A2497" t="s">
        <v>2523</v>
      </c>
      <c r="B2497" t="s">
        <v>20</v>
      </c>
      <c r="C2497">
        <v>9</v>
      </c>
      <c r="D2497">
        <v>5617367</v>
      </c>
      <c r="E2497">
        <v>2</v>
      </c>
      <c r="F2497">
        <v>29</v>
      </c>
      <c r="G2497">
        <v>397</v>
      </c>
      <c r="H2497">
        <v>11533815</v>
      </c>
      <c r="I2497">
        <v>196390</v>
      </c>
      <c r="J2497" t="s">
        <v>25</v>
      </c>
      <c r="K2497" t="s">
        <v>18</v>
      </c>
      <c r="L2497">
        <v>6</v>
      </c>
      <c r="M2497">
        <v>12.26</v>
      </c>
      <c r="N2497">
        <v>800759</v>
      </c>
      <c r="O2497">
        <v>1</v>
      </c>
    </row>
    <row r="2498" spans="1:15">
      <c r="A2498" t="s">
        <v>2524</v>
      </c>
      <c r="B2498" t="s">
        <v>16</v>
      </c>
      <c r="C2498">
        <v>14</v>
      </c>
      <c r="D2498">
        <v>43281924</v>
      </c>
      <c r="E2498">
        <v>4</v>
      </c>
      <c r="F2498">
        <v>20</v>
      </c>
      <c r="G2498">
        <v>52</v>
      </c>
      <c r="H2498">
        <v>46668060</v>
      </c>
      <c r="I2498">
        <v>63391</v>
      </c>
      <c r="J2498" t="s">
        <v>17</v>
      </c>
      <c r="K2498" t="s">
        <v>22</v>
      </c>
      <c r="L2498">
        <v>7</v>
      </c>
      <c r="M2498">
        <v>80.56</v>
      </c>
      <c r="N2498">
        <v>998842</v>
      </c>
      <c r="O2498">
        <v>1</v>
      </c>
    </row>
    <row r="2499" spans="1:15">
      <c r="A2499" t="s">
        <v>2525</v>
      </c>
      <c r="B2499" t="s">
        <v>29</v>
      </c>
      <c r="C2499">
        <v>3</v>
      </c>
      <c r="D2499">
        <v>44655784</v>
      </c>
      <c r="E2499">
        <v>2</v>
      </c>
      <c r="F2499">
        <v>3</v>
      </c>
      <c r="G2499">
        <v>14</v>
      </c>
      <c r="H2499">
        <v>28000118</v>
      </c>
      <c r="I2499">
        <v>456158</v>
      </c>
      <c r="J2499" t="s">
        <v>21</v>
      </c>
      <c r="K2499" t="s">
        <v>22</v>
      </c>
      <c r="L2499">
        <v>1</v>
      </c>
      <c r="M2499">
        <v>18.36</v>
      </c>
      <c r="N2499">
        <v>526933</v>
      </c>
      <c r="O2499">
        <v>1</v>
      </c>
    </row>
    <row r="2500" spans="1:15">
      <c r="A2500" t="s">
        <v>2526</v>
      </c>
      <c r="B2500" t="s">
        <v>32</v>
      </c>
      <c r="C2500">
        <v>4</v>
      </c>
      <c r="D2500">
        <v>33420818</v>
      </c>
      <c r="E2500">
        <v>1</v>
      </c>
      <c r="F2500">
        <v>2</v>
      </c>
      <c r="G2500">
        <v>367</v>
      </c>
      <c r="H2500">
        <v>55270882</v>
      </c>
      <c r="I2500">
        <v>526138</v>
      </c>
      <c r="J2500" t="s">
        <v>21</v>
      </c>
      <c r="K2500" t="s">
        <v>22</v>
      </c>
      <c r="L2500">
        <v>5</v>
      </c>
      <c r="M2500">
        <v>82.33</v>
      </c>
      <c r="N2500">
        <v>671158</v>
      </c>
      <c r="O2500">
        <v>1</v>
      </c>
    </row>
    <row r="2501" spans="1:15">
      <c r="A2501" t="s">
        <v>2527</v>
      </c>
      <c r="B2501" t="s">
        <v>29</v>
      </c>
      <c r="C2501">
        <v>14</v>
      </c>
      <c r="D2501">
        <v>37982614</v>
      </c>
      <c r="E2501">
        <v>3</v>
      </c>
      <c r="F2501">
        <v>22</v>
      </c>
      <c r="G2501">
        <v>196</v>
      </c>
      <c r="H2501">
        <v>43836648</v>
      </c>
      <c r="I2501">
        <v>650054</v>
      </c>
      <c r="J2501" t="s">
        <v>17</v>
      </c>
      <c r="K2501" t="s">
        <v>18</v>
      </c>
      <c r="L2501">
        <v>7</v>
      </c>
      <c r="M2501">
        <v>27.83</v>
      </c>
      <c r="N2501">
        <v>372158</v>
      </c>
      <c r="O2501">
        <v>1</v>
      </c>
    </row>
    <row r="2502" spans="1:15">
      <c r="A2502" t="s">
        <v>2528</v>
      </c>
      <c r="B2502" t="s">
        <v>20</v>
      </c>
      <c r="C2502">
        <v>0</v>
      </c>
      <c r="D2502">
        <v>19503839</v>
      </c>
      <c r="E2502">
        <v>4</v>
      </c>
      <c r="F2502">
        <v>27</v>
      </c>
      <c r="G2502">
        <v>836</v>
      </c>
      <c r="H2502">
        <v>9583180</v>
      </c>
      <c r="I2502">
        <v>291103</v>
      </c>
      <c r="J2502" t="s">
        <v>17</v>
      </c>
      <c r="K2502" t="s">
        <v>22</v>
      </c>
      <c r="L2502">
        <v>1</v>
      </c>
      <c r="M2502">
        <v>70.28</v>
      </c>
      <c r="N2502">
        <v>143970</v>
      </c>
      <c r="O2502">
        <v>1</v>
      </c>
    </row>
    <row r="2503" spans="1:15">
      <c r="A2503" t="s">
        <v>2529</v>
      </c>
      <c r="B2503" t="s">
        <v>20</v>
      </c>
      <c r="C2503">
        <v>7</v>
      </c>
      <c r="D2503">
        <v>36025108</v>
      </c>
      <c r="E2503">
        <v>2</v>
      </c>
      <c r="F2503">
        <v>28</v>
      </c>
      <c r="G2503">
        <v>256</v>
      </c>
      <c r="H2503">
        <v>12104115</v>
      </c>
      <c r="I2503">
        <v>730368</v>
      </c>
      <c r="J2503" t="s">
        <v>25</v>
      </c>
      <c r="K2503" t="s">
        <v>22</v>
      </c>
      <c r="L2503">
        <v>2</v>
      </c>
      <c r="M2503">
        <v>7.31</v>
      </c>
      <c r="N2503">
        <v>153790</v>
      </c>
      <c r="O2503">
        <v>1</v>
      </c>
    </row>
    <row r="2504" spans="1:15">
      <c r="A2504" t="s">
        <v>2530</v>
      </c>
      <c r="B2504" t="s">
        <v>20</v>
      </c>
      <c r="C2504">
        <v>0</v>
      </c>
      <c r="D2504">
        <v>18184898</v>
      </c>
      <c r="E2504">
        <v>1</v>
      </c>
      <c r="F2504">
        <v>11</v>
      </c>
      <c r="G2504">
        <v>707</v>
      </c>
      <c r="H2504">
        <v>78995637</v>
      </c>
      <c r="I2504">
        <v>482218</v>
      </c>
      <c r="J2504" t="s">
        <v>17</v>
      </c>
      <c r="K2504" t="s">
        <v>22</v>
      </c>
      <c r="L2504">
        <v>3</v>
      </c>
      <c r="M2504">
        <v>77.41</v>
      </c>
      <c r="N2504">
        <v>258210</v>
      </c>
      <c r="O2504">
        <v>1</v>
      </c>
    </row>
    <row r="2505" spans="1:15">
      <c r="A2505" t="s">
        <v>2531</v>
      </c>
      <c r="B2505" t="s">
        <v>27</v>
      </c>
      <c r="C2505">
        <v>7</v>
      </c>
      <c r="D2505">
        <v>30260193</v>
      </c>
      <c r="E2505">
        <v>1</v>
      </c>
      <c r="F2505">
        <v>29</v>
      </c>
      <c r="G2505">
        <v>550</v>
      </c>
      <c r="H2505">
        <v>51837243</v>
      </c>
      <c r="I2505">
        <v>950913</v>
      </c>
      <c r="J2505" t="s">
        <v>17</v>
      </c>
      <c r="K2505" t="s">
        <v>18</v>
      </c>
      <c r="L2505">
        <v>8</v>
      </c>
      <c r="M2505">
        <v>61.71</v>
      </c>
      <c r="N2505">
        <v>986134</v>
      </c>
      <c r="O2505">
        <v>1</v>
      </c>
    </row>
    <row r="2506" spans="1:15">
      <c r="A2506" t="s">
        <v>2532</v>
      </c>
      <c r="B2506" t="s">
        <v>38</v>
      </c>
      <c r="C2506">
        <v>6</v>
      </c>
      <c r="D2506">
        <v>18346011</v>
      </c>
      <c r="E2506">
        <v>1</v>
      </c>
      <c r="F2506">
        <v>27</v>
      </c>
      <c r="G2506">
        <v>835</v>
      </c>
      <c r="H2506">
        <v>79456386</v>
      </c>
      <c r="I2506">
        <v>906043</v>
      </c>
      <c r="J2506" t="s">
        <v>17</v>
      </c>
      <c r="K2506" t="s">
        <v>18</v>
      </c>
      <c r="L2506">
        <v>2</v>
      </c>
      <c r="M2506">
        <v>73.83</v>
      </c>
      <c r="N2506">
        <v>263447</v>
      </c>
      <c r="O2506">
        <v>1</v>
      </c>
    </row>
    <row r="2507" spans="1:15">
      <c r="A2507" t="s">
        <v>2533</v>
      </c>
      <c r="B2507" t="s">
        <v>27</v>
      </c>
      <c r="C2507">
        <v>14</v>
      </c>
      <c r="D2507">
        <v>49870303</v>
      </c>
      <c r="E2507">
        <v>1</v>
      </c>
      <c r="F2507">
        <v>27</v>
      </c>
      <c r="G2507">
        <v>959</v>
      </c>
      <c r="H2507">
        <v>55813941</v>
      </c>
      <c r="I2507">
        <v>762669</v>
      </c>
      <c r="J2507" t="s">
        <v>21</v>
      </c>
      <c r="K2507" t="s">
        <v>18</v>
      </c>
      <c r="L2507">
        <v>7</v>
      </c>
      <c r="M2507">
        <v>16.61</v>
      </c>
      <c r="N2507">
        <v>750575</v>
      </c>
      <c r="O2507">
        <v>1</v>
      </c>
    </row>
    <row r="2508" spans="1:15">
      <c r="A2508" t="s">
        <v>2534</v>
      </c>
      <c r="B2508" t="s">
        <v>38</v>
      </c>
      <c r="C2508">
        <v>2</v>
      </c>
      <c r="D2508">
        <v>19244892</v>
      </c>
      <c r="E2508">
        <v>4</v>
      </c>
      <c r="F2508">
        <v>23</v>
      </c>
      <c r="G2508">
        <v>167</v>
      </c>
      <c r="H2508">
        <v>17960499</v>
      </c>
      <c r="I2508">
        <v>170196</v>
      </c>
      <c r="J2508" t="s">
        <v>17</v>
      </c>
      <c r="K2508" t="s">
        <v>18</v>
      </c>
      <c r="L2508">
        <v>7</v>
      </c>
      <c r="M2508">
        <v>87.53</v>
      </c>
      <c r="N2508">
        <v>670983</v>
      </c>
      <c r="O2508">
        <v>1</v>
      </c>
    </row>
    <row r="2509" spans="1:15">
      <c r="A2509" t="s">
        <v>2535</v>
      </c>
      <c r="B2509" t="s">
        <v>32</v>
      </c>
      <c r="C2509">
        <v>9</v>
      </c>
      <c r="D2509">
        <v>97337</v>
      </c>
      <c r="E2509">
        <v>1</v>
      </c>
      <c r="F2509">
        <v>13</v>
      </c>
      <c r="G2509">
        <v>638</v>
      </c>
      <c r="H2509">
        <v>53528737</v>
      </c>
      <c r="I2509">
        <v>598502</v>
      </c>
      <c r="J2509" t="s">
        <v>17</v>
      </c>
      <c r="K2509" t="s">
        <v>18</v>
      </c>
      <c r="L2509">
        <v>5</v>
      </c>
      <c r="M2509">
        <v>33.81</v>
      </c>
      <c r="N2509">
        <v>564045</v>
      </c>
      <c r="O2509">
        <v>1</v>
      </c>
    </row>
    <row r="2510" spans="1:15">
      <c r="A2510" t="s">
        <v>2536</v>
      </c>
      <c r="B2510" t="s">
        <v>29</v>
      </c>
      <c r="C2510">
        <v>0</v>
      </c>
      <c r="D2510">
        <v>4341544</v>
      </c>
      <c r="E2510">
        <v>2</v>
      </c>
      <c r="F2510">
        <v>28</v>
      </c>
      <c r="G2510">
        <v>948</v>
      </c>
      <c r="H2510">
        <v>29756598</v>
      </c>
      <c r="I2510">
        <v>181159</v>
      </c>
      <c r="J2510" t="s">
        <v>21</v>
      </c>
      <c r="K2510" t="s">
        <v>22</v>
      </c>
      <c r="L2510">
        <v>5</v>
      </c>
      <c r="M2510">
        <v>6.78</v>
      </c>
      <c r="N2510">
        <v>20019</v>
      </c>
      <c r="O2510">
        <v>1</v>
      </c>
    </row>
    <row r="2511" spans="1:15">
      <c r="A2511" t="s">
        <v>2537</v>
      </c>
      <c r="B2511" t="s">
        <v>24</v>
      </c>
      <c r="C2511">
        <v>2</v>
      </c>
      <c r="D2511">
        <v>22516263</v>
      </c>
      <c r="E2511">
        <v>2</v>
      </c>
      <c r="F2511">
        <v>15</v>
      </c>
      <c r="G2511">
        <v>537</v>
      </c>
      <c r="H2511">
        <v>12941452</v>
      </c>
      <c r="I2511">
        <v>650378</v>
      </c>
      <c r="J2511" t="s">
        <v>21</v>
      </c>
      <c r="K2511" t="s">
        <v>18</v>
      </c>
      <c r="L2511">
        <v>4</v>
      </c>
      <c r="M2511">
        <v>50.99</v>
      </c>
      <c r="N2511">
        <v>475836</v>
      </c>
      <c r="O2511">
        <v>1</v>
      </c>
    </row>
    <row r="2512" spans="1:15">
      <c r="A2512" t="s">
        <v>2538</v>
      </c>
      <c r="B2512" t="s">
        <v>38</v>
      </c>
      <c r="C2512">
        <v>9</v>
      </c>
      <c r="D2512">
        <v>26657331</v>
      </c>
      <c r="E2512">
        <v>1</v>
      </c>
      <c r="F2512">
        <v>29</v>
      </c>
      <c r="G2512">
        <v>685</v>
      </c>
      <c r="H2512">
        <v>3348068</v>
      </c>
      <c r="I2512">
        <v>540653</v>
      </c>
      <c r="J2512" t="s">
        <v>17</v>
      </c>
      <c r="K2512" t="s">
        <v>18</v>
      </c>
      <c r="L2512">
        <v>9</v>
      </c>
      <c r="M2512">
        <v>6.59</v>
      </c>
      <c r="N2512">
        <v>858192</v>
      </c>
      <c r="O2512">
        <v>1</v>
      </c>
    </row>
    <row r="2513" spans="1:15">
      <c r="A2513" t="s">
        <v>2539</v>
      </c>
      <c r="B2513" t="s">
        <v>27</v>
      </c>
      <c r="C2513">
        <v>11</v>
      </c>
      <c r="D2513">
        <v>132855</v>
      </c>
      <c r="E2513">
        <v>2</v>
      </c>
      <c r="F2513">
        <v>9</v>
      </c>
      <c r="G2513">
        <v>135</v>
      </c>
      <c r="H2513">
        <v>84728287</v>
      </c>
      <c r="I2513">
        <v>528812</v>
      </c>
      <c r="J2513" t="s">
        <v>17</v>
      </c>
      <c r="K2513" t="s">
        <v>22</v>
      </c>
      <c r="L2513">
        <v>6</v>
      </c>
      <c r="M2513">
        <v>1.59</v>
      </c>
      <c r="N2513">
        <v>511202</v>
      </c>
      <c r="O2513">
        <v>1</v>
      </c>
    </row>
    <row r="2514" spans="1:15">
      <c r="A2514" t="s">
        <v>2540</v>
      </c>
      <c r="B2514" t="s">
        <v>29</v>
      </c>
      <c r="C2514">
        <v>1</v>
      </c>
      <c r="D2514">
        <v>15741212</v>
      </c>
      <c r="E2514">
        <v>3</v>
      </c>
      <c r="F2514">
        <v>26</v>
      </c>
      <c r="G2514">
        <v>360</v>
      </c>
      <c r="H2514">
        <v>75854260</v>
      </c>
      <c r="I2514">
        <v>333785</v>
      </c>
      <c r="J2514" t="s">
        <v>21</v>
      </c>
      <c r="K2514" t="s">
        <v>18</v>
      </c>
      <c r="L2514">
        <v>5</v>
      </c>
      <c r="M2514">
        <v>71.540000000000006</v>
      </c>
      <c r="N2514">
        <v>88560</v>
      </c>
      <c r="O2514">
        <v>1</v>
      </c>
    </row>
    <row r="2515" spans="1:15">
      <c r="A2515" t="s">
        <v>2541</v>
      </c>
      <c r="B2515" t="s">
        <v>20</v>
      </c>
      <c r="C2515">
        <v>11</v>
      </c>
      <c r="D2515">
        <v>42464630</v>
      </c>
      <c r="E2515">
        <v>3</v>
      </c>
      <c r="F2515">
        <v>20</v>
      </c>
      <c r="G2515">
        <v>302</v>
      </c>
      <c r="H2515">
        <v>94430374</v>
      </c>
      <c r="I2515">
        <v>713188</v>
      </c>
      <c r="J2515" t="s">
        <v>21</v>
      </c>
      <c r="K2515" t="s">
        <v>30</v>
      </c>
      <c r="L2515">
        <v>3</v>
      </c>
      <c r="M2515">
        <v>3.21</v>
      </c>
      <c r="N2515">
        <v>424399</v>
      </c>
      <c r="O2515">
        <v>1</v>
      </c>
    </row>
    <row r="2516" spans="1:15">
      <c r="A2516" t="s">
        <v>2542</v>
      </c>
      <c r="B2516" t="s">
        <v>16</v>
      </c>
      <c r="C2516">
        <v>3</v>
      </c>
      <c r="D2516">
        <v>33797292</v>
      </c>
      <c r="E2516">
        <v>3</v>
      </c>
      <c r="F2516">
        <v>21</v>
      </c>
      <c r="G2516">
        <v>537</v>
      </c>
      <c r="H2516">
        <v>97519366</v>
      </c>
      <c r="I2516">
        <v>599061</v>
      </c>
      <c r="J2516" t="s">
        <v>17</v>
      </c>
      <c r="K2516" t="s">
        <v>18</v>
      </c>
      <c r="L2516">
        <v>3</v>
      </c>
      <c r="M2516">
        <v>32.99</v>
      </c>
      <c r="N2516">
        <v>995092</v>
      </c>
      <c r="O2516">
        <v>1</v>
      </c>
    </row>
    <row r="2517" spans="1:15">
      <c r="A2517" t="s">
        <v>2543</v>
      </c>
      <c r="B2517" t="s">
        <v>29</v>
      </c>
      <c r="C2517">
        <v>6</v>
      </c>
      <c r="D2517">
        <v>15891933</v>
      </c>
      <c r="E2517">
        <v>2</v>
      </c>
      <c r="F2517">
        <v>29</v>
      </c>
      <c r="G2517">
        <v>924</v>
      </c>
      <c r="H2517">
        <v>31484922</v>
      </c>
      <c r="I2517">
        <v>283552</v>
      </c>
      <c r="J2517" t="s">
        <v>21</v>
      </c>
      <c r="K2517" t="s">
        <v>22</v>
      </c>
      <c r="L2517">
        <v>9</v>
      </c>
      <c r="M2517">
        <v>69.45</v>
      </c>
      <c r="N2517">
        <v>671783</v>
      </c>
      <c r="O2517">
        <v>1</v>
      </c>
    </row>
    <row r="2518" spans="1:15">
      <c r="A2518" t="s">
        <v>2544</v>
      </c>
      <c r="B2518" t="s">
        <v>24</v>
      </c>
      <c r="C2518">
        <v>0</v>
      </c>
      <c r="D2518">
        <v>25070257</v>
      </c>
      <c r="E2518">
        <v>2</v>
      </c>
      <c r="F2518">
        <v>2</v>
      </c>
      <c r="G2518">
        <v>428</v>
      </c>
      <c r="H2518">
        <v>68165102</v>
      </c>
      <c r="I2518">
        <v>533863</v>
      </c>
      <c r="J2518" t="s">
        <v>17</v>
      </c>
      <c r="K2518" t="s">
        <v>30</v>
      </c>
      <c r="L2518">
        <v>5</v>
      </c>
      <c r="M2518">
        <v>22.61</v>
      </c>
      <c r="N2518">
        <v>122849</v>
      </c>
      <c r="O2518">
        <v>1</v>
      </c>
    </row>
    <row r="2519" spans="1:15">
      <c r="A2519" t="s">
        <v>2545</v>
      </c>
      <c r="B2519" t="s">
        <v>27</v>
      </c>
      <c r="C2519">
        <v>11</v>
      </c>
      <c r="D2519">
        <v>26845405</v>
      </c>
      <c r="E2519">
        <v>1</v>
      </c>
      <c r="F2519">
        <v>9</v>
      </c>
      <c r="G2519">
        <v>752</v>
      </c>
      <c r="H2519">
        <v>93307306</v>
      </c>
      <c r="I2519">
        <v>235762</v>
      </c>
      <c r="J2519" t="s">
        <v>21</v>
      </c>
      <c r="K2519" t="s">
        <v>18</v>
      </c>
      <c r="L2519">
        <v>7</v>
      </c>
      <c r="M2519">
        <v>99.68</v>
      </c>
      <c r="N2519">
        <v>321778</v>
      </c>
      <c r="O2519">
        <v>1</v>
      </c>
    </row>
    <row r="2520" spans="1:15">
      <c r="A2520" t="s">
        <v>2546</v>
      </c>
      <c r="B2520" t="s">
        <v>32</v>
      </c>
      <c r="C2520">
        <v>12</v>
      </c>
      <c r="D2520">
        <v>6296811</v>
      </c>
      <c r="E2520">
        <v>4</v>
      </c>
      <c r="F2520">
        <v>6</v>
      </c>
      <c r="G2520">
        <v>5</v>
      </c>
      <c r="H2520">
        <v>12609183</v>
      </c>
      <c r="I2520">
        <v>211171</v>
      </c>
      <c r="J2520" t="s">
        <v>25</v>
      </c>
      <c r="K2520" t="s">
        <v>18</v>
      </c>
      <c r="L2520">
        <v>4</v>
      </c>
      <c r="M2520">
        <v>27.12</v>
      </c>
      <c r="N2520">
        <v>478019</v>
      </c>
      <c r="O2520">
        <v>1</v>
      </c>
    </row>
    <row r="2521" spans="1:15">
      <c r="A2521" t="s">
        <v>2547</v>
      </c>
      <c r="B2521" t="s">
        <v>38</v>
      </c>
      <c r="C2521">
        <v>12</v>
      </c>
      <c r="D2521">
        <v>37446194</v>
      </c>
      <c r="E2521">
        <v>4</v>
      </c>
      <c r="F2521">
        <v>10</v>
      </c>
      <c r="G2521">
        <v>358</v>
      </c>
      <c r="H2521">
        <v>71226288</v>
      </c>
      <c r="I2521">
        <v>605339</v>
      </c>
      <c r="J2521" t="s">
        <v>25</v>
      </c>
      <c r="K2521" t="s">
        <v>30</v>
      </c>
      <c r="L2521">
        <v>6</v>
      </c>
      <c r="M2521">
        <v>43.91</v>
      </c>
      <c r="N2521">
        <v>656366</v>
      </c>
      <c r="O2521">
        <v>1</v>
      </c>
    </row>
    <row r="2522" spans="1:15">
      <c r="A2522" t="s">
        <v>2548</v>
      </c>
      <c r="B2522" t="s">
        <v>32</v>
      </c>
      <c r="C2522">
        <v>7</v>
      </c>
      <c r="D2522">
        <v>30512978</v>
      </c>
      <c r="E2522">
        <v>2</v>
      </c>
      <c r="F2522">
        <v>2</v>
      </c>
      <c r="G2522">
        <v>315</v>
      </c>
      <c r="H2522">
        <v>47848413</v>
      </c>
      <c r="I2522">
        <v>475544</v>
      </c>
      <c r="J2522" t="s">
        <v>17</v>
      </c>
      <c r="K2522" t="s">
        <v>18</v>
      </c>
      <c r="L2522">
        <v>3</v>
      </c>
      <c r="M2522">
        <v>62.39</v>
      </c>
      <c r="N2522">
        <v>339105</v>
      </c>
      <c r="O2522">
        <v>1</v>
      </c>
    </row>
    <row r="2523" spans="1:15">
      <c r="A2523" t="s">
        <v>2549</v>
      </c>
      <c r="B2523" t="s">
        <v>16</v>
      </c>
      <c r="C2523">
        <v>5</v>
      </c>
      <c r="D2523">
        <v>36985870</v>
      </c>
      <c r="E2523">
        <v>1</v>
      </c>
      <c r="F2523">
        <v>28</v>
      </c>
      <c r="G2523">
        <v>557</v>
      </c>
      <c r="H2523">
        <v>52548787</v>
      </c>
      <c r="I2523">
        <v>324867</v>
      </c>
      <c r="J2523" t="s">
        <v>17</v>
      </c>
      <c r="K2523" t="s">
        <v>18</v>
      </c>
      <c r="L2523">
        <v>3</v>
      </c>
      <c r="M2523">
        <v>5.85</v>
      </c>
      <c r="N2523">
        <v>867750</v>
      </c>
      <c r="O2523">
        <v>1</v>
      </c>
    </row>
    <row r="2524" spans="1:15">
      <c r="A2524" t="s">
        <v>2550</v>
      </c>
      <c r="B2524" t="s">
        <v>38</v>
      </c>
      <c r="C2524">
        <v>7</v>
      </c>
      <c r="D2524">
        <v>39128210</v>
      </c>
      <c r="E2524">
        <v>3</v>
      </c>
      <c r="F2524">
        <v>27</v>
      </c>
      <c r="G2524">
        <v>743</v>
      </c>
      <c r="H2524">
        <v>8697320</v>
      </c>
      <c r="I2524">
        <v>121395</v>
      </c>
      <c r="J2524" t="s">
        <v>17</v>
      </c>
      <c r="K2524" t="s">
        <v>18</v>
      </c>
      <c r="L2524">
        <v>6</v>
      </c>
      <c r="M2524">
        <v>33.69</v>
      </c>
      <c r="N2524">
        <v>810022</v>
      </c>
      <c r="O2524">
        <v>1</v>
      </c>
    </row>
    <row r="2525" spans="1:15">
      <c r="A2525" t="s">
        <v>2551</v>
      </c>
      <c r="B2525" t="s">
        <v>38</v>
      </c>
      <c r="C2525">
        <v>5</v>
      </c>
      <c r="D2525">
        <v>41566891</v>
      </c>
      <c r="E2525">
        <v>2</v>
      </c>
      <c r="F2525">
        <v>0</v>
      </c>
      <c r="G2525">
        <v>69</v>
      </c>
      <c r="H2525">
        <v>1195031</v>
      </c>
      <c r="I2525">
        <v>990126</v>
      </c>
      <c r="J2525" t="s">
        <v>21</v>
      </c>
      <c r="K2525" t="s">
        <v>30</v>
      </c>
      <c r="L2525">
        <v>7</v>
      </c>
      <c r="M2525">
        <v>28.95</v>
      </c>
      <c r="N2525">
        <v>410699</v>
      </c>
      <c r="O2525">
        <v>1</v>
      </c>
    </row>
    <row r="2526" spans="1:15">
      <c r="A2526" t="s">
        <v>2552</v>
      </c>
      <c r="B2526" t="s">
        <v>32</v>
      </c>
      <c r="C2526">
        <v>12</v>
      </c>
      <c r="D2526">
        <v>13388687</v>
      </c>
      <c r="E2526">
        <v>2</v>
      </c>
      <c r="F2526">
        <v>25</v>
      </c>
      <c r="G2526">
        <v>417</v>
      </c>
      <c r="H2526">
        <v>29088993</v>
      </c>
      <c r="I2526">
        <v>889549</v>
      </c>
      <c r="J2526" t="s">
        <v>21</v>
      </c>
      <c r="K2526" t="s">
        <v>18</v>
      </c>
      <c r="L2526">
        <v>5</v>
      </c>
      <c r="M2526">
        <v>31.93</v>
      </c>
      <c r="N2526">
        <v>149482</v>
      </c>
      <c r="O2526">
        <v>1</v>
      </c>
    </row>
    <row r="2527" spans="1:15">
      <c r="A2527" t="s">
        <v>2553</v>
      </c>
      <c r="B2527" t="s">
        <v>24</v>
      </c>
      <c r="C2527">
        <v>8</v>
      </c>
      <c r="D2527">
        <v>41217030</v>
      </c>
      <c r="E2527">
        <v>2</v>
      </c>
      <c r="F2527">
        <v>1</v>
      </c>
      <c r="G2527">
        <v>418</v>
      </c>
      <c r="H2527">
        <v>50772442</v>
      </c>
      <c r="I2527">
        <v>884115</v>
      </c>
      <c r="J2527" t="s">
        <v>17</v>
      </c>
      <c r="K2527" t="s">
        <v>18</v>
      </c>
      <c r="L2527">
        <v>7</v>
      </c>
      <c r="M2527">
        <v>89.25</v>
      </c>
      <c r="N2527">
        <v>527033</v>
      </c>
      <c r="O2527">
        <v>1</v>
      </c>
    </row>
    <row r="2528" spans="1:15">
      <c r="A2528" t="s">
        <v>2554</v>
      </c>
      <c r="B2528" t="s">
        <v>24</v>
      </c>
      <c r="C2528">
        <v>3</v>
      </c>
      <c r="D2528">
        <v>12565170</v>
      </c>
      <c r="E2528">
        <v>1</v>
      </c>
      <c r="F2528">
        <v>4</v>
      </c>
      <c r="G2528">
        <v>722</v>
      </c>
      <c r="H2528">
        <v>8098849</v>
      </c>
      <c r="I2528">
        <v>990857</v>
      </c>
      <c r="J2528" t="s">
        <v>17</v>
      </c>
      <c r="K2528" t="s">
        <v>18</v>
      </c>
      <c r="L2528">
        <v>4</v>
      </c>
      <c r="M2528">
        <v>56.8</v>
      </c>
      <c r="N2528">
        <v>796010</v>
      </c>
      <c r="O2528">
        <v>1</v>
      </c>
    </row>
    <row r="2529" spans="1:15">
      <c r="A2529" t="s">
        <v>2555</v>
      </c>
      <c r="B2529" t="s">
        <v>24</v>
      </c>
      <c r="C2529">
        <v>4</v>
      </c>
      <c r="D2529">
        <v>20563549</v>
      </c>
      <c r="E2529">
        <v>1</v>
      </c>
      <c r="F2529">
        <v>24</v>
      </c>
      <c r="G2529">
        <v>37</v>
      </c>
      <c r="H2529">
        <v>43845505</v>
      </c>
      <c r="I2529">
        <v>557985</v>
      </c>
      <c r="J2529" t="s">
        <v>17</v>
      </c>
      <c r="K2529" t="s">
        <v>18</v>
      </c>
      <c r="L2529">
        <v>4</v>
      </c>
      <c r="M2529">
        <v>83.38</v>
      </c>
      <c r="N2529">
        <v>772738</v>
      </c>
      <c r="O2529">
        <v>1</v>
      </c>
    </row>
    <row r="2530" spans="1:15">
      <c r="A2530" t="s">
        <v>2556</v>
      </c>
      <c r="B2530" t="s">
        <v>32</v>
      </c>
      <c r="C2530">
        <v>8</v>
      </c>
      <c r="D2530">
        <v>3697702</v>
      </c>
      <c r="E2530">
        <v>4</v>
      </c>
      <c r="F2530">
        <v>25</v>
      </c>
      <c r="G2530">
        <v>764</v>
      </c>
      <c r="H2530">
        <v>95802539</v>
      </c>
      <c r="I2530">
        <v>754267</v>
      </c>
      <c r="J2530" t="s">
        <v>25</v>
      </c>
      <c r="K2530" t="s">
        <v>18</v>
      </c>
      <c r="L2530">
        <v>7</v>
      </c>
      <c r="M2530">
        <v>26.99</v>
      </c>
      <c r="N2530">
        <v>472731</v>
      </c>
      <c r="O2530">
        <v>1</v>
      </c>
    </row>
    <row r="2531" spans="1:15">
      <c r="A2531" t="s">
        <v>2557</v>
      </c>
      <c r="B2531" t="s">
        <v>24</v>
      </c>
      <c r="C2531">
        <v>13</v>
      </c>
      <c r="D2531">
        <v>19577932</v>
      </c>
      <c r="E2531">
        <v>1</v>
      </c>
      <c r="F2531">
        <v>29</v>
      </c>
      <c r="G2531">
        <v>335</v>
      </c>
      <c r="H2531">
        <v>57952535</v>
      </c>
      <c r="I2531">
        <v>362926</v>
      </c>
      <c r="J2531" t="s">
        <v>21</v>
      </c>
      <c r="K2531" t="s">
        <v>30</v>
      </c>
      <c r="L2531">
        <v>9</v>
      </c>
      <c r="M2531">
        <v>54.42</v>
      </c>
      <c r="N2531">
        <v>670302</v>
      </c>
      <c r="O2531">
        <v>1</v>
      </c>
    </row>
    <row r="2532" spans="1:15">
      <c r="A2532" t="s">
        <v>2558</v>
      </c>
      <c r="B2532" t="s">
        <v>32</v>
      </c>
      <c r="C2532">
        <v>4</v>
      </c>
      <c r="D2532">
        <v>36678626</v>
      </c>
      <c r="E2532">
        <v>2</v>
      </c>
      <c r="F2532">
        <v>16</v>
      </c>
      <c r="G2532">
        <v>494</v>
      </c>
      <c r="H2532">
        <v>97510467</v>
      </c>
      <c r="I2532">
        <v>5425</v>
      </c>
      <c r="J2532" t="s">
        <v>17</v>
      </c>
      <c r="K2532" t="s">
        <v>30</v>
      </c>
      <c r="L2532">
        <v>4</v>
      </c>
      <c r="M2532">
        <v>54.86</v>
      </c>
      <c r="N2532">
        <v>157420</v>
      </c>
      <c r="O2532">
        <v>1</v>
      </c>
    </row>
    <row r="2533" spans="1:15">
      <c r="A2533" t="s">
        <v>2559</v>
      </c>
      <c r="B2533" t="s">
        <v>32</v>
      </c>
      <c r="C2533">
        <v>1</v>
      </c>
      <c r="D2533">
        <v>41969814</v>
      </c>
      <c r="E2533">
        <v>4</v>
      </c>
      <c r="F2533">
        <v>18</v>
      </c>
      <c r="G2533">
        <v>998</v>
      </c>
      <c r="H2533">
        <v>39366401</v>
      </c>
      <c r="I2533">
        <v>990500</v>
      </c>
      <c r="J2533" t="s">
        <v>21</v>
      </c>
      <c r="K2533" t="s">
        <v>22</v>
      </c>
      <c r="L2533">
        <v>1</v>
      </c>
      <c r="M2533">
        <v>75.23</v>
      </c>
      <c r="N2533">
        <v>872952</v>
      </c>
      <c r="O2533">
        <v>1</v>
      </c>
    </row>
    <row r="2534" spans="1:15">
      <c r="A2534" t="s">
        <v>2560</v>
      </c>
      <c r="B2534" t="s">
        <v>27</v>
      </c>
      <c r="C2534">
        <v>14</v>
      </c>
      <c r="D2534">
        <v>21017375</v>
      </c>
      <c r="E2534">
        <v>3</v>
      </c>
      <c r="F2534">
        <v>17</v>
      </c>
      <c r="G2534">
        <v>754</v>
      </c>
      <c r="H2534">
        <v>78299803</v>
      </c>
      <c r="I2534">
        <v>722470</v>
      </c>
      <c r="J2534" t="s">
        <v>25</v>
      </c>
      <c r="K2534" t="s">
        <v>30</v>
      </c>
      <c r="L2534">
        <v>3</v>
      </c>
      <c r="M2534">
        <v>42.45</v>
      </c>
      <c r="N2534">
        <v>749673</v>
      </c>
      <c r="O2534">
        <v>1</v>
      </c>
    </row>
    <row r="2535" spans="1:15">
      <c r="A2535" t="s">
        <v>2561</v>
      </c>
      <c r="B2535" t="s">
        <v>24</v>
      </c>
      <c r="C2535">
        <v>9</v>
      </c>
      <c r="D2535">
        <v>10275524</v>
      </c>
      <c r="E2535">
        <v>4</v>
      </c>
      <c r="F2535">
        <v>3</v>
      </c>
      <c r="G2535">
        <v>60</v>
      </c>
      <c r="H2535">
        <v>29087213</v>
      </c>
      <c r="I2535">
        <v>774449</v>
      </c>
      <c r="J2535" t="s">
        <v>25</v>
      </c>
      <c r="K2535" t="s">
        <v>22</v>
      </c>
      <c r="L2535">
        <v>9</v>
      </c>
      <c r="M2535">
        <v>45.5</v>
      </c>
      <c r="N2535">
        <v>596002</v>
      </c>
      <c r="O2535">
        <v>1</v>
      </c>
    </row>
    <row r="2536" spans="1:15">
      <c r="A2536" t="s">
        <v>2562</v>
      </c>
      <c r="B2536" t="s">
        <v>32</v>
      </c>
      <c r="C2536">
        <v>8</v>
      </c>
      <c r="D2536">
        <v>20585991</v>
      </c>
      <c r="E2536">
        <v>2</v>
      </c>
      <c r="F2536">
        <v>23</v>
      </c>
      <c r="G2536">
        <v>852</v>
      </c>
      <c r="H2536">
        <v>67704101</v>
      </c>
      <c r="I2536">
        <v>874529</v>
      </c>
      <c r="J2536" t="s">
        <v>25</v>
      </c>
      <c r="K2536" t="s">
        <v>30</v>
      </c>
      <c r="L2536">
        <v>8</v>
      </c>
      <c r="M2536">
        <v>18.77</v>
      </c>
      <c r="N2536">
        <v>548114</v>
      </c>
      <c r="O2536">
        <v>1</v>
      </c>
    </row>
    <row r="2537" spans="1:15">
      <c r="A2537" t="s">
        <v>2563</v>
      </c>
      <c r="B2537" t="s">
        <v>24</v>
      </c>
      <c r="C2537">
        <v>14</v>
      </c>
      <c r="D2537">
        <v>32242891</v>
      </c>
      <c r="E2537">
        <v>2</v>
      </c>
      <c r="F2537">
        <v>3</v>
      </c>
      <c r="G2537">
        <v>439</v>
      </c>
      <c r="H2537">
        <v>3895041</v>
      </c>
      <c r="I2537">
        <v>412738</v>
      </c>
      <c r="J2537" t="s">
        <v>21</v>
      </c>
      <c r="K2537" t="s">
        <v>22</v>
      </c>
      <c r="L2537">
        <v>8</v>
      </c>
      <c r="M2537">
        <v>12.89</v>
      </c>
      <c r="N2537">
        <v>492527</v>
      </c>
      <c r="O2537">
        <v>1</v>
      </c>
    </row>
    <row r="2538" spans="1:15">
      <c r="A2538" t="s">
        <v>2564</v>
      </c>
      <c r="B2538" t="s">
        <v>32</v>
      </c>
      <c r="C2538">
        <v>7</v>
      </c>
      <c r="D2538">
        <v>32911322</v>
      </c>
      <c r="E2538">
        <v>2</v>
      </c>
      <c r="F2538">
        <v>8</v>
      </c>
      <c r="G2538">
        <v>994</v>
      </c>
      <c r="H2538">
        <v>10127214</v>
      </c>
      <c r="I2538">
        <v>596637</v>
      </c>
      <c r="J2538" t="s">
        <v>21</v>
      </c>
      <c r="K2538" t="s">
        <v>18</v>
      </c>
      <c r="L2538">
        <v>7</v>
      </c>
      <c r="M2538">
        <v>29.34</v>
      </c>
      <c r="N2538">
        <v>994125</v>
      </c>
      <c r="O2538">
        <v>1</v>
      </c>
    </row>
    <row r="2539" spans="1:15">
      <c r="A2539" t="s">
        <v>2565</v>
      </c>
      <c r="B2539" t="s">
        <v>38</v>
      </c>
      <c r="C2539">
        <v>5</v>
      </c>
      <c r="D2539">
        <v>37066417</v>
      </c>
      <c r="E2539">
        <v>3</v>
      </c>
      <c r="F2539">
        <v>5</v>
      </c>
      <c r="G2539">
        <v>177</v>
      </c>
      <c r="H2539">
        <v>31784498</v>
      </c>
      <c r="I2539">
        <v>651247</v>
      </c>
      <c r="J2539" t="s">
        <v>17</v>
      </c>
      <c r="K2539" t="s">
        <v>30</v>
      </c>
      <c r="L2539">
        <v>4</v>
      </c>
      <c r="M2539">
        <v>71.42</v>
      </c>
      <c r="N2539">
        <v>202890</v>
      </c>
      <c r="O2539">
        <v>1</v>
      </c>
    </row>
    <row r="2540" spans="1:15">
      <c r="A2540" t="s">
        <v>2566</v>
      </c>
      <c r="B2540" t="s">
        <v>38</v>
      </c>
      <c r="C2540">
        <v>4</v>
      </c>
      <c r="D2540">
        <v>19616076</v>
      </c>
      <c r="E2540">
        <v>3</v>
      </c>
      <c r="F2540">
        <v>3</v>
      </c>
      <c r="G2540">
        <v>879</v>
      </c>
      <c r="H2540">
        <v>83356914</v>
      </c>
      <c r="I2540">
        <v>205555</v>
      </c>
      <c r="J2540" t="s">
        <v>17</v>
      </c>
      <c r="K2540" t="s">
        <v>30</v>
      </c>
      <c r="L2540">
        <v>6</v>
      </c>
      <c r="M2540">
        <v>66.88</v>
      </c>
      <c r="N2540">
        <v>196888</v>
      </c>
      <c r="O2540">
        <v>1</v>
      </c>
    </row>
    <row r="2541" spans="1:15">
      <c r="A2541" t="s">
        <v>2567</v>
      </c>
      <c r="B2541" t="s">
        <v>20</v>
      </c>
      <c r="C2541">
        <v>2</v>
      </c>
      <c r="D2541">
        <v>32298527</v>
      </c>
      <c r="E2541">
        <v>2</v>
      </c>
      <c r="F2541">
        <v>24</v>
      </c>
      <c r="G2541">
        <v>797</v>
      </c>
      <c r="H2541">
        <v>61058071</v>
      </c>
      <c r="I2541">
        <v>433052</v>
      </c>
      <c r="J2541" t="s">
        <v>17</v>
      </c>
      <c r="K2541" t="s">
        <v>30</v>
      </c>
      <c r="L2541">
        <v>4</v>
      </c>
      <c r="M2541">
        <v>87.81</v>
      </c>
      <c r="N2541">
        <v>949724</v>
      </c>
      <c r="O2541">
        <v>1</v>
      </c>
    </row>
    <row r="2542" spans="1:15">
      <c r="A2542" t="s">
        <v>2568</v>
      </c>
      <c r="B2542" t="s">
        <v>38</v>
      </c>
      <c r="C2542">
        <v>13</v>
      </c>
      <c r="D2542">
        <v>19720302</v>
      </c>
      <c r="E2542">
        <v>2</v>
      </c>
      <c r="F2542">
        <v>10</v>
      </c>
      <c r="G2542">
        <v>568</v>
      </c>
      <c r="H2542">
        <v>95699146</v>
      </c>
      <c r="I2542">
        <v>439484</v>
      </c>
      <c r="J2542" t="s">
        <v>21</v>
      </c>
      <c r="K2542" t="s">
        <v>30</v>
      </c>
      <c r="L2542">
        <v>4</v>
      </c>
      <c r="M2542">
        <v>93.22</v>
      </c>
      <c r="N2542">
        <v>903260</v>
      </c>
      <c r="O2542">
        <v>1</v>
      </c>
    </row>
    <row r="2543" spans="1:15">
      <c r="A2543" t="s">
        <v>2569</v>
      </c>
      <c r="B2543" t="s">
        <v>38</v>
      </c>
      <c r="C2543">
        <v>3</v>
      </c>
      <c r="D2543">
        <v>44545839</v>
      </c>
      <c r="E2543">
        <v>3</v>
      </c>
      <c r="F2543">
        <v>3</v>
      </c>
      <c r="G2543">
        <v>849</v>
      </c>
      <c r="H2543">
        <v>37382245</v>
      </c>
      <c r="I2543">
        <v>919230</v>
      </c>
      <c r="J2543" t="s">
        <v>25</v>
      </c>
      <c r="K2543" t="s">
        <v>30</v>
      </c>
      <c r="L2543">
        <v>9</v>
      </c>
      <c r="M2543">
        <v>19.46</v>
      </c>
      <c r="N2543">
        <v>592609</v>
      </c>
      <c r="O2543">
        <v>1</v>
      </c>
    </row>
    <row r="2544" spans="1:15">
      <c r="A2544" t="s">
        <v>2570</v>
      </c>
      <c r="B2544" t="s">
        <v>29</v>
      </c>
      <c r="C2544">
        <v>5</v>
      </c>
      <c r="D2544">
        <v>23985491</v>
      </c>
      <c r="E2544">
        <v>3</v>
      </c>
      <c r="F2544">
        <v>17</v>
      </c>
      <c r="G2544">
        <v>836</v>
      </c>
      <c r="H2544">
        <v>33193885</v>
      </c>
      <c r="I2544">
        <v>864125</v>
      </c>
      <c r="J2544" t="s">
        <v>17</v>
      </c>
      <c r="K2544" t="s">
        <v>30</v>
      </c>
      <c r="L2544">
        <v>5</v>
      </c>
      <c r="M2544">
        <v>70.709999999999994</v>
      </c>
      <c r="N2544">
        <v>449789</v>
      </c>
      <c r="O2544">
        <v>1</v>
      </c>
    </row>
    <row r="2545" spans="1:15">
      <c r="A2545" t="s">
        <v>2571</v>
      </c>
      <c r="B2545" t="s">
        <v>16</v>
      </c>
      <c r="C2545">
        <v>3</v>
      </c>
      <c r="D2545">
        <v>43109115</v>
      </c>
      <c r="E2545">
        <v>2</v>
      </c>
      <c r="F2545">
        <v>27</v>
      </c>
      <c r="G2545">
        <v>27</v>
      </c>
      <c r="H2545">
        <v>50386173</v>
      </c>
      <c r="I2545">
        <v>676516</v>
      </c>
      <c r="J2545" t="s">
        <v>17</v>
      </c>
      <c r="K2545" t="s">
        <v>22</v>
      </c>
      <c r="L2545">
        <v>3</v>
      </c>
      <c r="M2545">
        <v>52.94</v>
      </c>
      <c r="N2545">
        <v>741998</v>
      </c>
      <c r="O2545">
        <v>1</v>
      </c>
    </row>
    <row r="2546" spans="1:15">
      <c r="A2546" t="s">
        <v>2572</v>
      </c>
      <c r="B2546" t="s">
        <v>16</v>
      </c>
      <c r="C2546">
        <v>11</v>
      </c>
      <c r="D2546">
        <v>34865638</v>
      </c>
      <c r="E2546">
        <v>1</v>
      </c>
      <c r="F2546">
        <v>0</v>
      </c>
      <c r="G2546">
        <v>23</v>
      </c>
      <c r="H2546">
        <v>83774986</v>
      </c>
      <c r="I2546">
        <v>965611</v>
      </c>
      <c r="J2546" t="s">
        <v>17</v>
      </c>
      <c r="K2546" t="s">
        <v>30</v>
      </c>
      <c r="L2546">
        <v>3</v>
      </c>
      <c r="M2546">
        <v>53.84</v>
      </c>
      <c r="N2546">
        <v>382146</v>
      </c>
      <c r="O2546">
        <v>1</v>
      </c>
    </row>
    <row r="2547" spans="1:15">
      <c r="A2547" t="s">
        <v>2573</v>
      </c>
      <c r="B2547" t="s">
        <v>27</v>
      </c>
      <c r="C2547">
        <v>14</v>
      </c>
      <c r="D2547">
        <v>45944750</v>
      </c>
      <c r="E2547">
        <v>2</v>
      </c>
      <c r="F2547">
        <v>27</v>
      </c>
      <c r="G2547">
        <v>393</v>
      </c>
      <c r="H2547">
        <v>8558348</v>
      </c>
      <c r="I2547">
        <v>95707</v>
      </c>
      <c r="J2547" t="s">
        <v>17</v>
      </c>
      <c r="K2547" t="s">
        <v>18</v>
      </c>
      <c r="L2547">
        <v>3</v>
      </c>
      <c r="M2547">
        <v>93.57</v>
      </c>
      <c r="N2547">
        <v>700972</v>
      </c>
      <c r="O2547">
        <v>1</v>
      </c>
    </row>
    <row r="2548" spans="1:15">
      <c r="A2548" t="s">
        <v>2574</v>
      </c>
      <c r="B2548" t="s">
        <v>16</v>
      </c>
      <c r="C2548">
        <v>5</v>
      </c>
      <c r="D2548">
        <v>29591811</v>
      </c>
      <c r="E2548">
        <v>2</v>
      </c>
      <c r="F2548">
        <v>7</v>
      </c>
      <c r="G2548">
        <v>746</v>
      </c>
      <c r="H2548">
        <v>50421449</v>
      </c>
      <c r="I2548">
        <v>222040</v>
      </c>
      <c r="J2548" t="s">
        <v>21</v>
      </c>
      <c r="K2548" t="s">
        <v>22</v>
      </c>
      <c r="L2548">
        <v>5</v>
      </c>
      <c r="M2548">
        <v>69.790000000000006</v>
      </c>
      <c r="N2548">
        <v>488306</v>
      </c>
      <c r="O2548">
        <v>1</v>
      </c>
    </row>
    <row r="2549" spans="1:15">
      <c r="A2549" t="s">
        <v>2575</v>
      </c>
      <c r="B2549" t="s">
        <v>29</v>
      </c>
      <c r="C2549">
        <v>12</v>
      </c>
      <c r="D2549">
        <v>9191201</v>
      </c>
      <c r="E2549">
        <v>1</v>
      </c>
      <c r="F2549">
        <v>28</v>
      </c>
      <c r="G2549">
        <v>595</v>
      </c>
      <c r="H2549">
        <v>70682372</v>
      </c>
      <c r="I2549">
        <v>94615</v>
      </c>
      <c r="J2549" t="s">
        <v>21</v>
      </c>
      <c r="K2549" t="s">
        <v>30</v>
      </c>
      <c r="L2549">
        <v>2</v>
      </c>
      <c r="M2549">
        <v>34.840000000000003</v>
      </c>
      <c r="N2549">
        <v>637638</v>
      </c>
      <c r="O2549">
        <v>1</v>
      </c>
    </row>
    <row r="2550" spans="1:15">
      <c r="A2550" t="s">
        <v>2576</v>
      </c>
      <c r="B2550" t="s">
        <v>32</v>
      </c>
      <c r="C2550">
        <v>12</v>
      </c>
      <c r="D2550">
        <v>2451978</v>
      </c>
      <c r="E2550">
        <v>2</v>
      </c>
      <c r="F2550">
        <v>27</v>
      </c>
      <c r="G2550">
        <v>393</v>
      </c>
      <c r="H2550">
        <v>28331706</v>
      </c>
      <c r="I2550">
        <v>411268</v>
      </c>
      <c r="J2550" t="s">
        <v>25</v>
      </c>
      <c r="K2550" t="s">
        <v>22</v>
      </c>
      <c r="L2550">
        <v>7</v>
      </c>
      <c r="M2550">
        <v>77.03</v>
      </c>
      <c r="N2550">
        <v>570667</v>
      </c>
      <c r="O2550">
        <v>1</v>
      </c>
    </row>
    <row r="2551" spans="1:15">
      <c r="A2551" t="s">
        <v>2577</v>
      </c>
      <c r="B2551" t="s">
        <v>27</v>
      </c>
      <c r="C2551">
        <v>0</v>
      </c>
      <c r="D2551">
        <v>26252030</v>
      </c>
      <c r="E2551">
        <v>3</v>
      </c>
      <c r="F2551">
        <v>18</v>
      </c>
      <c r="G2551">
        <v>766</v>
      </c>
      <c r="H2551">
        <v>60687809</v>
      </c>
      <c r="I2551">
        <v>952664</v>
      </c>
      <c r="J2551" t="s">
        <v>17</v>
      </c>
      <c r="K2551" t="s">
        <v>30</v>
      </c>
      <c r="L2551">
        <v>9</v>
      </c>
      <c r="M2551">
        <v>52.94</v>
      </c>
      <c r="N2551">
        <v>259884</v>
      </c>
      <c r="O2551">
        <v>1</v>
      </c>
    </row>
    <row r="2552" spans="1:15">
      <c r="A2552" t="s">
        <v>2578</v>
      </c>
      <c r="B2552" t="s">
        <v>38</v>
      </c>
      <c r="C2552">
        <v>1</v>
      </c>
      <c r="D2552">
        <v>24708311</v>
      </c>
      <c r="E2552">
        <v>2</v>
      </c>
      <c r="F2552">
        <v>2</v>
      </c>
      <c r="G2552">
        <v>174</v>
      </c>
      <c r="H2552">
        <v>98628230</v>
      </c>
      <c r="I2552">
        <v>27039</v>
      </c>
      <c r="J2552" t="s">
        <v>25</v>
      </c>
      <c r="K2552" t="s">
        <v>30</v>
      </c>
      <c r="L2552">
        <v>9</v>
      </c>
      <c r="M2552">
        <v>83.55</v>
      </c>
      <c r="N2552">
        <v>479388</v>
      </c>
      <c r="O2552">
        <v>1</v>
      </c>
    </row>
    <row r="2553" spans="1:15">
      <c r="A2553" t="s">
        <v>2579</v>
      </c>
      <c r="B2553" t="s">
        <v>38</v>
      </c>
      <c r="C2553">
        <v>9</v>
      </c>
      <c r="D2553">
        <v>20280643</v>
      </c>
      <c r="E2553">
        <v>1</v>
      </c>
      <c r="F2553">
        <v>22</v>
      </c>
      <c r="G2553">
        <v>41</v>
      </c>
      <c r="H2553">
        <v>45171614</v>
      </c>
      <c r="I2553">
        <v>379790</v>
      </c>
      <c r="J2553" t="s">
        <v>17</v>
      </c>
      <c r="K2553" t="s">
        <v>22</v>
      </c>
      <c r="L2553">
        <v>1</v>
      </c>
      <c r="M2553">
        <v>32.47</v>
      </c>
      <c r="N2553">
        <v>399462</v>
      </c>
      <c r="O2553">
        <v>1</v>
      </c>
    </row>
    <row r="2554" spans="1:15">
      <c r="A2554" t="s">
        <v>2580</v>
      </c>
      <c r="B2554" t="s">
        <v>27</v>
      </c>
      <c r="C2554">
        <v>11</v>
      </c>
      <c r="D2554">
        <v>7475623</v>
      </c>
      <c r="E2554">
        <v>2</v>
      </c>
      <c r="F2554">
        <v>17</v>
      </c>
      <c r="G2554">
        <v>739</v>
      </c>
      <c r="H2554">
        <v>14993728</v>
      </c>
      <c r="I2554">
        <v>75479</v>
      </c>
      <c r="J2554" t="s">
        <v>21</v>
      </c>
      <c r="K2554" t="s">
        <v>22</v>
      </c>
      <c r="L2554">
        <v>7</v>
      </c>
      <c r="M2554">
        <v>37.86</v>
      </c>
      <c r="N2554">
        <v>676035</v>
      </c>
      <c r="O2554">
        <v>1</v>
      </c>
    </row>
    <row r="2555" spans="1:15">
      <c r="A2555" t="s">
        <v>2581</v>
      </c>
      <c r="B2555" t="s">
        <v>32</v>
      </c>
      <c r="C2555">
        <v>7</v>
      </c>
      <c r="D2555">
        <v>29424744</v>
      </c>
      <c r="E2555">
        <v>2</v>
      </c>
      <c r="F2555">
        <v>20</v>
      </c>
      <c r="G2555">
        <v>388</v>
      </c>
      <c r="H2555">
        <v>45885981</v>
      </c>
      <c r="I2555">
        <v>407790</v>
      </c>
      <c r="J2555" t="s">
        <v>17</v>
      </c>
      <c r="K2555" t="s">
        <v>22</v>
      </c>
      <c r="L2555">
        <v>4</v>
      </c>
      <c r="M2555">
        <v>20.36</v>
      </c>
      <c r="N2555">
        <v>406321</v>
      </c>
      <c r="O2555">
        <v>1</v>
      </c>
    </row>
    <row r="2556" spans="1:15">
      <c r="A2556" t="s">
        <v>2582</v>
      </c>
      <c r="B2556" t="s">
        <v>16</v>
      </c>
      <c r="C2556">
        <v>10</v>
      </c>
      <c r="D2556">
        <v>49971252</v>
      </c>
      <c r="E2556">
        <v>2</v>
      </c>
      <c r="F2556">
        <v>22</v>
      </c>
      <c r="G2556">
        <v>625</v>
      </c>
      <c r="H2556">
        <v>79754118</v>
      </c>
      <c r="I2556">
        <v>801392</v>
      </c>
      <c r="J2556" t="s">
        <v>25</v>
      </c>
      <c r="K2556" t="s">
        <v>22</v>
      </c>
      <c r="L2556">
        <v>7</v>
      </c>
      <c r="M2556">
        <v>60.26</v>
      </c>
      <c r="N2556">
        <v>331581</v>
      </c>
      <c r="O2556">
        <v>1</v>
      </c>
    </row>
    <row r="2557" spans="1:15">
      <c r="A2557" t="s">
        <v>2583</v>
      </c>
      <c r="B2557" t="s">
        <v>27</v>
      </c>
      <c r="C2557">
        <v>14</v>
      </c>
      <c r="D2557">
        <v>2394088</v>
      </c>
      <c r="E2557">
        <v>3</v>
      </c>
      <c r="F2557">
        <v>5</v>
      </c>
      <c r="G2557">
        <v>919</v>
      </c>
      <c r="H2557">
        <v>27817385</v>
      </c>
      <c r="I2557">
        <v>416444</v>
      </c>
      <c r="J2557" t="s">
        <v>21</v>
      </c>
      <c r="K2557" t="s">
        <v>30</v>
      </c>
      <c r="L2557">
        <v>1</v>
      </c>
      <c r="M2557">
        <v>80.88</v>
      </c>
      <c r="N2557">
        <v>41342</v>
      </c>
      <c r="O2557">
        <v>1</v>
      </c>
    </row>
    <row r="2558" spans="1:15">
      <c r="A2558" t="s">
        <v>2584</v>
      </c>
      <c r="B2558" t="s">
        <v>38</v>
      </c>
      <c r="C2558">
        <v>10</v>
      </c>
      <c r="D2558">
        <v>5995225</v>
      </c>
      <c r="E2558">
        <v>3</v>
      </c>
      <c r="F2558">
        <v>1</v>
      </c>
      <c r="G2558">
        <v>705</v>
      </c>
      <c r="H2558">
        <v>92442695</v>
      </c>
      <c r="I2558">
        <v>57037</v>
      </c>
      <c r="J2558" t="s">
        <v>25</v>
      </c>
      <c r="K2558" t="s">
        <v>22</v>
      </c>
      <c r="L2558">
        <v>1</v>
      </c>
      <c r="M2558">
        <v>60.87</v>
      </c>
      <c r="N2558">
        <v>266646</v>
      </c>
      <c r="O2558">
        <v>1</v>
      </c>
    </row>
    <row r="2559" spans="1:15">
      <c r="A2559" t="s">
        <v>2585</v>
      </c>
      <c r="B2559" t="s">
        <v>32</v>
      </c>
      <c r="C2559">
        <v>7</v>
      </c>
      <c r="D2559">
        <v>7465284</v>
      </c>
      <c r="E2559">
        <v>2</v>
      </c>
      <c r="F2559">
        <v>0</v>
      </c>
      <c r="G2559">
        <v>946</v>
      </c>
      <c r="H2559">
        <v>11222542</v>
      </c>
      <c r="I2559">
        <v>890937</v>
      </c>
      <c r="J2559" t="s">
        <v>21</v>
      </c>
      <c r="K2559" t="s">
        <v>18</v>
      </c>
      <c r="L2559">
        <v>2</v>
      </c>
      <c r="M2559">
        <v>95.6</v>
      </c>
      <c r="N2559">
        <v>552948</v>
      </c>
      <c r="O2559">
        <v>1</v>
      </c>
    </row>
    <row r="2560" spans="1:15">
      <c r="A2560" t="s">
        <v>2586</v>
      </c>
      <c r="B2560" t="s">
        <v>29</v>
      </c>
      <c r="C2560">
        <v>6</v>
      </c>
      <c r="D2560">
        <v>33203873</v>
      </c>
      <c r="E2560">
        <v>3</v>
      </c>
      <c r="F2560">
        <v>0</v>
      </c>
      <c r="G2560">
        <v>372</v>
      </c>
      <c r="H2560">
        <v>16385856</v>
      </c>
      <c r="I2560">
        <v>662418</v>
      </c>
      <c r="J2560" t="s">
        <v>17</v>
      </c>
      <c r="K2560" t="s">
        <v>18</v>
      </c>
      <c r="L2560">
        <v>3</v>
      </c>
      <c r="M2560">
        <v>22.65</v>
      </c>
      <c r="N2560">
        <v>900423</v>
      </c>
      <c r="O2560">
        <v>1</v>
      </c>
    </row>
    <row r="2561" spans="1:15">
      <c r="A2561" t="s">
        <v>2587</v>
      </c>
      <c r="B2561" t="s">
        <v>24</v>
      </c>
      <c r="C2561">
        <v>3</v>
      </c>
      <c r="D2561">
        <v>38840398</v>
      </c>
      <c r="E2561">
        <v>2</v>
      </c>
      <c r="F2561">
        <v>28</v>
      </c>
      <c r="G2561">
        <v>882</v>
      </c>
      <c r="H2561">
        <v>92448801</v>
      </c>
      <c r="I2561">
        <v>429956</v>
      </c>
      <c r="J2561" t="s">
        <v>21</v>
      </c>
      <c r="K2561" t="s">
        <v>22</v>
      </c>
      <c r="L2561">
        <v>4</v>
      </c>
      <c r="M2561">
        <v>96.5</v>
      </c>
      <c r="N2561">
        <v>672216</v>
      </c>
      <c r="O2561">
        <v>1</v>
      </c>
    </row>
    <row r="2562" spans="1:15">
      <c r="A2562" t="s">
        <v>2588</v>
      </c>
      <c r="B2562" t="s">
        <v>27</v>
      </c>
      <c r="C2562">
        <v>8</v>
      </c>
      <c r="D2562">
        <v>41859254</v>
      </c>
      <c r="E2562">
        <v>1</v>
      </c>
      <c r="F2562">
        <v>19</v>
      </c>
      <c r="G2562">
        <v>384</v>
      </c>
      <c r="H2562">
        <v>12262294</v>
      </c>
      <c r="I2562">
        <v>558725</v>
      </c>
      <c r="J2562" t="s">
        <v>25</v>
      </c>
      <c r="K2562" t="s">
        <v>22</v>
      </c>
      <c r="L2562">
        <v>8</v>
      </c>
      <c r="M2562">
        <v>15.13</v>
      </c>
      <c r="N2562">
        <v>328743</v>
      </c>
      <c r="O2562">
        <v>1</v>
      </c>
    </row>
    <row r="2563" spans="1:15">
      <c r="A2563" t="s">
        <v>2589</v>
      </c>
      <c r="B2563" t="s">
        <v>24</v>
      </c>
      <c r="C2563">
        <v>11</v>
      </c>
      <c r="D2563">
        <v>3306412</v>
      </c>
      <c r="E2563">
        <v>1</v>
      </c>
      <c r="F2563">
        <v>22</v>
      </c>
      <c r="G2563">
        <v>128</v>
      </c>
      <c r="H2563">
        <v>40379244</v>
      </c>
      <c r="I2563">
        <v>677053</v>
      </c>
      <c r="J2563" t="s">
        <v>25</v>
      </c>
      <c r="K2563" t="s">
        <v>22</v>
      </c>
      <c r="L2563">
        <v>5</v>
      </c>
      <c r="M2563">
        <v>30.39</v>
      </c>
      <c r="N2563">
        <v>444563</v>
      </c>
      <c r="O2563">
        <v>1</v>
      </c>
    </row>
    <row r="2564" spans="1:15">
      <c r="A2564" t="s">
        <v>2590</v>
      </c>
      <c r="B2564" t="s">
        <v>38</v>
      </c>
      <c r="C2564">
        <v>4</v>
      </c>
      <c r="D2564">
        <v>11514443</v>
      </c>
      <c r="E2564">
        <v>1</v>
      </c>
      <c r="F2564">
        <v>19</v>
      </c>
      <c r="G2564">
        <v>815</v>
      </c>
      <c r="H2564">
        <v>67849174</v>
      </c>
      <c r="I2564">
        <v>20439</v>
      </c>
      <c r="J2564" t="s">
        <v>25</v>
      </c>
      <c r="K2564" t="s">
        <v>22</v>
      </c>
      <c r="L2564">
        <v>8</v>
      </c>
      <c r="M2564">
        <v>55.38</v>
      </c>
      <c r="N2564">
        <v>894245</v>
      </c>
      <c r="O2564">
        <v>1</v>
      </c>
    </row>
    <row r="2565" spans="1:15">
      <c r="A2565" t="s">
        <v>2591</v>
      </c>
      <c r="B2565" t="s">
        <v>27</v>
      </c>
      <c r="C2565">
        <v>10</v>
      </c>
      <c r="D2565">
        <v>27406072</v>
      </c>
      <c r="E2565">
        <v>1</v>
      </c>
      <c r="F2565">
        <v>1</v>
      </c>
      <c r="G2565">
        <v>625</v>
      </c>
      <c r="H2565">
        <v>4184214</v>
      </c>
      <c r="I2565">
        <v>386394</v>
      </c>
      <c r="J2565" t="s">
        <v>21</v>
      </c>
      <c r="K2565" t="s">
        <v>30</v>
      </c>
      <c r="L2565">
        <v>8</v>
      </c>
      <c r="M2565">
        <v>27.1</v>
      </c>
      <c r="N2565">
        <v>44212</v>
      </c>
      <c r="O2565">
        <v>1</v>
      </c>
    </row>
    <row r="2566" spans="1:15">
      <c r="A2566" t="s">
        <v>2592</v>
      </c>
      <c r="B2566" t="s">
        <v>32</v>
      </c>
      <c r="C2566">
        <v>7</v>
      </c>
      <c r="D2566">
        <v>37537737</v>
      </c>
      <c r="E2566">
        <v>2</v>
      </c>
      <c r="F2566">
        <v>14</v>
      </c>
      <c r="G2566">
        <v>794</v>
      </c>
      <c r="H2566">
        <v>72131836</v>
      </c>
      <c r="I2566">
        <v>60673</v>
      </c>
      <c r="J2566" t="s">
        <v>25</v>
      </c>
      <c r="K2566" t="s">
        <v>30</v>
      </c>
      <c r="L2566">
        <v>7</v>
      </c>
      <c r="M2566">
        <v>65.790000000000006</v>
      </c>
      <c r="N2566">
        <v>542010</v>
      </c>
      <c r="O2566">
        <v>1</v>
      </c>
    </row>
    <row r="2567" spans="1:15">
      <c r="A2567" t="s">
        <v>2593</v>
      </c>
      <c r="B2567" t="s">
        <v>32</v>
      </c>
      <c r="C2567">
        <v>7</v>
      </c>
      <c r="D2567">
        <v>14786070</v>
      </c>
      <c r="E2567">
        <v>3</v>
      </c>
      <c r="F2567">
        <v>21</v>
      </c>
      <c r="G2567">
        <v>97</v>
      </c>
      <c r="H2567">
        <v>31362337</v>
      </c>
      <c r="I2567">
        <v>988610</v>
      </c>
      <c r="J2567" t="s">
        <v>21</v>
      </c>
      <c r="K2567" t="s">
        <v>18</v>
      </c>
      <c r="L2567">
        <v>7</v>
      </c>
      <c r="M2567">
        <v>38.270000000000003</v>
      </c>
      <c r="N2567">
        <v>633477</v>
      </c>
      <c r="O2567">
        <v>1</v>
      </c>
    </row>
    <row r="2568" spans="1:15">
      <c r="A2568" t="s">
        <v>2594</v>
      </c>
      <c r="B2568" t="s">
        <v>38</v>
      </c>
      <c r="C2568">
        <v>7</v>
      </c>
      <c r="D2568">
        <v>31342488</v>
      </c>
      <c r="E2568">
        <v>4</v>
      </c>
      <c r="F2568">
        <v>20</v>
      </c>
      <c r="G2568">
        <v>945</v>
      </c>
      <c r="H2568">
        <v>6365545</v>
      </c>
      <c r="I2568">
        <v>761866</v>
      </c>
      <c r="J2568" t="s">
        <v>17</v>
      </c>
      <c r="K2568" t="s">
        <v>30</v>
      </c>
      <c r="L2568">
        <v>7</v>
      </c>
      <c r="M2568">
        <v>34.909999999999997</v>
      </c>
      <c r="N2568">
        <v>843774</v>
      </c>
      <c r="O2568">
        <v>1</v>
      </c>
    </row>
    <row r="2569" spans="1:15">
      <c r="A2569" t="s">
        <v>2595</v>
      </c>
      <c r="B2569" t="s">
        <v>24</v>
      </c>
      <c r="C2569">
        <v>9</v>
      </c>
      <c r="D2569">
        <v>34447962</v>
      </c>
      <c r="E2569">
        <v>1</v>
      </c>
      <c r="F2569">
        <v>25</v>
      </c>
      <c r="G2569">
        <v>528</v>
      </c>
      <c r="H2569">
        <v>91204252</v>
      </c>
      <c r="I2569">
        <v>959034</v>
      </c>
      <c r="J2569" t="s">
        <v>25</v>
      </c>
      <c r="K2569" t="s">
        <v>22</v>
      </c>
      <c r="L2569">
        <v>6</v>
      </c>
      <c r="M2569">
        <v>73.849999999999994</v>
      </c>
      <c r="N2569">
        <v>845497</v>
      </c>
      <c r="O2569">
        <v>1</v>
      </c>
    </row>
    <row r="2570" spans="1:15">
      <c r="A2570" t="s">
        <v>2596</v>
      </c>
      <c r="B2570" t="s">
        <v>38</v>
      </c>
      <c r="C2570">
        <v>13</v>
      </c>
      <c r="D2570">
        <v>44047540</v>
      </c>
      <c r="E2570">
        <v>2</v>
      </c>
      <c r="F2570">
        <v>29</v>
      </c>
      <c r="G2570">
        <v>844</v>
      </c>
      <c r="H2570">
        <v>82546448</v>
      </c>
      <c r="I2570">
        <v>746338</v>
      </c>
      <c r="J2570" t="s">
        <v>17</v>
      </c>
      <c r="K2570" t="s">
        <v>30</v>
      </c>
      <c r="L2570">
        <v>7</v>
      </c>
      <c r="M2570">
        <v>70.22</v>
      </c>
      <c r="N2570">
        <v>354284</v>
      </c>
      <c r="O2570">
        <v>1</v>
      </c>
    </row>
    <row r="2571" spans="1:15">
      <c r="A2571" t="s">
        <v>2597</v>
      </c>
      <c r="B2571" t="s">
        <v>16</v>
      </c>
      <c r="C2571">
        <v>8</v>
      </c>
      <c r="D2571">
        <v>46899060</v>
      </c>
      <c r="E2571">
        <v>1</v>
      </c>
      <c r="F2571">
        <v>12</v>
      </c>
      <c r="G2571">
        <v>947</v>
      </c>
      <c r="H2571">
        <v>80926635</v>
      </c>
      <c r="I2571">
        <v>364761</v>
      </c>
      <c r="J2571" t="s">
        <v>25</v>
      </c>
      <c r="K2571" t="s">
        <v>18</v>
      </c>
      <c r="L2571">
        <v>7</v>
      </c>
      <c r="M2571">
        <v>69.34</v>
      </c>
      <c r="N2571">
        <v>189012</v>
      </c>
      <c r="O2571">
        <v>1</v>
      </c>
    </row>
    <row r="2572" spans="1:15">
      <c r="A2572" t="s">
        <v>2598</v>
      </c>
      <c r="B2572" t="s">
        <v>38</v>
      </c>
      <c r="C2572">
        <v>14</v>
      </c>
      <c r="D2572">
        <v>37364001</v>
      </c>
      <c r="E2572">
        <v>1</v>
      </c>
      <c r="F2572">
        <v>13</v>
      </c>
      <c r="G2572">
        <v>469</v>
      </c>
      <c r="H2572">
        <v>66192147</v>
      </c>
      <c r="I2572">
        <v>871955</v>
      </c>
      <c r="J2572" t="s">
        <v>17</v>
      </c>
      <c r="K2572" t="s">
        <v>30</v>
      </c>
      <c r="L2572">
        <v>2</v>
      </c>
      <c r="M2572">
        <v>74.66</v>
      </c>
      <c r="N2572">
        <v>28229</v>
      </c>
      <c r="O2572">
        <v>1</v>
      </c>
    </row>
    <row r="2573" spans="1:15">
      <c r="A2573" t="s">
        <v>2599</v>
      </c>
      <c r="B2573" t="s">
        <v>20</v>
      </c>
      <c r="C2573">
        <v>4</v>
      </c>
      <c r="D2573">
        <v>15565487</v>
      </c>
      <c r="E2573">
        <v>3</v>
      </c>
      <c r="F2573">
        <v>7</v>
      </c>
      <c r="G2573">
        <v>395</v>
      </c>
      <c r="H2573">
        <v>42012439</v>
      </c>
      <c r="I2573">
        <v>469471</v>
      </c>
      <c r="J2573" t="s">
        <v>21</v>
      </c>
      <c r="K2573" t="s">
        <v>22</v>
      </c>
      <c r="L2573">
        <v>8</v>
      </c>
      <c r="M2573">
        <v>93.77</v>
      </c>
      <c r="N2573">
        <v>872995</v>
      </c>
      <c r="O2573">
        <v>1</v>
      </c>
    </row>
    <row r="2574" spans="1:15">
      <c r="A2574" t="s">
        <v>2600</v>
      </c>
      <c r="B2574" t="s">
        <v>16</v>
      </c>
      <c r="C2574">
        <v>7</v>
      </c>
      <c r="D2574">
        <v>12510508</v>
      </c>
      <c r="E2574">
        <v>3</v>
      </c>
      <c r="F2574">
        <v>16</v>
      </c>
      <c r="G2574">
        <v>789</v>
      </c>
      <c r="H2574">
        <v>5390140</v>
      </c>
      <c r="I2574">
        <v>289324</v>
      </c>
      <c r="J2574" t="s">
        <v>25</v>
      </c>
      <c r="K2574" t="s">
        <v>18</v>
      </c>
      <c r="L2574">
        <v>4</v>
      </c>
      <c r="M2574">
        <v>93.5</v>
      </c>
      <c r="N2574">
        <v>559718</v>
      </c>
      <c r="O2574">
        <v>1</v>
      </c>
    </row>
    <row r="2575" spans="1:15">
      <c r="A2575" t="s">
        <v>2601</v>
      </c>
      <c r="B2575" t="s">
        <v>24</v>
      </c>
      <c r="C2575">
        <v>10</v>
      </c>
      <c r="D2575">
        <v>11869491</v>
      </c>
      <c r="E2575">
        <v>3</v>
      </c>
      <c r="F2575">
        <v>28</v>
      </c>
      <c r="G2575">
        <v>223</v>
      </c>
      <c r="H2575">
        <v>51198552</v>
      </c>
      <c r="I2575">
        <v>282701</v>
      </c>
      <c r="J2575" t="s">
        <v>25</v>
      </c>
      <c r="K2575" t="s">
        <v>18</v>
      </c>
      <c r="L2575">
        <v>6</v>
      </c>
      <c r="M2575">
        <v>62.38</v>
      </c>
      <c r="N2575">
        <v>117314</v>
      </c>
      <c r="O2575">
        <v>1</v>
      </c>
    </row>
    <row r="2576" spans="1:15">
      <c r="A2576" t="s">
        <v>2602</v>
      </c>
      <c r="B2576" t="s">
        <v>38</v>
      </c>
      <c r="C2576">
        <v>14</v>
      </c>
      <c r="D2576">
        <v>45877587</v>
      </c>
      <c r="E2576">
        <v>4</v>
      </c>
      <c r="F2576">
        <v>8</v>
      </c>
      <c r="G2576">
        <v>181</v>
      </c>
      <c r="H2576">
        <v>11486424</v>
      </c>
      <c r="I2576">
        <v>37321</v>
      </c>
      <c r="J2576" t="s">
        <v>21</v>
      </c>
      <c r="K2576" t="s">
        <v>22</v>
      </c>
      <c r="L2576">
        <v>5</v>
      </c>
      <c r="M2576">
        <v>22.4</v>
      </c>
      <c r="N2576">
        <v>873260</v>
      </c>
      <c r="O2576">
        <v>1</v>
      </c>
    </row>
    <row r="2577" spans="1:15">
      <c r="A2577" t="s">
        <v>2603</v>
      </c>
      <c r="B2577" t="s">
        <v>38</v>
      </c>
      <c r="C2577">
        <v>6</v>
      </c>
      <c r="D2577">
        <v>39149834</v>
      </c>
      <c r="E2577">
        <v>1</v>
      </c>
      <c r="F2577">
        <v>9</v>
      </c>
      <c r="G2577">
        <v>223</v>
      </c>
      <c r="H2577">
        <v>80036570</v>
      </c>
      <c r="I2577">
        <v>604631</v>
      </c>
      <c r="J2577" t="s">
        <v>21</v>
      </c>
      <c r="K2577" t="s">
        <v>22</v>
      </c>
      <c r="L2577">
        <v>8</v>
      </c>
      <c r="M2577">
        <v>31.33</v>
      </c>
      <c r="N2577">
        <v>268534</v>
      </c>
      <c r="O2577">
        <v>1</v>
      </c>
    </row>
    <row r="2578" spans="1:15">
      <c r="A2578" t="s">
        <v>2604</v>
      </c>
      <c r="B2578" t="s">
        <v>29</v>
      </c>
      <c r="C2578">
        <v>7</v>
      </c>
      <c r="D2578">
        <v>12294828</v>
      </c>
      <c r="E2578">
        <v>4</v>
      </c>
      <c r="F2578">
        <v>25</v>
      </c>
      <c r="G2578">
        <v>492</v>
      </c>
      <c r="H2578">
        <v>81518002</v>
      </c>
      <c r="I2578">
        <v>250838</v>
      </c>
      <c r="J2578" t="s">
        <v>21</v>
      </c>
      <c r="K2578" t="s">
        <v>22</v>
      </c>
      <c r="L2578">
        <v>9</v>
      </c>
      <c r="M2578">
        <v>78.3</v>
      </c>
      <c r="N2578">
        <v>414283</v>
      </c>
      <c r="O2578">
        <v>1</v>
      </c>
    </row>
    <row r="2579" spans="1:15">
      <c r="A2579" t="s">
        <v>2605</v>
      </c>
      <c r="B2579" t="s">
        <v>32</v>
      </c>
      <c r="C2579">
        <v>13</v>
      </c>
      <c r="D2579">
        <v>28463640</v>
      </c>
      <c r="E2579">
        <v>4</v>
      </c>
      <c r="F2579">
        <v>16</v>
      </c>
      <c r="G2579">
        <v>822</v>
      </c>
      <c r="H2579">
        <v>77004815</v>
      </c>
      <c r="I2579">
        <v>836474</v>
      </c>
      <c r="J2579" t="s">
        <v>17</v>
      </c>
      <c r="K2579" t="s">
        <v>30</v>
      </c>
      <c r="L2579">
        <v>9</v>
      </c>
      <c r="M2579">
        <v>92.99</v>
      </c>
      <c r="N2579">
        <v>680855</v>
      </c>
      <c r="O2579">
        <v>1</v>
      </c>
    </row>
    <row r="2580" spans="1:15">
      <c r="A2580" t="s">
        <v>2606</v>
      </c>
      <c r="B2580" t="s">
        <v>20</v>
      </c>
      <c r="C2580">
        <v>3</v>
      </c>
      <c r="D2580">
        <v>47581385</v>
      </c>
      <c r="E2580">
        <v>1</v>
      </c>
      <c r="F2580">
        <v>18</v>
      </c>
      <c r="G2580">
        <v>195</v>
      </c>
      <c r="H2580">
        <v>16419920</v>
      </c>
      <c r="I2580">
        <v>509237</v>
      </c>
      <c r="J2580" t="s">
        <v>25</v>
      </c>
      <c r="K2580" t="s">
        <v>18</v>
      </c>
      <c r="L2580">
        <v>9</v>
      </c>
      <c r="M2580">
        <v>57.87</v>
      </c>
      <c r="N2580">
        <v>306403</v>
      </c>
      <c r="O2580">
        <v>1</v>
      </c>
    </row>
    <row r="2581" spans="1:15">
      <c r="A2581" t="s">
        <v>2607</v>
      </c>
      <c r="B2581" t="s">
        <v>24</v>
      </c>
      <c r="C2581">
        <v>11</v>
      </c>
      <c r="D2581">
        <v>48768936</v>
      </c>
      <c r="E2581">
        <v>4</v>
      </c>
      <c r="F2581">
        <v>25</v>
      </c>
      <c r="G2581">
        <v>169</v>
      </c>
      <c r="H2581">
        <v>40353840</v>
      </c>
      <c r="I2581">
        <v>913870</v>
      </c>
      <c r="J2581" t="s">
        <v>25</v>
      </c>
      <c r="K2581" t="s">
        <v>30</v>
      </c>
      <c r="L2581">
        <v>1</v>
      </c>
      <c r="M2581">
        <v>52.66</v>
      </c>
      <c r="N2581">
        <v>169631</v>
      </c>
      <c r="O2581">
        <v>1</v>
      </c>
    </row>
    <row r="2582" spans="1:15">
      <c r="A2582" t="s">
        <v>2608</v>
      </c>
      <c r="B2582" t="s">
        <v>20</v>
      </c>
      <c r="C2582">
        <v>14</v>
      </c>
      <c r="D2582">
        <v>17218532</v>
      </c>
      <c r="E2582">
        <v>1</v>
      </c>
      <c r="F2582">
        <v>16</v>
      </c>
      <c r="G2582">
        <v>56</v>
      </c>
      <c r="H2582">
        <v>47123186</v>
      </c>
      <c r="I2582">
        <v>250300</v>
      </c>
      <c r="J2582" t="s">
        <v>21</v>
      </c>
      <c r="K2582" t="s">
        <v>30</v>
      </c>
      <c r="L2582">
        <v>9</v>
      </c>
      <c r="M2582">
        <v>57.68</v>
      </c>
      <c r="N2582">
        <v>9992</v>
      </c>
      <c r="O2582">
        <v>1</v>
      </c>
    </row>
    <row r="2583" spans="1:15">
      <c r="A2583" t="s">
        <v>2609</v>
      </c>
      <c r="B2583" t="s">
        <v>32</v>
      </c>
      <c r="C2583">
        <v>7</v>
      </c>
      <c r="D2583">
        <v>47407459</v>
      </c>
      <c r="E2583">
        <v>2</v>
      </c>
      <c r="F2583">
        <v>16</v>
      </c>
      <c r="G2583">
        <v>31</v>
      </c>
      <c r="H2583">
        <v>61137568</v>
      </c>
      <c r="I2583">
        <v>111490</v>
      </c>
      <c r="J2583" t="s">
        <v>17</v>
      </c>
      <c r="K2583" t="s">
        <v>30</v>
      </c>
      <c r="L2583">
        <v>6</v>
      </c>
      <c r="M2583">
        <v>34.22</v>
      </c>
      <c r="N2583">
        <v>546121</v>
      </c>
      <c r="O2583">
        <v>1</v>
      </c>
    </row>
    <row r="2584" spans="1:15">
      <c r="A2584" t="s">
        <v>2610</v>
      </c>
      <c r="B2584" t="s">
        <v>20</v>
      </c>
      <c r="C2584">
        <v>10</v>
      </c>
      <c r="D2584">
        <v>7994817</v>
      </c>
      <c r="E2584">
        <v>1</v>
      </c>
      <c r="F2584">
        <v>0</v>
      </c>
      <c r="G2584">
        <v>653</v>
      </c>
      <c r="H2584">
        <v>23555365</v>
      </c>
      <c r="I2584">
        <v>754781</v>
      </c>
      <c r="J2584" t="s">
        <v>21</v>
      </c>
      <c r="K2584" t="s">
        <v>18</v>
      </c>
      <c r="L2584">
        <v>4</v>
      </c>
      <c r="M2584">
        <v>31.79</v>
      </c>
      <c r="N2584">
        <v>978876</v>
      </c>
      <c r="O2584">
        <v>1</v>
      </c>
    </row>
    <row r="2585" spans="1:15">
      <c r="A2585" t="s">
        <v>2611</v>
      </c>
      <c r="B2585" t="s">
        <v>24</v>
      </c>
      <c r="C2585">
        <v>4</v>
      </c>
      <c r="D2585">
        <v>48579039</v>
      </c>
      <c r="E2585">
        <v>2</v>
      </c>
      <c r="F2585">
        <v>0</v>
      </c>
      <c r="G2585">
        <v>105</v>
      </c>
      <c r="H2585">
        <v>20076163</v>
      </c>
      <c r="I2585">
        <v>92124</v>
      </c>
      <c r="J2585" t="s">
        <v>25</v>
      </c>
      <c r="K2585" t="s">
        <v>30</v>
      </c>
      <c r="L2585">
        <v>1</v>
      </c>
      <c r="M2585">
        <v>32.74</v>
      </c>
      <c r="N2585">
        <v>438853</v>
      </c>
      <c r="O2585">
        <v>1</v>
      </c>
    </row>
    <row r="2586" spans="1:15">
      <c r="A2586" t="s">
        <v>2612</v>
      </c>
      <c r="B2586" t="s">
        <v>16</v>
      </c>
      <c r="C2586">
        <v>7</v>
      </c>
      <c r="D2586">
        <v>23984682</v>
      </c>
      <c r="E2586">
        <v>1</v>
      </c>
      <c r="F2586">
        <v>27</v>
      </c>
      <c r="G2586">
        <v>333</v>
      </c>
      <c r="H2586">
        <v>83364572</v>
      </c>
      <c r="I2586">
        <v>435256</v>
      </c>
      <c r="J2586" t="s">
        <v>21</v>
      </c>
      <c r="K2586" t="s">
        <v>30</v>
      </c>
      <c r="L2586">
        <v>6</v>
      </c>
      <c r="M2586">
        <v>10.11</v>
      </c>
      <c r="N2586">
        <v>75391</v>
      </c>
      <c r="O2586">
        <v>1</v>
      </c>
    </row>
    <row r="2587" spans="1:15">
      <c r="A2587" t="s">
        <v>2613</v>
      </c>
      <c r="B2587" t="s">
        <v>24</v>
      </c>
      <c r="C2587">
        <v>14</v>
      </c>
      <c r="D2587">
        <v>31428565</v>
      </c>
      <c r="E2587">
        <v>3</v>
      </c>
      <c r="F2587">
        <v>2</v>
      </c>
      <c r="G2587">
        <v>68</v>
      </c>
      <c r="H2587">
        <v>75653341</v>
      </c>
      <c r="I2587">
        <v>413953</v>
      </c>
      <c r="J2587" t="s">
        <v>25</v>
      </c>
      <c r="K2587" t="s">
        <v>18</v>
      </c>
      <c r="L2587">
        <v>5</v>
      </c>
      <c r="M2587">
        <v>32.15</v>
      </c>
      <c r="N2587">
        <v>541584</v>
      </c>
      <c r="O2587">
        <v>1</v>
      </c>
    </row>
    <row r="2588" spans="1:15">
      <c r="A2588" t="s">
        <v>2614</v>
      </c>
      <c r="B2588" t="s">
        <v>27</v>
      </c>
      <c r="C2588">
        <v>14</v>
      </c>
      <c r="D2588">
        <v>7980124</v>
      </c>
      <c r="E2588">
        <v>1</v>
      </c>
      <c r="F2588">
        <v>19</v>
      </c>
      <c r="G2588">
        <v>140</v>
      </c>
      <c r="H2588">
        <v>344495</v>
      </c>
      <c r="I2588">
        <v>527505</v>
      </c>
      <c r="J2588" t="s">
        <v>21</v>
      </c>
      <c r="K2588" t="s">
        <v>30</v>
      </c>
      <c r="L2588">
        <v>1</v>
      </c>
      <c r="M2588">
        <v>52.48</v>
      </c>
      <c r="N2588">
        <v>644430</v>
      </c>
      <c r="O2588">
        <v>1</v>
      </c>
    </row>
    <row r="2589" spans="1:15">
      <c r="A2589" t="s">
        <v>2615</v>
      </c>
      <c r="B2589" t="s">
        <v>29</v>
      </c>
      <c r="C2589">
        <v>3</v>
      </c>
      <c r="D2589">
        <v>30342313</v>
      </c>
      <c r="E2589">
        <v>4</v>
      </c>
      <c r="F2589">
        <v>3</v>
      </c>
      <c r="G2589">
        <v>648</v>
      </c>
      <c r="H2589">
        <v>28080311</v>
      </c>
      <c r="I2589">
        <v>59090</v>
      </c>
      <c r="J2589" t="s">
        <v>17</v>
      </c>
      <c r="K2589" t="s">
        <v>18</v>
      </c>
      <c r="L2589">
        <v>2</v>
      </c>
      <c r="M2589">
        <v>42.98</v>
      </c>
      <c r="N2589">
        <v>584202</v>
      </c>
      <c r="O2589">
        <v>1</v>
      </c>
    </row>
    <row r="2590" spans="1:15">
      <c r="A2590" t="s">
        <v>2616</v>
      </c>
      <c r="B2590" t="s">
        <v>38</v>
      </c>
      <c r="C2590">
        <v>11</v>
      </c>
      <c r="D2590">
        <v>48356818</v>
      </c>
      <c r="E2590">
        <v>4</v>
      </c>
      <c r="F2590">
        <v>17</v>
      </c>
      <c r="G2590">
        <v>479</v>
      </c>
      <c r="H2590">
        <v>12177875</v>
      </c>
      <c r="I2590">
        <v>716900</v>
      </c>
      <c r="J2590" t="s">
        <v>21</v>
      </c>
      <c r="K2590" t="s">
        <v>18</v>
      </c>
      <c r="L2590">
        <v>7</v>
      </c>
      <c r="M2590">
        <v>56.99</v>
      </c>
      <c r="N2590">
        <v>950618</v>
      </c>
      <c r="O2590">
        <v>1</v>
      </c>
    </row>
    <row r="2591" spans="1:15">
      <c r="A2591" t="s">
        <v>2617</v>
      </c>
      <c r="B2591" t="s">
        <v>29</v>
      </c>
      <c r="C2591">
        <v>12</v>
      </c>
      <c r="D2591">
        <v>30495329</v>
      </c>
      <c r="E2591">
        <v>4</v>
      </c>
      <c r="F2591">
        <v>12</v>
      </c>
      <c r="G2591">
        <v>841</v>
      </c>
      <c r="H2591">
        <v>6983044</v>
      </c>
      <c r="I2591">
        <v>341285</v>
      </c>
      <c r="J2591" t="s">
        <v>21</v>
      </c>
      <c r="K2591" t="s">
        <v>18</v>
      </c>
      <c r="L2591">
        <v>3</v>
      </c>
      <c r="M2591">
        <v>36.619999999999997</v>
      </c>
      <c r="N2591">
        <v>926493</v>
      </c>
      <c r="O2591">
        <v>1</v>
      </c>
    </row>
    <row r="2592" spans="1:15">
      <c r="A2592" t="s">
        <v>2618</v>
      </c>
      <c r="B2592" t="s">
        <v>20</v>
      </c>
      <c r="C2592">
        <v>2</v>
      </c>
      <c r="D2592">
        <v>5741807</v>
      </c>
      <c r="E2592">
        <v>4</v>
      </c>
      <c r="F2592">
        <v>27</v>
      </c>
      <c r="G2592">
        <v>383</v>
      </c>
      <c r="H2592">
        <v>3712351</v>
      </c>
      <c r="I2592">
        <v>286487</v>
      </c>
      <c r="J2592" t="s">
        <v>25</v>
      </c>
      <c r="K2592" t="s">
        <v>22</v>
      </c>
      <c r="L2592">
        <v>8</v>
      </c>
      <c r="M2592">
        <v>87.69</v>
      </c>
      <c r="N2592">
        <v>144861</v>
      </c>
      <c r="O2592">
        <v>1</v>
      </c>
    </row>
    <row r="2593" spans="1:15">
      <c r="A2593" t="s">
        <v>2619</v>
      </c>
      <c r="B2593" t="s">
        <v>20</v>
      </c>
      <c r="C2593">
        <v>10</v>
      </c>
      <c r="D2593">
        <v>25599479</v>
      </c>
      <c r="E2593">
        <v>4</v>
      </c>
      <c r="F2593">
        <v>14</v>
      </c>
      <c r="G2593">
        <v>58</v>
      </c>
      <c r="H2593">
        <v>90371394</v>
      </c>
      <c r="I2593">
        <v>902462</v>
      </c>
      <c r="J2593" t="s">
        <v>25</v>
      </c>
      <c r="K2593" t="s">
        <v>18</v>
      </c>
      <c r="L2593">
        <v>5</v>
      </c>
      <c r="M2593">
        <v>41.54</v>
      </c>
      <c r="N2593">
        <v>450529</v>
      </c>
      <c r="O2593">
        <v>1</v>
      </c>
    </row>
    <row r="2594" spans="1:15">
      <c r="A2594" t="s">
        <v>2620</v>
      </c>
      <c r="B2594" t="s">
        <v>24</v>
      </c>
      <c r="C2594">
        <v>0</v>
      </c>
      <c r="D2594">
        <v>25315093</v>
      </c>
      <c r="E2594">
        <v>3</v>
      </c>
      <c r="F2594">
        <v>15</v>
      </c>
      <c r="G2594">
        <v>777</v>
      </c>
      <c r="H2594">
        <v>5573342</v>
      </c>
      <c r="I2594">
        <v>68474</v>
      </c>
      <c r="J2594" t="s">
        <v>17</v>
      </c>
      <c r="K2594" t="s">
        <v>22</v>
      </c>
      <c r="L2594">
        <v>5</v>
      </c>
      <c r="M2594">
        <v>38.44</v>
      </c>
      <c r="N2594">
        <v>895150</v>
      </c>
      <c r="O2594">
        <v>1</v>
      </c>
    </row>
    <row r="2595" spans="1:15">
      <c r="A2595" t="s">
        <v>2621</v>
      </c>
      <c r="B2595" t="s">
        <v>29</v>
      </c>
      <c r="C2595">
        <v>13</v>
      </c>
      <c r="D2595">
        <v>38381547</v>
      </c>
      <c r="E2595">
        <v>2</v>
      </c>
      <c r="F2595">
        <v>4</v>
      </c>
      <c r="G2595">
        <v>751</v>
      </c>
      <c r="H2595">
        <v>75165289</v>
      </c>
      <c r="I2595">
        <v>426522</v>
      </c>
      <c r="J2595" t="s">
        <v>21</v>
      </c>
      <c r="K2595" t="s">
        <v>22</v>
      </c>
      <c r="L2595">
        <v>4</v>
      </c>
      <c r="M2595">
        <v>26.06</v>
      </c>
      <c r="N2595">
        <v>727433</v>
      </c>
      <c r="O2595">
        <v>1</v>
      </c>
    </row>
    <row r="2596" spans="1:15">
      <c r="A2596" t="s">
        <v>2622</v>
      </c>
      <c r="B2596" t="s">
        <v>38</v>
      </c>
      <c r="C2596">
        <v>11</v>
      </c>
      <c r="D2596">
        <v>25662908</v>
      </c>
      <c r="E2596">
        <v>1</v>
      </c>
      <c r="F2596">
        <v>13</v>
      </c>
      <c r="G2596">
        <v>781</v>
      </c>
      <c r="H2596">
        <v>53032133</v>
      </c>
      <c r="I2596">
        <v>565670</v>
      </c>
      <c r="J2596" t="s">
        <v>21</v>
      </c>
      <c r="K2596" t="s">
        <v>18</v>
      </c>
      <c r="L2596">
        <v>7</v>
      </c>
      <c r="M2596">
        <v>10.44</v>
      </c>
      <c r="N2596">
        <v>381546</v>
      </c>
      <c r="O2596">
        <v>1</v>
      </c>
    </row>
    <row r="2597" spans="1:15">
      <c r="A2597" t="s">
        <v>2623</v>
      </c>
      <c r="B2597" t="s">
        <v>16</v>
      </c>
      <c r="C2597">
        <v>5</v>
      </c>
      <c r="D2597">
        <v>20293430</v>
      </c>
      <c r="E2597">
        <v>2</v>
      </c>
      <c r="F2597">
        <v>1</v>
      </c>
      <c r="G2597">
        <v>89</v>
      </c>
      <c r="H2597">
        <v>25865958</v>
      </c>
      <c r="I2597">
        <v>829062</v>
      </c>
      <c r="J2597" t="s">
        <v>25</v>
      </c>
      <c r="K2597" t="s">
        <v>22</v>
      </c>
      <c r="L2597">
        <v>4</v>
      </c>
      <c r="M2597">
        <v>35.28</v>
      </c>
      <c r="N2597">
        <v>762644</v>
      </c>
      <c r="O2597">
        <v>1</v>
      </c>
    </row>
    <row r="2598" spans="1:15">
      <c r="A2598" t="s">
        <v>2624</v>
      </c>
      <c r="B2598" t="s">
        <v>20</v>
      </c>
      <c r="C2598">
        <v>12</v>
      </c>
      <c r="D2598">
        <v>35696140</v>
      </c>
      <c r="E2598">
        <v>1</v>
      </c>
      <c r="F2598">
        <v>12</v>
      </c>
      <c r="G2598">
        <v>415</v>
      </c>
      <c r="H2598">
        <v>15531107</v>
      </c>
      <c r="I2598">
        <v>729622</v>
      </c>
      <c r="J2598" t="s">
        <v>17</v>
      </c>
      <c r="K2598" t="s">
        <v>18</v>
      </c>
      <c r="L2598">
        <v>8</v>
      </c>
      <c r="M2598">
        <v>85.93</v>
      </c>
      <c r="N2598">
        <v>369460</v>
      </c>
      <c r="O2598">
        <v>1</v>
      </c>
    </row>
    <row r="2599" spans="1:15">
      <c r="A2599" t="s">
        <v>2625</v>
      </c>
      <c r="B2599" t="s">
        <v>29</v>
      </c>
      <c r="C2599">
        <v>9</v>
      </c>
      <c r="D2599">
        <v>34719570</v>
      </c>
      <c r="E2599">
        <v>3</v>
      </c>
      <c r="F2599">
        <v>23</v>
      </c>
      <c r="G2599">
        <v>215</v>
      </c>
      <c r="H2599">
        <v>16725194</v>
      </c>
      <c r="I2599">
        <v>295080</v>
      </c>
      <c r="J2599" t="s">
        <v>25</v>
      </c>
      <c r="K2599" t="s">
        <v>18</v>
      </c>
      <c r="L2599">
        <v>6</v>
      </c>
      <c r="M2599">
        <v>25.35</v>
      </c>
      <c r="N2599">
        <v>347134</v>
      </c>
      <c r="O2599">
        <v>1</v>
      </c>
    </row>
    <row r="2600" spans="1:15">
      <c r="A2600" t="s">
        <v>2626</v>
      </c>
      <c r="B2600" t="s">
        <v>29</v>
      </c>
      <c r="C2600">
        <v>4</v>
      </c>
      <c r="D2600">
        <v>43770579</v>
      </c>
      <c r="E2600">
        <v>1</v>
      </c>
      <c r="F2600">
        <v>7</v>
      </c>
      <c r="G2600">
        <v>225</v>
      </c>
      <c r="H2600">
        <v>7068448</v>
      </c>
      <c r="I2600">
        <v>837551</v>
      </c>
      <c r="J2600" t="s">
        <v>25</v>
      </c>
      <c r="K2600" t="s">
        <v>22</v>
      </c>
      <c r="L2600">
        <v>5</v>
      </c>
      <c r="M2600">
        <v>5.51</v>
      </c>
      <c r="N2600">
        <v>849194</v>
      </c>
      <c r="O2600">
        <v>1</v>
      </c>
    </row>
    <row r="2601" spans="1:15">
      <c r="A2601" t="s">
        <v>2627</v>
      </c>
      <c r="B2601" t="s">
        <v>32</v>
      </c>
      <c r="C2601">
        <v>10</v>
      </c>
      <c r="D2601">
        <v>3774037</v>
      </c>
      <c r="E2601">
        <v>2</v>
      </c>
      <c r="F2601">
        <v>9</v>
      </c>
      <c r="G2601">
        <v>683</v>
      </c>
      <c r="H2601">
        <v>81015795</v>
      </c>
      <c r="I2601">
        <v>385288</v>
      </c>
      <c r="J2601" t="s">
        <v>25</v>
      </c>
      <c r="K2601" t="s">
        <v>18</v>
      </c>
      <c r="L2601">
        <v>6</v>
      </c>
      <c r="M2601">
        <v>43.65</v>
      </c>
      <c r="N2601">
        <v>537638</v>
      </c>
      <c r="O2601">
        <v>1</v>
      </c>
    </row>
    <row r="2602" spans="1:15">
      <c r="A2602" t="s">
        <v>2628</v>
      </c>
      <c r="B2602" t="s">
        <v>16</v>
      </c>
      <c r="C2602">
        <v>8</v>
      </c>
      <c r="D2602">
        <v>10785120</v>
      </c>
      <c r="E2602">
        <v>2</v>
      </c>
      <c r="F2602">
        <v>4</v>
      </c>
      <c r="G2602">
        <v>365</v>
      </c>
      <c r="H2602">
        <v>56423258</v>
      </c>
      <c r="I2602">
        <v>977590</v>
      </c>
      <c r="J2602" t="s">
        <v>25</v>
      </c>
      <c r="K2602" t="s">
        <v>18</v>
      </c>
      <c r="L2602">
        <v>1</v>
      </c>
      <c r="M2602">
        <v>51.07</v>
      </c>
      <c r="N2602">
        <v>995518</v>
      </c>
      <c r="O2602">
        <v>1</v>
      </c>
    </row>
    <row r="2603" spans="1:15">
      <c r="A2603" t="s">
        <v>2629</v>
      </c>
      <c r="B2603" t="s">
        <v>16</v>
      </c>
      <c r="C2603">
        <v>11</v>
      </c>
      <c r="D2603">
        <v>30243556</v>
      </c>
      <c r="E2603">
        <v>2</v>
      </c>
      <c r="F2603">
        <v>27</v>
      </c>
      <c r="G2603">
        <v>701</v>
      </c>
      <c r="H2603">
        <v>78559210</v>
      </c>
      <c r="I2603">
        <v>741180</v>
      </c>
      <c r="J2603" t="s">
        <v>17</v>
      </c>
      <c r="K2603" t="s">
        <v>22</v>
      </c>
      <c r="L2603">
        <v>4</v>
      </c>
      <c r="M2603">
        <v>0.8</v>
      </c>
      <c r="N2603">
        <v>604293</v>
      </c>
      <c r="O2603">
        <v>1</v>
      </c>
    </row>
    <row r="2604" spans="1:15">
      <c r="A2604" t="s">
        <v>2630</v>
      </c>
      <c r="B2604" t="s">
        <v>16</v>
      </c>
      <c r="C2604">
        <v>6</v>
      </c>
      <c r="D2604">
        <v>11499787</v>
      </c>
      <c r="E2604">
        <v>1</v>
      </c>
      <c r="F2604">
        <v>9</v>
      </c>
      <c r="G2604">
        <v>310</v>
      </c>
      <c r="H2604">
        <v>18360488</v>
      </c>
      <c r="I2604">
        <v>202449</v>
      </c>
      <c r="J2604" t="s">
        <v>17</v>
      </c>
      <c r="K2604" t="s">
        <v>22</v>
      </c>
      <c r="L2604">
        <v>4</v>
      </c>
      <c r="M2604">
        <v>18.39</v>
      </c>
      <c r="N2604">
        <v>213755</v>
      </c>
      <c r="O2604">
        <v>1</v>
      </c>
    </row>
    <row r="2605" spans="1:15">
      <c r="A2605" t="s">
        <v>2631</v>
      </c>
      <c r="B2605" t="s">
        <v>24</v>
      </c>
      <c r="C2605">
        <v>2</v>
      </c>
      <c r="D2605">
        <v>10484629</v>
      </c>
      <c r="E2605">
        <v>3</v>
      </c>
      <c r="F2605">
        <v>15</v>
      </c>
      <c r="G2605">
        <v>306</v>
      </c>
      <c r="H2605">
        <v>14544126</v>
      </c>
      <c r="I2605">
        <v>225348</v>
      </c>
      <c r="J2605" t="s">
        <v>21</v>
      </c>
      <c r="K2605" t="s">
        <v>22</v>
      </c>
      <c r="L2605">
        <v>6</v>
      </c>
      <c r="M2605">
        <v>89.75</v>
      </c>
      <c r="N2605">
        <v>572530</v>
      </c>
      <c r="O2605">
        <v>1</v>
      </c>
    </row>
    <row r="2606" spans="1:15">
      <c r="A2606" t="s">
        <v>2632</v>
      </c>
      <c r="B2606" t="s">
        <v>20</v>
      </c>
      <c r="C2606">
        <v>4</v>
      </c>
      <c r="D2606">
        <v>623415</v>
      </c>
      <c r="E2606">
        <v>4</v>
      </c>
      <c r="F2606">
        <v>16</v>
      </c>
      <c r="G2606">
        <v>789</v>
      </c>
      <c r="H2606">
        <v>35054214</v>
      </c>
      <c r="I2606">
        <v>777846</v>
      </c>
      <c r="J2606" t="s">
        <v>25</v>
      </c>
      <c r="K2606" t="s">
        <v>30</v>
      </c>
      <c r="L2606">
        <v>8</v>
      </c>
      <c r="M2606">
        <v>31.81</v>
      </c>
      <c r="N2606">
        <v>627865</v>
      </c>
      <c r="O2606">
        <v>1</v>
      </c>
    </row>
    <row r="2607" spans="1:15">
      <c r="A2607" t="s">
        <v>2633</v>
      </c>
      <c r="B2607" t="s">
        <v>38</v>
      </c>
      <c r="C2607">
        <v>14</v>
      </c>
      <c r="D2607">
        <v>19169521</v>
      </c>
      <c r="E2607">
        <v>3</v>
      </c>
      <c r="F2607">
        <v>19</v>
      </c>
      <c r="G2607">
        <v>215</v>
      </c>
      <c r="H2607">
        <v>75891780</v>
      </c>
      <c r="I2607">
        <v>197642</v>
      </c>
      <c r="J2607" t="s">
        <v>17</v>
      </c>
      <c r="K2607" t="s">
        <v>30</v>
      </c>
      <c r="L2607">
        <v>5</v>
      </c>
      <c r="M2607">
        <v>23.04</v>
      </c>
      <c r="N2607">
        <v>331080</v>
      </c>
      <c r="O2607">
        <v>1</v>
      </c>
    </row>
    <row r="2608" spans="1:15">
      <c r="A2608" t="s">
        <v>2634</v>
      </c>
      <c r="B2608" t="s">
        <v>20</v>
      </c>
      <c r="C2608">
        <v>12</v>
      </c>
      <c r="D2608">
        <v>14891899</v>
      </c>
      <c r="E2608">
        <v>2</v>
      </c>
      <c r="F2608">
        <v>15</v>
      </c>
      <c r="G2608">
        <v>967</v>
      </c>
      <c r="H2608">
        <v>8382410</v>
      </c>
      <c r="I2608">
        <v>713321</v>
      </c>
      <c r="J2608" t="s">
        <v>17</v>
      </c>
      <c r="K2608" t="s">
        <v>18</v>
      </c>
      <c r="L2608">
        <v>4</v>
      </c>
      <c r="M2608">
        <v>32.700000000000003</v>
      </c>
      <c r="N2608">
        <v>269728</v>
      </c>
      <c r="O2608">
        <v>1</v>
      </c>
    </row>
    <row r="2609" spans="1:15">
      <c r="A2609" t="s">
        <v>2635</v>
      </c>
      <c r="B2609" t="s">
        <v>29</v>
      </c>
      <c r="C2609">
        <v>1</v>
      </c>
      <c r="D2609">
        <v>7424304</v>
      </c>
      <c r="E2609">
        <v>3</v>
      </c>
      <c r="F2609">
        <v>22</v>
      </c>
      <c r="G2609">
        <v>514</v>
      </c>
      <c r="H2609">
        <v>24240344</v>
      </c>
      <c r="I2609">
        <v>745201</v>
      </c>
      <c r="J2609" t="s">
        <v>25</v>
      </c>
      <c r="K2609" t="s">
        <v>30</v>
      </c>
      <c r="L2609">
        <v>4</v>
      </c>
      <c r="M2609">
        <v>26.07</v>
      </c>
      <c r="N2609">
        <v>920666</v>
      </c>
      <c r="O2609">
        <v>1</v>
      </c>
    </row>
    <row r="2610" spans="1:15">
      <c r="A2610" t="s">
        <v>2636</v>
      </c>
      <c r="B2610" t="s">
        <v>32</v>
      </c>
      <c r="C2610">
        <v>3</v>
      </c>
      <c r="D2610">
        <v>14195866</v>
      </c>
      <c r="E2610">
        <v>4</v>
      </c>
      <c r="F2610">
        <v>12</v>
      </c>
      <c r="G2610">
        <v>771</v>
      </c>
      <c r="H2610">
        <v>90565630</v>
      </c>
      <c r="I2610">
        <v>815443</v>
      </c>
      <c r="J2610" t="s">
        <v>17</v>
      </c>
      <c r="K2610" t="s">
        <v>18</v>
      </c>
      <c r="L2610">
        <v>2</v>
      </c>
      <c r="M2610">
        <v>30.72</v>
      </c>
      <c r="N2610">
        <v>991965</v>
      </c>
      <c r="O2610">
        <v>1</v>
      </c>
    </row>
    <row r="2611" spans="1:15">
      <c r="A2611" t="s">
        <v>2637</v>
      </c>
      <c r="B2611" t="s">
        <v>16</v>
      </c>
      <c r="C2611">
        <v>9</v>
      </c>
      <c r="D2611">
        <v>47039463</v>
      </c>
      <c r="E2611">
        <v>2</v>
      </c>
      <c r="F2611">
        <v>18</v>
      </c>
      <c r="G2611">
        <v>151</v>
      </c>
      <c r="H2611">
        <v>57896007</v>
      </c>
      <c r="I2611">
        <v>987097</v>
      </c>
      <c r="J2611" t="s">
        <v>17</v>
      </c>
      <c r="K2611" t="s">
        <v>18</v>
      </c>
      <c r="L2611">
        <v>5</v>
      </c>
      <c r="M2611">
        <v>55.69</v>
      </c>
      <c r="N2611">
        <v>550636</v>
      </c>
      <c r="O2611">
        <v>1</v>
      </c>
    </row>
    <row r="2612" spans="1:15">
      <c r="A2612" t="s">
        <v>2638</v>
      </c>
      <c r="B2612" t="s">
        <v>32</v>
      </c>
      <c r="C2612">
        <v>11</v>
      </c>
      <c r="D2612">
        <v>41969205</v>
      </c>
      <c r="E2612">
        <v>1</v>
      </c>
      <c r="F2612">
        <v>11</v>
      </c>
      <c r="G2612">
        <v>321</v>
      </c>
      <c r="H2612">
        <v>60047528</v>
      </c>
      <c r="I2612">
        <v>34051</v>
      </c>
      <c r="J2612" t="s">
        <v>25</v>
      </c>
      <c r="K2612" t="s">
        <v>18</v>
      </c>
      <c r="L2612">
        <v>1</v>
      </c>
      <c r="M2612">
        <v>47.12</v>
      </c>
      <c r="N2612">
        <v>430741</v>
      </c>
      <c r="O2612">
        <v>1</v>
      </c>
    </row>
    <row r="2613" spans="1:15">
      <c r="A2613" t="s">
        <v>2639</v>
      </c>
      <c r="B2613" t="s">
        <v>16</v>
      </c>
      <c r="C2613">
        <v>5</v>
      </c>
      <c r="D2613">
        <v>49602559</v>
      </c>
      <c r="E2613">
        <v>3</v>
      </c>
      <c r="F2613">
        <v>14</v>
      </c>
      <c r="G2613">
        <v>638</v>
      </c>
      <c r="H2613">
        <v>5768791</v>
      </c>
      <c r="I2613">
        <v>773425</v>
      </c>
      <c r="J2613" t="s">
        <v>25</v>
      </c>
      <c r="K2613" t="s">
        <v>18</v>
      </c>
      <c r="L2613">
        <v>3</v>
      </c>
      <c r="M2613">
        <v>45.89</v>
      </c>
      <c r="N2613">
        <v>910397</v>
      </c>
      <c r="O2613">
        <v>1</v>
      </c>
    </row>
    <row r="2614" spans="1:15">
      <c r="A2614" t="s">
        <v>2640</v>
      </c>
      <c r="B2614" t="s">
        <v>38</v>
      </c>
      <c r="C2614">
        <v>1</v>
      </c>
      <c r="D2614">
        <v>47672851</v>
      </c>
      <c r="E2614">
        <v>1</v>
      </c>
      <c r="F2614">
        <v>26</v>
      </c>
      <c r="G2614">
        <v>364</v>
      </c>
      <c r="H2614">
        <v>73253381</v>
      </c>
      <c r="I2614">
        <v>276720</v>
      </c>
      <c r="J2614" t="s">
        <v>21</v>
      </c>
      <c r="K2614" t="s">
        <v>22</v>
      </c>
      <c r="L2614">
        <v>5</v>
      </c>
      <c r="M2614">
        <v>2.56</v>
      </c>
      <c r="N2614">
        <v>884347</v>
      </c>
      <c r="O2614">
        <v>1</v>
      </c>
    </row>
    <row r="2615" spans="1:15">
      <c r="A2615" t="s">
        <v>2641</v>
      </c>
      <c r="B2615" t="s">
        <v>24</v>
      </c>
      <c r="C2615">
        <v>1</v>
      </c>
      <c r="D2615">
        <v>13407617</v>
      </c>
      <c r="E2615">
        <v>1</v>
      </c>
      <c r="F2615">
        <v>28</v>
      </c>
      <c r="G2615">
        <v>364</v>
      </c>
      <c r="H2615">
        <v>55686748</v>
      </c>
      <c r="I2615">
        <v>534553</v>
      </c>
      <c r="J2615" t="s">
        <v>25</v>
      </c>
      <c r="K2615" t="s">
        <v>30</v>
      </c>
      <c r="L2615">
        <v>6</v>
      </c>
      <c r="M2615">
        <v>54.54</v>
      </c>
      <c r="N2615">
        <v>262172</v>
      </c>
      <c r="O2615">
        <v>1</v>
      </c>
    </row>
    <row r="2616" spans="1:15">
      <c r="A2616" t="s">
        <v>2642</v>
      </c>
      <c r="B2616" t="s">
        <v>29</v>
      </c>
      <c r="C2616">
        <v>13</v>
      </c>
      <c r="D2616">
        <v>7861927</v>
      </c>
      <c r="E2616">
        <v>4</v>
      </c>
      <c r="F2616">
        <v>1</v>
      </c>
      <c r="G2616">
        <v>835</v>
      </c>
      <c r="H2616">
        <v>2025093</v>
      </c>
      <c r="I2616">
        <v>483717</v>
      </c>
      <c r="J2616" t="s">
        <v>21</v>
      </c>
      <c r="K2616" t="s">
        <v>22</v>
      </c>
      <c r="L2616">
        <v>6</v>
      </c>
      <c r="M2616">
        <v>48.32</v>
      </c>
      <c r="N2616">
        <v>317204</v>
      </c>
      <c r="O2616">
        <v>1</v>
      </c>
    </row>
    <row r="2617" spans="1:15">
      <c r="A2617" t="s">
        <v>2643</v>
      </c>
      <c r="B2617" t="s">
        <v>32</v>
      </c>
      <c r="C2617">
        <v>10</v>
      </c>
      <c r="D2617">
        <v>30714303</v>
      </c>
      <c r="E2617">
        <v>1</v>
      </c>
      <c r="F2617">
        <v>17</v>
      </c>
      <c r="G2617">
        <v>613</v>
      </c>
      <c r="H2617">
        <v>63186538</v>
      </c>
      <c r="I2617">
        <v>967454</v>
      </c>
      <c r="J2617" t="s">
        <v>21</v>
      </c>
      <c r="K2617" t="s">
        <v>18</v>
      </c>
      <c r="L2617">
        <v>6</v>
      </c>
      <c r="M2617">
        <v>72.84</v>
      </c>
      <c r="N2617">
        <v>15214</v>
      </c>
      <c r="O2617">
        <v>1</v>
      </c>
    </row>
    <row r="2618" spans="1:15">
      <c r="A2618" t="s">
        <v>2644</v>
      </c>
      <c r="B2618" t="s">
        <v>16</v>
      </c>
      <c r="C2618">
        <v>6</v>
      </c>
      <c r="D2618">
        <v>35265190</v>
      </c>
      <c r="E2618">
        <v>1</v>
      </c>
      <c r="F2618">
        <v>12</v>
      </c>
      <c r="G2618">
        <v>987</v>
      </c>
      <c r="H2618">
        <v>3526150</v>
      </c>
      <c r="I2618">
        <v>706622</v>
      </c>
      <c r="J2618" t="s">
        <v>25</v>
      </c>
      <c r="K2618" t="s">
        <v>30</v>
      </c>
      <c r="L2618">
        <v>6</v>
      </c>
      <c r="M2618">
        <v>72.77</v>
      </c>
      <c r="N2618">
        <v>340690</v>
      </c>
      <c r="O2618">
        <v>1</v>
      </c>
    </row>
    <row r="2619" spans="1:15">
      <c r="A2619" t="s">
        <v>2645</v>
      </c>
      <c r="B2619" t="s">
        <v>38</v>
      </c>
      <c r="C2619">
        <v>10</v>
      </c>
      <c r="D2619">
        <v>29919787</v>
      </c>
      <c r="E2619">
        <v>3</v>
      </c>
      <c r="F2619">
        <v>9</v>
      </c>
      <c r="G2619">
        <v>916</v>
      </c>
      <c r="H2619">
        <v>37729304</v>
      </c>
      <c r="I2619">
        <v>280498</v>
      </c>
      <c r="J2619" t="s">
        <v>17</v>
      </c>
      <c r="K2619" t="s">
        <v>22</v>
      </c>
      <c r="L2619">
        <v>2</v>
      </c>
      <c r="M2619">
        <v>89.15</v>
      </c>
      <c r="N2619">
        <v>575417</v>
      </c>
      <c r="O2619">
        <v>1</v>
      </c>
    </row>
    <row r="2620" spans="1:15">
      <c r="A2620" t="s">
        <v>2646</v>
      </c>
      <c r="B2620" t="s">
        <v>38</v>
      </c>
      <c r="C2620">
        <v>7</v>
      </c>
      <c r="D2620">
        <v>36838200</v>
      </c>
      <c r="E2620">
        <v>3</v>
      </c>
      <c r="F2620">
        <v>1</v>
      </c>
      <c r="G2620">
        <v>142</v>
      </c>
      <c r="H2620">
        <v>65046067</v>
      </c>
      <c r="I2620">
        <v>163898</v>
      </c>
      <c r="J2620" t="s">
        <v>25</v>
      </c>
      <c r="K2620" t="s">
        <v>30</v>
      </c>
      <c r="L2620">
        <v>7</v>
      </c>
      <c r="M2620">
        <v>24.55</v>
      </c>
      <c r="N2620">
        <v>245413</v>
      </c>
      <c r="O2620">
        <v>1</v>
      </c>
    </row>
    <row r="2621" spans="1:15">
      <c r="A2621" t="s">
        <v>2647</v>
      </c>
      <c r="B2621" t="s">
        <v>27</v>
      </c>
      <c r="C2621">
        <v>8</v>
      </c>
      <c r="D2621">
        <v>14571751</v>
      </c>
      <c r="E2621">
        <v>3</v>
      </c>
      <c r="F2621">
        <v>24</v>
      </c>
      <c r="G2621">
        <v>177</v>
      </c>
      <c r="H2621">
        <v>18232993</v>
      </c>
      <c r="I2621">
        <v>738358</v>
      </c>
      <c r="J2621" t="s">
        <v>25</v>
      </c>
      <c r="K2621" t="s">
        <v>18</v>
      </c>
      <c r="L2621">
        <v>4</v>
      </c>
      <c r="M2621">
        <v>30.53</v>
      </c>
      <c r="N2621">
        <v>615058</v>
      </c>
      <c r="O2621">
        <v>1</v>
      </c>
    </row>
    <row r="2622" spans="1:15">
      <c r="A2622" t="s">
        <v>2648</v>
      </c>
      <c r="B2622" t="s">
        <v>38</v>
      </c>
      <c r="C2622">
        <v>8</v>
      </c>
      <c r="D2622">
        <v>20883782</v>
      </c>
      <c r="E2622">
        <v>3</v>
      </c>
      <c r="F2622">
        <v>17</v>
      </c>
      <c r="G2622">
        <v>786</v>
      </c>
      <c r="H2622">
        <v>3321197</v>
      </c>
      <c r="I2622">
        <v>433240</v>
      </c>
      <c r="J2622" t="s">
        <v>21</v>
      </c>
      <c r="K2622" t="s">
        <v>30</v>
      </c>
      <c r="L2622">
        <v>8</v>
      </c>
      <c r="M2622">
        <v>24.34</v>
      </c>
      <c r="N2622">
        <v>929121</v>
      </c>
      <c r="O2622">
        <v>1</v>
      </c>
    </row>
    <row r="2623" spans="1:15">
      <c r="A2623" t="s">
        <v>2649</v>
      </c>
      <c r="B2623" t="s">
        <v>20</v>
      </c>
      <c r="C2623">
        <v>14</v>
      </c>
      <c r="D2623">
        <v>43905803</v>
      </c>
      <c r="E2623">
        <v>4</v>
      </c>
      <c r="F2623">
        <v>16</v>
      </c>
      <c r="G2623">
        <v>838</v>
      </c>
      <c r="H2623">
        <v>36726250</v>
      </c>
      <c r="I2623">
        <v>639541</v>
      </c>
      <c r="J2623" t="s">
        <v>17</v>
      </c>
      <c r="K2623" t="s">
        <v>30</v>
      </c>
      <c r="L2623">
        <v>1</v>
      </c>
      <c r="M2623">
        <v>54.15</v>
      </c>
      <c r="N2623">
        <v>676454</v>
      </c>
      <c r="O2623">
        <v>1</v>
      </c>
    </row>
    <row r="2624" spans="1:15">
      <c r="A2624" t="s">
        <v>2650</v>
      </c>
      <c r="B2624" t="s">
        <v>38</v>
      </c>
      <c r="C2624">
        <v>3</v>
      </c>
      <c r="D2624">
        <v>5594911</v>
      </c>
      <c r="E2624">
        <v>1</v>
      </c>
      <c r="F2624">
        <v>7</v>
      </c>
      <c r="G2624">
        <v>568</v>
      </c>
      <c r="H2624">
        <v>35872019</v>
      </c>
      <c r="I2624">
        <v>542131</v>
      </c>
      <c r="J2624" t="s">
        <v>17</v>
      </c>
      <c r="K2624" t="s">
        <v>18</v>
      </c>
      <c r="L2624">
        <v>1</v>
      </c>
      <c r="M2624">
        <v>74.5</v>
      </c>
      <c r="N2624">
        <v>902543</v>
      </c>
      <c r="O2624">
        <v>1</v>
      </c>
    </row>
    <row r="2625" spans="1:15">
      <c r="A2625" t="s">
        <v>2651</v>
      </c>
      <c r="B2625" t="s">
        <v>20</v>
      </c>
      <c r="C2625">
        <v>2</v>
      </c>
      <c r="D2625">
        <v>47777580</v>
      </c>
      <c r="E2625">
        <v>3</v>
      </c>
      <c r="F2625">
        <v>22</v>
      </c>
      <c r="G2625">
        <v>567</v>
      </c>
      <c r="H2625">
        <v>99921855</v>
      </c>
      <c r="I2625">
        <v>136905</v>
      </c>
      <c r="J2625" t="s">
        <v>17</v>
      </c>
      <c r="K2625" t="s">
        <v>30</v>
      </c>
      <c r="L2625">
        <v>3</v>
      </c>
      <c r="M2625">
        <v>44.61</v>
      </c>
      <c r="N2625">
        <v>971141</v>
      </c>
      <c r="O2625">
        <v>1</v>
      </c>
    </row>
    <row r="2626" spans="1:15">
      <c r="A2626" t="s">
        <v>2652</v>
      </c>
      <c r="B2626" t="s">
        <v>27</v>
      </c>
      <c r="C2626">
        <v>0</v>
      </c>
      <c r="D2626">
        <v>18643181</v>
      </c>
      <c r="E2626">
        <v>2</v>
      </c>
      <c r="F2626">
        <v>10</v>
      </c>
      <c r="G2626">
        <v>817</v>
      </c>
      <c r="H2626">
        <v>91706979</v>
      </c>
      <c r="I2626">
        <v>725268</v>
      </c>
      <c r="J2626" t="s">
        <v>17</v>
      </c>
      <c r="K2626" t="s">
        <v>18</v>
      </c>
      <c r="L2626">
        <v>3</v>
      </c>
      <c r="M2626">
        <v>91.64</v>
      </c>
      <c r="N2626">
        <v>370985</v>
      </c>
      <c r="O2626">
        <v>1</v>
      </c>
    </row>
    <row r="2627" spans="1:15">
      <c r="A2627" t="s">
        <v>2653</v>
      </c>
      <c r="B2627" t="s">
        <v>27</v>
      </c>
      <c r="C2627">
        <v>6</v>
      </c>
      <c r="D2627">
        <v>42631621</v>
      </c>
      <c r="E2627">
        <v>1</v>
      </c>
      <c r="F2627">
        <v>0</v>
      </c>
      <c r="G2627">
        <v>891</v>
      </c>
      <c r="H2627">
        <v>42723692</v>
      </c>
      <c r="I2627">
        <v>687543</v>
      </c>
      <c r="J2627" t="s">
        <v>17</v>
      </c>
      <c r="K2627" t="s">
        <v>22</v>
      </c>
      <c r="L2627">
        <v>5</v>
      </c>
      <c r="M2627">
        <v>21.36</v>
      </c>
      <c r="N2627">
        <v>565622</v>
      </c>
      <c r="O2627">
        <v>1</v>
      </c>
    </row>
    <row r="2628" spans="1:15">
      <c r="A2628" t="s">
        <v>2654</v>
      </c>
      <c r="B2628" t="s">
        <v>24</v>
      </c>
      <c r="C2628">
        <v>1</v>
      </c>
      <c r="D2628">
        <v>44481838</v>
      </c>
      <c r="E2628">
        <v>1</v>
      </c>
      <c r="F2628">
        <v>1</v>
      </c>
      <c r="G2628">
        <v>88</v>
      </c>
      <c r="H2628">
        <v>22173940</v>
      </c>
      <c r="I2628">
        <v>370798</v>
      </c>
      <c r="J2628" t="s">
        <v>25</v>
      </c>
      <c r="K2628" t="s">
        <v>30</v>
      </c>
      <c r="L2628">
        <v>4</v>
      </c>
      <c r="M2628">
        <v>24.79</v>
      </c>
      <c r="N2628">
        <v>187105</v>
      </c>
      <c r="O2628">
        <v>1</v>
      </c>
    </row>
    <row r="2629" spans="1:15">
      <c r="A2629" t="s">
        <v>2655</v>
      </c>
      <c r="B2629" t="s">
        <v>20</v>
      </c>
      <c r="C2629">
        <v>7</v>
      </c>
      <c r="D2629">
        <v>39259403</v>
      </c>
      <c r="E2629">
        <v>3</v>
      </c>
      <c r="F2629">
        <v>7</v>
      </c>
      <c r="G2629">
        <v>582</v>
      </c>
      <c r="H2629">
        <v>78590912</v>
      </c>
      <c r="I2629">
        <v>877802</v>
      </c>
      <c r="J2629" t="s">
        <v>17</v>
      </c>
      <c r="K2629" t="s">
        <v>22</v>
      </c>
      <c r="L2629">
        <v>6</v>
      </c>
      <c r="M2629">
        <v>25.35</v>
      </c>
      <c r="N2629">
        <v>855780</v>
      </c>
      <c r="O2629">
        <v>1</v>
      </c>
    </row>
    <row r="2630" spans="1:15">
      <c r="A2630" t="s">
        <v>2656</v>
      </c>
      <c r="B2630" t="s">
        <v>32</v>
      </c>
      <c r="C2630">
        <v>8</v>
      </c>
      <c r="D2630">
        <v>45412122</v>
      </c>
      <c r="E2630">
        <v>3</v>
      </c>
      <c r="F2630">
        <v>17</v>
      </c>
      <c r="G2630">
        <v>71</v>
      </c>
      <c r="H2630">
        <v>14347595</v>
      </c>
      <c r="I2630">
        <v>477491</v>
      </c>
      <c r="J2630" t="s">
        <v>21</v>
      </c>
      <c r="K2630" t="s">
        <v>18</v>
      </c>
      <c r="L2630">
        <v>7</v>
      </c>
      <c r="M2630">
        <v>42.15</v>
      </c>
      <c r="N2630">
        <v>459877</v>
      </c>
      <c r="O2630">
        <v>1</v>
      </c>
    </row>
    <row r="2631" spans="1:15">
      <c r="A2631" t="s">
        <v>2657</v>
      </c>
      <c r="B2631" t="s">
        <v>24</v>
      </c>
      <c r="C2631">
        <v>11</v>
      </c>
      <c r="D2631">
        <v>20434516</v>
      </c>
      <c r="E2631">
        <v>2</v>
      </c>
      <c r="F2631">
        <v>14</v>
      </c>
      <c r="G2631">
        <v>929</v>
      </c>
      <c r="H2631">
        <v>34639869</v>
      </c>
      <c r="I2631">
        <v>13977</v>
      </c>
      <c r="J2631" t="s">
        <v>21</v>
      </c>
      <c r="K2631" t="s">
        <v>22</v>
      </c>
      <c r="L2631">
        <v>8</v>
      </c>
      <c r="M2631">
        <v>42.49</v>
      </c>
      <c r="N2631">
        <v>479013</v>
      </c>
      <c r="O2631">
        <v>1</v>
      </c>
    </row>
    <row r="2632" spans="1:15">
      <c r="A2632" t="s">
        <v>2658</v>
      </c>
      <c r="B2632" t="s">
        <v>16</v>
      </c>
      <c r="C2632">
        <v>0</v>
      </c>
      <c r="D2632">
        <v>29698856</v>
      </c>
      <c r="E2632">
        <v>1</v>
      </c>
      <c r="F2632">
        <v>27</v>
      </c>
      <c r="G2632">
        <v>122</v>
      </c>
      <c r="H2632">
        <v>24808249</v>
      </c>
      <c r="I2632">
        <v>105943</v>
      </c>
      <c r="J2632" t="s">
        <v>25</v>
      </c>
      <c r="K2632" t="s">
        <v>18</v>
      </c>
      <c r="L2632">
        <v>7</v>
      </c>
      <c r="M2632">
        <v>92.92</v>
      </c>
      <c r="N2632">
        <v>747200</v>
      </c>
      <c r="O2632">
        <v>1</v>
      </c>
    </row>
    <row r="2633" spans="1:15">
      <c r="A2633" t="s">
        <v>2659</v>
      </c>
      <c r="B2633" t="s">
        <v>16</v>
      </c>
      <c r="C2633">
        <v>11</v>
      </c>
      <c r="D2633">
        <v>19124161</v>
      </c>
      <c r="E2633">
        <v>3</v>
      </c>
      <c r="F2633">
        <v>20</v>
      </c>
      <c r="G2633">
        <v>363</v>
      </c>
      <c r="H2633">
        <v>89170251</v>
      </c>
      <c r="I2633">
        <v>568773</v>
      </c>
      <c r="J2633" t="s">
        <v>17</v>
      </c>
      <c r="K2633" t="s">
        <v>18</v>
      </c>
      <c r="L2633">
        <v>8</v>
      </c>
      <c r="M2633">
        <v>2.78</v>
      </c>
      <c r="N2633">
        <v>405304</v>
      </c>
      <c r="O2633">
        <v>1</v>
      </c>
    </row>
    <row r="2634" spans="1:15">
      <c r="A2634" t="s">
        <v>2660</v>
      </c>
      <c r="B2634" t="s">
        <v>38</v>
      </c>
      <c r="C2634">
        <v>11</v>
      </c>
      <c r="D2634">
        <v>18567435</v>
      </c>
      <c r="E2634">
        <v>2</v>
      </c>
      <c r="F2634">
        <v>24</v>
      </c>
      <c r="G2634">
        <v>13</v>
      </c>
      <c r="H2634">
        <v>7011106</v>
      </c>
      <c r="I2634">
        <v>280357</v>
      </c>
      <c r="J2634" t="s">
        <v>21</v>
      </c>
      <c r="K2634" t="s">
        <v>18</v>
      </c>
      <c r="L2634">
        <v>8</v>
      </c>
      <c r="M2634">
        <v>22.63</v>
      </c>
      <c r="N2634">
        <v>46530</v>
      </c>
      <c r="O2634">
        <v>1</v>
      </c>
    </row>
    <row r="2635" spans="1:15">
      <c r="A2635" t="s">
        <v>2661</v>
      </c>
      <c r="B2635" t="s">
        <v>24</v>
      </c>
      <c r="C2635">
        <v>14</v>
      </c>
      <c r="D2635">
        <v>2060970</v>
      </c>
      <c r="E2635">
        <v>3</v>
      </c>
      <c r="F2635">
        <v>29</v>
      </c>
      <c r="G2635">
        <v>136</v>
      </c>
      <c r="H2635">
        <v>27120026</v>
      </c>
      <c r="I2635">
        <v>574571</v>
      </c>
      <c r="J2635" t="s">
        <v>21</v>
      </c>
      <c r="K2635" t="s">
        <v>22</v>
      </c>
      <c r="L2635">
        <v>1</v>
      </c>
      <c r="M2635">
        <v>33.909999999999997</v>
      </c>
      <c r="N2635">
        <v>109818</v>
      </c>
      <c r="O2635">
        <v>1</v>
      </c>
    </row>
    <row r="2636" spans="1:15">
      <c r="A2636" t="s">
        <v>2662</v>
      </c>
      <c r="B2636" t="s">
        <v>16</v>
      </c>
      <c r="C2636">
        <v>5</v>
      </c>
      <c r="D2636">
        <v>20623302</v>
      </c>
      <c r="E2636">
        <v>3</v>
      </c>
      <c r="F2636">
        <v>8</v>
      </c>
      <c r="G2636">
        <v>763</v>
      </c>
      <c r="H2636">
        <v>97851100</v>
      </c>
      <c r="I2636">
        <v>957584</v>
      </c>
      <c r="J2636" t="s">
        <v>25</v>
      </c>
      <c r="K2636" t="s">
        <v>22</v>
      </c>
      <c r="L2636">
        <v>6</v>
      </c>
      <c r="M2636">
        <v>28.32</v>
      </c>
      <c r="N2636">
        <v>238658</v>
      </c>
      <c r="O2636">
        <v>1</v>
      </c>
    </row>
    <row r="2637" spans="1:15">
      <c r="A2637" t="s">
        <v>2663</v>
      </c>
      <c r="B2637" t="s">
        <v>29</v>
      </c>
      <c r="C2637">
        <v>8</v>
      </c>
      <c r="D2637">
        <v>46494066</v>
      </c>
      <c r="E2637">
        <v>1</v>
      </c>
      <c r="F2637">
        <v>9</v>
      </c>
      <c r="G2637">
        <v>907</v>
      </c>
      <c r="H2637">
        <v>62688817</v>
      </c>
      <c r="I2637">
        <v>665394</v>
      </c>
      <c r="J2637" t="s">
        <v>17</v>
      </c>
      <c r="K2637" t="s">
        <v>30</v>
      </c>
      <c r="L2637">
        <v>4</v>
      </c>
      <c r="M2637">
        <v>64.33</v>
      </c>
      <c r="N2637">
        <v>929749</v>
      </c>
      <c r="O2637">
        <v>1</v>
      </c>
    </row>
    <row r="2638" spans="1:15">
      <c r="A2638" t="s">
        <v>2664</v>
      </c>
      <c r="B2638" t="s">
        <v>24</v>
      </c>
      <c r="C2638">
        <v>9</v>
      </c>
      <c r="D2638">
        <v>9296143</v>
      </c>
      <c r="E2638">
        <v>1</v>
      </c>
      <c r="F2638">
        <v>5</v>
      </c>
      <c r="G2638">
        <v>961</v>
      </c>
      <c r="H2638">
        <v>33893058</v>
      </c>
      <c r="I2638">
        <v>424503</v>
      </c>
      <c r="J2638" t="s">
        <v>25</v>
      </c>
      <c r="K2638" t="s">
        <v>18</v>
      </c>
      <c r="L2638">
        <v>9</v>
      </c>
      <c r="M2638">
        <v>35.9</v>
      </c>
      <c r="N2638">
        <v>569606</v>
      </c>
      <c r="O2638">
        <v>1</v>
      </c>
    </row>
    <row r="2639" spans="1:15">
      <c r="A2639" t="s">
        <v>2665</v>
      </c>
      <c r="B2639" t="s">
        <v>27</v>
      </c>
      <c r="C2639">
        <v>3</v>
      </c>
      <c r="D2639">
        <v>40477330</v>
      </c>
      <c r="E2639">
        <v>4</v>
      </c>
      <c r="F2639">
        <v>13</v>
      </c>
      <c r="G2639">
        <v>587</v>
      </c>
      <c r="H2639">
        <v>68572276</v>
      </c>
      <c r="I2639">
        <v>17241</v>
      </c>
      <c r="J2639" t="s">
        <v>21</v>
      </c>
      <c r="K2639" t="s">
        <v>18</v>
      </c>
      <c r="L2639">
        <v>7</v>
      </c>
      <c r="M2639">
        <v>73.510000000000005</v>
      </c>
      <c r="N2639">
        <v>236861</v>
      </c>
      <c r="O2639">
        <v>1</v>
      </c>
    </row>
    <row r="2640" spans="1:15">
      <c r="A2640" t="s">
        <v>2666</v>
      </c>
      <c r="B2640" t="s">
        <v>16</v>
      </c>
      <c r="C2640">
        <v>14</v>
      </c>
      <c r="D2640">
        <v>34205316</v>
      </c>
      <c r="E2640">
        <v>4</v>
      </c>
      <c r="F2640">
        <v>12</v>
      </c>
      <c r="G2640">
        <v>137</v>
      </c>
      <c r="H2640">
        <v>40876887</v>
      </c>
      <c r="I2640">
        <v>451374</v>
      </c>
      <c r="J2640" t="s">
        <v>25</v>
      </c>
      <c r="K2640" t="s">
        <v>22</v>
      </c>
      <c r="L2640">
        <v>7</v>
      </c>
      <c r="M2640">
        <v>71.42</v>
      </c>
      <c r="N2640">
        <v>192366</v>
      </c>
      <c r="O2640">
        <v>1</v>
      </c>
    </row>
    <row r="2641" spans="1:15">
      <c r="A2641" t="s">
        <v>2667</v>
      </c>
      <c r="B2641" t="s">
        <v>32</v>
      </c>
      <c r="C2641">
        <v>11</v>
      </c>
      <c r="D2641">
        <v>25163406</v>
      </c>
      <c r="E2641">
        <v>1</v>
      </c>
      <c r="F2641">
        <v>8</v>
      </c>
      <c r="G2641">
        <v>89</v>
      </c>
      <c r="H2641">
        <v>77810819</v>
      </c>
      <c r="I2641">
        <v>292650</v>
      </c>
      <c r="J2641" t="s">
        <v>21</v>
      </c>
      <c r="K2641" t="s">
        <v>18</v>
      </c>
      <c r="L2641">
        <v>8</v>
      </c>
      <c r="M2641">
        <v>64.12</v>
      </c>
      <c r="N2641">
        <v>597645</v>
      </c>
      <c r="O2641">
        <v>1</v>
      </c>
    </row>
    <row r="2642" spans="1:15">
      <c r="A2642" t="s">
        <v>2668</v>
      </c>
      <c r="B2642" t="s">
        <v>38</v>
      </c>
      <c r="C2642">
        <v>10</v>
      </c>
      <c r="D2642">
        <v>9192069</v>
      </c>
      <c r="E2642">
        <v>4</v>
      </c>
      <c r="F2642">
        <v>25</v>
      </c>
      <c r="G2642">
        <v>385</v>
      </c>
      <c r="H2642">
        <v>33720453</v>
      </c>
      <c r="I2642">
        <v>288333</v>
      </c>
      <c r="J2642" t="s">
        <v>21</v>
      </c>
      <c r="K2642" t="s">
        <v>30</v>
      </c>
      <c r="L2642">
        <v>9</v>
      </c>
      <c r="M2642">
        <v>85.91</v>
      </c>
      <c r="N2642">
        <v>602020</v>
      </c>
      <c r="O2642">
        <v>1</v>
      </c>
    </row>
    <row r="2643" spans="1:15">
      <c r="A2643" t="s">
        <v>2669</v>
      </c>
      <c r="B2643" t="s">
        <v>29</v>
      </c>
      <c r="C2643">
        <v>1</v>
      </c>
      <c r="D2643">
        <v>38279913</v>
      </c>
      <c r="E2643">
        <v>1</v>
      </c>
      <c r="F2643">
        <v>29</v>
      </c>
      <c r="G2643">
        <v>322</v>
      </c>
      <c r="H2643">
        <v>86527380</v>
      </c>
      <c r="I2643">
        <v>393605</v>
      </c>
      <c r="J2643" t="s">
        <v>21</v>
      </c>
      <c r="K2643" t="s">
        <v>18</v>
      </c>
      <c r="L2643">
        <v>9</v>
      </c>
      <c r="M2643">
        <v>60.39</v>
      </c>
      <c r="N2643">
        <v>810734</v>
      </c>
      <c r="O2643">
        <v>1</v>
      </c>
    </row>
    <row r="2644" spans="1:15">
      <c r="A2644" t="s">
        <v>2670</v>
      </c>
      <c r="B2644" t="s">
        <v>29</v>
      </c>
      <c r="C2644">
        <v>14</v>
      </c>
      <c r="D2644">
        <v>44714412</v>
      </c>
      <c r="E2644">
        <v>4</v>
      </c>
      <c r="F2644">
        <v>20</v>
      </c>
      <c r="G2644">
        <v>839</v>
      </c>
      <c r="H2644">
        <v>19575740</v>
      </c>
      <c r="I2644">
        <v>251581</v>
      </c>
      <c r="J2644" t="s">
        <v>17</v>
      </c>
      <c r="K2644" t="s">
        <v>30</v>
      </c>
      <c r="L2644">
        <v>7</v>
      </c>
      <c r="M2644">
        <v>98.97</v>
      </c>
      <c r="N2644">
        <v>190369</v>
      </c>
      <c r="O2644">
        <v>1</v>
      </c>
    </row>
    <row r="2645" spans="1:15">
      <c r="A2645" t="s">
        <v>2671</v>
      </c>
      <c r="B2645" t="s">
        <v>27</v>
      </c>
      <c r="C2645">
        <v>11</v>
      </c>
      <c r="D2645">
        <v>39411361</v>
      </c>
      <c r="E2645">
        <v>4</v>
      </c>
      <c r="F2645">
        <v>17</v>
      </c>
      <c r="G2645">
        <v>373</v>
      </c>
      <c r="H2645">
        <v>21112424</v>
      </c>
      <c r="I2645">
        <v>740077</v>
      </c>
      <c r="J2645" t="s">
        <v>21</v>
      </c>
      <c r="K2645" t="s">
        <v>18</v>
      </c>
      <c r="L2645">
        <v>3</v>
      </c>
      <c r="M2645">
        <v>9.5500000000000007</v>
      </c>
      <c r="N2645">
        <v>947018</v>
      </c>
      <c r="O2645">
        <v>1</v>
      </c>
    </row>
    <row r="2646" spans="1:15">
      <c r="A2646" t="s">
        <v>2672</v>
      </c>
      <c r="B2646" t="s">
        <v>24</v>
      </c>
      <c r="C2646">
        <v>3</v>
      </c>
      <c r="D2646">
        <v>41094277</v>
      </c>
      <c r="E2646">
        <v>4</v>
      </c>
      <c r="F2646">
        <v>14</v>
      </c>
      <c r="G2646">
        <v>788</v>
      </c>
      <c r="H2646">
        <v>80763842</v>
      </c>
      <c r="I2646">
        <v>856077</v>
      </c>
      <c r="J2646" t="s">
        <v>25</v>
      </c>
      <c r="K2646" t="s">
        <v>30</v>
      </c>
      <c r="L2646">
        <v>5</v>
      </c>
      <c r="M2646">
        <v>81.09</v>
      </c>
      <c r="N2646">
        <v>804189</v>
      </c>
      <c r="O2646">
        <v>1</v>
      </c>
    </row>
    <row r="2647" spans="1:15">
      <c r="A2647" t="s">
        <v>2673</v>
      </c>
      <c r="B2647" t="s">
        <v>29</v>
      </c>
      <c r="C2647">
        <v>2</v>
      </c>
      <c r="D2647">
        <v>14605725</v>
      </c>
      <c r="E2647">
        <v>4</v>
      </c>
      <c r="F2647">
        <v>5</v>
      </c>
      <c r="G2647">
        <v>987</v>
      </c>
      <c r="H2647">
        <v>4627147</v>
      </c>
      <c r="I2647">
        <v>305887</v>
      </c>
      <c r="J2647" t="s">
        <v>17</v>
      </c>
      <c r="K2647" t="s">
        <v>30</v>
      </c>
      <c r="L2647">
        <v>7</v>
      </c>
      <c r="M2647">
        <v>27.97</v>
      </c>
      <c r="N2647">
        <v>880664</v>
      </c>
      <c r="O2647">
        <v>1</v>
      </c>
    </row>
    <row r="2648" spans="1:15">
      <c r="A2648" t="s">
        <v>2674</v>
      </c>
      <c r="B2648" t="s">
        <v>20</v>
      </c>
      <c r="C2648">
        <v>6</v>
      </c>
      <c r="D2648">
        <v>12792575</v>
      </c>
      <c r="E2648">
        <v>1</v>
      </c>
      <c r="F2648">
        <v>15</v>
      </c>
      <c r="G2648">
        <v>18</v>
      </c>
      <c r="H2648">
        <v>98637312</v>
      </c>
      <c r="I2648">
        <v>998653</v>
      </c>
      <c r="J2648" t="s">
        <v>17</v>
      </c>
      <c r="K2648" t="s">
        <v>30</v>
      </c>
      <c r="L2648">
        <v>1</v>
      </c>
      <c r="M2648">
        <v>64.099999999999994</v>
      </c>
      <c r="N2648">
        <v>246424</v>
      </c>
      <c r="O2648">
        <v>1</v>
      </c>
    </row>
    <row r="2649" spans="1:15">
      <c r="A2649" t="s">
        <v>2675</v>
      </c>
      <c r="B2649" t="s">
        <v>16</v>
      </c>
      <c r="C2649">
        <v>5</v>
      </c>
      <c r="D2649">
        <v>11562275</v>
      </c>
      <c r="E2649">
        <v>3</v>
      </c>
      <c r="F2649">
        <v>22</v>
      </c>
      <c r="G2649">
        <v>345</v>
      </c>
      <c r="H2649">
        <v>75193604</v>
      </c>
      <c r="I2649">
        <v>515377</v>
      </c>
      <c r="J2649" t="s">
        <v>17</v>
      </c>
      <c r="K2649" t="s">
        <v>18</v>
      </c>
      <c r="L2649">
        <v>2</v>
      </c>
      <c r="M2649">
        <v>93.21</v>
      </c>
      <c r="N2649">
        <v>799915</v>
      </c>
      <c r="O2649">
        <v>1</v>
      </c>
    </row>
    <row r="2650" spans="1:15">
      <c r="A2650" t="s">
        <v>2676</v>
      </c>
      <c r="B2650" t="s">
        <v>29</v>
      </c>
      <c r="C2650">
        <v>13</v>
      </c>
      <c r="D2650">
        <v>32695858</v>
      </c>
      <c r="E2650">
        <v>3</v>
      </c>
      <c r="F2650">
        <v>24</v>
      </c>
      <c r="G2650">
        <v>960</v>
      </c>
      <c r="H2650">
        <v>26657299</v>
      </c>
      <c r="I2650">
        <v>574190</v>
      </c>
      <c r="J2650" t="s">
        <v>17</v>
      </c>
      <c r="K2650" t="s">
        <v>22</v>
      </c>
      <c r="L2650">
        <v>5</v>
      </c>
      <c r="M2650">
        <v>49.38</v>
      </c>
      <c r="N2650">
        <v>626451</v>
      </c>
      <c r="O2650">
        <v>1</v>
      </c>
    </row>
    <row r="2651" spans="1:15">
      <c r="A2651" t="s">
        <v>2677</v>
      </c>
      <c r="B2651" t="s">
        <v>38</v>
      </c>
      <c r="C2651">
        <v>4</v>
      </c>
      <c r="D2651">
        <v>18669556</v>
      </c>
      <c r="E2651">
        <v>1</v>
      </c>
      <c r="F2651">
        <v>0</v>
      </c>
      <c r="G2651">
        <v>278</v>
      </c>
      <c r="H2651">
        <v>59651663</v>
      </c>
      <c r="I2651">
        <v>165377</v>
      </c>
      <c r="J2651" t="s">
        <v>17</v>
      </c>
      <c r="K2651" t="s">
        <v>30</v>
      </c>
      <c r="L2651">
        <v>8</v>
      </c>
      <c r="M2651">
        <v>38.83</v>
      </c>
      <c r="N2651">
        <v>506744</v>
      </c>
      <c r="O2651">
        <v>1</v>
      </c>
    </row>
    <row r="2652" spans="1:15">
      <c r="A2652" t="s">
        <v>2678</v>
      </c>
      <c r="B2652" t="s">
        <v>29</v>
      </c>
      <c r="C2652">
        <v>0</v>
      </c>
      <c r="D2652">
        <v>1385154</v>
      </c>
      <c r="E2652">
        <v>2</v>
      </c>
      <c r="F2652">
        <v>2</v>
      </c>
      <c r="G2652">
        <v>282</v>
      </c>
      <c r="H2652">
        <v>11928921</v>
      </c>
      <c r="I2652">
        <v>763131</v>
      </c>
      <c r="J2652" t="s">
        <v>25</v>
      </c>
      <c r="K2652" t="s">
        <v>22</v>
      </c>
      <c r="L2652">
        <v>2</v>
      </c>
      <c r="M2652">
        <v>91.05</v>
      </c>
      <c r="N2652">
        <v>323158</v>
      </c>
      <c r="O2652">
        <v>1</v>
      </c>
    </row>
    <row r="2653" spans="1:15">
      <c r="A2653" t="s">
        <v>2679</v>
      </c>
      <c r="B2653" t="s">
        <v>32</v>
      </c>
      <c r="C2653">
        <v>10</v>
      </c>
      <c r="D2653">
        <v>38838763</v>
      </c>
      <c r="E2653">
        <v>3</v>
      </c>
      <c r="F2653">
        <v>8</v>
      </c>
      <c r="G2653">
        <v>252</v>
      </c>
      <c r="H2653">
        <v>28494273</v>
      </c>
      <c r="I2653">
        <v>203284</v>
      </c>
      <c r="J2653" t="s">
        <v>21</v>
      </c>
      <c r="K2653" t="s">
        <v>18</v>
      </c>
      <c r="L2653">
        <v>4</v>
      </c>
      <c r="M2653">
        <v>72</v>
      </c>
      <c r="N2653">
        <v>877840</v>
      </c>
      <c r="O2653">
        <v>1</v>
      </c>
    </row>
    <row r="2654" spans="1:15">
      <c r="A2654" t="s">
        <v>2680</v>
      </c>
      <c r="B2654" t="s">
        <v>32</v>
      </c>
      <c r="C2654">
        <v>6</v>
      </c>
      <c r="D2654">
        <v>18987203</v>
      </c>
      <c r="E2654">
        <v>3</v>
      </c>
      <c r="F2654">
        <v>0</v>
      </c>
      <c r="G2654">
        <v>710</v>
      </c>
      <c r="H2654">
        <v>15282434</v>
      </c>
      <c r="I2654">
        <v>134438</v>
      </c>
      <c r="J2654" t="s">
        <v>17</v>
      </c>
      <c r="K2654" t="s">
        <v>30</v>
      </c>
      <c r="L2654">
        <v>9</v>
      </c>
      <c r="M2654">
        <v>17.37</v>
      </c>
      <c r="N2654">
        <v>983948</v>
      </c>
      <c r="O2654">
        <v>1</v>
      </c>
    </row>
    <row r="2655" spans="1:15">
      <c r="A2655" t="s">
        <v>2681</v>
      </c>
      <c r="B2655" t="s">
        <v>20</v>
      </c>
      <c r="C2655">
        <v>3</v>
      </c>
      <c r="D2655">
        <v>51459</v>
      </c>
      <c r="E2655">
        <v>1</v>
      </c>
      <c r="F2655">
        <v>12</v>
      </c>
      <c r="G2655">
        <v>630</v>
      </c>
      <c r="H2655">
        <v>32395353</v>
      </c>
      <c r="I2655">
        <v>246955</v>
      </c>
      <c r="J2655" t="s">
        <v>17</v>
      </c>
      <c r="K2655" t="s">
        <v>18</v>
      </c>
      <c r="L2655">
        <v>9</v>
      </c>
      <c r="M2655">
        <v>92.84</v>
      </c>
      <c r="N2655">
        <v>491523</v>
      </c>
      <c r="O2655">
        <v>1</v>
      </c>
    </row>
    <row r="2656" spans="1:15">
      <c r="A2656" t="s">
        <v>2682</v>
      </c>
      <c r="B2656" t="s">
        <v>16</v>
      </c>
      <c r="C2656">
        <v>6</v>
      </c>
      <c r="D2656">
        <v>9047297</v>
      </c>
      <c r="E2656">
        <v>4</v>
      </c>
      <c r="F2656">
        <v>0</v>
      </c>
      <c r="G2656">
        <v>404</v>
      </c>
      <c r="H2656">
        <v>7029114</v>
      </c>
      <c r="I2656">
        <v>780140</v>
      </c>
      <c r="J2656" t="s">
        <v>25</v>
      </c>
      <c r="K2656" t="s">
        <v>18</v>
      </c>
      <c r="L2656">
        <v>8</v>
      </c>
      <c r="M2656">
        <v>72.75</v>
      </c>
      <c r="N2656">
        <v>275837</v>
      </c>
      <c r="O2656">
        <v>1</v>
      </c>
    </row>
    <row r="2657" spans="1:15">
      <c r="A2657" t="s">
        <v>2683</v>
      </c>
      <c r="B2657" t="s">
        <v>24</v>
      </c>
      <c r="C2657">
        <v>5</v>
      </c>
      <c r="D2657">
        <v>44615398</v>
      </c>
      <c r="E2657">
        <v>4</v>
      </c>
      <c r="F2657">
        <v>20</v>
      </c>
      <c r="G2657">
        <v>738</v>
      </c>
      <c r="H2657">
        <v>70721531</v>
      </c>
      <c r="I2657">
        <v>425552</v>
      </c>
      <c r="J2657" t="s">
        <v>21</v>
      </c>
      <c r="K2657" t="s">
        <v>22</v>
      </c>
      <c r="L2657">
        <v>7</v>
      </c>
      <c r="M2657">
        <v>59</v>
      </c>
      <c r="N2657">
        <v>832398</v>
      </c>
      <c r="O2657">
        <v>1</v>
      </c>
    </row>
    <row r="2658" spans="1:15">
      <c r="A2658" t="s">
        <v>2684</v>
      </c>
      <c r="B2658" t="s">
        <v>24</v>
      </c>
      <c r="C2658">
        <v>2</v>
      </c>
      <c r="D2658">
        <v>19131541</v>
      </c>
      <c r="E2658">
        <v>2</v>
      </c>
      <c r="F2658">
        <v>8</v>
      </c>
      <c r="G2658">
        <v>983</v>
      </c>
      <c r="H2658">
        <v>55411423</v>
      </c>
      <c r="I2658">
        <v>890072</v>
      </c>
      <c r="J2658" t="s">
        <v>25</v>
      </c>
      <c r="K2658" t="s">
        <v>18</v>
      </c>
      <c r="L2658">
        <v>3</v>
      </c>
      <c r="M2658">
        <v>7.23</v>
      </c>
      <c r="N2658">
        <v>784329</v>
      </c>
      <c r="O2658">
        <v>1</v>
      </c>
    </row>
    <row r="2659" spans="1:15">
      <c r="A2659" t="s">
        <v>2685</v>
      </c>
      <c r="B2659" t="s">
        <v>32</v>
      </c>
      <c r="C2659">
        <v>11</v>
      </c>
      <c r="D2659">
        <v>4339867</v>
      </c>
      <c r="E2659">
        <v>2</v>
      </c>
      <c r="F2659">
        <v>22</v>
      </c>
      <c r="G2659">
        <v>578</v>
      </c>
      <c r="H2659">
        <v>16898834</v>
      </c>
      <c r="I2659">
        <v>145188</v>
      </c>
      <c r="J2659" t="s">
        <v>21</v>
      </c>
      <c r="K2659" t="s">
        <v>30</v>
      </c>
      <c r="L2659">
        <v>8</v>
      </c>
      <c r="M2659">
        <v>64.48</v>
      </c>
      <c r="N2659">
        <v>838550</v>
      </c>
      <c r="O2659">
        <v>1</v>
      </c>
    </row>
    <row r="2660" spans="1:15">
      <c r="A2660" t="s">
        <v>2686</v>
      </c>
      <c r="B2660" t="s">
        <v>32</v>
      </c>
      <c r="C2660">
        <v>11</v>
      </c>
      <c r="D2660">
        <v>41157377</v>
      </c>
      <c r="E2660">
        <v>1</v>
      </c>
      <c r="F2660">
        <v>7</v>
      </c>
      <c r="G2660">
        <v>394</v>
      </c>
      <c r="H2660">
        <v>76055092</v>
      </c>
      <c r="I2660">
        <v>32666</v>
      </c>
      <c r="J2660" t="s">
        <v>17</v>
      </c>
      <c r="K2660" t="s">
        <v>30</v>
      </c>
      <c r="L2660">
        <v>1</v>
      </c>
      <c r="M2660">
        <v>77.42</v>
      </c>
      <c r="N2660">
        <v>14976</v>
      </c>
      <c r="O2660">
        <v>1</v>
      </c>
    </row>
    <row r="2661" spans="1:15">
      <c r="A2661" t="s">
        <v>2687</v>
      </c>
      <c r="B2661" t="s">
        <v>24</v>
      </c>
      <c r="C2661">
        <v>0</v>
      </c>
      <c r="D2661">
        <v>47712283</v>
      </c>
      <c r="E2661">
        <v>2</v>
      </c>
      <c r="F2661">
        <v>1</v>
      </c>
      <c r="G2661">
        <v>833</v>
      </c>
      <c r="H2661">
        <v>45811855</v>
      </c>
      <c r="I2661">
        <v>447018</v>
      </c>
      <c r="J2661" t="s">
        <v>21</v>
      </c>
      <c r="K2661" t="s">
        <v>30</v>
      </c>
      <c r="L2661">
        <v>1</v>
      </c>
      <c r="M2661">
        <v>53.3</v>
      </c>
      <c r="N2661">
        <v>701341</v>
      </c>
      <c r="O2661">
        <v>1</v>
      </c>
    </row>
    <row r="2662" spans="1:15">
      <c r="A2662" t="s">
        <v>2688</v>
      </c>
      <c r="B2662" t="s">
        <v>20</v>
      </c>
      <c r="C2662">
        <v>3</v>
      </c>
      <c r="D2662">
        <v>23064330</v>
      </c>
      <c r="E2662">
        <v>2</v>
      </c>
      <c r="F2662">
        <v>4</v>
      </c>
      <c r="G2662">
        <v>83</v>
      </c>
      <c r="H2662">
        <v>83259942</v>
      </c>
      <c r="I2662">
        <v>877215</v>
      </c>
      <c r="J2662" t="s">
        <v>25</v>
      </c>
      <c r="K2662" t="s">
        <v>22</v>
      </c>
      <c r="L2662">
        <v>4</v>
      </c>
      <c r="M2662">
        <v>80.63</v>
      </c>
      <c r="N2662">
        <v>685471</v>
      </c>
      <c r="O2662">
        <v>1</v>
      </c>
    </row>
    <row r="2663" spans="1:15">
      <c r="A2663" t="s">
        <v>2689</v>
      </c>
      <c r="B2663" t="s">
        <v>29</v>
      </c>
      <c r="C2663">
        <v>8</v>
      </c>
      <c r="D2663">
        <v>10957214</v>
      </c>
      <c r="E2663">
        <v>3</v>
      </c>
      <c r="F2663">
        <v>1</v>
      </c>
      <c r="G2663">
        <v>525</v>
      </c>
      <c r="H2663">
        <v>69571101</v>
      </c>
      <c r="I2663">
        <v>720987</v>
      </c>
      <c r="J2663" t="s">
        <v>25</v>
      </c>
      <c r="K2663" t="s">
        <v>30</v>
      </c>
      <c r="L2663">
        <v>1</v>
      </c>
      <c r="M2663">
        <v>8.4600000000000009</v>
      </c>
      <c r="N2663">
        <v>109427</v>
      </c>
      <c r="O2663">
        <v>1</v>
      </c>
    </row>
    <row r="2664" spans="1:15">
      <c r="A2664" t="s">
        <v>2690</v>
      </c>
      <c r="B2664" t="s">
        <v>32</v>
      </c>
      <c r="C2664">
        <v>1</v>
      </c>
      <c r="D2664">
        <v>39741108</v>
      </c>
      <c r="E2664">
        <v>1</v>
      </c>
      <c r="F2664">
        <v>10</v>
      </c>
      <c r="G2664">
        <v>192</v>
      </c>
      <c r="H2664">
        <v>85655370</v>
      </c>
      <c r="I2664">
        <v>264848</v>
      </c>
      <c r="J2664" t="s">
        <v>17</v>
      </c>
      <c r="K2664" t="s">
        <v>22</v>
      </c>
      <c r="L2664">
        <v>6</v>
      </c>
      <c r="M2664">
        <v>16.45</v>
      </c>
      <c r="N2664">
        <v>658546</v>
      </c>
      <c r="O2664">
        <v>1</v>
      </c>
    </row>
    <row r="2665" spans="1:15">
      <c r="A2665" t="s">
        <v>2691</v>
      </c>
      <c r="B2665" t="s">
        <v>24</v>
      </c>
      <c r="C2665">
        <v>13</v>
      </c>
      <c r="D2665">
        <v>13670472</v>
      </c>
      <c r="E2665">
        <v>1</v>
      </c>
      <c r="F2665">
        <v>25</v>
      </c>
      <c r="G2665">
        <v>712</v>
      </c>
      <c r="H2665">
        <v>90436915</v>
      </c>
      <c r="I2665">
        <v>366642</v>
      </c>
      <c r="J2665" t="s">
        <v>17</v>
      </c>
      <c r="K2665" t="s">
        <v>18</v>
      </c>
      <c r="L2665">
        <v>8</v>
      </c>
      <c r="M2665">
        <v>10.81</v>
      </c>
      <c r="N2665">
        <v>186760</v>
      </c>
      <c r="O2665">
        <v>1</v>
      </c>
    </row>
    <row r="2666" spans="1:15">
      <c r="A2666" t="s">
        <v>2692</v>
      </c>
      <c r="B2666" t="s">
        <v>27</v>
      </c>
      <c r="C2666">
        <v>7</v>
      </c>
      <c r="D2666">
        <v>6810005</v>
      </c>
      <c r="E2666">
        <v>3</v>
      </c>
      <c r="F2666">
        <v>24</v>
      </c>
      <c r="G2666">
        <v>609</v>
      </c>
      <c r="H2666">
        <v>52658467</v>
      </c>
      <c r="I2666">
        <v>192690</v>
      </c>
      <c r="J2666" t="s">
        <v>25</v>
      </c>
      <c r="K2666" t="s">
        <v>22</v>
      </c>
      <c r="L2666">
        <v>8</v>
      </c>
      <c r="M2666">
        <v>53.62</v>
      </c>
      <c r="N2666">
        <v>830905</v>
      </c>
      <c r="O2666">
        <v>1</v>
      </c>
    </row>
    <row r="2667" spans="1:15">
      <c r="A2667" t="s">
        <v>2693</v>
      </c>
      <c r="B2667" t="s">
        <v>38</v>
      </c>
      <c r="C2667">
        <v>7</v>
      </c>
      <c r="D2667">
        <v>35196980</v>
      </c>
      <c r="E2667">
        <v>3</v>
      </c>
      <c r="F2667">
        <v>8</v>
      </c>
      <c r="G2667">
        <v>525</v>
      </c>
      <c r="H2667">
        <v>81185456</v>
      </c>
      <c r="I2667">
        <v>796125</v>
      </c>
      <c r="J2667" t="s">
        <v>17</v>
      </c>
      <c r="K2667" t="s">
        <v>30</v>
      </c>
      <c r="L2667">
        <v>8</v>
      </c>
      <c r="M2667">
        <v>88.07</v>
      </c>
      <c r="N2667">
        <v>651231</v>
      </c>
      <c r="O2667">
        <v>1</v>
      </c>
    </row>
    <row r="2668" spans="1:15">
      <c r="A2668" t="s">
        <v>2694</v>
      </c>
      <c r="B2668" t="s">
        <v>24</v>
      </c>
      <c r="C2668">
        <v>12</v>
      </c>
      <c r="D2668">
        <v>30178206</v>
      </c>
      <c r="E2668">
        <v>4</v>
      </c>
      <c r="F2668">
        <v>14</v>
      </c>
      <c r="G2668">
        <v>67</v>
      </c>
      <c r="H2668">
        <v>53016902</v>
      </c>
      <c r="I2668">
        <v>270099</v>
      </c>
      <c r="J2668" t="s">
        <v>17</v>
      </c>
      <c r="K2668" t="s">
        <v>18</v>
      </c>
      <c r="L2668">
        <v>4</v>
      </c>
      <c r="M2668">
        <v>21.57</v>
      </c>
      <c r="N2668">
        <v>926674</v>
      </c>
      <c r="O2668">
        <v>1</v>
      </c>
    </row>
    <row r="2669" spans="1:15">
      <c r="A2669" t="s">
        <v>2695</v>
      </c>
      <c r="B2669" t="s">
        <v>20</v>
      </c>
      <c r="C2669">
        <v>8</v>
      </c>
      <c r="D2669">
        <v>21146616</v>
      </c>
      <c r="E2669">
        <v>1</v>
      </c>
      <c r="F2669">
        <v>9</v>
      </c>
      <c r="G2669">
        <v>771</v>
      </c>
      <c r="H2669">
        <v>38833366</v>
      </c>
      <c r="I2669">
        <v>190763</v>
      </c>
      <c r="J2669" t="s">
        <v>25</v>
      </c>
      <c r="K2669" t="s">
        <v>30</v>
      </c>
      <c r="L2669">
        <v>2</v>
      </c>
      <c r="M2669">
        <v>94.06</v>
      </c>
      <c r="N2669">
        <v>929829</v>
      </c>
      <c r="O2669">
        <v>1</v>
      </c>
    </row>
    <row r="2670" spans="1:15">
      <c r="A2670" t="s">
        <v>2696</v>
      </c>
      <c r="B2670" t="s">
        <v>29</v>
      </c>
      <c r="C2670">
        <v>6</v>
      </c>
      <c r="D2670">
        <v>41478116</v>
      </c>
      <c r="E2670">
        <v>3</v>
      </c>
      <c r="F2670">
        <v>6</v>
      </c>
      <c r="G2670">
        <v>616</v>
      </c>
      <c r="H2670">
        <v>14608551</v>
      </c>
      <c r="I2670">
        <v>294460</v>
      </c>
      <c r="J2670" t="s">
        <v>17</v>
      </c>
      <c r="K2670" t="s">
        <v>22</v>
      </c>
      <c r="L2670">
        <v>9</v>
      </c>
      <c r="M2670">
        <v>11.59</v>
      </c>
      <c r="N2670">
        <v>278543</v>
      </c>
      <c r="O2670">
        <v>1</v>
      </c>
    </row>
    <row r="2671" spans="1:15">
      <c r="A2671" t="s">
        <v>2697</v>
      </c>
      <c r="B2671" t="s">
        <v>20</v>
      </c>
      <c r="C2671">
        <v>8</v>
      </c>
      <c r="D2671">
        <v>32144943</v>
      </c>
      <c r="E2671">
        <v>1</v>
      </c>
      <c r="F2671">
        <v>29</v>
      </c>
      <c r="G2671">
        <v>199</v>
      </c>
      <c r="H2671">
        <v>37558782</v>
      </c>
      <c r="I2671">
        <v>951794</v>
      </c>
      <c r="J2671" t="s">
        <v>17</v>
      </c>
      <c r="K2671" t="s">
        <v>22</v>
      </c>
      <c r="L2671">
        <v>6</v>
      </c>
      <c r="M2671">
        <v>58.57</v>
      </c>
      <c r="N2671">
        <v>416781</v>
      </c>
      <c r="O2671">
        <v>1</v>
      </c>
    </row>
    <row r="2672" spans="1:15">
      <c r="A2672" t="s">
        <v>2698</v>
      </c>
      <c r="B2672" t="s">
        <v>32</v>
      </c>
      <c r="C2672">
        <v>10</v>
      </c>
      <c r="D2672">
        <v>22306176</v>
      </c>
      <c r="E2672">
        <v>4</v>
      </c>
      <c r="F2672">
        <v>20</v>
      </c>
      <c r="G2672">
        <v>261</v>
      </c>
      <c r="H2672">
        <v>4130223</v>
      </c>
      <c r="I2672">
        <v>597295</v>
      </c>
      <c r="J2672" t="s">
        <v>21</v>
      </c>
      <c r="K2672" t="s">
        <v>30</v>
      </c>
      <c r="L2672">
        <v>3</v>
      </c>
      <c r="M2672">
        <v>20.25</v>
      </c>
      <c r="N2672">
        <v>781244</v>
      </c>
      <c r="O2672">
        <v>1</v>
      </c>
    </row>
    <row r="2673" spans="1:15">
      <c r="A2673" t="s">
        <v>2699</v>
      </c>
      <c r="B2673" t="s">
        <v>16</v>
      </c>
      <c r="C2673">
        <v>7</v>
      </c>
      <c r="D2673">
        <v>21342086</v>
      </c>
      <c r="E2673">
        <v>4</v>
      </c>
      <c r="F2673">
        <v>9</v>
      </c>
      <c r="G2673">
        <v>310</v>
      </c>
      <c r="H2673">
        <v>43354158</v>
      </c>
      <c r="I2673">
        <v>798157</v>
      </c>
      <c r="J2673" t="s">
        <v>21</v>
      </c>
      <c r="K2673" t="s">
        <v>18</v>
      </c>
      <c r="L2673">
        <v>5</v>
      </c>
      <c r="M2673">
        <v>75.86</v>
      </c>
      <c r="N2673">
        <v>765814</v>
      </c>
      <c r="O2673">
        <v>1</v>
      </c>
    </row>
    <row r="2674" spans="1:15">
      <c r="A2674" t="s">
        <v>2700</v>
      </c>
      <c r="B2674" t="s">
        <v>27</v>
      </c>
      <c r="C2674">
        <v>12</v>
      </c>
      <c r="D2674">
        <v>43941608</v>
      </c>
      <c r="E2674">
        <v>1</v>
      </c>
      <c r="F2674">
        <v>23</v>
      </c>
      <c r="G2674">
        <v>170</v>
      </c>
      <c r="H2674">
        <v>76272963</v>
      </c>
      <c r="I2674">
        <v>200217</v>
      </c>
      <c r="J2674" t="s">
        <v>25</v>
      </c>
      <c r="K2674" t="s">
        <v>30</v>
      </c>
      <c r="L2674">
        <v>5</v>
      </c>
      <c r="M2674">
        <v>26.05</v>
      </c>
      <c r="N2674">
        <v>757406</v>
      </c>
      <c r="O2674">
        <v>1</v>
      </c>
    </row>
    <row r="2675" spans="1:15">
      <c r="A2675" t="s">
        <v>2701</v>
      </c>
      <c r="B2675" t="s">
        <v>20</v>
      </c>
      <c r="C2675">
        <v>12</v>
      </c>
      <c r="D2675">
        <v>7371622</v>
      </c>
      <c r="E2675">
        <v>2</v>
      </c>
      <c r="F2675">
        <v>21</v>
      </c>
      <c r="G2675">
        <v>725</v>
      </c>
      <c r="H2675">
        <v>81801940</v>
      </c>
      <c r="I2675">
        <v>248398</v>
      </c>
      <c r="J2675" t="s">
        <v>25</v>
      </c>
      <c r="K2675" t="s">
        <v>22</v>
      </c>
      <c r="L2675">
        <v>7</v>
      </c>
      <c r="M2675">
        <v>98.56</v>
      </c>
      <c r="N2675">
        <v>911602</v>
      </c>
      <c r="O2675">
        <v>1</v>
      </c>
    </row>
    <row r="2676" spans="1:15">
      <c r="A2676" t="s">
        <v>2702</v>
      </c>
      <c r="B2676" t="s">
        <v>32</v>
      </c>
      <c r="C2676">
        <v>9</v>
      </c>
      <c r="D2676">
        <v>10241439</v>
      </c>
      <c r="E2676">
        <v>2</v>
      </c>
      <c r="F2676">
        <v>17</v>
      </c>
      <c r="G2676">
        <v>795</v>
      </c>
      <c r="H2676">
        <v>34849701</v>
      </c>
      <c r="I2676">
        <v>464534</v>
      </c>
      <c r="J2676" t="s">
        <v>25</v>
      </c>
      <c r="K2676" t="s">
        <v>22</v>
      </c>
      <c r="L2676">
        <v>1</v>
      </c>
      <c r="M2676">
        <v>90.31</v>
      </c>
      <c r="N2676">
        <v>101535</v>
      </c>
      <c r="O2676">
        <v>1</v>
      </c>
    </row>
    <row r="2677" spans="1:15">
      <c r="A2677" t="s">
        <v>2703</v>
      </c>
      <c r="B2677" t="s">
        <v>24</v>
      </c>
      <c r="C2677">
        <v>5</v>
      </c>
      <c r="D2677">
        <v>22724796</v>
      </c>
      <c r="E2677">
        <v>2</v>
      </c>
      <c r="F2677">
        <v>21</v>
      </c>
      <c r="G2677">
        <v>583</v>
      </c>
      <c r="H2677">
        <v>39349685</v>
      </c>
      <c r="I2677">
        <v>781355</v>
      </c>
      <c r="J2677" t="s">
        <v>21</v>
      </c>
      <c r="K2677" t="s">
        <v>30</v>
      </c>
      <c r="L2677">
        <v>3</v>
      </c>
      <c r="M2677">
        <v>19.82</v>
      </c>
      <c r="N2677">
        <v>161039</v>
      </c>
      <c r="O2677">
        <v>1</v>
      </c>
    </row>
    <row r="2678" spans="1:15">
      <c r="A2678" t="s">
        <v>2704</v>
      </c>
      <c r="B2678" t="s">
        <v>27</v>
      </c>
      <c r="C2678">
        <v>5</v>
      </c>
      <c r="D2678">
        <v>35770812</v>
      </c>
      <c r="E2678">
        <v>4</v>
      </c>
      <c r="F2678">
        <v>29</v>
      </c>
      <c r="G2678">
        <v>795</v>
      </c>
      <c r="H2678">
        <v>69244290</v>
      </c>
      <c r="I2678">
        <v>232676</v>
      </c>
      <c r="J2678" t="s">
        <v>21</v>
      </c>
      <c r="K2678" t="s">
        <v>18</v>
      </c>
      <c r="L2678">
        <v>8</v>
      </c>
      <c r="M2678">
        <v>97.79</v>
      </c>
      <c r="N2678">
        <v>43591</v>
      </c>
      <c r="O2678">
        <v>1</v>
      </c>
    </row>
    <row r="2679" spans="1:15">
      <c r="A2679" t="s">
        <v>2705</v>
      </c>
      <c r="B2679" t="s">
        <v>29</v>
      </c>
      <c r="C2679">
        <v>2</v>
      </c>
      <c r="D2679">
        <v>26412115</v>
      </c>
      <c r="E2679">
        <v>1</v>
      </c>
      <c r="F2679">
        <v>19</v>
      </c>
      <c r="G2679">
        <v>126</v>
      </c>
      <c r="H2679">
        <v>17413569</v>
      </c>
      <c r="I2679">
        <v>417905</v>
      </c>
      <c r="J2679" t="s">
        <v>21</v>
      </c>
      <c r="K2679" t="s">
        <v>30</v>
      </c>
      <c r="L2679">
        <v>7</v>
      </c>
      <c r="M2679">
        <v>7.89</v>
      </c>
      <c r="N2679">
        <v>854278</v>
      </c>
      <c r="O2679">
        <v>1</v>
      </c>
    </row>
    <row r="2680" spans="1:15">
      <c r="A2680" t="s">
        <v>2706</v>
      </c>
      <c r="B2680" t="s">
        <v>20</v>
      </c>
      <c r="C2680">
        <v>12</v>
      </c>
      <c r="D2680">
        <v>42978939</v>
      </c>
      <c r="E2680">
        <v>4</v>
      </c>
      <c r="F2680">
        <v>18</v>
      </c>
      <c r="G2680">
        <v>276</v>
      </c>
      <c r="H2680">
        <v>16718050</v>
      </c>
      <c r="I2680">
        <v>912922</v>
      </c>
      <c r="J2680" t="s">
        <v>25</v>
      </c>
      <c r="K2680" t="s">
        <v>22</v>
      </c>
      <c r="L2680">
        <v>1</v>
      </c>
      <c r="M2680">
        <v>84.1</v>
      </c>
      <c r="N2680">
        <v>756026</v>
      </c>
      <c r="O2680">
        <v>1</v>
      </c>
    </row>
    <row r="2681" spans="1:15">
      <c r="A2681" t="s">
        <v>2707</v>
      </c>
      <c r="B2681" t="s">
        <v>27</v>
      </c>
      <c r="C2681">
        <v>10</v>
      </c>
      <c r="D2681">
        <v>12901209</v>
      </c>
      <c r="E2681">
        <v>2</v>
      </c>
      <c r="F2681">
        <v>28</v>
      </c>
      <c r="G2681">
        <v>777</v>
      </c>
      <c r="H2681">
        <v>64642364</v>
      </c>
      <c r="I2681">
        <v>788881</v>
      </c>
      <c r="J2681" t="s">
        <v>21</v>
      </c>
      <c r="K2681" t="s">
        <v>18</v>
      </c>
      <c r="L2681">
        <v>9</v>
      </c>
      <c r="M2681">
        <v>22.16</v>
      </c>
      <c r="N2681">
        <v>594823</v>
      </c>
      <c r="O2681">
        <v>1</v>
      </c>
    </row>
    <row r="2682" spans="1:15">
      <c r="A2682" t="s">
        <v>2708</v>
      </c>
      <c r="B2682" t="s">
        <v>32</v>
      </c>
      <c r="C2682">
        <v>6</v>
      </c>
      <c r="D2682">
        <v>8400326</v>
      </c>
      <c r="E2682">
        <v>3</v>
      </c>
      <c r="F2682">
        <v>25</v>
      </c>
      <c r="G2682">
        <v>447</v>
      </c>
      <c r="H2682">
        <v>9045727</v>
      </c>
      <c r="I2682">
        <v>962674</v>
      </c>
      <c r="J2682" t="s">
        <v>25</v>
      </c>
      <c r="K2682" t="s">
        <v>18</v>
      </c>
      <c r="L2682">
        <v>6</v>
      </c>
      <c r="M2682">
        <v>37</v>
      </c>
      <c r="N2682">
        <v>897512</v>
      </c>
      <c r="O2682">
        <v>1</v>
      </c>
    </row>
    <row r="2683" spans="1:15">
      <c r="A2683" t="s">
        <v>2709</v>
      </c>
      <c r="B2683" t="s">
        <v>32</v>
      </c>
      <c r="C2683">
        <v>2</v>
      </c>
      <c r="D2683">
        <v>32229358</v>
      </c>
      <c r="E2683">
        <v>1</v>
      </c>
      <c r="F2683">
        <v>3</v>
      </c>
      <c r="G2683">
        <v>572</v>
      </c>
      <c r="H2683">
        <v>98528438</v>
      </c>
      <c r="I2683">
        <v>772801</v>
      </c>
      <c r="J2683" t="s">
        <v>21</v>
      </c>
      <c r="K2683" t="s">
        <v>22</v>
      </c>
      <c r="L2683">
        <v>5</v>
      </c>
      <c r="M2683">
        <v>62.48</v>
      </c>
      <c r="N2683">
        <v>490432</v>
      </c>
      <c r="O2683">
        <v>1</v>
      </c>
    </row>
    <row r="2684" spans="1:15">
      <c r="A2684" t="s">
        <v>2710</v>
      </c>
      <c r="B2684" t="s">
        <v>38</v>
      </c>
      <c r="C2684">
        <v>8</v>
      </c>
      <c r="D2684">
        <v>46974803</v>
      </c>
      <c r="E2684">
        <v>3</v>
      </c>
      <c r="F2684">
        <v>20</v>
      </c>
      <c r="G2684">
        <v>13</v>
      </c>
      <c r="H2684">
        <v>57787499</v>
      </c>
      <c r="I2684">
        <v>64841</v>
      </c>
      <c r="J2684" t="s">
        <v>17</v>
      </c>
      <c r="K2684" t="s">
        <v>30</v>
      </c>
      <c r="L2684">
        <v>1</v>
      </c>
      <c r="M2684">
        <v>94.13</v>
      </c>
      <c r="N2684">
        <v>528216</v>
      </c>
      <c r="O2684">
        <v>1</v>
      </c>
    </row>
    <row r="2685" spans="1:15">
      <c r="A2685" t="s">
        <v>2711</v>
      </c>
      <c r="B2685" t="s">
        <v>32</v>
      </c>
      <c r="C2685">
        <v>7</v>
      </c>
      <c r="D2685">
        <v>29439632</v>
      </c>
      <c r="E2685">
        <v>1</v>
      </c>
      <c r="F2685">
        <v>18</v>
      </c>
      <c r="G2685">
        <v>253</v>
      </c>
      <c r="H2685">
        <v>79421109</v>
      </c>
      <c r="I2685">
        <v>191725</v>
      </c>
      <c r="J2685" t="s">
        <v>25</v>
      </c>
      <c r="K2685" t="s">
        <v>30</v>
      </c>
      <c r="L2685">
        <v>1</v>
      </c>
      <c r="M2685">
        <v>25.56</v>
      </c>
      <c r="N2685">
        <v>311025</v>
      </c>
      <c r="O2685">
        <v>1</v>
      </c>
    </row>
    <row r="2686" spans="1:15">
      <c r="A2686" t="s">
        <v>2712</v>
      </c>
      <c r="B2686" t="s">
        <v>16</v>
      </c>
      <c r="C2686">
        <v>8</v>
      </c>
      <c r="D2686">
        <v>27575280</v>
      </c>
      <c r="E2686">
        <v>2</v>
      </c>
      <c r="F2686">
        <v>12</v>
      </c>
      <c r="G2686">
        <v>518</v>
      </c>
      <c r="H2686">
        <v>63733031</v>
      </c>
      <c r="I2686">
        <v>638224</v>
      </c>
      <c r="J2686" t="s">
        <v>17</v>
      </c>
      <c r="K2686" t="s">
        <v>22</v>
      </c>
      <c r="L2686">
        <v>1</v>
      </c>
      <c r="M2686">
        <v>69.64</v>
      </c>
      <c r="N2686">
        <v>156219</v>
      </c>
      <c r="O2686">
        <v>1</v>
      </c>
    </row>
    <row r="2687" spans="1:15">
      <c r="A2687" t="s">
        <v>2713</v>
      </c>
      <c r="B2687" t="s">
        <v>20</v>
      </c>
      <c r="C2687">
        <v>2</v>
      </c>
      <c r="D2687">
        <v>19588335</v>
      </c>
      <c r="E2687">
        <v>1</v>
      </c>
      <c r="F2687">
        <v>19</v>
      </c>
      <c r="G2687">
        <v>899</v>
      </c>
      <c r="H2687">
        <v>17737154</v>
      </c>
      <c r="I2687">
        <v>327446</v>
      </c>
      <c r="J2687" t="s">
        <v>25</v>
      </c>
      <c r="K2687" t="s">
        <v>30</v>
      </c>
      <c r="L2687">
        <v>4</v>
      </c>
      <c r="M2687">
        <v>48.37</v>
      </c>
      <c r="N2687">
        <v>117959</v>
      </c>
      <c r="O2687">
        <v>1</v>
      </c>
    </row>
    <row r="2688" spans="1:15">
      <c r="A2688" t="s">
        <v>2714</v>
      </c>
      <c r="B2688" t="s">
        <v>16</v>
      </c>
      <c r="C2688">
        <v>1</v>
      </c>
      <c r="D2688">
        <v>39316405</v>
      </c>
      <c r="E2688">
        <v>3</v>
      </c>
      <c r="F2688">
        <v>21</v>
      </c>
      <c r="G2688">
        <v>84</v>
      </c>
      <c r="H2688">
        <v>34927465</v>
      </c>
      <c r="I2688">
        <v>502039</v>
      </c>
      <c r="J2688" t="s">
        <v>17</v>
      </c>
      <c r="K2688" t="s">
        <v>30</v>
      </c>
      <c r="L2688">
        <v>7</v>
      </c>
      <c r="M2688">
        <v>77.06</v>
      </c>
      <c r="N2688">
        <v>70624</v>
      </c>
      <c r="O2688">
        <v>1</v>
      </c>
    </row>
    <row r="2689" spans="1:15">
      <c r="A2689" t="s">
        <v>2715</v>
      </c>
      <c r="B2689" t="s">
        <v>24</v>
      </c>
      <c r="C2689">
        <v>13</v>
      </c>
      <c r="D2689">
        <v>2607862</v>
      </c>
      <c r="E2689">
        <v>3</v>
      </c>
      <c r="F2689">
        <v>20</v>
      </c>
      <c r="G2689">
        <v>270</v>
      </c>
      <c r="H2689">
        <v>34090150</v>
      </c>
      <c r="I2689">
        <v>725856</v>
      </c>
      <c r="J2689" t="s">
        <v>17</v>
      </c>
      <c r="K2689" t="s">
        <v>22</v>
      </c>
      <c r="L2689">
        <v>3</v>
      </c>
      <c r="M2689">
        <v>98.87</v>
      </c>
      <c r="N2689">
        <v>638014</v>
      </c>
      <c r="O2689">
        <v>1</v>
      </c>
    </row>
    <row r="2690" spans="1:15">
      <c r="A2690" t="s">
        <v>2716</v>
      </c>
      <c r="B2690" t="s">
        <v>24</v>
      </c>
      <c r="C2690">
        <v>7</v>
      </c>
      <c r="D2690">
        <v>43300107</v>
      </c>
      <c r="E2690">
        <v>2</v>
      </c>
      <c r="F2690">
        <v>15</v>
      </c>
      <c r="G2690">
        <v>133</v>
      </c>
      <c r="H2690">
        <v>16032707</v>
      </c>
      <c r="I2690">
        <v>746020</v>
      </c>
      <c r="J2690" t="s">
        <v>25</v>
      </c>
      <c r="K2690" t="s">
        <v>18</v>
      </c>
      <c r="L2690">
        <v>4</v>
      </c>
      <c r="M2690">
        <v>94.69</v>
      </c>
      <c r="N2690">
        <v>256583</v>
      </c>
      <c r="O2690">
        <v>1</v>
      </c>
    </row>
    <row r="2691" spans="1:15">
      <c r="A2691" t="s">
        <v>2717</v>
      </c>
      <c r="B2691" t="s">
        <v>32</v>
      </c>
      <c r="C2691">
        <v>1</v>
      </c>
      <c r="D2691">
        <v>19491016</v>
      </c>
      <c r="E2691">
        <v>4</v>
      </c>
      <c r="F2691">
        <v>9</v>
      </c>
      <c r="G2691">
        <v>979</v>
      </c>
      <c r="H2691">
        <v>36124581</v>
      </c>
      <c r="I2691">
        <v>455264</v>
      </c>
      <c r="J2691" t="s">
        <v>21</v>
      </c>
      <c r="K2691" t="s">
        <v>30</v>
      </c>
      <c r="L2691">
        <v>6</v>
      </c>
      <c r="M2691">
        <v>35.659999999999997</v>
      </c>
      <c r="N2691">
        <v>418442</v>
      </c>
      <c r="O2691">
        <v>1</v>
      </c>
    </row>
    <row r="2692" spans="1:15">
      <c r="A2692" t="s">
        <v>2718</v>
      </c>
      <c r="B2692" t="s">
        <v>38</v>
      </c>
      <c r="C2692">
        <v>7</v>
      </c>
      <c r="D2692">
        <v>48775939</v>
      </c>
      <c r="E2692">
        <v>2</v>
      </c>
      <c r="F2692">
        <v>15</v>
      </c>
      <c r="G2692">
        <v>6</v>
      </c>
      <c r="H2692">
        <v>69513414</v>
      </c>
      <c r="I2692">
        <v>513741</v>
      </c>
      <c r="J2692" t="s">
        <v>25</v>
      </c>
      <c r="K2692" t="s">
        <v>30</v>
      </c>
      <c r="L2692">
        <v>3</v>
      </c>
      <c r="M2692">
        <v>36.270000000000003</v>
      </c>
      <c r="N2692">
        <v>988734</v>
      </c>
      <c r="O2692">
        <v>1</v>
      </c>
    </row>
    <row r="2693" spans="1:15">
      <c r="A2693" t="s">
        <v>2719</v>
      </c>
      <c r="B2693" t="s">
        <v>20</v>
      </c>
      <c r="C2693">
        <v>1</v>
      </c>
      <c r="D2693">
        <v>9657423</v>
      </c>
      <c r="E2693">
        <v>3</v>
      </c>
      <c r="F2693">
        <v>24</v>
      </c>
      <c r="G2693">
        <v>231</v>
      </c>
      <c r="H2693">
        <v>12153327</v>
      </c>
      <c r="I2693">
        <v>690367</v>
      </c>
      <c r="J2693" t="s">
        <v>25</v>
      </c>
      <c r="K2693" t="s">
        <v>22</v>
      </c>
      <c r="L2693">
        <v>7</v>
      </c>
      <c r="M2693">
        <v>10.14</v>
      </c>
      <c r="N2693">
        <v>862165</v>
      </c>
      <c r="O2693">
        <v>1</v>
      </c>
    </row>
    <row r="2694" spans="1:15">
      <c r="A2694" t="s">
        <v>2720</v>
      </c>
      <c r="B2694" t="s">
        <v>29</v>
      </c>
      <c r="C2694">
        <v>7</v>
      </c>
      <c r="D2694">
        <v>5551112</v>
      </c>
      <c r="E2694">
        <v>1</v>
      </c>
      <c r="F2694">
        <v>21</v>
      </c>
      <c r="G2694">
        <v>183</v>
      </c>
      <c r="H2694">
        <v>32743521</v>
      </c>
      <c r="I2694">
        <v>863163</v>
      </c>
      <c r="J2694" t="s">
        <v>17</v>
      </c>
      <c r="K2694" t="s">
        <v>30</v>
      </c>
      <c r="L2694">
        <v>2</v>
      </c>
      <c r="M2694">
        <v>85.41</v>
      </c>
      <c r="N2694">
        <v>494032</v>
      </c>
      <c r="O2694">
        <v>1</v>
      </c>
    </row>
    <row r="2695" spans="1:15">
      <c r="A2695" t="s">
        <v>2721</v>
      </c>
      <c r="B2695" t="s">
        <v>29</v>
      </c>
      <c r="C2695">
        <v>11</v>
      </c>
      <c r="D2695">
        <v>1780408</v>
      </c>
      <c r="E2695">
        <v>4</v>
      </c>
      <c r="F2695">
        <v>3</v>
      </c>
      <c r="G2695">
        <v>493</v>
      </c>
      <c r="H2695">
        <v>14083487</v>
      </c>
      <c r="I2695">
        <v>348043</v>
      </c>
      <c r="J2695" t="s">
        <v>17</v>
      </c>
      <c r="K2695" t="s">
        <v>30</v>
      </c>
      <c r="L2695">
        <v>4</v>
      </c>
      <c r="M2695">
        <v>24.59</v>
      </c>
      <c r="N2695">
        <v>13551</v>
      </c>
      <c r="O2695">
        <v>1</v>
      </c>
    </row>
    <row r="2696" spans="1:15">
      <c r="A2696" t="s">
        <v>2722</v>
      </c>
      <c r="B2696" t="s">
        <v>38</v>
      </c>
      <c r="C2696">
        <v>14</v>
      </c>
      <c r="D2696">
        <v>41374068</v>
      </c>
      <c r="E2696">
        <v>4</v>
      </c>
      <c r="F2696">
        <v>21</v>
      </c>
      <c r="G2696">
        <v>648</v>
      </c>
      <c r="H2696">
        <v>43920771</v>
      </c>
      <c r="I2696">
        <v>744832</v>
      </c>
      <c r="J2696" t="s">
        <v>21</v>
      </c>
      <c r="K2696" t="s">
        <v>22</v>
      </c>
      <c r="L2696">
        <v>5</v>
      </c>
      <c r="M2696">
        <v>44.49</v>
      </c>
      <c r="N2696">
        <v>213453</v>
      </c>
      <c r="O2696">
        <v>1</v>
      </c>
    </row>
    <row r="2697" spans="1:15">
      <c r="A2697" t="s">
        <v>2723</v>
      </c>
      <c r="B2697" t="s">
        <v>16</v>
      </c>
      <c r="C2697">
        <v>11</v>
      </c>
      <c r="D2697">
        <v>34322694</v>
      </c>
      <c r="E2697">
        <v>4</v>
      </c>
      <c r="F2697">
        <v>17</v>
      </c>
      <c r="G2697">
        <v>637</v>
      </c>
      <c r="H2697">
        <v>15654348</v>
      </c>
      <c r="I2697">
        <v>760062</v>
      </c>
      <c r="J2697" t="s">
        <v>21</v>
      </c>
      <c r="K2697" t="s">
        <v>22</v>
      </c>
      <c r="L2697">
        <v>5</v>
      </c>
      <c r="M2697">
        <v>64.53</v>
      </c>
      <c r="N2697">
        <v>993930</v>
      </c>
      <c r="O2697">
        <v>1</v>
      </c>
    </row>
    <row r="2698" spans="1:15">
      <c r="A2698" t="s">
        <v>2724</v>
      </c>
      <c r="B2698" t="s">
        <v>29</v>
      </c>
      <c r="C2698">
        <v>3</v>
      </c>
      <c r="D2698">
        <v>1871097</v>
      </c>
      <c r="E2698">
        <v>3</v>
      </c>
      <c r="F2698">
        <v>12</v>
      </c>
      <c r="G2698">
        <v>503</v>
      </c>
      <c r="H2698">
        <v>61510150</v>
      </c>
      <c r="I2698">
        <v>839956</v>
      </c>
      <c r="J2698" t="s">
        <v>17</v>
      </c>
      <c r="K2698" t="s">
        <v>30</v>
      </c>
      <c r="L2698">
        <v>8</v>
      </c>
      <c r="M2698">
        <v>93.04</v>
      </c>
      <c r="N2698">
        <v>815612</v>
      </c>
      <c r="O2698">
        <v>1</v>
      </c>
    </row>
    <row r="2699" spans="1:15">
      <c r="A2699" t="s">
        <v>2725</v>
      </c>
      <c r="B2699" t="s">
        <v>20</v>
      </c>
      <c r="C2699">
        <v>13</v>
      </c>
      <c r="D2699">
        <v>40317929</v>
      </c>
      <c r="E2699">
        <v>3</v>
      </c>
      <c r="F2699">
        <v>26</v>
      </c>
      <c r="G2699">
        <v>700</v>
      </c>
      <c r="H2699">
        <v>86155684</v>
      </c>
      <c r="I2699">
        <v>615909</v>
      </c>
      <c r="J2699" t="s">
        <v>21</v>
      </c>
      <c r="K2699" t="s">
        <v>22</v>
      </c>
      <c r="L2699">
        <v>2</v>
      </c>
      <c r="M2699">
        <v>4.74</v>
      </c>
      <c r="N2699">
        <v>472823</v>
      </c>
      <c r="O2699">
        <v>1</v>
      </c>
    </row>
    <row r="2700" spans="1:15">
      <c r="A2700" t="s">
        <v>2726</v>
      </c>
      <c r="B2700" t="s">
        <v>16</v>
      </c>
      <c r="C2700">
        <v>5</v>
      </c>
      <c r="D2700">
        <v>45900704</v>
      </c>
      <c r="E2700">
        <v>2</v>
      </c>
      <c r="F2700">
        <v>18</v>
      </c>
      <c r="G2700">
        <v>49</v>
      </c>
      <c r="H2700">
        <v>51391502</v>
      </c>
      <c r="I2700">
        <v>773149</v>
      </c>
      <c r="J2700" t="s">
        <v>21</v>
      </c>
      <c r="K2700" t="s">
        <v>18</v>
      </c>
      <c r="L2700">
        <v>1</v>
      </c>
      <c r="M2700">
        <v>53.62</v>
      </c>
      <c r="N2700">
        <v>574661</v>
      </c>
      <c r="O2700">
        <v>1</v>
      </c>
    </row>
    <row r="2701" spans="1:15">
      <c r="A2701" t="s">
        <v>2727</v>
      </c>
      <c r="B2701" t="s">
        <v>16</v>
      </c>
      <c r="C2701">
        <v>11</v>
      </c>
      <c r="D2701">
        <v>46133448</v>
      </c>
      <c r="E2701">
        <v>4</v>
      </c>
      <c r="F2701">
        <v>7</v>
      </c>
      <c r="G2701">
        <v>501</v>
      </c>
      <c r="H2701">
        <v>47008407</v>
      </c>
      <c r="I2701">
        <v>872478</v>
      </c>
      <c r="J2701" t="s">
        <v>21</v>
      </c>
      <c r="K2701" t="s">
        <v>18</v>
      </c>
      <c r="L2701">
        <v>3</v>
      </c>
      <c r="M2701">
        <v>77.12</v>
      </c>
      <c r="N2701">
        <v>889080</v>
      </c>
      <c r="O2701">
        <v>1</v>
      </c>
    </row>
    <row r="2702" spans="1:15">
      <c r="A2702" t="s">
        <v>2728</v>
      </c>
      <c r="B2702" t="s">
        <v>24</v>
      </c>
      <c r="C2702">
        <v>13</v>
      </c>
      <c r="D2702">
        <v>49628500</v>
      </c>
      <c r="E2702">
        <v>2</v>
      </c>
      <c r="F2702">
        <v>13</v>
      </c>
      <c r="G2702">
        <v>786</v>
      </c>
      <c r="H2702">
        <v>94402426</v>
      </c>
      <c r="I2702">
        <v>105115</v>
      </c>
      <c r="J2702" t="s">
        <v>21</v>
      </c>
      <c r="K2702" t="s">
        <v>18</v>
      </c>
      <c r="L2702">
        <v>6</v>
      </c>
      <c r="M2702">
        <v>95.87</v>
      </c>
      <c r="N2702">
        <v>954637</v>
      </c>
      <c r="O2702">
        <v>1</v>
      </c>
    </row>
    <row r="2703" spans="1:15">
      <c r="A2703" t="s">
        <v>2729</v>
      </c>
      <c r="B2703" t="s">
        <v>27</v>
      </c>
      <c r="C2703">
        <v>14</v>
      </c>
      <c r="D2703">
        <v>28322717</v>
      </c>
      <c r="E2703">
        <v>4</v>
      </c>
      <c r="F2703">
        <v>1</v>
      </c>
      <c r="G2703">
        <v>445</v>
      </c>
      <c r="H2703">
        <v>63788852</v>
      </c>
      <c r="I2703">
        <v>779159</v>
      </c>
      <c r="J2703" t="s">
        <v>17</v>
      </c>
      <c r="K2703" t="s">
        <v>22</v>
      </c>
      <c r="L2703">
        <v>6</v>
      </c>
      <c r="M2703">
        <v>27.39</v>
      </c>
      <c r="N2703">
        <v>872828</v>
      </c>
      <c r="O2703">
        <v>1</v>
      </c>
    </row>
    <row r="2704" spans="1:15">
      <c r="A2704" t="s">
        <v>2730</v>
      </c>
      <c r="B2704" t="s">
        <v>29</v>
      </c>
      <c r="C2704">
        <v>5</v>
      </c>
      <c r="D2704">
        <v>32977976</v>
      </c>
      <c r="E2704">
        <v>2</v>
      </c>
      <c r="F2704">
        <v>11</v>
      </c>
      <c r="G2704">
        <v>267</v>
      </c>
      <c r="H2704">
        <v>50292284</v>
      </c>
      <c r="I2704">
        <v>181564</v>
      </c>
      <c r="J2704" t="s">
        <v>21</v>
      </c>
      <c r="K2704" t="s">
        <v>30</v>
      </c>
      <c r="L2704">
        <v>5</v>
      </c>
      <c r="M2704">
        <v>27.1</v>
      </c>
      <c r="N2704">
        <v>878639</v>
      </c>
      <c r="O2704">
        <v>1</v>
      </c>
    </row>
    <row r="2705" spans="1:15">
      <c r="A2705" t="s">
        <v>2731</v>
      </c>
      <c r="B2705" t="s">
        <v>20</v>
      </c>
      <c r="C2705">
        <v>10</v>
      </c>
      <c r="D2705">
        <v>24654529</v>
      </c>
      <c r="E2705">
        <v>1</v>
      </c>
      <c r="F2705">
        <v>22</v>
      </c>
      <c r="G2705">
        <v>60</v>
      </c>
      <c r="H2705">
        <v>14889048</v>
      </c>
      <c r="I2705">
        <v>894488</v>
      </c>
      <c r="J2705" t="s">
        <v>25</v>
      </c>
      <c r="K2705" t="s">
        <v>18</v>
      </c>
      <c r="L2705">
        <v>1</v>
      </c>
      <c r="M2705">
        <v>87.08</v>
      </c>
      <c r="N2705">
        <v>26097</v>
      </c>
      <c r="O2705">
        <v>1</v>
      </c>
    </row>
    <row r="2706" spans="1:15">
      <c r="A2706" t="s">
        <v>2732</v>
      </c>
      <c r="B2706" t="s">
        <v>38</v>
      </c>
      <c r="C2706">
        <v>10</v>
      </c>
      <c r="D2706">
        <v>46676982</v>
      </c>
      <c r="E2706">
        <v>1</v>
      </c>
      <c r="F2706">
        <v>16</v>
      </c>
      <c r="G2706">
        <v>976</v>
      </c>
      <c r="H2706">
        <v>38989219</v>
      </c>
      <c r="I2706">
        <v>133674</v>
      </c>
      <c r="J2706" t="s">
        <v>21</v>
      </c>
      <c r="K2706" t="s">
        <v>22</v>
      </c>
      <c r="L2706">
        <v>6</v>
      </c>
      <c r="M2706">
        <v>82.19</v>
      </c>
      <c r="N2706">
        <v>8189</v>
      </c>
      <c r="O2706">
        <v>1</v>
      </c>
    </row>
    <row r="2707" spans="1:15">
      <c r="A2707" t="s">
        <v>2733</v>
      </c>
      <c r="B2707" t="s">
        <v>38</v>
      </c>
      <c r="C2707">
        <v>4</v>
      </c>
      <c r="D2707">
        <v>20842831</v>
      </c>
      <c r="E2707">
        <v>1</v>
      </c>
      <c r="F2707">
        <v>1</v>
      </c>
      <c r="G2707">
        <v>373</v>
      </c>
      <c r="H2707">
        <v>70603311</v>
      </c>
      <c r="I2707">
        <v>615107</v>
      </c>
      <c r="J2707" t="s">
        <v>25</v>
      </c>
      <c r="K2707" t="s">
        <v>30</v>
      </c>
      <c r="L2707">
        <v>4</v>
      </c>
      <c r="M2707">
        <v>2.95</v>
      </c>
      <c r="N2707">
        <v>323277</v>
      </c>
      <c r="O2707">
        <v>1</v>
      </c>
    </row>
    <row r="2708" spans="1:15">
      <c r="A2708" t="s">
        <v>2734</v>
      </c>
      <c r="B2708" t="s">
        <v>20</v>
      </c>
      <c r="C2708">
        <v>8</v>
      </c>
      <c r="D2708">
        <v>41993499</v>
      </c>
      <c r="E2708">
        <v>2</v>
      </c>
      <c r="F2708">
        <v>5</v>
      </c>
      <c r="G2708">
        <v>617</v>
      </c>
      <c r="H2708">
        <v>87888574</v>
      </c>
      <c r="I2708">
        <v>796245</v>
      </c>
      <c r="J2708" t="s">
        <v>21</v>
      </c>
      <c r="K2708" t="s">
        <v>30</v>
      </c>
      <c r="L2708">
        <v>4</v>
      </c>
      <c r="M2708">
        <v>89</v>
      </c>
      <c r="N2708">
        <v>336392</v>
      </c>
      <c r="O2708">
        <v>1</v>
      </c>
    </row>
    <row r="2709" spans="1:15">
      <c r="A2709" t="s">
        <v>2735</v>
      </c>
      <c r="B2709" t="s">
        <v>24</v>
      </c>
      <c r="C2709">
        <v>2</v>
      </c>
      <c r="D2709">
        <v>49734280</v>
      </c>
      <c r="E2709">
        <v>3</v>
      </c>
      <c r="F2709">
        <v>10</v>
      </c>
      <c r="G2709">
        <v>328</v>
      </c>
      <c r="H2709">
        <v>99423801</v>
      </c>
      <c r="I2709">
        <v>178864</v>
      </c>
      <c r="J2709" t="s">
        <v>17</v>
      </c>
      <c r="K2709" t="s">
        <v>22</v>
      </c>
      <c r="L2709">
        <v>4</v>
      </c>
      <c r="M2709">
        <v>20.47</v>
      </c>
      <c r="N2709">
        <v>615967</v>
      </c>
      <c r="O2709">
        <v>1</v>
      </c>
    </row>
    <row r="2710" spans="1:15">
      <c r="A2710" t="s">
        <v>2736</v>
      </c>
      <c r="B2710" t="s">
        <v>16</v>
      </c>
      <c r="C2710">
        <v>5</v>
      </c>
      <c r="D2710">
        <v>15689004</v>
      </c>
      <c r="E2710">
        <v>2</v>
      </c>
      <c r="F2710">
        <v>9</v>
      </c>
      <c r="G2710">
        <v>723</v>
      </c>
      <c r="H2710">
        <v>56879221</v>
      </c>
      <c r="I2710">
        <v>124563</v>
      </c>
      <c r="J2710" t="s">
        <v>17</v>
      </c>
      <c r="K2710" t="s">
        <v>30</v>
      </c>
      <c r="L2710">
        <v>3</v>
      </c>
      <c r="M2710">
        <v>42.41</v>
      </c>
      <c r="N2710">
        <v>396681</v>
      </c>
      <c r="O2710">
        <v>1</v>
      </c>
    </row>
    <row r="2711" spans="1:15">
      <c r="A2711" t="s">
        <v>2737</v>
      </c>
      <c r="B2711" t="s">
        <v>32</v>
      </c>
      <c r="C2711">
        <v>3</v>
      </c>
      <c r="D2711">
        <v>41540249</v>
      </c>
      <c r="E2711">
        <v>1</v>
      </c>
      <c r="F2711">
        <v>18</v>
      </c>
      <c r="G2711">
        <v>696</v>
      </c>
      <c r="H2711">
        <v>56755000</v>
      </c>
      <c r="I2711">
        <v>128177</v>
      </c>
      <c r="J2711" t="s">
        <v>25</v>
      </c>
      <c r="K2711" t="s">
        <v>18</v>
      </c>
      <c r="L2711">
        <v>9</v>
      </c>
      <c r="M2711">
        <v>27.34</v>
      </c>
      <c r="N2711">
        <v>49991</v>
      </c>
      <c r="O2711">
        <v>1</v>
      </c>
    </row>
    <row r="2712" spans="1:15">
      <c r="A2712" t="s">
        <v>2738</v>
      </c>
      <c r="B2712" t="s">
        <v>16</v>
      </c>
      <c r="C2712">
        <v>1</v>
      </c>
      <c r="D2712">
        <v>31346809</v>
      </c>
      <c r="E2712">
        <v>3</v>
      </c>
      <c r="F2712">
        <v>10</v>
      </c>
      <c r="G2712">
        <v>399</v>
      </c>
      <c r="H2712">
        <v>27510555</v>
      </c>
      <c r="I2712">
        <v>981695</v>
      </c>
      <c r="J2712" t="s">
        <v>21</v>
      </c>
      <c r="K2712" t="s">
        <v>30</v>
      </c>
      <c r="L2712">
        <v>2</v>
      </c>
      <c r="M2712">
        <v>84.01</v>
      </c>
      <c r="N2712">
        <v>379149</v>
      </c>
      <c r="O2712">
        <v>1</v>
      </c>
    </row>
    <row r="2713" spans="1:15">
      <c r="A2713" t="s">
        <v>2739</v>
      </c>
      <c r="B2713" t="s">
        <v>38</v>
      </c>
      <c r="C2713">
        <v>14</v>
      </c>
      <c r="D2713">
        <v>25867776</v>
      </c>
      <c r="E2713">
        <v>1</v>
      </c>
      <c r="F2713">
        <v>2</v>
      </c>
      <c r="G2713">
        <v>719</v>
      </c>
      <c r="H2713">
        <v>57350670</v>
      </c>
      <c r="I2713">
        <v>667668</v>
      </c>
      <c r="J2713" t="s">
        <v>21</v>
      </c>
      <c r="K2713" t="s">
        <v>22</v>
      </c>
      <c r="L2713">
        <v>1</v>
      </c>
      <c r="M2713">
        <v>95.63</v>
      </c>
      <c r="N2713">
        <v>786247</v>
      </c>
      <c r="O2713">
        <v>1</v>
      </c>
    </row>
    <row r="2714" spans="1:15">
      <c r="A2714" t="s">
        <v>2740</v>
      </c>
      <c r="B2714" t="s">
        <v>29</v>
      </c>
      <c r="C2714">
        <v>9</v>
      </c>
      <c r="D2714">
        <v>7649953</v>
      </c>
      <c r="E2714">
        <v>2</v>
      </c>
      <c r="F2714">
        <v>23</v>
      </c>
      <c r="G2714">
        <v>518</v>
      </c>
      <c r="H2714">
        <v>17915633</v>
      </c>
      <c r="I2714">
        <v>434580</v>
      </c>
      <c r="J2714" t="s">
        <v>21</v>
      </c>
      <c r="K2714" t="s">
        <v>30</v>
      </c>
      <c r="L2714">
        <v>5</v>
      </c>
      <c r="M2714">
        <v>64.94</v>
      </c>
      <c r="N2714">
        <v>311339</v>
      </c>
      <c r="O2714">
        <v>1</v>
      </c>
    </row>
    <row r="2715" spans="1:15">
      <c r="A2715" t="s">
        <v>2741</v>
      </c>
      <c r="B2715" t="s">
        <v>16</v>
      </c>
      <c r="C2715">
        <v>13</v>
      </c>
      <c r="D2715">
        <v>18139503</v>
      </c>
      <c r="E2715">
        <v>4</v>
      </c>
      <c r="F2715">
        <v>11</v>
      </c>
      <c r="G2715">
        <v>546</v>
      </c>
      <c r="H2715">
        <v>55400808</v>
      </c>
      <c r="I2715">
        <v>192370</v>
      </c>
      <c r="J2715" t="s">
        <v>21</v>
      </c>
      <c r="K2715" t="s">
        <v>18</v>
      </c>
      <c r="L2715">
        <v>9</v>
      </c>
      <c r="M2715">
        <v>4.32</v>
      </c>
      <c r="N2715">
        <v>810205</v>
      </c>
      <c r="O2715">
        <v>1</v>
      </c>
    </row>
    <row r="2716" spans="1:15">
      <c r="A2716" t="s">
        <v>2742</v>
      </c>
      <c r="B2716" t="s">
        <v>38</v>
      </c>
      <c r="C2716">
        <v>7</v>
      </c>
      <c r="D2716">
        <v>5892874</v>
      </c>
      <c r="E2716">
        <v>4</v>
      </c>
      <c r="F2716">
        <v>4</v>
      </c>
      <c r="G2716">
        <v>380</v>
      </c>
      <c r="H2716">
        <v>78375898</v>
      </c>
      <c r="I2716">
        <v>862547</v>
      </c>
      <c r="J2716" t="s">
        <v>17</v>
      </c>
      <c r="K2716" t="s">
        <v>18</v>
      </c>
      <c r="L2716">
        <v>1</v>
      </c>
      <c r="M2716">
        <v>64.28</v>
      </c>
      <c r="N2716">
        <v>764200</v>
      </c>
      <c r="O2716">
        <v>1</v>
      </c>
    </row>
    <row r="2717" spans="1:15">
      <c r="A2717" t="s">
        <v>2743</v>
      </c>
      <c r="B2717" t="s">
        <v>20</v>
      </c>
      <c r="C2717">
        <v>3</v>
      </c>
      <c r="D2717">
        <v>1666725</v>
      </c>
      <c r="E2717">
        <v>1</v>
      </c>
      <c r="F2717">
        <v>4</v>
      </c>
      <c r="G2717">
        <v>664</v>
      </c>
      <c r="H2717">
        <v>8952699</v>
      </c>
      <c r="I2717">
        <v>873395</v>
      </c>
      <c r="J2717" t="s">
        <v>21</v>
      </c>
      <c r="K2717" t="s">
        <v>18</v>
      </c>
      <c r="L2717">
        <v>6</v>
      </c>
      <c r="M2717">
        <v>76.28</v>
      </c>
      <c r="N2717">
        <v>70601</v>
      </c>
      <c r="O2717">
        <v>1</v>
      </c>
    </row>
    <row r="2718" spans="1:15">
      <c r="A2718" t="s">
        <v>2744</v>
      </c>
      <c r="B2718" t="s">
        <v>29</v>
      </c>
      <c r="C2718">
        <v>14</v>
      </c>
      <c r="D2718">
        <v>28246728</v>
      </c>
      <c r="E2718">
        <v>1</v>
      </c>
      <c r="F2718">
        <v>4</v>
      </c>
      <c r="G2718">
        <v>560</v>
      </c>
      <c r="H2718">
        <v>42185973</v>
      </c>
      <c r="I2718">
        <v>240504</v>
      </c>
      <c r="J2718" t="s">
        <v>25</v>
      </c>
      <c r="K2718" t="s">
        <v>22</v>
      </c>
      <c r="L2718">
        <v>3</v>
      </c>
      <c r="M2718">
        <v>79.75</v>
      </c>
      <c r="N2718">
        <v>648108</v>
      </c>
      <c r="O2718">
        <v>1</v>
      </c>
    </row>
    <row r="2719" spans="1:15">
      <c r="A2719" t="s">
        <v>2745</v>
      </c>
      <c r="B2719" t="s">
        <v>20</v>
      </c>
      <c r="C2719">
        <v>2</v>
      </c>
      <c r="D2719">
        <v>35983644</v>
      </c>
      <c r="E2719">
        <v>3</v>
      </c>
      <c r="F2719">
        <v>16</v>
      </c>
      <c r="G2719">
        <v>87</v>
      </c>
      <c r="H2719">
        <v>44143023</v>
      </c>
      <c r="I2719">
        <v>136658</v>
      </c>
      <c r="J2719" t="s">
        <v>21</v>
      </c>
      <c r="K2719" t="s">
        <v>30</v>
      </c>
      <c r="L2719">
        <v>6</v>
      </c>
      <c r="M2719">
        <v>21.42</v>
      </c>
      <c r="N2719">
        <v>279251</v>
      </c>
      <c r="O2719">
        <v>1</v>
      </c>
    </row>
    <row r="2720" spans="1:15">
      <c r="A2720" t="s">
        <v>2746</v>
      </c>
      <c r="B2720" t="s">
        <v>32</v>
      </c>
      <c r="C2720">
        <v>2</v>
      </c>
      <c r="D2720">
        <v>27585674</v>
      </c>
      <c r="E2720">
        <v>4</v>
      </c>
      <c r="F2720">
        <v>2</v>
      </c>
      <c r="G2720">
        <v>883</v>
      </c>
      <c r="H2720">
        <v>69768649</v>
      </c>
      <c r="I2720">
        <v>630969</v>
      </c>
      <c r="J2720" t="s">
        <v>21</v>
      </c>
      <c r="K2720" t="s">
        <v>22</v>
      </c>
      <c r="L2720">
        <v>8</v>
      </c>
      <c r="M2720">
        <v>89.67</v>
      </c>
      <c r="N2720">
        <v>935468</v>
      </c>
      <c r="O2720">
        <v>1</v>
      </c>
    </row>
    <row r="2721" spans="1:15">
      <c r="A2721" t="s">
        <v>2747</v>
      </c>
      <c r="B2721" t="s">
        <v>16</v>
      </c>
      <c r="C2721">
        <v>0</v>
      </c>
      <c r="D2721">
        <v>26658874</v>
      </c>
      <c r="E2721">
        <v>1</v>
      </c>
      <c r="F2721">
        <v>11</v>
      </c>
      <c r="G2721">
        <v>32</v>
      </c>
      <c r="H2721">
        <v>80652096</v>
      </c>
      <c r="I2721">
        <v>896198</v>
      </c>
      <c r="J2721" t="s">
        <v>25</v>
      </c>
      <c r="K2721" t="s">
        <v>22</v>
      </c>
      <c r="L2721">
        <v>7</v>
      </c>
      <c r="M2721">
        <v>23.64</v>
      </c>
      <c r="N2721">
        <v>770943</v>
      </c>
      <c r="O2721">
        <v>1</v>
      </c>
    </row>
    <row r="2722" spans="1:15">
      <c r="A2722" t="s">
        <v>2748</v>
      </c>
      <c r="B2722" t="s">
        <v>27</v>
      </c>
      <c r="C2722">
        <v>4</v>
      </c>
      <c r="D2722">
        <v>28779390</v>
      </c>
      <c r="E2722">
        <v>4</v>
      </c>
      <c r="F2722">
        <v>1</v>
      </c>
      <c r="G2722">
        <v>968</v>
      </c>
      <c r="H2722">
        <v>81134002</v>
      </c>
      <c r="I2722">
        <v>599969</v>
      </c>
      <c r="J2722" t="s">
        <v>17</v>
      </c>
      <c r="K2722" t="s">
        <v>22</v>
      </c>
      <c r="L2722">
        <v>5</v>
      </c>
      <c r="M2722">
        <v>78.069999999999993</v>
      </c>
      <c r="N2722">
        <v>838320</v>
      </c>
      <c r="O2722">
        <v>1</v>
      </c>
    </row>
    <row r="2723" spans="1:15">
      <c r="A2723" t="s">
        <v>2749</v>
      </c>
      <c r="B2723" t="s">
        <v>24</v>
      </c>
      <c r="C2723">
        <v>9</v>
      </c>
      <c r="D2723">
        <v>31778601</v>
      </c>
      <c r="E2723">
        <v>1</v>
      </c>
      <c r="F2723">
        <v>29</v>
      </c>
      <c r="G2723">
        <v>516</v>
      </c>
      <c r="H2723">
        <v>74088826</v>
      </c>
      <c r="I2723">
        <v>365413</v>
      </c>
      <c r="J2723" t="s">
        <v>25</v>
      </c>
      <c r="K2723" t="s">
        <v>22</v>
      </c>
      <c r="L2723">
        <v>9</v>
      </c>
      <c r="M2723">
        <v>85.65</v>
      </c>
      <c r="N2723">
        <v>512241</v>
      </c>
      <c r="O2723">
        <v>1</v>
      </c>
    </row>
    <row r="2724" spans="1:15">
      <c r="A2724" t="s">
        <v>2750</v>
      </c>
      <c r="B2724" t="s">
        <v>32</v>
      </c>
      <c r="C2724">
        <v>4</v>
      </c>
      <c r="D2724">
        <v>4308874</v>
      </c>
      <c r="E2724">
        <v>1</v>
      </c>
      <c r="F2724">
        <v>0</v>
      </c>
      <c r="G2724">
        <v>612</v>
      </c>
      <c r="H2724">
        <v>49296017</v>
      </c>
      <c r="I2724">
        <v>210398</v>
      </c>
      <c r="J2724" t="s">
        <v>17</v>
      </c>
      <c r="K2724" t="s">
        <v>30</v>
      </c>
      <c r="L2724">
        <v>9</v>
      </c>
      <c r="M2724">
        <v>79.75</v>
      </c>
      <c r="N2724">
        <v>570673</v>
      </c>
      <c r="O2724">
        <v>1</v>
      </c>
    </row>
    <row r="2725" spans="1:15">
      <c r="A2725" t="s">
        <v>2751</v>
      </c>
      <c r="B2725" t="s">
        <v>29</v>
      </c>
      <c r="C2725">
        <v>4</v>
      </c>
      <c r="D2725">
        <v>44409511</v>
      </c>
      <c r="E2725">
        <v>3</v>
      </c>
      <c r="F2725">
        <v>21</v>
      </c>
      <c r="G2725">
        <v>74</v>
      </c>
      <c r="H2725">
        <v>80745654</v>
      </c>
      <c r="I2725">
        <v>558559</v>
      </c>
      <c r="J2725" t="s">
        <v>21</v>
      </c>
      <c r="K2725" t="s">
        <v>22</v>
      </c>
      <c r="L2725">
        <v>9</v>
      </c>
      <c r="M2725">
        <v>68.489999999999995</v>
      </c>
      <c r="N2725">
        <v>721053</v>
      </c>
      <c r="O2725">
        <v>1</v>
      </c>
    </row>
    <row r="2726" spans="1:15">
      <c r="A2726" t="s">
        <v>2752</v>
      </c>
      <c r="B2726" t="s">
        <v>20</v>
      </c>
      <c r="C2726">
        <v>9</v>
      </c>
      <c r="D2726">
        <v>4878331</v>
      </c>
      <c r="E2726">
        <v>2</v>
      </c>
      <c r="F2726">
        <v>27</v>
      </c>
      <c r="G2726">
        <v>920</v>
      </c>
      <c r="H2726">
        <v>67252687</v>
      </c>
      <c r="I2726">
        <v>114796</v>
      </c>
      <c r="J2726" t="s">
        <v>21</v>
      </c>
      <c r="K2726" t="s">
        <v>18</v>
      </c>
      <c r="L2726">
        <v>5</v>
      </c>
      <c r="M2726">
        <v>83.13</v>
      </c>
      <c r="N2726">
        <v>849549</v>
      </c>
      <c r="O2726">
        <v>1</v>
      </c>
    </row>
    <row r="2727" spans="1:15">
      <c r="A2727" t="s">
        <v>2753</v>
      </c>
      <c r="B2727" t="s">
        <v>24</v>
      </c>
      <c r="C2727">
        <v>2</v>
      </c>
      <c r="D2727">
        <v>9764156</v>
      </c>
      <c r="E2727">
        <v>2</v>
      </c>
      <c r="F2727">
        <v>11</v>
      </c>
      <c r="G2727">
        <v>605</v>
      </c>
      <c r="H2727">
        <v>72978695</v>
      </c>
      <c r="I2727">
        <v>18737</v>
      </c>
      <c r="J2727" t="s">
        <v>17</v>
      </c>
      <c r="K2727" t="s">
        <v>30</v>
      </c>
      <c r="L2727">
        <v>3</v>
      </c>
      <c r="M2727">
        <v>83.36</v>
      </c>
      <c r="N2727">
        <v>660599</v>
      </c>
      <c r="O2727">
        <v>1</v>
      </c>
    </row>
    <row r="2728" spans="1:15">
      <c r="A2728" t="s">
        <v>2754</v>
      </c>
      <c r="B2728" t="s">
        <v>29</v>
      </c>
      <c r="C2728">
        <v>10</v>
      </c>
      <c r="D2728">
        <v>34404719</v>
      </c>
      <c r="E2728">
        <v>2</v>
      </c>
      <c r="F2728">
        <v>18</v>
      </c>
      <c r="G2728">
        <v>17</v>
      </c>
      <c r="H2728">
        <v>43322976</v>
      </c>
      <c r="I2728">
        <v>704414</v>
      </c>
      <c r="J2728" t="s">
        <v>21</v>
      </c>
      <c r="K2728" t="s">
        <v>18</v>
      </c>
      <c r="L2728">
        <v>6</v>
      </c>
      <c r="M2728">
        <v>40.96</v>
      </c>
      <c r="N2728">
        <v>542694</v>
      </c>
      <c r="O2728">
        <v>1</v>
      </c>
    </row>
    <row r="2729" spans="1:15">
      <c r="A2729" t="s">
        <v>2755</v>
      </c>
      <c r="B2729" t="s">
        <v>29</v>
      </c>
      <c r="C2729">
        <v>12</v>
      </c>
      <c r="D2729">
        <v>32561421</v>
      </c>
      <c r="E2729">
        <v>4</v>
      </c>
      <c r="F2729">
        <v>27</v>
      </c>
      <c r="G2729">
        <v>354</v>
      </c>
      <c r="H2729">
        <v>8842065</v>
      </c>
      <c r="I2729">
        <v>232674</v>
      </c>
      <c r="J2729" t="s">
        <v>17</v>
      </c>
      <c r="K2729" t="s">
        <v>22</v>
      </c>
      <c r="L2729">
        <v>8</v>
      </c>
      <c r="M2729">
        <v>26.35</v>
      </c>
      <c r="N2729">
        <v>506894</v>
      </c>
      <c r="O2729">
        <v>1</v>
      </c>
    </row>
    <row r="2730" spans="1:15">
      <c r="A2730" t="s">
        <v>2756</v>
      </c>
      <c r="B2730" t="s">
        <v>32</v>
      </c>
      <c r="C2730">
        <v>7</v>
      </c>
      <c r="D2730">
        <v>15791029</v>
      </c>
      <c r="E2730">
        <v>4</v>
      </c>
      <c r="F2730">
        <v>29</v>
      </c>
      <c r="G2730">
        <v>749</v>
      </c>
      <c r="H2730">
        <v>35853985</v>
      </c>
      <c r="I2730">
        <v>576725</v>
      </c>
      <c r="J2730" t="s">
        <v>25</v>
      </c>
      <c r="K2730" t="s">
        <v>22</v>
      </c>
      <c r="L2730">
        <v>6</v>
      </c>
      <c r="M2730">
        <v>66.34</v>
      </c>
      <c r="N2730">
        <v>81389</v>
      </c>
      <c r="O2730">
        <v>1</v>
      </c>
    </row>
    <row r="2731" spans="1:15">
      <c r="A2731" t="s">
        <v>2757</v>
      </c>
      <c r="B2731" t="s">
        <v>16</v>
      </c>
      <c r="C2731">
        <v>7</v>
      </c>
      <c r="D2731">
        <v>19139839</v>
      </c>
      <c r="E2731">
        <v>4</v>
      </c>
      <c r="F2731">
        <v>25</v>
      </c>
      <c r="G2731">
        <v>831</v>
      </c>
      <c r="H2731">
        <v>14533523</v>
      </c>
      <c r="I2731">
        <v>6379</v>
      </c>
      <c r="J2731" t="s">
        <v>17</v>
      </c>
      <c r="K2731" t="s">
        <v>30</v>
      </c>
      <c r="L2731">
        <v>4</v>
      </c>
      <c r="M2731">
        <v>73.95</v>
      </c>
      <c r="N2731">
        <v>214022</v>
      </c>
      <c r="O2731">
        <v>1</v>
      </c>
    </row>
    <row r="2732" spans="1:15">
      <c r="A2732" t="s">
        <v>2758</v>
      </c>
      <c r="B2732" t="s">
        <v>32</v>
      </c>
      <c r="C2732">
        <v>1</v>
      </c>
      <c r="D2732">
        <v>47634655</v>
      </c>
      <c r="E2732">
        <v>1</v>
      </c>
      <c r="F2732">
        <v>20</v>
      </c>
      <c r="G2732">
        <v>566</v>
      </c>
      <c r="H2732">
        <v>755358</v>
      </c>
      <c r="I2732">
        <v>791505</v>
      </c>
      <c r="J2732" t="s">
        <v>17</v>
      </c>
      <c r="K2732" t="s">
        <v>18</v>
      </c>
      <c r="L2732">
        <v>4</v>
      </c>
      <c r="M2732">
        <v>88.65</v>
      </c>
      <c r="N2732">
        <v>801971</v>
      </c>
      <c r="O2732">
        <v>1</v>
      </c>
    </row>
    <row r="2733" spans="1:15">
      <c r="A2733" t="s">
        <v>2759</v>
      </c>
      <c r="B2733" t="s">
        <v>27</v>
      </c>
      <c r="C2733">
        <v>14</v>
      </c>
      <c r="D2733">
        <v>30541725</v>
      </c>
      <c r="E2733">
        <v>1</v>
      </c>
      <c r="F2733">
        <v>3</v>
      </c>
      <c r="G2733">
        <v>132</v>
      </c>
      <c r="H2733">
        <v>33670926</v>
      </c>
      <c r="I2733">
        <v>529159</v>
      </c>
      <c r="J2733" t="s">
        <v>17</v>
      </c>
      <c r="K2733" t="s">
        <v>18</v>
      </c>
      <c r="L2733">
        <v>4</v>
      </c>
      <c r="M2733">
        <v>69.14</v>
      </c>
      <c r="N2733">
        <v>432093</v>
      </c>
      <c r="O2733">
        <v>1</v>
      </c>
    </row>
    <row r="2734" spans="1:15">
      <c r="A2734" t="s">
        <v>2760</v>
      </c>
      <c r="B2734" t="s">
        <v>27</v>
      </c>
      <c r="C2734">
        <v>6</v>
      </c>
      <c r="D2734">
        <v>40025766</v>
      </c>
      <c r="E2734">
        <v>4</v>
      </c>
      <c r="F2734">
        <v>2</v>
      </c>
      <c r="G2734">
        <v>184</v>
      </c>
      <c r="H2734">
        <v>57785687</v>
      </c>
      <c r="I2734">
        <v>367801</v>
      </c>
      <c r="J2734" t="s">
        <v>21</v>
      </c>
      <c r="K2734" t="s">
        <v>18</v>
      </c>
      <c r="L2734">
        <v>9</v>
      </c>
      <c r="M2734">
        <v>69.900000000000006</v>
      </c>
      <c r="N2734">
        <v>44367</v>
      </c>
      <c r="O2734">
        <v>1</v>
      </c>
    </row>
    <row r="2735" spans="1:15">
      <c r="A2735" t="s">
        <v>2761</v>
      </c>
      <c r="B2735" t="s">
        <v>24</v>
      </c>
      <c r="C2735">
        <v>4</v>
      </c>
      <c r="D2735">
        <v>10738954</v>
      </c>
      <c r="E2735">
        <v>3</v>
      </c>
      <c r="F2735">
        <v>15</v>
      </c>
      <c r="G2735">
        <v>871</v>
      </c>
      <c r="H2735">
        <v>63504219</v>
      </c>
      <c r="I2735">
        <v>422414</v>
      </c>
      <c r="J2735" t="s">
        <v>25</v>
      </c>
      <c r="K2735" t="s">
        <v>30</v>
      </c>
      <c r="L2735">
        <v>5</v>
      </c>
      <c r="M2735">
        <v>6.66</v>
      </c>
      <c r="N2735">
        <v>177344</v>
      </c>
      <c r="O2735">
        <v>1</v>
      </c>
    </row>
    <row r="2736" spans="1:15">
      <c r="A2736" t="s">
        <v>2762</v>
      </c>
      <c r="B2736" t="s">
        <v>32</v>
      </c>
      <c r="C2736">
        <v>2</v>
      </c>
      <c r="D2736">
        <v>31612533</v>
      </c>
      <c r="E2736">
        <v>2</v>
      </c>
      <c r="F2736">
        <v>21</v>
      </c>
      <c r="G2736">
        <v>212</v>
      </c>
      <c r="H2736">
        <v>2080139</v>
      </c>
      <c r="I2736">
        <v>664371</v>
      </c>
      <c r="J2736" t="s">
        <v>25</v>
      </c>
      <c r="K2736" t="s">
        <v>30</v>
      </c>
      <c r="L2736">
        <v>4</v>
      </c>
      <c r="M2736">
        <v>56.19</v>
      </c>
      <c r="N2736">
        <v>196581</v>
      </c>
      <c r="O2736">
        <v>1</v>
      </c>
    </row>
    <row r="2737" spans="1:15">
      <c r="A2737" t="s">
        <v>2763</v>
      </c>
      <c r="B2737" t="s">
        <v>24</v>
      </c>
      <c r="C2737">
        <v>3</v>
      </c>
      <c r="D2737">
        <v>6175428</v>
      </c>
      <c r="E2737">
        <v>3</v>
      </c>
      <c r="F2737">
        <v>21</v>
      </c>
      <c r="G2737">
        <v>211</v>
      </c>
      <c r="H2737">
        <v>55640582</v>
      </c>
      <c r="I2737">
        <v>176107</v>
      </c>
      <c r="J2737" t="s">
        <v>17</v>
      </c>
      <c r="K2737" t="s">
        <v>18</v>
      </c>
      <c r="L2737">
        <v>4</v>
      </c>
      <c r="M2737">
        <v>4.78</v>
      </c>
      <c r="N2737">
        <v>750873</v>
      </c>
      <c r="O2737">
        <v>1</v>
      </c>
    </row>
    <row r="2738" spans="1:15">
      <c r="A2738" t="s">
        <v>2764</v>
      </c>
      <c r="B2738" t="s">
        <v>29</v>
      </c>
      <c r="C2738">
        <v>13</v>
      </c>
      <c r="D2738">
        <v>6032597</v>
      </c>
      <c r="E2738">
        <v>4</v>
      </c>
      <c r="F2738">
        <v>25</v>
      </c>
      <c r="G2738">
        <v>621</v>
      </c>
      <c r="H2738">
        <v>59250859</v>
      </c>
      <c r="I2738">
        <v>381946</v>
      </c>
      <c r="J2738" t="s">
        <v>17</v>
      </c>
      <c r="K2738" t="s">
        <v>18</v>
      </c>
      <c r="L2738">
        <v>9</v>
      </c>
      <c r="M2738">
        <v>12.92</v>
      </c>
      <c r="N2738">
        <v>9070</v>
      </c>
      <c r="O2738">
        <v>1</v>
      </c>
    </row>
    <row r="2739" spans="1:15">
      <c r="A2739" t="s">
        <v>2765</v>
      </c>
      <c r="B2739" t="s">
        <v>29</v>
      </c>
      <c r="C2739">
        <v>11</v>
      </c>
      <c r="D2739">
        <v>40789817</v>
      </c>
      <c r="E2739">
        <v>3</v>
      </c>
      <c r="F2739">
        <v>2</v>
      </c>
      <c r="G2739">
        <v>630</v>
      </c>
      <c r="H2739">
        <v>72894368</v>
      </c>
      <c r="I2739">
        <v>848257</v>
      </c>
      <c r="J2739" t="s">
        <v>21</v>
      </c>
      <c r="K2739" t="s">
        <v>30</v>
      </c>
      <c r="L2739">
        <v>1</v>
      </c>
      <c r="M2739">
        <v>87.96</v>
      </c>
      <c r="N2739">
        <v>955563</v>
      </c>
      <c r="O2739">
        <v>1</v>
      </c>
    </row>
    <row r="2740" spans="1:15">
      <c r="A2740" t="s">
        <v>2766</v>
      </c>
      <c r="B2740" t="s">
        <v>29</v>
      </c>
      <c r="C2740">
        <v>6</v>
      </c>
      <c r="D2740">
        <v>35656390</v>
      </c>
      <c r="E2740">
        <v>1</v>
      </c>
      <c r="F2740">
        <v>27</v>
      </c>
      <c r="G2740">
        <v>459</v>
      </c>
      <c r="H2740">
        <v>48972849</v>
      </c>
      <c r="I2740">
        <v>612175</v>
      </c>
      <c r="J2740" t="s">
        <v>17</v>
      </c>
      <c r="K2740" t="s">
        <v>22</v>
      </c>
      <c r="L2740">
        <v>8</v>
      </c>
      <c r="M2740">
        <v>23.15</v>
      </c>
      <c r="N2740">
        <v>638679</v>
      </c>
      <c r="O2740">
        <v>1</v>
      </c>
    </row>
    <row r="2741" spans="1:15">
      <c r="A2741" t="s">
        <v>2767</v>
      </c>
      <c r="B2741" t="s">
        <v>20</v>
      </c>
      <c r="C2741">
        <v>12</v>
      </c>
      <c r="D2741">
        <v>11575110</v>
      </c>
      <c r="E2741">
        <v>2</v>
      </c>
      <c r="F2741">
        <v>14</v>
      </c>
      <c r="G2741">
        <v>815</v>
      </c>
      <c r="H2741">
        <v>20754171</v>
      </c>
      <c r="I2741">
        <v>630142</v>
      </c>
      <c r="J2741" t="s">
        <v>25</v>
      </c>
      <c r="K2741" t="s">
        <v>18</v>
      </c>
      <c r="L2741">
        <v>7</v>
      </c>
      <c r="M2741">
        <v>94.1</v>
      </c>
      <c r="N2741">
        <v>59582</v>
      </c>
      <c r="O2741">
        <v>1</v>
      </c>
    </row>
    <row r="2742" spans="1:15">
      <c r="A2742" t="s">
        <v>2768</v>
      </c>
      <c r="B2742" t="s">
        <v>38</v>
      </c>
      <c r="C2742">
        <v>6</v>
      </c>
      <c r="D2742">
        <v>37225745</v>
      </c>
      <c r="E2742">
        <v>1</v>
      </c>
      <c r="F2742">
        <v>14</v>
      </c>
      <c r="G2742">
        <v>676</v>
      </c>
      <c r="H2742">
        <v>96151479</v>
      </c>
      <c r="I2742">
        <v>806067</v>
      </c>
      <c r="J2742" t="s">
        <v>21</v>
      </c>
      <c r="K2742" t="s">
        <v>22</v>
      </c>
      <c r="L2742">
        <v>3</v>
      </c>
      <c r="M2742">
        <v>63.55</v>
      </c>
      <c r="N2742">
        <v>51232</v>
      </c>
      <c r="O2742">
        <v>1</v>
      </c>
    </row>
    <row r="2743" spans="1:15">
      <c r="A2743" t="s">
        <v>2769</v>
      </c>
      <c r="B2743" t="s">
        <v>27</v>
      </c>
      <c r="C2743">
        <v>0</v>
      </c>
      <c r="D2743">
        <v>44017022</v>
      </c>
      <c r="E2743">
        <v>3</v>
      </c>
      <c r="F2743">
        <v>29</v>
      </c>
      <c r="G2743">
        <v>369</v>
      </c>
      <c r="H2743">
        <v>40610018</v>
      </c>
      <c r="I2743">
        <v>974899</v>
      </c>
      <c r="J2743" t="s">
        <v>25</v>
      </c>
      <c r="K2743" t="s">
        <v>22</v>
      </c>
      <c r="L2743">
        <v>3</v>
      </c>
      <c r="M2743">
        <v>77.17</v>
      </c>
      <c r="N2743">
        <v>383910</v>
      </c>
      <c r="O2743">
        <v>1</v>
      </c>
    </row>
    <row r="2744" spans="1:15">
      <c r="A2744" t="s">
        <v>2770</v>
      </c>
      <c r="B2744" t="s">
        <v>29</v>
      </c>
      <c r="C2744">
        <v>5</v>
      </c>
      <c r="D2744">
        <v>19135922</v>
      </c>
      <c r="E2744">
        <v>2</v>
      </c>
      <c r="F2744">
        <v>6</v>
      </c>
      <c r="G2744">
        <v>390</v>
      </c>
      <c r="H2744">
        <v>87163368</v>
      </c>
      <c r="I2744">
        <v>379622</v>
      </c>
      <c r="J2744" t="s">
        <v>25</v>
      </c>
      <c r="K2744" t="s">
        <v>22</v>
      </c>
      <c r="L2744">
        <v>1</v>
      </c>
      <c r="M2744">
        <v>99.72</v>
      </c>
      <c r="N2744">
        <v>668822</v>
      </c>
      <c r="O2744">
        <v>1</v>
      </c>
    </row>
    <row r="2745" spans="1:15">
      <c r="A2745" t="s">
        <v>2771</v>
      </c>
      <c r="B2745" t="s">
        <v>24</v>
      </c>
      <c r="C2745">
        <v>12</v>
      </c>
      <c r="D2745">
        <v>48888152</v>
      </c>
      <c r="E2745">
        <v>4</v>
      </c>
      <c r="F2745">
        <v>29</v>
      </c>
      <c r="G2745">
        <v>462</v>
      </c>
      <c r="H2745">
        <v>15361599</v>
      </c>
      <c r="I2745">
        <v>248888</v>
      </c>
      <c r="J2745" t="s">
        <v>21</v>
      </c>
      <c r="K2745" t="s">
        <v>30</v>
      </c>
      <c r="L2745">
        <v>1</v>
      </c>
      <c r="M2745">
        <v>59.15</v>
      </c>
      <c r="N2745">
        <v>624304</v>
      </c>
      <c r="O2745">
        <v>1</v>
      </c>
    </row>
    <row r="2746" spans="1:15">
      <c r="A2746" t="s">
        <v>2772</v>
      </c>
      <c r="B2746" t="s">
        <v>16</v>
      </c>
      <c r="C2746">
        <v>1</v>
      </c>
      <c r="D2746">
        <v>47953249</v>
      </c>
      <c r="E2746">
        <v>3</v>
      </c>
      <c r="F2746">
        <v>4</v>
      </c>
      <c r="G2746">
        <v>198</v>
      </c>
      <c r="H2746">
        <v>66414074</v>
      </c>
      <c r="I2746">
        <v>288691</v>
      </c>
      <c r="J2746" t="s">
        <v>21</v>
      </c>
      <c r="K2746" t="s">
        <v>30</v>
      </c>
      <c r="L2746">
        <v>7</v>
      </c>
      <c r="M2746">
        <v>87.18</v>
      </c>
      <c r="N2746">
        <v>732262</v>
      </c>
      <c r="O2746">
        <v>1</v>
      </c>
    </row>
    <row r="2747" spans="1:15">
      <c r="A2747" t="s">
        <v>2773</v>
      </c>
      <c r="B2747" t="s">
        <v>27</v>
      </c>
      <c r="C2747">
        <v>9</v>
      </c>
      <c r="D2747">
        <v>35715937</v>
      </c>
      <c r="E2747">
        <v>3</v>
      </c>
      <c r="F2747">
        <v>1</v>
      </c>
      <c r="G2747">
        <v>71</v>
      </c>
      <c r="H2747">
        <v>76512437</v>
      </c>
      <c r="I2747">
        <v>503397</v>
      </c>
      <c r="J2747" t="s">
        <v>17</v>
      </c>
      <c r="K2747" t="s">
        <v>18</v>
      </c>
      <c r="L2747">
        <v>1</v>
      </c>
      <c r="M2747">
        <v>5.29</v>
      </c>
      <c r="N2747">
        <v>960238</v>
      </c>
      <c r="O2747">
        <v>1</v>
      </c>
    </row>
    <row r="2748" spans="1:15">
      <c r="A2748" t="s">
        <v>2774</v>
      </c>
      <c r="B2748" t="s">
        <v>29</v>
      </c>
      <c r="C2748">
        <v>0</v>
      </c>
      <c r="D2748">
        <v>24478374</v>
      </c>
      <c r="E2748">
        <v>2</v>
      </c>
      <c r="F2748">
        <v>13</v>
      </c>
      <c r="G2748">
        <v>865</v>
      </c>
      <c r="H2748">
        <v>6343076</v>
      </c>
      <c r="I2748">
        <v>398208</v>
      </c>
      <c r="J2748" t="s">
        <v>21</v>
      </c>
      <c r="K2748" t="s">
        <v>22</v>
      </c>
      <c r="L2748">
        <v>1</v>
      </c>
      <c r="M2748">
        <v>45.53</v>
      </c>
      <c r="N2748">
        <v>497340</v>
      </c>
      <c r="O2748">
        <v>1</v>
      </c>
    </row>
    <row r="2749" spans="1:15">
      <c r="A2749" t="s">
        <v>2775</v>
      </c>
      <c r="B2749" t="s">
        <v>16</v>
      </c>
      <c r="C2749">
        <v>13</v>
      </c>
      <c r="D2749">
        <v>31271682</v>
      </c>
      <c r="E2749">
        <v>4</v>
      </c>
      <c r="F2749">
        <v>6</v>
      </c>
      <c r="G2749">
        <v>129</v>
      </c>
      <c r="H2749">
        <v>56642172</v>
      </c>
      <c r="I2749">
        <v>51303</v>
      </c>
      <c r="J2749" t="s">
        <v>21</v>
      </c>
      <c r="K2749" t="s">
        <v>30</v>
      </c>
      <c r="L2749">
        <v>7</v>
      </c>
      <c r="M2749">
        <v>49.05</v>
      </c>
      <c r="N2749">
        <v>659437</v>
      </c>
      <c r="O2749">
        <v>1</v>
      </c>
    </row>
    <row r="2750" spans="1:15">
      <c r="A2750" t="s">
        <v>2776</v>
      </c>
      <c r="B2750" t="s">
        <v>32</v>
      </c>
      <c r="C2750">
        <v>10</v>
      </c>
      <c r="D2750">
        <v>13309799</v>
      </c>
      <c r="E2750">
        <v>1</v>
      </c>
      <c r="F2750">
        <v>21</v>
      </c>
      <c r="G2750">
        <v>673</v>
      </c>
      <c r="H2750">
        <v>83129939</v>
      </c>
      <c r="I2750">
        <v>976679</v>
      </c>
      <c r="J2750" t="s">
        <v>25</v>
      </c>
      <c r="K2750" t="s">
        <v>18</v>
      </c>
      <c r="L2750">
        <v>8</v>
      </c>
      <c r="M2750">
        <v>41.69</v>
      </c>
      <c r="N2750">
        <v>368172</v>
      </c>
      <c r="O2750">
        <v>1</v>
      </c>
    </row>
    <row r="2751" spans="1:15">
      <c r="A2751" t="s">
        <v>2777</v>
      </c>
      <c r="B2751" t="s">
        <v>29</v>
      </c>
      <c r="C2751">
        <v>0</v>
      </c>
      <c r="D2751">
        <v>34259790</v>
      </c>
      <c r="E2751">
        <v>3</v>
      </c>
      <c r="F2751">
        <v>1</v>
      </c>
      <c r="G2751">
        <v>948</v>
      </c>
      <c r="H2751">
        <v>17000376</v>
      </c>
      <c r="I2751">
        <v>287098</v>
      </c>
      <c r="J2751" t="s">
        <v>17</v>
      </c>
      <c r="K2751" t="s">
        <v>22</v>
      </c>
      <c r="L2751">
        <v>8</v>
      </c>
      <c r="M2751">
        <v>9.41</v>
      </c>
      <c r="N2751">
        <v>557328</v>
      </c>
      <c r="O2751">
        <v>1</v>
      </c>
    </row>
    <row r="2752" spans="1:15">
      <c r="A2752" t="s">
        <v>2778</v>
      </c>
      <c r="B2752" t="s">
        <v>20</v>
      </c>
      <c r="C2752">
        <v>14</v>
      </c>
      <c r="D2752">
        <v>12357552</v>
      </c>
      <c r="E2752">
        <v>4</v>
      </c>
      <c r="F2752">
        <v>17</v>
      </c>
      <c r="G2752">
        <v>239</v>
      </c>
      <c r="H2752">
        <v>85219997</v>
      </c>
      <c r="I2752">
        <v>147907</v>
      </c>
      <c r="J2752" t="s">
        <v>25</v>
      </c>
      <c r="K2752" t="s">
        <v>30</v>
      </c>
      <c r="L2752">
        <v>6</v>
      </c>
      <c r="M2752">
        <v>50.34</v>
      </c>
      <c r="N2752">
        <v>721560</v>
      </c>
      <c r="O2752">
        <v>1</v>
      </c>
    </row>
    <row r="2753" spans="1:15">
      <c r="A2753" t="s">
        <v>2779</v>
      </c>
      <c r="B2753" t="s">
        <v>38</v>
      </c>
      <c r="C2753">
        <v>7</v>
      </c>
      <c r="D2753">
        <v>27443161</v>
      </c>
      <c r="E2753">
        <v>3</v>
      </c>
      <c r="F2753">
        <v>18</v>
      </c>
      <c r="G2753">
        <v>245</v>
      </c>
      <c r="H2753">
        <v>20085388</v>
      </c>
      <c r="I2753">
        <v>332608</v>
      </c>
      <c r="J2753" t="s">
        <v>17</v>
      </c>
      <c r="K2753" t="s">
        <v>30</v>
      </c>
      <c r="L2753">
        <v>8</v>
      </c>
      <c r="M2753">
        <v>21.28</v>
      </c>
      <c r="N2753">
        <v>654109</v>
      </c>
      <c r="O2753">
        <v>1</v>
      </c>
    </row>
    <row r="2754" spans="1:15">
      <c r="A2754" t="s">
        <v>2780</v>
      </c>
      <c r="B2754" t="s">
        <v>16</v>
      </c>
      <c r="C2754">
        <v>2</v>
      </c>
      <c r="D2754">
        <v>41215042</v>
      </c>
      <c r="E2754">
        <v>2</v>
      </c>
      <c r="F2754">
        <v>21</v>
      </c>
      <c r="G2754">
        <v>810</v>
      </c>
      <c r="H2754">
        <v>95505616</v>
      </c>
      <c r="I2754">
        <v>71224</v>
      </c>
      <c r="J2754" t="s">
        <v>25</v>
      </c>
      <c r="K2754" t="s">
        <v>30</v>
      </c>
      <c r="L2754">
        <v>5</v>
      </c>
      <c r="M2754">
        <v>76.67</v>
      </c>
      <c r="N2754">
        <v>216007</v>
      </c>
      <c r="O2754">
        <v>1</v>
      </c>
    </row>
    <row r="2755" spans="1:15">
      <c r="A2755" t="s">
        <v>2781</v>
      </c>
      <c r="B2755" t="s">
        <v>16</v>
      </c>
      <c r="C2755">
        <v>3</v>
      </c>
      <c r="D2755">
        <v>18861028</v>
      </c>
      <c r="E2755">
        <v>2</v>
      </c>
      <c r="F2755">
        <v>17</v>
      </c>
      <c r="G2755">
        <v>987</v>
      </c>
      <c r="H2755">
        <v>54510184</v>
      </c>
      <c r="I2755">
        <v>924612</v>
      </c>
      <c r="J2755" t="s">
        <v>21</v>
      </c>
      <c r="K2755" t="s">
        <v>22</v>
      </c>
      <c r="L2755">
        <v>6</v>
      </c>
      <c r="M2755">
        <v>1.79</v>
      </c>
      <c r="N2755">
        <v>186784</v>
      </c>
      <c r="O2755">
        <v>1</v>
      </c>
    </row>
    <row r="2756" spans="1:15">
      <c r="A2756" t="s">
        <v>2782</v>
      </c>
      <c r="B2756" t="s">
        <v>32</v>
      </c>
      <c r="C2756">
        <v>3</v>
      </c>
      <c r="D2756">
        <v>32194849</v>
      </c>
      <c r="E2756">
        <v>3</v>
      </c>
      <c r="F2756">
        <v>7</v>
      </c>
      <c r="G2756">
        <v>983</v>
      </c>
      <c r="H2756">
        <v>57091502</v>
      </c>
      <c r="I2756">
        <v>673236</v>
      </c>
      <c r="J2756" t="s">
        <v>21</v>
      </c>
      <c r="K2756" t="s">
        <v>18</v>
      </c>
      <c r="L2756">
        <v>4</v>
      </c>
      <c r="M2756">
        <v>45.47</v>
      </c>
      <c r="N2756">
        <v>630586</v>
      </c>
      <c r="O2756">
        <v>1</v>
      </c>
    </row>
    <row r="2757" spans="1:15">
      <c r="A2757" t="s">
        <v>2783</v>
      </c>
      <c r="B2757" t="s">
        <v>27</v>
      </c>
      <c r="C2757">
        <v>10</v>
      </c>
      <c r="D2757">
        <v>47800858</v>
      </c>
      <c r="E2757">
        <v>4</v>
      </c>
      <c r="F2757">
        <v>20</v>
      </c>
      <c r="G2757">
        <v>91</v>
      </c>
      <c r="H2757">
        <v>51917557</v>
      </c>
      <c r="I2757">
        <v>661625</v>
      </c>
      <c r="J2757" t="s">
        <v>25</v>
      </c>
      <c r="K2757" t="s">
        <v>22</v>
      </c>
      <c r="L2757">
        <v>9</v>
      </c>
      <c r="M2757">
        <v>59.5</v>
      </c>
      <c r="N2757">
        <v>144385</v>
      </c>
      <c r="O2757">
        <v>1</v>
      </c>
    </row>
    <row r="2758" spans="1:15">
      <c r="A2758" t="s">
        <v>2784</v>
      </c>
      <c r="B2758" t="s">
        <v>24</v>
      </c>
      <c r="C2758">
        <v>11</v>
      </c>
      <c r="D2758">
        <v>27217176</v>
      </c>
      <c r="E2758">
        <v>2</v>
      </c>
      <c r="F2758">
        <v>27</v>
      </c>
      <c r="G2758">
        <v>304</v>
      </c>
      <c r="H2758">
        <v>91120916</v>
      </c>
      <c r="I2758">
        <v>930108</v>
      </c>
      <c r="J2758" t="s">
        <v>25</v>
      </c>
      <c r="K2758" t="s">
        <v>22</v>
      </c>
      <c r="L2758">
        <v>7</v>
      </c>
      <c r="M2758">
        <v>60.27</v>
      </c>
      <c r="N2758">
        <v>973718</v>
      </c>
      <c r="O2758">
        <v>1</v>
      </c>
    </row>
    <row r="2759" spans="1:15">
      <c r="A2759" t="s">
        <v>2785</v>
      </c>
      <c r="B2759" t="s">
        <v>32</v>
      </c>
      <c r="C2759">
        <v>4</v>
      </c>
      <c r="D2759">
        <v>6977610</v>
      </c>
      <c r="E2759">
        <v>2</v>
      </c>
      <c r="F2759">
        <v>1</v>
      </c>
      <c r="G2759">
        <v>464</v>
      </c>
      <c r="H2759">
        <v>56417976</v>
      </c>
      <c r="I2759">
        <v>48684</v>
      </c>
      <c r="J2759" t="s">
        <v>25</v>
      </c>
      <c r="K2759" t="s">
        <v>18</v>
      </c>
      <c r="L2759">
        <v>4</v>
      </c>
      <c r="M2759">
        <v>49.36</v>
      </c>
      <c r="N2759">
        <v>473715</v>
      </c>
      <c r="O2759">
        <v>1</v>
      </c>
    </row>
    <row r="2760" spans="1:15">
      <c r="A2760" t="s">
        <v>2786</v>
      </c>
      <c r="B2760" t="s">
        <v>20</v>
      </c>
      <c r="C2760">
        <v>9</v>
      </c>
      <c r="D2760">
        <v>26026289</v>
      </c>
      <c r="E2760">
        <v>1</v>
      </c>
      <c r="F2760">
        <v>23</v>
      </c>
      <c r="G2760">
        <v>314</v>
      </c>
      <c r="H2760">
        <v>40575280</v>
      </c>
      <c r="I2760">
        <v>558280</v>
      </c>
      <c r="J2760" t="s">
        <v>17</v>
      </c>
      <c r="K2760" t="s">
        <v>18</v>
      </c>
      <c r="L2760">
        <v>1</v>
      </c>
      <c r="M2760">
        <v>95</v>
      </c>
      <c r="N2760">
        <v>736070</v>
      </c>
      <c r="O2760">
        <v>1</v>
      </c>
    </row>
    <row r="2761" spans="1:15">
      <c r="A2761" t="s">
        <v>2787</v>
      </c>
      <c r="B2761" t="s">
        <v>38</v>
      </c>
      <c r="C2761">
        <v>7</v>
      </c>
      <c r="D2761">
        <v>46703361</v>
      </c>
      <c r="E2761">
        <v>1</v>
      </c>
      <c r="F2761">
        <v>18</v>
      </c>
      <c r="G2761">
        <v>974</v>
      </c>
      <c r="H2761">
        <v>39898129</v>
      </c>
      <c r="I2761">
        <v>539531</v>
      </c>
      <c r="J2761" t="s">
        <v>21</v>
      </c>
      <c r="K2761" t="s">
        <v>22</v>
      </c>
      <c r="L2761">
        <v>3</v>
      </c>
      <c r="M2761">
        <v>45.45</v>
      </c>
      <c r="N2761">
        <v>861887</v>
      </c>
      <c r="O2761">
        <v>1</v>
      </c>
    </row>
    <row r="2762" spans="1:15">
      <c r="A2762" t="s">
        <v>2788</v>
      </c>
      <c r="B2762" t="s">
        <v>16</v>
      </c>
      <c r="C2762">
        <v>5</v>
      </c>
      <c r="D2762">
        <v>41935558</v>
      </c>
      <c r="E2762">
        <v>4</v>
      </c>
      <c r="F2762">
        <v>12</v>
      </c>
      <c r="G2762">
        <v>138</v>
      </c>
      <c r="H2762">
        <v>52894340</v>
      </c>
      <c r="I2762">
        <v>419409</v>
      </c>
      <c r="J2762" t="s">
        <v>25</v>
      </c>
      <c r="K2762" t="s">
        <v>30</v>
      </c>
      <c r="L2762">
        <v>7</v>
      </c>
      <c r="M2762">
        <v>97.2</v>
      </c>
      <c r="N2762">
        <v>561487</v>
      </c>
      <c r="O2762">
        <v>1</v>
      </c>
    </row>
    <row r="2763" spans="1:15">
      <c r="A2763" t="s">
        <v>2789</v>
      </c>
      <c r="B2763" t="s">
        <v>29</v>
      </c>
      <c r="C2763">
        <v>1</v>
      </c>
      <c r="D2763">
        <v>12161088</v>
      </c>
      <c r="E2763">
        <v>1</v>
      </c>
      <c r="F2763">
        <v>2</v>
      </c>
      <c r="G2763">
        <v>161</v>
      </c>
      <c r="H2763">
        <v>95730097</v>
      </c>
      <c r="I2763">
        <v>183944</v>
      </c>
      <c r="J2763" t="s">
        <v>17</v>
      </c>
      <c r="K2763" t="s">
        <v>22</v>
      </c>
      <c r="L2763">
        <v>6</v>
      </c>
      <c r="M2763">
        <v>72.16</v>
      </c>
      <c r="N2763">
        <v>910753</v>
      </c>
      <c r="O2763">
        <v>1</v>
      </c>
    </row>
    <row r="2764" spans="1:15">
      <c r="A2764" t="s">
        <v>2790</v>
      </c>
      <c r="B2764" t="s">
        <v>32</v>
      </c>
      <c r="C2764">
        <v>10</v>
      </c>
      <c r="D2764">
        <v>43240981</v>
      </c>
      <c r="E2764">
        <v>2</v>
      </c>
      <c r="F2764">
        <v>29</v>
      </c>
      <c r="G2764">
        <v>119</v>
      </c>
      <c r="H2764">
        <v>78390940</v>
      </c>
      <c r="I2764">
        <v>292336</v>
      </c>
      <c r="J2764" t="s">
        <v>17</v>
      </c>
      <c r="K2764" t="s">
        <v>30</v>
      </c>
      <c r="L2764">
        <v>6</v>
      </c>
      <c r="M2764">
        <v>77.709999999999994</v>
      </c>
      <c r="N2764">
        <v>834736</v>
      </c>
      <c r="O2764">
        <v>1</v>
      </c>
    </row>
    <row r="2765" spans="1:15">
      <c r="A2765" t="s">
        <v>2791</v>
      </c>
      <c r="B2765" t="s">
        <v>38</v>
      </c>
      <c r="C2765">
        <v>3</v>
      </c>
      <c r="D2765">
        <v>38359631</v>
      </c>
      <c r="E2765">
        <v>2</v>
      </c>
      <c r="F2765">
        <v>23</v>
      </c>
      <c r="G2765">
        <v>638</v>
      </c>
      <c r="H2765">
        <v>54886213</v>
      </c>
      <c r="I2765">
        <v>623979</v>
      </c>
      <c r="J2765" t="s">
        <v>25</v>
      </c>
      <c r="K2765" t="s">
        <v>30</v>
      </c>
      <c r="L2765">
        <v>4</v>
      </c>
      <c r="M2765">
        <v>67.98</v>
      </c>
      <c r="N2765">
        <v>361361</v>
      </c>
      <c r="O2765">
        <v>1</v>
      </c>
    </row>
    <row r="2766" spans="1:15">
      <c r="A2766" t="s">
        <v>2792</v>
      </c>
      <c r="B2766" t="s">
        <v>32</v>
      </c>
      <c r="C2766">
        <v>3</v>
      </c>
      <c r="D2766">
        <v>20465040</v>
      </c>
      <c r="E2766">
        <v>2</v>
      </c>
      <c r="F2766">
        <v>13</v>
      </c>
      <c r="G2766">
        <v>226</v>
      </c>
      <c r="H2766">
        <v>14491674</v>
      </c>
      <c r="I2766">
        <v>511968</v>
      </c>
      <c r="J2766" t="s">
        <v>17</v>
      </c>
      <c r="K2766" t="s">
        <v>22</v>
      </c>
      <c r="L2766">
        <v>2</v>
      </c>
      <c r="M2766">
        <v>89.62</v>
      </c>
      <c r="N2766">
        <v>486052</v>
      </c>
      <c r="O2766">
        <v>1</v>
      </c>
    </row>
    <row r="2767" spans="1:15">
      <c r="A2767" t="s">
        <v>2793</v>
      </c>
      <c r="B2767" t="s">
        <v>16</v>
      </c>
      <c r="C2767">
        <v>11</v>
      </c>
      <c r="D2767">
        <v>24368250</v>
      </c>
      <c r="E2767">
        <v>1</v>
      </c>
      <c r="F2767">
        <v>7</v>
      </c>
      <c r="G2767">
        <v>678</v>
      </c>
      <c r="H2767">
        <v>45373559</v>
      </c>
      <c r="I2767">
        <v>880512</v>
      </c>
      <c r="J2767" t="s">
        <v>17</v>
      </c>
      <c r="K2767" t="s">
        <v>22</v>
      </c>
      <c r="L2767">
        <v>6</v>
      </c>
      <c r="M2767">
        <v>93.13</v>
      </c>
      <c r="N2767">
        <v>645300</v>
      </c>
      <c r="O2767">
        <v>1</v>
      </c>
    </row>
    <row r="2768" spans="1:15">
      <c r="A2768" t="s">
        <v>2794</v>
      </c>
      <c r="B2768" t="s">
        <v>38</v>
      </c>
      <c r="C2768">
        <v>8</v>
      </c>
      <c r="D2768">
        <v>35551023</v>
      </c>
      <c r="E2768">
        <v>4</v>
      </c>
      <c r="F2768">
        <v>1</v>
      </c>
      <c r="G2768">
        <v>761</v>
      </c>
      <c r="H2768">
        <v>61160234</v>
      </c>
      <c r="I2768">
        <v>249285</v>
      </c>
      <c r="J2768" t="s">
        <v>25</v>
      </c>
      <c r="K2768" t="s">
        <v>30</v>
      </c>
      <c r="L2768">
        <v>6</v>
      </c>
      <c r="M2768">
        <v>9.51</v>
      </c>
      <c r="N2768">
        <v>918536</v>
      </c>
      <c r="O2768">
        <v>1</v>
      </c>
    </row>
    <row r="2769" spans="1:15">
      <c r="A2769" t="s">
        <v>2795</v>
      </c>
      <c r="B2769" t="s">
        <v>24</v>
      </c>
      <c r="C2769">
        <v>7</v>
      </c>
      <c r="D2769">
        <v>39940066</v>
      </c>
      <c r="E2769">
        <v>1</v>
      </c>
      <c r="F2769">
        <v>2</v>
      </c>
      <c r="G2769">
        <v>114</v>
      </c>
      <c r="H2769">
        <v>60766202</v>
      </c>
      <c r="I2769">
        <v>389278</v>
      </c>
      <c r="J2769" t="s">
        <v>21</v>
      </c>
      <c r="K2769" t="s">
        <v>18</v>
      </c>
      <c r="L2769">
        <v>1</v>
      </c>
      <c r="M2769">
        <v>83.87</v>
      </c>
      <c r="N2769">
        <v>553141</v>
      </c>
      <c r="O2769">
        <v>1</v>
      </c>
    </row>
    <row r="2770" spans="1:15">
      <c r="A2770" t="s">
        <v>2796</v>
      </c>
      <c r="B2770" t="s">
        <v>27</v>
      </c>
      <c r="C2770">
        <v>8</v>
      </c>
      <c r="D2770">
        <v>19984641</v>
      </c>
      <c r="E2770">
        <v>4</v>
      </c>
      <c r="F2770">
        <v>20</v>
      </c>
      <c r="G2770">
        <v>699</v>
      </c>
      <c r="H2770">
        <v>1556231</v>
      </c>
      <c r="I2770">
        <v>880388</v>
      </c>
      <c r="J2770" t="s">
        <v>17</v>
      </c>
      <c r="K2770" t="s">
        <v>30</v>
      </c>
      <c r="L2770">
        <v>8</v>
      </c>
      <c r="M2770">
        <v>68.36</v>
      </c>
      <c r="N2770">
        <v>285312</v>
      </c>
      <c r="O2770">
        <v>1</v>
      </c>
    </row>
    <row r="2771" spans="1:15">
      <c r="A2771" t="s">
        <v>2797</v>
      </c>
      <c r="B2771" t="s">
        <v>27</v>
      </c>
      <c r="C2771">
        <v>8</v>
      </c>
      <c r="D2771">
        <v>40538796</v>
      </c>
      <c r="E2771">
        <v>4</v>
      </c>
      <c r="F2771">
        <v>22</v>
      </c>
      <c r="G2771">
        <v>29</v>
      </c>
      <c r="H2771">
        <v>67361265</v>
      </c>
      <c r="I2771">
        <v>614408</v>
      </c>
      <c r="J2771" t="s">
        <v>21</v>
      </c>
      <c r="K2771" t="s">
        <v>22</v>
      </c>
      <c r="L2771">
        <v>6</v>
      </c>
      <c r="M2771">
        <v>53.86</v>
      </c>
      <c r="N2771">
        <v>478996</v>
      </c>
      <c r="O2771">
        <v>1</v>
      </c>
    </row>
    <row r="2772" spans="1:15">
      <c r="A2772" t="s">
        <v>2798</v>
      </c>
      <c r="B2772" t="s">
        <v>16</v>
      </c>
      <c r="C2772">
        <v>13</v>
      </c>
      <c r="D2772">
        <v>33739624</v>
      </c>
      <c r="E2772">
        <v>2</v>
      </c>
      <c r="F2772">
        <v>20</v>
      </c>
      <c r="G2772">
        <v>183</v>
      </c>
      <c r="H2772">
        <v>16932202</v>
      </c>
      <c r="I2772">
        <v>698173</v>
      </c>
      <c r="J2772" t="s">
        <v>21</v>
      </c>
      <c r="K2772" t="s">
        <v>18</v>
      </c>
      <c r="L2772">
        <v>8</v>
      </c>
      <c r="M2772">
        <v>58.88</v>
      </c>
      <c r="N2772">
        <v>56755</v>
      </c>
      <c r="O2772">
        <v>1</v>
      </c>
    </row>
    <row r="2773" spans="1:15">
      <c r="A2773" t="s">
        <v>2799</v>
      </c>
      <c r="B2773" t="s">
        <v>24</v>
      </c>
      <c r="C2773">
        <v>12</v>
      </c>
      <c r="D2773">
        <v>13943393</v>
      </c>
      <c r="E2773">
        <v>4</v>
      </c>
      <c r="F2773">
        <v>17</v>
      </c>
      <c r="G2773">
        <v>667</v>
      </c>
      <c r="H2773">
        <v>75166930</v>
      </c>
      <c r="I2773">
        <v>475889</v>
      </c>
      <c r="J2773" t="s">
        <v>21</v>
      </c>
      <c r="K2773" t="s">
        <v>18</v>
      </c>
      <c r="L2773">
        <v>5</v>
      </c>
      <c r="M2773">
        <v>47.81</v>
      </c>
      <c r="N2773">
        <v>247217</v>
      </c>
      <c r="O2773">
        <v>1</v>
      </c>
    </row>
    <row r="2774" spans="1:15">
      <c r="A2774" t="s">
        <v>2800</v>
      </c>
      <c r="B2774" t="s">
        <v>16</v>
      </c>
      <c r="C2774">
        <v>9</v>
      </c>
      <c r="D2774">
        <v>34085019</v>
      </c>
      <c r="E2774">
        <v>1</v>
      </c>
      <c r="F2774">
        <v>24</v>
      </c>
      <c r="G2774">
        <v>20</v>
      </c>
      <c r="H2774">
        <v>39245884</v>
      </c>
      <c r="I2774">
        <v>12725</v>
      </c>
      <c r="J2774" t="s">
        <v>25</v>
      </c>
      <c r="K2774" t="s">
        <v>22</v>
      </c>
      <c r="L2774">
        <v>3</v>
      </c>
      <c r="M2774">
        <v>17.420000000000002</v>
      </c>
      <c r="N2774">
        <v>928642</v>
      </c>
      <c r="O2774">
        <v>1</v>
      </c>
    </row>
    <row r="2775" spans="1:15">
      <c r="A2775" t="s">
        <v>2801</v>
      </c>
      <c r="B2775" t="s">
        <v>16</v>
      </c>
      <c r="C2775">
        <v>8</v>
      </c>
      <c r="D2775">
        <v>9813114</v>
      </c>
      <c r="E2775">
        <v>1</v>
      </c>
      <c r="F2775">
        <v>12</v>
      </c>
      <c r="G2775">
        <v>75</v>
      </c>
      <c r="H2775">
        <v>49066806</v>
      </c>
      <c r="I2775">
        <v>733723</v>
      </c>
      <c r="J2775" t="s">
        <v>17</v>
      </c>
      <c r="K2775" t="s">
        <v>22</v>
      </c>
      <c r="L2775">
        <v>1</v>
      </c>
      <c r="M2775">
        <v>49.03</v>
      </c>
      <c r="N2775">
        <v>155717</v>
      </c>
      <c r="O2775">
        <v>1</v>
      </c>
    </row>
    <row r="2776" spans="1:15">
      <c r="A2776" t="s">
        <v>2802</v>
      </c>
      <c r="B2776" t="s">
        <v>24</v>
      </c>
      <c r="C2776">
        <v>4</v>
      </c>
      <c r="D2776">
        <v>13777078</v>
      </c>
      <c r="E2776">
        <v>2</v>
      </c>
      <c r="F2776">
        <v>0</v>
      </c>
      <c r="G2776">
        <v>36</v>
      </c>
      <c r="H2776">
        <v>98849322</v>
      </c>
      <c r="I2776">
        <v>383286</v>
      </c>
      <c r="J2776" t="s">
        <v>17</v>
      </c>
      <c r="K2776" t="s">
        <v>22</v>
      </c>
      <c r="L2776">
        <v>7</v>
      </c>
      <c r="M2776">
        <v>3.98</v>
      </c>
      <c r="N2776">
        <v>186756</v>
      </c>
      <c r="O2776">
        <v>1</v>
      </c>
    </row>
    <row r="2777" spans="1:15">
      <c r="A2777" t="s">
        <v>2803</v>
      </c>
      <c r="B2777" t="s">
        <v>16</v>
      </c>
      <c r="C2777">
        <v>8</v>
      </c>
      <c r="D2777">
        <v>44350975</v>
      </c>
      <c r="E2777">
        <v>2</v>
      </c>
      <c r="F2777">
        <v>15</v>
      </c>
      <c r="G2777">
        <v>137</v>
      </c>
      <c r="H2777">
        <v>64024257</v>
      </c>
      <c r="I2777">
        <v>746907</v>
      </c>
      <c r="J2777" t="s">
        <v>21</v>
      </c>
      <c r="K2777" t="s">
        <v>22</v>
      </c>
      <c r="L2777">
        <v>6</v>
      </c>
      <c r="M2777">
        <v>10.94</v>
      </c>
      <c r="N2777">
        <v>564016</v>
      </c>
      <c r="O2777">
        <v>1</v>
      </c>
    </row>
    <row r="2778" spans="1:15">
      <c r="A2778" t="s">
        <v>2804</v>
      </c>
      <c r="B2778" t="s">
        <v>24</v>
      </c>
      <c r="C2778">
        <v>7</v>
      </c>
      <c r="D2778">
        <v>37976003</v>
      </c>
      <c r="E2778">
        <v>4</v>
      </c>
      <c r="F2778">
        <v>1</v>
      </c>
      <c r="G2778">
        <v>845</v>
      </c>
      <c r="H2778">
        <v>95790949</v>
      </c>
      <c r="I2778">
        <v>618700</v>
      </c>
      <c r="J2778" t="s">
        <v>21</v>
      </c>
      <c r="K2778" t="s">
        <v>30</v>
      </c>
      <c r="L2778">
        <v>8</v>
      </c>
      <c r="M2778">
        <v>19.510000000000002</v>
      </c>
      <c r="N2778">
        <v>57408</v>
      </c>
      <c r="O2778">
        <v>1</v>
      </c>
    </row>
    <row r="2779" spans="1:15">
      <c r="A2779" t="s">
        <v>2805</v>
      </c>
      <c r="B2779" t="s">
        <v>27</v>
      </c>
      <c r="C2779">
        <v>11</v>
      </c>
      <c r="D2779">
        <v>21810520</v>
      </c>
      <c r="E2779">
        <v>2</v>
      </c>
      <c r="F2779">
        <v>27</v>
      </c>
      <c r="G2779">
        <v>371</v>
      </c>
      <c r="H2779">
        <v>33542030</v>
      </c>
      <c r="I2779">
        <v>506336</v>
      </c>
      <c r="J2779" t="s">
        <v>21</v>
      </c>
      <c r="K2779" t="s">
        <v>18</v>
      </c>
      <c r="L2779">
        <v>8</v>
      </c>
      <c r="M2779">
        <v>62.72</v>
      </c>
      <c r="N2779">
        <v>193715</v>
      </c>
      <c r="O2779">
        <v>1</v>
      </c>
    </row>
    <row r="2780" spans="1:15">
      <c r="A2780" t="s">
        <v>2806</v>
      </c>
      <c r="B2780" t="s">
        <v>20</v>
      </c>
      <c r="C2780">
        <v>14</v>
      </c>
      <c r="D2780">
        <v>9459220</v>
      </c>
      <c r="E2780">
        <v>1</v>
      </c>
      <c r="F2780">
        <v>16</v>
      </c>
      <c r="G2780">
        <v>589</v>
      </c>
      <c r="H2780">
        <v>9426899</v>
      </c>
      <c r="I2780">
        <v>730633</v>
      </c>
      <c r="J2780" t="s">
        <v>17</v>
      </c>
      <c r="K2780" t="s">
        <v>22</v>
      </c>
      <c r="L2780">
        <v>2</v>
      </c>
      <c r="M2780">
        <v>1.01</v>
      </c>
      <c r="N2780">
        <v>943499</v>
      </c>
      <c r="O2780">
        <v>1</v>
      </c>
    </row>
    <row r="2781" spans="1:15">
      <c r="A2781" t="s">
        <v>2807</v>
      </c>
      <c r="B2781" t="s">
        <v>16</v>
      </c>
      <c r="C2781">
        <v>2</v>
      </c>
      <c r="D2781">
        <v>44162597</v>
      </c>
      <c r="E2781">
        <v>3</v>
      </c>
      <c r="F2781">
        <v>5</v>
      </c>
      <c r="G2781">
        <v>320</v>
      </c>
      <c r="H2781">
        <v>89185129</v>
      </c>
      <c r="I2781">
        <v>743935</v>
      </c>
      <c r="J2781" t="s">
        <v>21</v>
      </c>
      <c r="K2781" t="s">
        <v>30</v>
      </c>
      <c r="L2781">
        <v>5</v>
      </c>
      <c r="M2781">
        <v>44.08</v>
      </c>
      <c r="N2781">
        <v>648095</v>
      </c>
      <c r="O2781">
        <v>1</v>
      </c>
    </row>
    <row r="2782" spans="1:15">
      <c r="A2782" t="s">
        <v>2808</v>
      </c>
      <c r="B2782" t="s">
        <v>24</v>
      </c>
      <c r="C2782">
        <v>8</v>
      </c>
      <c r="D2782">
        <v>38950154</v>
      </c>
      <c r="E2782">
        <v>4</v>
      </c>
      <c r="F2782">
        <v>29</v>
      </c>
      <c r="G2782">
        <v>924</v>
      </c>
      <c r="H2782">
        <v>42983278</v>
      </c>
      <c r="I2782">
        <v>969114</v>
      </c>
      <c r="J2782" t="s">
        <v>21</v>
      </c>
      <c r="K2782" t="s">
        <v>22</v>
      </c>
      <c r="L2782">
        <v>9</v>
      </c>
      <c r="M2782">
        <v>96.66</v>
      </c>
      <c r="N2782">
        <v>111760</v>
      </c>
      <c r="O2782">
        <v>1</v>
      </c>
    </row>
    <row r="2783" spans="1:15">
      <c r="A2783" t="s">
        <v>2809</v>
      </c>
      <c r="B2783" t="s">
        <v>16</v>
      </c>
      <c r="C2783">
        <v>13</v>
      </c>
      <c r="D2783">
        <v>26601247</v>
      </c>
      <c r="E2783">
        <v>4</v>
      </c>
      <c r="F2783">
        <v>25</v>
      </c>
      <c r="G2783">
        <v>987</v>
      </c>
      <c r="H2783">
        <v>54454469</v>
      </c>
      <c r="I2783">
        <v>71337</v>
      </c>
      <c r="J2783" t="s">
        <v>21</v>
      </c>
      <c r="K2783" t="s">
        <v>18</v>
      </c>
      <c r="L2783">
        <v>8</v>
      </c>
      <c r="M2783">
        <v>35.18</v>
      </c>
      <c r="N2783">
        <v>693630</v>
      </c>
      <c r="O2783">
        <v>1</v>
      </c>
    </row>
    <row r="2784" spans="1:15">
      <c r="A2784" t="s">
        <v>2810</v>
      </c>
      <c r="B2784" t="s">
        <v>32</v>
      </c>
      <c r="C2784">
        <v>10</v>
      </c>
      <c r="D2784">
        <v>46912175</v>
      </c>
      <c r="E2784">
        <v>1</v>
      </c>
      <c r="F2784">
        <v>22</v>
      </c>
      <c r="G2784">
        <v>925</v>
      </c>
      <c r="H2784">
        <v>10636554</v>
      </c>
      <c r="I2784">
        <v>514666</v>
      </c>
      <c r="J2784" t="s">
        <v>17</v>
      </c>
      <c r="K2784" t="s">
        <v>18</v>
      </c>
      <c r="L2784">
        <v>1</v>
      </c>
      <c r="M2784">
        <v>88.49</v>
      </c>
      <c r="N2784">
        <v>492717</v>
      </c>
      <c r="O2784">
        <v>1</v>
      </c>
    </row>
    <row r="2785" spans="1:15">
      <c r="A2785" t="s">
        <v>2811</v>
      </c>
      <c r="B2785" t="s">
        <v>24</v>
      </c>
      <c r="C2785">
        <v>4</v>
      </c>
      <c r="D2785">
        <v>39745340</v>
      </c>
      <c r="E2785">
        <v>3</v>
      </c>
      <c r="F2785">
        <v>4</v>
      </c>
      <c r="G2785">
        <v>466</v>
      </c>
      <c r="H2785">
        <v>85595675</v>
      </c>
      <c r="I2785">
        <v>827292</v>
      </c>
      <c r="J2785" t="s">
        <v>25</v>
      </c>
      <c r="K2785" t="s">
        <v>18</v>
      </c>
      <c r="L2785">
        <v>2</v>
      </c>
      <c r="M2785">
        <v>46.85</v>
      </c>
      <c r="N2785">
        <v>34181</v>
      </c>
      <c r="O2785">
        <v>1</v>
      </c>
    </row>
    <row r="2786" spans="1:15">
      <c r="A2786" t="s">
        <v>2812</v>
      </c>
      <c r="B2786" t="s">
        <v>24</v>
      </c>
      <c r="C2786">
        <v>12</v>
      </c>
      <c r="D2786">
        <v>34383734</v>
      </c>
      <c r="E2786">
        <v>1</v>
      </c>
      <c r="F2786">
        <v>24</v>
      </c>
      <c r="G2786">
        <v>905</v>
      </c>
      <c r="H2786">
        <v>36519514</v>
      </c>
      <c r="I2786">
        <v>314974</v>
      </c>
      <c r="J2786" t="s">
        <v>17</v>
      </c>
      <c r="K2786" t="s">
        <v>30</v>
      </c>
      <c r="L2786">
        <v>3</v>
      </c>
      <c r="M2786">
        <v>8.11</v>
      </c>
      <c r="N2786">
        <v>421668</v>
      </c>
      <c r="O2786">
        <v>1</v>
      </c>
    </row>
    <row r="2787" spans="1:15">
      <c r="A2787" t="s">
        <v>2813</v>
      </c>
      <c r="B2787" t="s">
        <v>20</v>
      </c>
      <c r="C2787">
        <v>13</v>
      </c>
      <c r="D2787">
        <v>38242350</v>
      </c>
      <c r="E2787">
        <v>4</v>
      </c>
      <c r="F2787">
        <v>21</v>
      </c>
      <c r="G2787">
        <v>508</v>
      </c>
      <c r="H2787">
        <v>56750123</v>
      </c>
      <c r="I2787">
        <v>346845</v>
      </c>
      <c r="J2787" t="s">
        <v>25</v>
      </c>
      <c r="K2787" t="s">
        <v>30</v>
      </c>
      <c r="L2787">
        <v>3</v>
      </c>
      <c r="M2787">
        <v>82.14</v>
      </c>
      <c r="N2787">
        <v>417067</v>
      </c>
      <c r="O2787">
        <v>1</v>
      </c>
    </row>
    <row r="2788" spans="1:15">
      <c r="A2788" t="s">
        <v>2814</v>
      </c>
      <c r="B2788" t="s">
        <v>29</v>
      </c>
      <c r="C2788">
        <v>5</v>
      </c>
      <c r="D2788">
        <v>28422022</v>
      </c>
      <c r="E2788">
        <v>3</v>
      </c>
      <c r="F2788">
        <v>18</v>
      </c>
      <c r="G2788">
        <v>978</v>
      </c>
      <c r="H2788">
        <v>27641025</v>
      </c>
      <c r="I2788">
        <v>652628</v>
      </c>
      <c r="J2788" t="s">
        <v>17</v>
      </c>
      <c r="K2788" t="s">
        <v>18</v>
      </c>
      <c r="L2788">
        <v>8</v>
      </c>
      <c r="M2788">
        <v>33.33</v>
      </c>
      <c r="N2788">
        <v>912172</v>
      </c>
      <c r="O2788">
        <v>1</v>
      </c>
    </row>
    <row r="2789" spans="1:15">
      <c r="A2789" t="s">
        <v>2815</v>
      </c>
      <c r="B2789" t="s">
        <v>16</v>
      </c>
      <c r="C2789">
        <v>6</v>
      </c>
      <c r="D2789">
        <v>48948303</v>
      </c>
      <c r="E2789">
        <v>2</v>
      </c>
      <c r="F2789">
        <v>12</v>
      </c>
      <c r="G2789">
        <v>497</v>
      </c>
      <c r="H2789">
        <v>17025880</v>
      </c>
      <c r="I2789">
        <v>336399</v>
      </c>
      <c r="J2789" t="s">
        <v>17</v>
      </c>
      <c r="K2789" t="s">
        <v>22</v>
      </c>
      <c r="L2789">
        <v>3</v>
      </c>
      <c r="M2789">
        <v>75.819999999999993</v>
      </c>
      <c r="N2789">
        <v>100544</v>
      </c>
      <c r="O2789">
        <v>1</v>
      </c>
    </row>
    <row r="2790" spans="1:15">
      <c r="A2790" t="s">
        <v>2816</v>
      </c>
      <c r="B2790" t="s">
        <v>27</v>
      </c>
      <c r="C2790">
        <v>3</v>
      </c>
      <c r="D2790">
        <v>5482705</v>
      </c>
      <c r="E2790">
        <v>1</v>
      </c>
      <c r="F2790">
        <v>19</v>
      </c>
      <c r="G2790">
        <v>50</v>
      </c>
      <c r="H2790">
        <v>87113490</v>
      </c>
      <c r="I2790">
        <v>326470</v>
      </c>
      <c r="J2790" t="s">
        <v>21</v>
      </c>
      <c r="K2790" t="s">
        <v>30</v>
      </c>
      <c r="L2790">
        <v>9</v>
      </c>
      <c r="M2790">
        <v>66.63</v>
      </c>
      <c r="N2790">
        <v>561107</v>
      </c>
      <c r="O2790">
        <v>1</v>
      </c>
    </row>
    <row r="2791" spans="1:15">
      <c r="A2791" t="s">
        <v>2817</v>
      </c>
      <c r="B2791" t="s">
        <v>32</v>
      </c>
      <c r="C2791">
        <v>5</v>
      </c>
      <c r="D2791">
        <v>26018625</v>
      </c>
      <c r="E2791">
        <v>3</v>
      </c>
      <c r="F2791">
        <v>2</v>
      </c>
      <c r="G2791">
        <v>159</v>
      </c>
      <c r="H2791">
        <v>16715054</v>
      </c>
      <c r="I2791">
        <v>415032</v>
      </c>
      <c r="J2791" t="s">
        <v>21</v>
      </c>
      <c r="K2791" t="s">
        <v>22</v>
      </c>
      <c r="L2791">
        <v>4</v>
      </c>
      <c r="M2791">
        <v>15.05</v>
      </c>
      <c r="N2791">
        <v>367204</v>
      </c>
      <c r="O2791">
        <v>1</v>
      </c>
    </row>
    <row r="2792" spans="1:15">
      <c r="A2792" t="s">
        <v>2818</v>
      </c>
      <c r="B2792" t="s">
        <v>24</v>
      </c>
      <c r="C2792">
        <v>12</v>
      </c>
      <c r="D2792">
        <v>47365260</v>
      </c>
      <c r="E2792">
        <v>4</v>
      </c>
      <c r="F2792">
        <v>27</v>
      </c>
      <c r="G2792">
        <v>478</v>
      </c>
      <c r="H2792">
        <v>55664699</v>
      </c>
      <c r="I2792">
        <v>202065</v>
      </c>
      <c r="J2792" t="s">
        <v>25</v>
      </c>
      <c r="K2792" t="s">
        <v>30</v>
      </c>
      <c r="L2792">
        <v>4</v>
      </c>
      <c r="M2792">
        <v>94.95</v>
      </c>
      <c r="N2792">
        <v>357413</v>
      </c>
      <c r="O2792">
        <v>1</v>
      </c>
    </row>
    <row r="2793" spans="1:15">
      <c r="A2793" t="s">
        <v>2819</v>
      </c>
      <c r="B2793" t="s">
        <v>32</v>
      </c>
      <c r="C2793">
        <v>11</v>
      </c>
      <c r="D2793">
        <v>46095425</v>
      </c>
      <c r="E2793">
        <v>2</v>
      </c>
      <c r="F2793">
        <v>8</v>
      </c>
      <c r="G2793">
        <v>898</v>
      </c>
      <c r="H2793">
        <v>72219970</v>
      </c>
      <c r="I2793">
        <v>386649</v>
      </c>
      <c r="J2793" t="s">
        <v>21</v>
      </c>
      <c r="K2793" t="s">
        <v>22</v>
      </c>
      <c r="L2793">
        <v>9</v>
      </c>
      <c r="M2793">
        <v>32</v>
      </c>
      <c r="N2793">
        <v>72392</v>
      </c>
      <c r="O2793">
        <v>1</v>
      </c>
    </row>
    <row r="2794" spans="1:15">
      <c r="A2794" t="s">
        <v>2820</v>
      </c>
      <c r="B2794" t="s">
        <v>29</v>
      </c>
      <c r="C2794">
        <v>3</v>
      </c>
      <c r="D2794">
        <v>44918521</v>
      </c>
      <c r="E2794">
        <v>1</v>
      </c>
      <c r="F2794">
        <v>24</v>
      </c>
      <c r="G2794">
        <v>808</v>
      </c>
      <c r="H2794">
        <v>82675682</v>
      </c>
      <c r="I2794">
        <v>52266</v>
      </c>
      <c r="J2794" t="s">
        <v>21</v>
      </c>
      <c r="K2794" t="s">
        <v>30</v>
      </c>
      <c r="L2794">
        <v>3</v>
      </c>
      <c r="M2794">
        <v>38.99</v>
      </c>
      <c r="N2794">
        <v>706138</v>
      </c>
      <c r="O2794">
        <v>1</v>
      </c>
    </row>
    <row r="2795" spans="1:15">
      <c r="A2795" t="s">
        <v>2821</v>
      </c>
      <c r="B2795" t="s">
        <v>27</v>
      </c>
      <c r="C2795">
        <v>2</v>
      </c>
      <c r="D2795">
        <v>37640718</v>
      </c>
      <c r="E2795">
        <v>1</v>
      </c>
      <c r="F2795">
        <v>12</v>
      </c>
      <c r="G2795">
        <v>377</v>
      </c>
      <c r="H2795">
        <v>30618668</v>
      </c>
      <c r="I2795">
        <v>257346</v>
      </c>
      <c r="J2795" t="s">
        <v>17</v>
      </c>
      <c r="K2795" t="s">
        <v>30</v>
      </c>
      <c r="L2795">
        <v>4</v>
      </c>
      <c r="M2795">
        <v>40.61</v>
      </c>
      <c r="N2795">
        <v>699743</v>
      </c>
      <c r="O2795">
        <v>1</v>
      </c>
    </row>
    <row r="2796" spans="1:15">
      <c r="A2796" t="s">
        <v>2822</v>
      </c>
      <c r="B2796" t="s">
        <v>24</v>
      </c>
      <c r="C2796">
        <v>2</v>
      </c>
      <c r="D2796">
        <v>43197839</v>
      </c>
      <c r="E2796">
        <v>4</v>
      </c>
      <c r="F2796">
        <v>12</v>
      </c>
      <c r="G2796">
        <v>311</v>
      </c>
      <c r="H2796">
        <v>76845270</v>
      </c>
      <c r="I2796">
        <v>425773</v>
      </c>
      <c r="J2796" t="s">
        <v>25</v>
      </c>
      <c r="K2796" t="s">
        <v>18</v>
      </c>
      <c r="L2796">
        <v>4</v>
      </c>
      <c r="M2796">
        <v>64.23</v>
      </c>
      <c r="N2796">
        <v>398144</v>
      </c>
      <c r="O2796">
        <v>1</v>
      </c>
    </row>
    <row r="2797" spans="1:15">
      <c r="A2797" t="s">
        <v>2823</v>
      </c>
      <c r="B2797" t="s">
        <v>16</v>
      </c>
      <c r="C2797">
        <v>2</v>
      </c>
      <c r="D2797">
        <v>46621634</v>
      </c>
      <c r="E2797">
        <v>2</v>
      </c>
      <c r="F2797">
        <v>29</v>
      </c>
      <c r="G2797">
        <v>594</v>
      </c>
      <c r="H2797">
        <v>31326253</v>
      </c>
      <c r="I2797">
        <v>623412</v>
      </c>
      <c r="J2797" t="s">
        <v>21</v>
      </c>
      <c r="K2797" t="s">
        <v>18</v>
      </c>
      <c r="L2797">
        <v>7</v>
      </c>
      <c r="M2797">
        <v>74.48</v>
      </c>
      <c r="N2797">
        <v>362975</v>
      </c>
      <c r="O2797">
        <v>1</v>
      </c>
    </row>
    <row r="2798" spans="1:15">
      <c r="A2798" t="s">
        <v>2824</v>
      </c>
      <c r="B2798" t="s">
        <v>20</v>
      </c>
      <c r="C2798">
        <v>9</v>
      </c>
      <c r="D2798">
        <v>7187481</v>
      </c>
      <c r="E2798">
        <v>3</v>
      </c>
      <c r="F2798">
        <v>29</v>
      </c>
      <c r="G2798">
        <v>700</v>
      </c>
      <c r="H2798">
        <v>22659514</v>
      </c>
      <c r="I2798">
        <v>323732</v>
      </c>
      <c r="J2798" t="s">
        <v>21</v>
      </c>
      <c r="K2798" t="s">
        <v>30</v>
      </c>
      <c r="L2798">
        <v>2</v>
      </c>
      <c r="M2798">
        <v>78.930000000000007</v>
      </c>
      <c r="N2798">
        <v>625615</v>
      </c>
      <c r="O2798">
        <v>1</v>
      </c>
    </row>
    <row r="2799" spans="1:15">
      <c r="A2799" t="s">
        <v>2825</v>
      </c>
      <c r="B2799" t="s">
        <v>20</v>
      </c>
      <c r="C2799">
        <v>10</v>
      </c>
      <c r="D2799">
        <v>13807486</v>
      </c>
      <c r="E2799">
        <v>2</v>
      </c>
      <c r="F2799">
        <v>9</v>
      </c>
      <c r="G2799">
        <v>598</v>
      </c>
      <c r="H2799">
        <v>17302019</v>
      </c>
      <c r="I2799">
        <v>240466</v>
      </c>
      <c r="J2799" t="s">
        <v>21</v>
      </c>
      <c r="K2799" t="s">
        <v>18</v>
      </c>
      <c r="L2799">
        <v>3</v>
      </c>
      <c r="M2799">
        <v>1.01</v>
      </c>
      <c r="N2799">
        <v>765544</v>
      </c>
      <c r="O2799">
        <v>1</v>
      </c>
    </row>
    <row r="2800" spans="1:15">
      <c r="A2800" t="s">
        <v>2826</v>
      </c>
      <c r="B2800" t="s">
        <v>32</v>
      </c>
      <c r="C2800">
        <v>2</v>
      </c>
      <c r="D2800">
        <v>16548488</v>
      </c>
      <c r="E2800">
        <v>1</v>
      </c>
      <c r="F2800">
        <v>0</v>
      </c>
      <c r="G2800">
        <v>818</v>
      </c>
      <c r="H2800">
        <v>41398158</v>
      </c>
      <c r="I2800">
        <v>562102</v>
      </c>
      <c r="J2800" t="s">
        <v>21</v>
      </c>
      <c r="K2800" t="s">
        <v>22</v>
      </c>
      <c r="L2800">
        <v>6</v>
      </c>
      <c r="M2800">
        <v>55.6</v>
      </c>
      <c r="N2800">
        <v>951741</v>
      </c>
      <c r="O2800">
        <v>1</v>
      </c>
    </row>
    <row r="2801" spans="1:15">
      <c r="A2801" t="s">
        <v>2827</v>
      </c>
      <c r="B2801" t="s">
        <v>32</v>
      </c>
      <c r="C2801">
        <v>0</v>
      </c>
      <c r="D2801">
        <v>12852002</v>
      </c>
      <c r="E2801">
        <v>3</v>
      </c>
      <c r="F2801">
        <v>25</v>
      </c>
      <c r="G2801">
        <v>655</v>
      </c>
      <c r="H2801">
        <v>18449280</v>
      </c>
      <c r="I2801">
        <v>748781</v>
      </c>
      <c r="J2801" t="s">
        <v>21</v>
      </c>
      <c r="K2801" t="s">
        <v>18</v>
      </c>
      <c r="L2801">
        <v>2</v>
      </c>
      <c r="M2801">
        <v>71.27</v>
      </c>
      <c r="N2801">
        <v>722910</v>
      </c>
      <c r="O2801">
        <v>1</v>
      </c>
    </row>
    <row r="2802" spans="1:15">
      <c r="A2802" t="s">
        <v>2828</v>
      </c>
      <c r="B2802" t="s">
        <v>32</v>
      </c>
      <c r="C2802">
        <v>12</v>
      </c>
      <c r="D2802">
        <v>38174644</v>
      </c>
      <c r="E2802">
        <v>1</v>
      </c>
      <c r="F2802">
        <v>10</v>
      </c>
      <c r="G2802">
        <v>952</v>
      </c>
      <c r="H2802">
        <v>28190513</v>
      </c>
      <c r="I2802">
        <v>735954</v>
      </c>
      <c r="J2802" t="s">
        <v>21</v>
      </c>
      <c r="K2802" t="s">
        <v>18</v>
      </c>
      <c r="L2802">
        <v>9</v>
      </c>
      <c r="M2802">
        <v>32.450000000000003</v>
      </c>
      <c r="N2802">
        <v>122499</v>
      </c>
      <c r="O2802">
        <v>1</v>
      </c>
    </row>
    <row r="2803" spans="1:15">
      <c r="A2803" t="s">
        <v>2829</v>
      </c>
      <c r="B2803" t="s">
        <v>32</v>
      </c>
      <c r="C2803">
        <v>0</v>
      </c>
      <c r="D2803">
        <v>48543597</v>
      </c>
      <c r="E2803">
        <v>4</v>
      </c>
      <c r="F2803">
        <v>15</v>
      </c>
      <c r="G2803">
        <v>294</v>
      </c>
      <c r="H2803">
        <v>54864767</v>
      </c>
      <c r="I2803">
        <v>921370</v>
      </c>
      <c r="J2803" t="s">
        <v>25</v>
      </c>
      <c r="K2803" t="s">
        <v>22</v>
      </c>
      <c r="L2803">
        <v>6</v>
      </c>
      <c r="M2803">
        <v>56.8</v>
      </c>
      <c r="N2803">
        <v>807507</v>
      </c>
      <c r="O2803">
        <v>1</v>
      </c>
    </row>
    <row r="2804" spans="1:15">
      <c r="A2804" t="s">
        <v>2830</v>
      </c>
      <c r="B2804" t="s">
        <v>16</v>
      </c>
      <c r="C2804">
        <v>3</v>
      </c>
      <c r="D2804">
        <v>5962964</v>
      </c>
      <c r="E2804">
        <v>1</v>
      </c>
      <c r="F2804">
        <v>16</v>
      </c>
      <c r="G2804">
        <v>978</v>
      </c>
      <c r="H2804">
        <v>87745496</v>
      </c>
      <c r="I2804">
        <v>751748</v>
      </c>
      <c r="J2804" t="s">
        <v>17</v>
      </c>
      <c r="K2804" t="s">
        <v>22</v>
      </c>
      <c r="L2804">
        <v>6</v>
      </c>
      <c r="M2804">
        <v>51.86</v>
      </c>
      <c r="N2804">
        <v>233626</v>
      </c>
      <c r="O2804">
        <v>1</v>
      </c>
    </row>
    <row r="2805" spans="1:15">
      <c r="A2805" t="s">
        <v>2831</v>
      </c>
      <c r="B2805" t="s">
        <v>24</v>
      </c>
      <c r="C2805">
        <v>11</v>
      </c>
      <c r="D2805">
        <v>839844</v>
      </c>
      <c r="E2805">
        <v>1</v>
      </c>
      <c r="F2805">
        <v>6</v>
      </c>
      <c r="G2805">
        <v>282</v>
      </c>
      <c r="H2805">
        <v>97878702</v>
      </c>
      <c r="I2805">
        <v>423451</v>
      </c>
      <c r="J2805" t="s">
        <v>17</v>
      </c>
      <c r="K2805" t="s">
        <v>30</v>
      </c>
      <c r="L2805">
        <v>8</v>
      </c>
      <c r="M2805">
        <v>27.83</v>
      </c>
      <c r="N2805">
        <v>447761</v>
      </c>
      <c r="O2805">
        <v>1</v>
      </c>
    </row>
    <row r="2806" spans="1:15">
      <c r="A2806" t="s">
        <v>2832</v>
      </c>
      <c r="B2806" t="s">
        <v>38</v>
      </c>
      <c r="C2806">
        <v>6</v>
      </c>
      <c r="D2806">
        <v>196302</v>
      </c>
      <c r="E2806">
        <v>3</v>
      </c>
      <c r="F2806">
        <v>20</v>
      </c>
      <c r="G2806">
        <v>598</v>
      </c>
      <c r="H2806">
        <v>38009115</v>
      </c>
      <c r="I2806">
        <v>988205</v>
      </c>
      <c r="J2806" t="s">
        <v>21</v>
      </c>
      <c r="K2806" t="s">
        <v>18</v>
      </c>
      <c r="L2806">
        <v>3</v>
      </c>
      <c r="M2806">
        <v>5.38</v>
      </c>
      <c r="N2806">
        <v>676908</v>
      </c>
      <c r="O2806">
        <v>1</v>
      </c>
    </row>
    <row r="2807" spans="1:15">
      <c r="A2807" t="s">
        <v>2833</v>
      </c>
      <c r="B2807" t="s">
        <v>24</v>
      </c>
      <c r="C2807">
        <v>14</v>
      </c>
      <c r="D2807">
        <v>28783570</v>
      </c>
      <c r="E2807">
        <v>1</v>
      </c>
      <c r="F2807">
        <v>9</v>
      </c>
      <c r="G2807">
        <v>45</v>
      </c>
      <c r="H2807">
        <v>30500300</v>
      </c>
      <c r="I2807">
        <v>902188</v>
      </c>
      <c r="J2807" t="s">
        <v>17</v>
      </c>
      <c r="K2807" t="s">
        <v>30</v>
      </c>
      <c r="L2807">
        <v>9</v>
      </c>
      <c r="M2807">
        <v>66.22</v>
      </c>
      <c r="N2807">
        <v>114921</v>
      </c>
      <c r="O2807">
        <v>1</v>
      </c>
    </row>
    <row r="2808" spans="1:15">
      <c r="A2808" t="s">
        <v>2834</v>
      </c>
      <c r="B2808" t="s">
        <v>32</v>
      </c>
      <c r="C2808">
        <v>1</v>
      </c>
      <c r="D2808">
        <v>6263556</v>
      </c>
      <c r="E2808">
        <v>3</v>
      </c>
      <c r="F2808">
        <v>26</v>
      </c>
      <c r="G2808">
        <v>523</v>
      </c>
      <c r="H2808">
        <v>79704970</v>
      </c>
      <c r="I2808">
        <v>472122</v>
      </c>
      <c r="J2808" t="s">
        <v>17</v>
      </c>
      <c r="K2808" t="s">
        <v>22</v>
      </c>
      <c r="L2808">
        <v>7</v>
      </c>
      <c r="M2808">
        <v>22.05</v>
      </c>
      <c r="N2808">
        <v>121242</v>
      </c>
      <c r="O2808">
        <v>1</v>
      </c>
    </row>
    <row r="2809" spans="1:15">
      <c r="A2809" t="s">
        <v>2835</v>
      </c>
      <c r="B2809" t="s">
        <v>16</v>
      </c>
      <c r="C2809">
        <v>14</v>
      </c>
      <c r="D2809">
        <v>11705759</v>
      </c>
      <c r="E2809">
        <v>3</v>
      </c>
      <c r="F2809">
        <v>6</v>
      </c>
      <c r="G2809">
        <v>846</v>
      </c>
      <c r="H2809">
        <v>26656885</v>
      </c>
      <c r="I2809">
        <v>126915</v>
      </c>
      <c r="J2809" t="s">
        <v>21</v>
      </c>
      <c r="K2809" t="s">
        <v>22</v>
      </c>
      <c r="L2809">
        <v>4</v>
      </c>
      <c r="M2809">
        <v>45.65</v>
      </c>
      <c r="N2809">
        <v>426661</v>
      </c>
      <c r="O2809">
        <v>1</v>
      </c>
    </row>
    <row r="2810" spans="1:15">
      <c r="A2810" t="s">
        <v>2836</v>
      </c>
      <c r="B2810" t="s">
        <v>29</v>
      </c>
      <c r="C2810">
        <v>4</v>
      </c>
      <c r="D2810">
        <v>6098956</v>
      </c>
      <c r="E2810">
        <v>2</v>
      </c>
      <c r="F2810">
        <v>0</v>
      </c>
      <c r="G2810">
        <v>94</v>
      </c>
      <c r="H2810">
        <v>33333888</v>
      </c>
      <c r="I2810">
        <v>935072</v>
      </c>
      <c r="J2810" t="s">
        <v>25</v>
      </c>
      <c r="K2810" t="s">
        <v>22</v>
      </c>
      <c r="L2810">
        <v>2</v>
      </c>
      <c r="M2810">
        <v>44.6</v>
      </c>
      <c r="N2810">
        <v>935237</v>
      </c>
      <c r="O2810">
        <v>1</v>
      </c>
    </row>
    <row r="2811" spans="1:15">
      <c r="A2811" t="s">
        <v>2837</v>
      </c>
      <c r="B2811" t="s">
        <v>29</v>
      </c>
      <c r="C2811">
        <v>1</v>
      </c>
      <c r="D2811">
        <v>47349634</v>
      </c>
      <c r="E2811">
        <v>4</v>
      </c>
      <c r="F2811">
        <v>11</v>
      </c>
      <c r="G2811">
        <v>907</v>
      </c>
      <c r="H2811">
        <v>14670853</v>
      </c>
      <c r="I2811">
        <v>206305</v>
      </c>
      <c r="J2811" t="s">
        <v>21</v>
      </c>
      <c r="K2811" t="s">
        <v>18</v>
      </c>
      <c r="L2811">
        <v>1</v>
      </c>
      <c r="M2811">
        <v>92.55</v>
      </c>
      <c r="N2811">
        <v>229668</v>
      </c>
      <c r="O2811">
        <v>1</v>
      </c>
    </row>
    <row r="2812" spans="1:15">
      <c r="A2812" t="s">
        <v>2838</v>
      </c>
      <c r="B2812" t="s">
        <v>32</v>
      </c>
      <c r="C2812">
        <v>9</v>
      </c>
      <c r="D2812">
        <v>45335908</v>
      </c>
      <c r="E2812">
        <v>2</v>
      </c>
      <c r="F2812">
        <v>3</v>
      </c>
      <c r="G2812">
        <v>646</v>
      </c>
      <c r="H2812">
        <v>8121686</v>
      </c>
      <c r="I2812">
        <v>215785</v>
      </c>
      <c r="J2812" t="s">
        <v>25</v>
      </c>
      <c r="K2812" t="s">
        <v>22</v>
      </c>
      <c r="L2812">
        <v>7</v>
      </c>
      <c r="M2812">
        <v>68.650000000000006</v>
      </c>
      <c r="N2812">
        <v>38935</v>
      </c>
      <c r="O2812">
        <v>1</v>
      </c>
    </row>
    <row r="2813" spans="1:15">
      <c r="A2813" t="s">
        <v>2839</v>
      </c>
      <c r="B2813" t="s">
        <v>16</v>
      </c>
      <c r="C2813">
        <v>14</v>
      </c>
      <c r="D2813">
        <v>46866061</v>
      </c>
      <c r="E2813">
        <v>3</v>
      </c>
      <c r="F2813">
        <v>27</v>
      </c>
      <c r="G2813">
        <v>528</v>
      </c>
      <c r="H2813">
        <v>24030810</v>
      </c>
      <c r="I2813">
        <v>99189</v>
      </c>
      <c r="J2813" t="s">
        <v>21</v>
      </c>
      <c r="K2813" t="s">
        <v>30</v>
      </c>
      <c r="L2813">
        <v>6</v>
      </c>
      <c r="M2813">
        <v>21.16</v>
      </c>
      <c r="N2813">
        <v>968899</v>
      </c>
      <c r="O2813">
        <v>1</v>
      </c>
    </row>
    <row r="2814" spans="1:15">
      <c r="A2814" t="s">
        <v>2840</v>
      </c>
      <c r="B2814" t="s">
        <v>27</v>
      </c>
      <c r="C2814">
        <v>14</v>
      </c>
      <c r="D2814">
        <v>18218223</v>
      </c>
      <c r="E2814">
        <v>4</v>
      </c>
      <c r="F2814">
        <v>23</v>
      </c>
      <c r="G2814">
        <v>740</v>
      </c>
      <c r="H2814">
        <v>8491437</v>
      </c>
      <c r="I2814">
        <v>594855</v>
      </c>
      <c r="J2814" t="s">
        <v>25</v>
      </c>
      <c r="K2814" t="s">
        <v>18</v>
      </c>
      <c r="L2814">
        <v>8</v>
      </c>
      <c r="M2814">
        <v>34.35</v>
      </c>
      <c r="N2814">
        <v>428915</v>
      </c>
      <c r="O2814">
        <v>1</v>
      </c>
    </row>
    <row r="2815" spans="1:15">
      <c r="A2815" t="s">
        <v>2841</v>
      </c>
      <c r="B2815" t="s">
        <v>24</v>
      </c>
      <c r="C2815">
        <v>5</v>
      </c>
      <c r="D2815">
        <v>23752925</v>
      </c>
      <c r="E2815">
        <v>1</v>
      </c>
      <c r="F2815">
        <v>9</v>
      </c>
      <c r="G2815">
        <v>655</v>
      </c>
      <c r="H2815">
        <v>19355744</v>
      </c>
      <c r="I2815">
        <v>654418</v>
      </c>
      <c r="J2815" t="s">
        <v>25</v>
      </c>
      <c r="K2815" t="s">
        <v>30</v>
      </c>
      <c r="L2815">
        <v>6</v>
      </c>
      <c r="M2815">
        <v>6.04</v>
      </c>
      <c r="N2815">
        <v>252080</v>
      </c>
      <c r="O2815">
        <v>1</v>
      </c>
    </row>
    <row r="2816" spans="1:15">
      <c r="A2816" t="s">
        <v>2842</v>
      </c>
      <c r="B2816" t="s">
        <v>38</v>
      </c>
      <c r="C2816">
        <v>4</v>
      </c>
      <c r="D2816">
        <v>27047953</v>
      </c>
      <c r="E2816">
        <v>3</v>
      </c>
      <c r="F2816">
        <v>13</v>
      </c>
      <c r="G2816">
        <v>856</v>
      </c>
      <c r="H2816">
        <v>58100950</v>
      </c>
      <c r="I2816">
        <v>146099</v>
      </c>
      <c r="J2816" t="s">
        <v>21</v>
      </c>
      <c r="K2816" t="s">
        <v>30</v>
      </c>
      <c r="L2816">
        <v>4</v>
      </c>
      <c r="M2816">
        <v>52.14</v>
      </c>
      <c r="N2816">
        <v>154426</v>
      </c>
      <c r="O2816">
        <v>1</v>
      </c>
    </row>
    <row r="2817" spans="1:15">
      <c r="A2817" t="s">
        <v>2843</v>
      </c>
      <c r="B2817" t="s">
        <v>27</v>
      </c>
      <c r="C2817">
        <v>7</v>
      </c>
      <c r="D2817">
        <v>34478579</v>
      </c>
      <c r="E2817">
        <v>4</v>
      </c>
      <c r="F2817">
        <v>23</v>
      </c>
      <c r="G2817">
        <v>214</v>
      </c>
      <c r="H2817">
        <v>40872187</v>
      </c>
      <c r="I2817">
        <v>53960</v>
      </c>
      <c r="J2817" t="s">
        <v>21</v>
      </c>
      <c r="K2817" t="s">
        <v>30</v>
      </c>
      <c r="L2817">
        <v>3</v>
      </c>
      <c r="M2817">
        <v>72.95</v>
      </c>
      <c r="N2817">
        <v>699625</v>
      </c>
      <c r="O2817">
        <v>1</v>
      </c>
    </row>
    <row r="2818" spans="1:15">
      <c r="A2818" t="s">
        <v>2844</v>
      </c>
      <c r="B2818" t="s">
        <v>20</v>
      </c>
      <c r="C2818">
        <v>14</v>
      </c>
      <c r="D2818">
        <v>18954427</v>
      </c>
      <c r="E2818">
        <v>2</v>
      </c>
      <c r="F2818">
        <v>9</v>
      </c>
      <c r="G2818">
        <v>746</v>
      </c>
      <c r="H2818">
        <v>12047758</v>
      </c>
      <c r="I2818">
        <v>942337</v>
      </c>
      <c r="J2818" t="s">
        <v>17</v>
      </c>
      <c r="K2818" t="s">
        <v>18</v>
      </c>
      <c r="L2818">
        <v>2</v>
      </c>
      <c r="M2818">
        <v>16.02</v>
      </c>
      <c r="N2818">
        <v>226689</v>
      </c>
      <c r="O2818">
        <v>1</v>
      </c>
    </row>
    <row r="2819" spans="1:15">
      <c r="A2819" t="s">
        <v>2845</v>
      </c>
      <c r="B2819" t="s">
        <v>24</v>
      </c>
      <c r="C2819">
        <v>13</v>
      </c>
      <c r="D2819">
        <v>13229286</v>
      </c>
      <c r="E2819">
        <v>3</v>
      </c>
      <c r="F2819">
        <v>21</v>
      </c>
      <c r="G2819">
        <v>956</v>
      </c>
      <c r="H2819">
        <v>53517608</v>
      </c>
      <c r="I2819">
        <v>467978</v>
      </c>
      <c r="J2819" t="s">
        <v>17</v>
      </c>
      <c r="K2819" t="s">
        <v>18</v>
      </c>
      <c r="L2819">
        <v>6</v>
      </c>
      <c r="M2819">
        <v>48.89</v>
      </c>
      <c r="N2819">
        <v>821520</v>
      </c>
      <c r="O2819">
        <v>1</v>
      </c>
    </row>
    <row r="2820" spans="1:15">
      <c r="A2820" t="s">
        <v>2846</v>
      </c>
      <c r="B2820" t="s">
        <v>16</v>
      </c>
      <c r="C2820">
        <v>9</v>
      </c>
      <c r="D2820">
        <v>46814049</v>
      </c>
      <c r="E2820">
        <v>1</v>
      </c>
      <c r="F2820">
        <v>19</v>
      </c>
      <c r="G2820">
        <v>671</v>
      </c>
      <c r="H2820">
        <v>51851755</v>
      </c>
      <c r="I2820">
        <v>561578</v>
      </c>
      <c r="J2820" t="s">
        <v>21</v>
      </c>
      <c r="K2820" t="s">
        <v>30</v>
      </c>
      <c r="L2820">
        <v>8</v>
      </c>
      <c r="M2820">
        <v>55.21</v>
      </c>
      <c r="N2820">
        <v>655934</v>
      </c>
      <c r="O2820">
        <v>1</v>
      </c>
    </row>
    <row r="2821" spans="1:15">
      <c r="A2821" t="s">
        <v>2847</v>
      </c>
      <c r="B2821" t="s">
        <v>29</v>
      </c>
      <c r="C2821">
        <v>11</v>
      </c>
      <c r="D2821">
        <v>23284492</v>
      </c>
      <c r="E2821">
        <v>1</v>
      </c>
      <c r="F2821">
        <v>21</v>
      </c>
      <c r="G2821">
        <v>813</v>
      </c>
      <c r="H2821">
        <v>36744430</v>
      </c>
      <c r="I2821">
        <v>226999</v>
      </c>
      <c r="J2821" t="s">
        <v>21</v>
      </c>
      <c r="K2821" t="s">
        <v>22</v>
      </c>
      <c r="L2821">
        <v>1</v>
      </c>
      <c r="M2821">
        <v>99.79</v>
      </c>
      <c r="N2821">
        <v>270107</v>
      </c>
      <c r="O2821">
        <v>1</v>
      </c>
    </row>
    <row r="2822" spans="1:15">
      <c r="A2822" t="s">
        <v>2848</v>
      </c>
      <c r="B2822" t="s">
        <v>27</v>
      </c>
      <c r="C2822">
        <v>4</v>
      </c>
      <c r="D2822">
        <v>16440299</v>
      </c>
      <c r="E2822">
        <v>1</v>
      </c>
      <c r="F2822">
        <v>29</v>
      </c>
      <c r="G2822">
        <v>937</v>
      </c>
      <c r="H2822">
        <v>79631621</v>
      </c>
      <c r="I2822">
        <v>48840</v>
      </c>
      <c r="J2822" t="s">
        <v>21</v>
      </c>
      <c r="K2822" t="s">
        <v>22</v>
      </c>
      <c r="L2822">
        <v>3</v>
      </c>
      <c r="M2822">
        <v>53.01</v>
      </c>
      <c r="N2822">
        <v>165107</v>
      </c>
      <c r="O2822">
        <v>1</v>
      </c>
    </row>
    <row r="2823" spans="1:15">
      <c r="A2823" t="s">
        <v>2849</v>
      </c>
      <c r="B2823" t="s">
        <v>20</v>
      </c>
      <c r="C2823">
        <v>6</v>
      </c>
      <c r="D2823">
        <v>3156457</v>
      </c>
      <c r="E2823">
        <v>2</v>
      </c>
      <c r="F2823">
        <v>15</v>
      </c>
      <c r="G2823">
        <v>363</v>
      </c>
      <c r="H2823">
        <v>40632879</v>
      </c>
      <c r="I2823">
        <v>683186</v>
      </c>
      <c r="J2823" t="s">
        <v>17</v>
      </c>
      <c r="K2823" t="s">
        <v>30</v>
      </c>
      <c r="L2823">
        <v>1</v>
      </c>
      <c r="M2823">
        <v>40.200000000000003</v>
      </c>
      <c r="N2823">
        <v>236655</v>
      </c>
      <c r="O2823">
        <v>1</v>
      </c>
    </row>
    <row r="2824" spans="1:15">
      <c r="A2824" t="s">
        <v>2850</v>
      </c>
      <c r="B2824" t="s">
        <v>27</v>
      </c>
      <c r="C2824">
        <v>10</v>
      </c>
      <c r="D2824">
        <v>21591491</v>
      </c>
      <c r="E2824">
        <v>3</v>
      </c>
      <c r="F2824">
        <v>16</v>
      </c>
      <c r="G2824">
        <v>480</v>
      </c>
      <c r="H2824">
        <v>96261157</v>
      </c>
      <c r="I2824">
        <v>879966</v>
      </c>
      <c r="J2824" t="s">
        <v>25</v>
      </c>
      <c r="K2824" t="s">
        <v>22</v>
      </c>
      <c r="L2824">
        <v>8</v>
      </c>
      <c r="M2824">
        <v>11.02</v>
      </c>
      <c r="N2824">
        <v>367521</v>
      </c>
      <c r="O2824">
        <v>1</v>
      </c>
    </row>
    <row r="2825" spans="1:15">
      <c r="A2825" t="s">
        <v>2851</v>
      </c>
      <c r="B2825" t="s">
        <v>27</v>
      </c>
      <c r="C2825">
        <v>1</v>
      </c>
      <c r="D2825">
        <v>15087127</v>
      </c>
      <c r="E2825">
        <v>4</v>
      </c>
      <c r="F2825">
        <v>24</v>
      </c>
      <c r="G2825">
        <v>241</v>
      </c>
      <c r="H2825">
        <v>85693914</v>
      </c>
      <c r="I2825">
        <v>166260</v>
      </c>
      <c r="J2825" t="s">
        <v>17</v>
      </c>
      <c r="K2825" t="s">
        <v>22</v>
      </c>
      <c r="L2825">
        <v>5</v>
      </c>
      <c r="M2825">
        <v>10.49</v>
      </c>
      <c r="N2825">
        <v>287321</v>
      </c>
      <c r="O2825">
        <v>1</v>
      </c>
    </row>
    <row r="2826" spans="1:15">
      <c r="A2826" t="s">
        <v>2852</v>
      </c>
      <c r="B2826" t="s">
        <v>24</v>
      </c>
      <c r="C2826">
        <v>12</v>
      </c>
      <c r="D2826">
        <v>22751227</v>
      </c>
      <c r="E2826">
        <v>2</v>
      </c>
      <c r="F2826">
        <v>22</v>
      </c>
      <c r="G2826">
        <v>1</v>
      </c>
      <c r="H2826">
        <v>86703866</v>
      </c>
      <c r="I2826">
        <v>157302</v>
      </c>
      <c r="J2826" t="s">
        <v>25</v>
      </c>
      <c r="K2826" t="s">
        <v>22</v>
      </c>
      <c r="L2826">
        <v>2</v>
      </c>
      <c r="M2826">
        <v>21.29</v>
      </c>
      <c r="N2826">
        <v>917180</v>
      </c>
      <c r="O2826">
        <v>1</v>
      </c>
    </row>
    <row r="2827" spans="1:15">
      <c r="A2827" t="s">
        <v>2853</v>
      </c>
      <c r="B2827" t="s">
        <v>38</v>
      </c>
      <c r="C2827">
        <v>7</v>
      </c>
      <c r="D2827">
        <v>2451543</v>
      </c>
      <c r="E2827">
        <v>3</v>
      </c>
      <c r="F2827">
        <v>11</v>
      </c>
      <c r="G2827">
        <v>215</v>
      </c>
      <c r="H2827">
        <v>77198361</v>
      </c>
      <c r="I2827">
        <v>407784</v>
      </c>
      <c r="J2827" t="s">
        <v>25</v>
      </c>
      <c r="K2827" t="s">
        <v>18</v>
      </c>
      <c r="L2827">
        <v>1</v>
      </c>
      <c r="M2827">
        <v>68.930000000000007</v>
      </c>
      <c r="N2827">
        <v>96834</v>
      </c>
      <c r="O2827">
        <v>1</v>
      </c>
    </row>
    <row r="2828" spans="1:15">
      <c r="A2828" t="s">
        <v>2854</v>
      </c>
      <c r="B2828" t="s">
        <v>32</v>
      </c>
      <c r="C2828">
        <v>4</v>
      </c>
      <c r="D2828">
        <v>44323558</v>
      </c>
      <c r="E2828">
        <v>1</v>
      </c>
      <c r="F2828">
        <v>14</v>
      </c>
      <c r="G2828">
        <v>600</v>
      </c>
      <c r="H2828">
        <v>11413053</v>
      </c>
      <c r="I2828">
        <v>575391</v>
      </c>
      <c r="J2828" t="s">
        <v>17</v>
      </c>
      <c r="K2828" t="s">
        <v>18</v>
      </c>
      <c r="L2828">
        <v>2</v>
      </c>
      <c r="M2828">
        <v>8.91</v>
      </c>
      <c r="N2828">
        <v>625248</v>
      </c>
      <c r="O2828">
        <v>1</v>
      </c>
    </row>
    <row r="2829" spans="1:15">
      <c r="A2829" t="s">
        <v>2855</v>
      </c>
      <c r="B2829" t="s">
        <v>24</v>
      </c>
      <c r="C2829">
        <v>12</v>
      </c>
      <c r="D2829">
        <v>9552551</v>
      </c>
      <c r="E2829">
        <v>4</v>
      </c>
      <c r="F2829">
        <v>4</v>
      </c>
      <c r="G2829">
        <v>195</v>
      </c>
      <c r="H2829">
        <v>24593018</v>
      </c>
      <c r="I2829">
        <v>847482</v>
      </c>
      <c r="J2829" t="s">
        <v>25</v>
      </c>
      <c r="K2829" t="s">
        <v>22</v>
      </c>
      <c r="L2829">
        <v>3</v>
      </c>
      <c r="M2829">
        <v>36.14</v>
      </c>
      <c r="N2829">
        <v>871252</v>
      </c>
      <c r="O2829">
        <v>1</v>
      </c>
    </row>
    <row r="2830" spans="1:15">
      <c r="A2830" t="s">
        <v>2856</v>
      </c>
      <c r="B2830" t="s">
        <v>16</v>
      </c>
      <c r="C2830">
        <v>14</v>
      </c>
      <c r="D2830">
        <v>41740304</v>
      </c>
      <c r="E2830">
        <v>2</v>
      </c>
      <c r="F2830">
        <v>29</v>
      </c>
      <c r="G2830">
        <v>729</v>
      </c>
      <c r="H2830">
        <v>57086306</v>
      </c>
      <c r="I2830">
        <v>139900</v>
      </c>
      <c r="J2830" t="s">
        <v>21</v>
      </c>
      <c r="K2830" t="s">
        <v>30</v>
      </c>
      <c r="L2830">
        <v>9</v>
      </c>
      <c r="M2830">
        <v>49.26</v>
      </c>
      <c r="N2830">
        <v>342347</v>
      </c>
      <c r="O2830">
        <v>1</v>
      </c>
    </row>
    <row r="2831" spans="1:15">
      <c r="A2831" t="s">
        <v>2857</v>
      </c>
      <c r="B2831" t="s">
        <v>38</v>
      </c>
      <c r="C2831">
        <v>1</v>
      </c>
      <c r="D2831">
        <v>37366143</v>
      </c>
      <c r="E2831">
        <v>3</v>
      </c>
      <c r="F2831">
        <v>26</v>
      </c>
      <c r="G2831">
        <v>842</v>
      </c>
      <c r="H2831">
        <v>97608539</v>
      </c>
      <c r="I2831">
        <v>986842</v>
      </c>
      <c r="J2831" t="s">
        <v>17</v>
      </c>
      <c r="K2831" t="s">
        <v>22</v>
      </c>
      <c r="L2831">
        <v>3</v>
      </c>
      <c r="M2831">
        <v>44.9</v>
      </c>
      <c r="N2831">
        <v>348235</v>
      </c>
      <c r="O2831">
        <v>1</v>
      </c>
    </row>
    <row r="2832" spans="1:15">
      <c r="A2832" t="s">
        <v>2858</v>
      </c>
      <c r="B2832" t="s">
        <v>24</v>
      </c>
      <c r="C2832">
        <v>5</v>
      </c>
      <c r="D2832">
        <v>1518827</v>
      </c>
      <c r="E2832">
        <v>4</v>
      </c>
      <c r="F2832">
        <v>20</v>
      </c>
      <c r="G2832">
        <v>643</v>
      </c>
      <c r="H2832">
        <v>98058241</v>
      </c>
      <c r="I2832">
        <v>188408</v>
      </c>
      <c r="J2832" t="s">
        <v>25</v>
      </c>
      <c r="K2832" t="s">
        <v>22</v>
      </c>
      <c r="L2832">
        <v>7</v>
      </c>
      <c r="M2832">
        <v>61.37</v>
      </c>
      <c r="N2832">
        <v>672453</v>
      </c>
      <c r="O2832">
        <v>1</v>
      </c>
    </row>
    <row r="2833" spans="1:15">
      <c r="A2833" t="s">
        <v>2859</v>
      </c>
      <c r="B2833" t="s">
        <v>38</v>
      </c>
      <c r="C2833">
        <v>0</v>
      </c>
      <c r="D2833">
        <v>18749013</v>
      </c>
      <c r="E2833">
        <v>4</v>
      </c>
      <c r="F2833">
        <v>28</v>
      </c>
      <c r="G2833">
        <v>746</v>
      </c>
      <c r="H2833">
        <v>66932905</v>
      </c>
      <c r="I2833">
        <v>478128</v>
      </c>
      <c r="J2833" t="s">
        <v>21</v>
      </c>
      <c r="K2833" t="s">
        <v>22</v>
      </c>
      <c r="L2833">
        <v>5</v>
      </c>
      <c r="M2833">
        <v>40.89</v>
      </c>
      <c r="N2833">
        <v>919925</v>
      </c>
      <c r="O2833">
        <v>1</v>
      </c>
    </row>
    <row r="2834" spans="1:15">
      <c r="A2834" t="s">
        <v>2860</v>
      </c>
      <c r="B2834" t="s">
        <v>29</v>
      </c>
      <c r="C2834">
        <v>2</v>
      </c>
      <c r="D2834">
        <v>31361675</v>
      </c>
      <c r="E2834">
        <v>2</v>
      </c>
      <c r="F2834">
        <v>11</v>
      </c>
      <c r="G2834">
        <v>558</v>
      </c>
      <c r="H2834">
        <v>70413458</v>
      </c>
      <c r="I2834">
        <v>394559</v>
      </c>
      <c r="J2834" t="s">
        <v>25</v>
      </c>
      <c r="K2834" t="s">
        <v>18</v>
      </c>
      <c r="L2834">
        <v>9</v>
      </c>
      <c r="M2834">
        <v>45.19</v>
      </c>
      <c r="N2834">
        <v>769491</v>
      </c>
      <c r="O2834">
        <v>1</v>
      </c>
    </row>
    <row r="2835" spans="1:15">
      <c r="A2835" t="s">
        <v>2861</v>
      </c>
      <c r="B2835" t="s">
        <v>29</v>
      </c>
      <c r="C2835">
        <v>4</v>
      </c>
      <c r="D2835">
        <v>14142517</v>
      </c>
      <c r="E2835">
        <v>3</v>
      </c>
      <c r="F2835">
        <v>6</v>
      </c>
      <c r="G2835">
        <v>695</v>
      </c>
      <c r="H2835">
        <v>53271587</v>
      </c>
      <c r="I2835">
        <v>211088</v>
      </c>
      <c r="J2835" t="s">
        <v>25</v>
      </c>
      <c r="K2835" t="s">
        <v>30</v>
      </c>
      <c r="L2835">
        <v>5</v>
      </c>
      <c r="M2835">
        <v>41.35</v>
      </c>
      <c r="N2835">
        <v>183164</v>
      </c>
      <c r="O2835">
        <v>1</v>
      </c>
    </row>
    <row r="2836" spans="1:15">
      <c r="A2836" t="s">
        <v>2862</v>
      </c>
      <c r="B2836" t="s">
        <v>20</v>
      </c>
      <c r="C2836">
        <v>1</v>
      </c>
      <c r="D2836">
        <v>40520186</v>
      </c>
      <c r="E2836">
        <v>3</v>
      </c>
      <c r="F2836">
        <v>4</v>
      </c>
      <c r="G2836">
        <v>787</v>
      </c>
      <c r="H2836">
        <v>55259471</v>
      </c>
      <c r="I2836">
        <v>462207</v>
      </c>
      <c r="J2836" t="s">
        <v>17</v>
      </c>
      <c r="K2836" t="s">
        <v>30</v>
      </c>
      <c r="L2836">
        <v>7</v>
      </c>
      <c r="M2836">
        <v>65.39</v>
      </c>
      <c r="N2836">
        <v>316595</v>
      </c>
      <c r="O2836">
        <v>1</v>
      </c>
    </row>
    <row r="2837" spans="1:15">
      <c r="A2837" t="s">
        <v>2863</v>
      </c>
      <c r="B2837" t="s">
        <v>32</v>
      </c>
      <c r="C2837">
        <v>13</v>
      </c>
      <c r="D2837">
        <v>43987437</v>
      </c>
      <c r="E2837">
        <v>3</v>
      </c>
      <c r="F2837">
        <v>20</v>
      </c>
      <c r="G2837">
        <v>166</v>
      </c>
      <c r="H2837">
        <v>71829765</v>
      </c>
      <c r="I2837">
        <v>115012</v>
      </c>
      <c r="J2837" t="s">
        <v>17</v>
      </c>
      <c r="K2837" t="s">
        <v>18</v>
      </c>
      <c r="L2837">
        <v>8</v>
      </c>
      <c r="M2837">
        <v>44.58</v>
      </c>
      <c r="N2837">
        <v>349951</v>
      </c>
      <c r="O2837">
        <v>1</v>
      </c>
    </row>
    <row r="2838" spans="1:15">
      <c r="A2838" t="s">
        <v>2864</v>
      </c>
      <c r="B2838" t="s">
        <v>38</v>
      </c>
      <c r="C2838">
        <v>3</v>
      </c>
      <c r="D2838">
        <v>10189019</v>
      </c>
      <c r="E2838">
        <v>2</v>
      </c>
      <c r="F2838">
        <v>3</v>
      </c>
      <c r="G2838">
        <v>78</v>
      </c>
      <c r="H2838">
        <v>56715256</v>
      </c>
      <c r="I2838">
        <v>721246</v>
      </c>
      <c r="J2838" t="s">
        <v>25</v>
      </c>
      <c r="K2838" t="s">
        <v>30</v>
      </c>
      <c r="L2838">
        <v>3</v>
      </c>
      <c r="M2838">
        <v>32.479999999999997</v>
      </c>
      <c r="N2838">
        <v>919758</v>
      </c>
      <c r="O2838">
        <v>1</v>
      </c>
    </row>
    <row r="2839" spans="1:15">
      <c r="A2839" t="s">
        <v>2865</v>
      </c>
      <c r="B2839" t="s">
        <v>16</v>
      </c>
      <c r="C2839">
        <v>2</v>
      </c>
      <c r="D2839">
        <v>40743897</v>
      </c>
      <c r="E2839">
        <v>2</v>
      </c>
      <c r="F2839">
        <v>8</v>
      </c>
      <c r="G2839">
        <v>98</v>
      </c>
      <c r="H2839">
        <v>23078865</v>
      </c>
      <c r="I2839">
        <v>920862</v>
      </c>
      <c r="J2839" t="s">
        <v>21</v>
      </c>
      <c r="K2839" t="s">
        <v>18</v>
      </c>
      <c r="L2839">
        <v>6</v>
      </c>
      <c r="M2839">
        <v>23.14</v>
      </c>
      <c r="N2839">
        <v>700933</v>
      </c>
      <c r="O2839">
        <v>1</v>
      </c>
    </row>
    <row r="2840" spans="1:15">
      <c r="A2840" t="s">
        <v>2866</v>
      </c>
      <c r="B2840" t="s">
        <v>20</v>
      </c>
      <c r="C2840">
        <v>7</v>
      </c>
      <c r="D2840">
        <v>29533393</v>
      </c>
      <c r="E2840">
        <v>3</v>
      </c>
      <c r="F2840">
        <v>17</v>
      </c>
      <c r="G2840">
        <v>578</v>
      </c>
      <c r="H2840">
        <v>20767891</v>
      </c>
      <c r="I2840">
        <v>830752</v>
      </c>
      <c r="J2840" t="s">
        <v>17</v>
      </c>
      <c r="K2840" t="s">
        <v>22</v>
      </c>
      <c r="L2840">
        <v>4</v>
      </c>
      <c r="M2840">
        <v>83.27</v>
      </c>
      <c r="N2840">
        <v>748004</v>
      </c>
      <c r="O2840">
        <v>1</v>
      </c>
    </row>
    <row r="2841" spans="1:15">
      <c r="A2841" t="s">
        <v>2867</v>
      </c>
      <c r="B2841" t="s">
        <v>27</v>
      </c>
      <c r="C2841">
        <v>12</v>
      </c>
      <c r="D2841">
        <v>5446413</v>
      </c>
      <c r="E2841">
        <v>1</v>
      </c>
      <c r="F2841">
        <v>22</v>
      </c>
      <c r="G2841">
        <v>136</v>
      </c>
      <c r="H2841">
        <v>16829983</v>
      </c>
      <c r="I2841">
        <v>746539</v>
      </c>
      <c r="J2841" t="s">
        <v>25</v>
      </c>
      <c r="K2841" t="s">
        <v>22</v>
      </c>
      <c r="L2841">
        <v>5</v>
      </c>
      <c r="M2841">
        <v>47.27</v>
      </c>
      <c r="N2841">
        <v>117404</v>
      </c>
      <c r="O2841">
        <v>1</v>
      </c>
    </row>
    <row r="2842" spans="1:15">
      <c r="A2842" t="s">
        <v>2868</v>
      </c>
      <c r="B2842" t="s">
        <v>27</v>
      </c>
      <c r="C2842">
        <v>6</v>
      </c>
      <c r="D2842">
        <v>1850006</v>
      </c>
      <c r="E2842">
        <v>3</v>
      </c>
      <c r="F2842">
        <v>3</v>
      </c>
      <c r="G2842">
        <v>191</v>
      </c>
      <c r="H2842">
        <v>86666494</v>
      </c>
      <c r="I2842">
        <v>523079</v>
      </c>
      <c r="J2842" t="s">
        <v>21</v>
      </c>
      <c r="K2842" t="s">
        <v>30</v>
      </c>
      <c r="L2842">
        <v>2</v>
      </c>
      <c r="M2842">
        <v>30.49</v>
      </c>
      <c r="N2842">
        <v>528106</v>
      </c>
      <c r="O2842">
        <v>1</v>
      </c>
    </row>
    <row r="2843" spans="1:15">
      <c r="A2843" t="s">
        <v>2869</v>
      </c>
      <c r="B2843" t="s">
        <v>20</v>
      </c>
      <c r="C2843">
        <v>0</v>
      </c>
      <c r="D2843">
        <v>40679987</v>
      </c>
      <c r="E2843">
        <v>4</v>
      </c>
      <c r="F2843">
        <v>23</v>
      </c>
      <c r="G2843">
        <v>664</v>
      </c>
      <c r="H2843">
        <v>23014863</v>
      </c>
      <c r="I2843">
        <v>616498</v>
      </c>
      <c r="J2843" t="s">
        <v>21</v>
      </c>
      <c r="K2843" t="s">
        <v>18</v>
      </c>
      <c r="L2843">
        <v>1</v>
      </c>
      <c r="M2843">
        <v>70.72</v>
      </c>
      <c r="N2843">
        <v>764157</v>
      </c>
      <c r="O2843">
        <v>1</v>
      </c>
    </row>
    <row r="2844" spans="1:15">
      <c r="A2844" t="s">
        <v>2870</v>
      </c>
      <c r="B2844" t="s">
        <v>38</v>
      </c>
      <c r="C2844">
        <v>4</v>
      </c>
      <c r="D2844">
        <v>29485632</v>
      </c>
      <c r="E2844">
        <v>2</v>
      </c>
      <c r="F2844">
        <v>17</v>
      </c>
      <c r="G2844">
        <v>868</v>
      </c>
      <c r="H2844">
        <v>65074380</v>
      </c>
      <c r="I2844">
        <v>949271</v>
      </c>
      <c r="J2844" t="s">
        <v>17</v>
      </c>
      <c r="K2844" t="s">
        <v>30</v>
      </c>
      <c r="L2844">
        <v>7</v>
      </c>
      <c r="M2844">
        <v>20.13</v>
      </c>
      <c r="N2844">
        <v>323376</v>
      </c>
      <c r="O2844">
        <v>1</v>
      </c>
    </row>
    <row r="2845" spans="1:15">
      <c r="A2845" t="s">
        <v>2871</v>
      </c>
      <c r="B2845" t="s">
        <v>27</v>
      </c>
      <c r="C2845">
        <v>10</v>
      </c>
      <c r="D2845">
        <v>37210921</v>
      </c>
      <c r="E2845">
        <v>4</v>
      </c>
      <c r="F2845">
        <v>22</v>
      </c>
      <c r="G2845">
        <v>709</v>
      </c>
      <c r="H2845">
        <v>99747893</v>
      </c>
      <c r="I2845">
        <v>81307</v>
      </c>
      <c r="J2845" t="s">
        <v>17</v>
      </c>
      <c r="K2845" t="s">
        <v>22</v>
      </c>
      <c r="L2845">
        <v>5</v>
      </c>
      <c r="M2845">
        <v>85.66</v>
      </c>
      <c r="N2845">
        <v>592850</v>
      </c>
      <c r="O2845">
        <v>1</v>
      </c>
    </row>
    <row r="2846" spans="1:15">
      <c r="A2846" t="s">
        <v>2872</v>
      </c>
      <c r="B2846" t="s">
        <v>16</v>
      </c>
      <c r="C2846">
        <v>11</v>
      </c>
      <c r="D2846">
        <v>9056636</v>
      </c>
      <c r="E2846">
        <v>4</v>
      </c>
      <c r="F2846">
        <v>5</v>
      </c>
      <c r="G2846">
        <v>252</v>
      </c>
      <c r="H2846">
        <v>34651866</v>
      </c>
      <c r="I2846">
        <v>975999</v>
      </c>
      <c r="J2846" t="s">
        <v>25</v>
      </c>
      <c r="K2846" t="s">
        <v>18</v>
      </c>
      <c r="L2846">
        <v>5</v>
      </c>
      <c r="M2846">
        <v>19.420000000000002</v>
      </c>
      <c r="N2846">
        <v>742362</v>
      </c>
      <c r="O2846">
        <v>1</v>
      </c>
    </row>
    <row r="2847" spans="1:15">
      <c r="A2847" t="s">
        <v>2873</v>
      </c>
      <c r="B2847" t="s">
        <v>38</v>
      </c>
      <c r="C2847">
        <v>6</v>
      </c>
      <c r="D2847">
        <v>18685654</v>
      </c>
      <c r="E2847">
        <v>3</v>
      </c>
      <c r="F2847">
        <v>21</v>
      </c>
      <c r="G2847">
        <v>151</v>
      </c>
      <c r="H2847">
        <v>82180244</v>
      </c>
      <c r="I2847">
        <v>462652</v>
      </c>
      <c r="J2847" t="s">
        <v>21</v>
      </c>
      <c r="K2847" t="s">
        <v>22</v>
      </c>
      <c r="L2847">
        <v>4</v>
      </c>
      <c r="M2847">
        <v>54.64</v>
      </c>
      <c r="N2847">
        <v>299133</v>
      </c>
      <c r="O2847">
        <v>1</v>
      </c>
    </row>
    <row r="2848" spans="1:15">
      <c r="A2848" t="s">
        <v>2874</v>
      </c>
      <c r="B2848" t="s">
        <v>24</v>
      </c>
      <c r="C2848">
        <v>6</v>
      </c>
      <c r="D2848">
        <v>16572526</v>
      </c>
      <c r="E2848">
        <v>1</v>
      </c>
      <c r="F2848">
        <v>29</v>
      </c>
      <c r="G2848">
        <v>65</v>
      </c>
      <c r="H2848">
        <v>24812930</v>
      </c>
      <c r="I2848">
        <v>788669</v>
      </c>
      <c r="J2848" t="s">
        <v>25</v>
      </c>
      <c r="K2848" t="s">
        <v>18</v>
      </c>
      <c r="L2848">
        <v>5</v>
      </c>
      <c r="M2848">
        <v>90.74</v>
      </c>
      <c r="N2848">
        <v>62433</v>
      </c>
      <c r="O2848">
        <v>1</v>
      </c>
    </row>
    <row r="2849" spans="1:15">
      <c r="A2849" t="s">
        <v>2875</v>
      </c>
      <c r="B2849" t="s">
        <v>32</v>
      </c>
      <c r="C2849">
        <v>6</v>
      </c>
      <c r="D2849">
        <v>45815271</v>
      </c>
      <c r="E2849">
        <v>4</v>
      </c>
      <c r="F2849">
        <v>1</v>
      </c>
      <c r="G2849">
        <v>556</v>
      </c>
      <c r="H2849">
        <v>38104450</v>
      </c>
      <c r="I2849">
        <v>708556</v>
      </c>
      <c r="J2849" t="s">
        <v>21</v>
      </c>
      <c r="K2849" t="s">
        <v>22</v>
      </c>
      <c r="L2849">
        <v>5</v>
      </c>
      <c r="M2849">
        <v>94.58</v>
      </c>
      <c r="N2849">
        <v>485225</v>
      </c>
      <c r="O2849">
        <v>1</v>
      </c>
    </row>
    <row r="2850" spans="1:15">
      <c r="A2850" t="s">
        <v>2876</v>
      </c>
      <c r="B2850" t="s">
        <v>24</v>
      </c>
      <c r="C2850">
        <v>10</v>
      </c>
      <c r="D2850">
        <v>1398252</v>
      </c>
      <c r="E2850">
        <v>3</v>
      </c>
      <c r="F2850">
        <v>20</v>
      </c>
      <c r="G2850">
        <v>159</v>
      </c>
      <c r="H2850">
        <v>12166631</v>
      </c>
      <c r="I2850">
        <v>605192</v>
      </c>
      <c r="J2850" t="s">
        <v>25</v>
      </c>
      <c r="K2850" t="s">
        <v>18</v>
      </c>
      <c r="L2850">
        <v>9</v>
      </c>
      <c r="M2850">
        <v>65.849999999999994</v>
      </c>
      <c r="N2850">
        <v>562459</v>
      </c>
      <c r="O2850">
        <v>1</v>
      </c>
    </row>
    <row r="2851" spans="1:15">
      <c r="A2851" t="s">
        <v>2877</v>
      </c>
      <c r="B2851" t="s">
        <v>29</v>
      </c>
      <c r="C2851">
        <v>5</v>
      </c>
      <c r="D2851">
        <v>14973520</v>
      </c>
      <c r="E2851">
        <v>4</v>
      </c>
      <c r="F2851">
        <v>0</v>
      </c>
      <c r="G2851">
        <v>139</v>
      </c>
      <c r="H2851">
        <v>36600385</v>
      </c>
      <c r="I2851">
        <v>689748</v>
      </c>
      <c r="J2851" t="s">
        <v>25</v>
      </c>
      <c r="K2851" t="s">
        <v>22</v>
      </c>
      <c r="L2851">
        <v>5</v>
      </c>
      <c r="M2851">
        <v>15.18</v>
      </c>
      <c r="N2851">
        <v>450610</v>
      </c>
      <c r="O2851">
        <v>1</v>
      </c>
    </row>
    <row r="2852" spans="1:15">
      <c r="A2852" t="s">
        <v>2878</v>
      </c>
      <c r="B2852" t="s">
        <v>16</v>
      </c>
      <c r="C2852">
        <v>5</v>
      </c>
      <c r="D2852">
        <v>36472052</v>
      </c>
      <c r="E2852">
        <v>1</v>
      </c>
      <c r="F2852">
        <v>20</v>
      </c>
      <c r="G2852">
        <v>923</v>
      </c>
      <c r="H2852">
        <v>22196217</v>
      </c>
      <c r="I2852">
        <v>83602</v>
      </c>
      <c r="J2852" t="s">
        <v>17</v>
      </c>
      <c r="K2852" t="s">
        <v>22</v>
      </c>
      <c r="L2852">
        <v>2</v>
      </c>
      <c r="M2852">
        <v>57.4</v>
      </c>
      <c r="N2852">
        <v>52530</v>
      </c>
      <c r="O2852">
        <v>1</v>
      </c>
    </row>
    <row r="2853" spans="1:15">
      <c r="A2853" t="s">
        <v>2879</v>
      </c>
      <c r="B2853" t="s">
        <v>24</v>
      </c>
      <c r="C2853">
        <v>12</v>
      </c>
      <c r="D2853">
        <v>6710803</v>
      </c>
      <c r="E2853">
        <v>1</v>
      </c>
      <c r="F2853">
        <v>19</v>
      </c>
      <c r="G2853">
        <v>196</v>
      </c>
      <c r="H2853">
        <v>49307670</v>
      </c>
      <c r="I2853">
        <v>447206</v>
      </c>
      <c r="J2853" t="s">
        <v>21</v>
      </c>
      <c r="K2853" t="s">
        <v>30</v>
      </c>
      <c r="L2853">
        <v>4</v>
      </c>
      <c r="M2853">
        <v>55.45</v>
      </c>
      <c r="N2853">
        <v>201700</v>
      </c>
      <c r="O2853">
        <v>1</v>
      </c>
    </row>
    <row r="2854" spans="1:15">
      <c r="A2854" t="s">
        <v>2880</v>
      </c>
      <c r="B2854" t="s">
        <v>16</v>
      </c>
      <c r="C2854">
        <v>6</v>
      </c>
      <c r="D2854">
        <v>17115314</v>
      </c>
      <c r="E2854">
        <v>4</v>
      </c>
      <c r="F2854">
        <v>29</v>
      </c>
      <c r="G2854">
        <v>13</v>
      </c>
      <c r="H2854">
        <v>77016251</v>
      </c>
      <c r="I2854">
        <v>593993</v>
      </c>
      <c r="J2854" t="s">
        <v>21</v>
      </c>
      <c r="K2854" t="s">
        <v>30</v>
      </c>
      <c r="L2854">
        <v>3</v>
      </c>
      <c r="M2854">
        <v>46.89</v>
      </c>
      <c r="N2854">
        <v>702780</v>
      </c>
      <c r="O2854">
        <v>1</v>
      </c>
    </row>
    <row r="2855" spans="1:15">
      <c r="A2855" t="s">
        <v>2881</v>
      </c>
      <c r="B2855" t="s">
        <v>32</v>
      </c>
      <c r="C2855">
        <v>13</v>
      </c>
      <c r="D2855">
        <v>24826345</v>
      </c>
      <c r="E2855">
        <v>3</v>
      </c>
      <c r="F2855">
        <v>5</v>
      </c>
      <c r="G2855">
        <v>470</v>
      </c>
      <c r="H2855">
        <v>54509267</v>
      </c>
      <c r="I2855">
        <v>944512</v>
      </c>
      <c r="J2855" t="s">
        <v>21</v>
      </c>
      <c r="K2855" t="s">
        <v>22</v>
      </c>
      <c r="L2855">
        <v>1</v>
      </c>
      <c r="M2855">
        <v>45.93</v>
      </c>
      <c r="N2855">
        <v>536100</v>
      </c>
      <c r="O2855">
        <v>1</v>
      </c>
    </row>
    <row r="2856" spans="1:15">
      <c r="A2856" t="s">
        <v>2882</v>
      </c>
      <c r="B2856" t="s">
        <v>32</v>
      </c>
      <c r="C2856">
        <v>4</v>
      </c>
      <c r="D2856">
        <v>30079235</v>
      </c>
      <c r="E2856">
        <v>1</v>
      </c>
      <c r="F2856">
        <v>22</v>
      </c>
      <c r="G2856">
        <v>279</v>
      </c>
      <c r="H2856">
        <v>16117173</v>
      </c>
      <c r="I2856">
        <v>358330</v>
      </c>
      <c r="J2856" t="s">
        <v>21</v>
      </c>
      <c r="K2856" t="s">
        <v>18</v>
      </c>
      <c r="L2856">
        <v>8</v>
      </c>
      <c r="M2856">
        <v>55.26</v>
      </c>
      <c r="N2856">
        <v>186378</v>
      </c>
      <c r="O2856">
        <v>1</v>
      </c>
    </row>
    <row r="2857" spans="1:15">
      <c r="A2857" t="s">
        <v>2883</v>
      </c>
      <c r="B2857" t="s">
        <v>20</v>
      </c>
      <c r="C2857">
        <v>6</v>
      </c>
      <c r="D2857">
        <v>32842569</v>
      </c>
      <c r="E2857">
        <v>2</v>
      </c>
      <c r="F2857">
        <v>23</v>
      </c>
      <c r="G2857">
        <v>292</v>
      </c>
      <c r="H2857">
        <v>18872189</v>
      </c>
      <c r="I2857">
        <v>552540</v>
      </c>
      <c r="J2857" t="s">
        <v>25</v>
      </c>
      <c r="K2857" t="s">
        <v>22</v>
      </c>
      <c r="L2857">
        <v>3</v>
      </c>
      <c r="M2857">
        <v>68.28</v>
      </c>
      <c r="N2857">
        <v>21889</v>
      </c>
      <c r="O2857">
        <v>1</v>
      </c>
    </row>
    <row r="2858" spans="1:15">
      <c r="A2858" t="s">
        <v>2884</v>
      </c>
      <c r="B2858" t="s">
        <v>29</v>
      </c>
      <c r="C2858">
        <v>6</v>
      </c>
      <c r="D2858">
        <v>14794004</v>
      </c>
      <c r="E2858">
        <v>2</v>
      </c>
      <c r="F2858">
        <v>27</v>
      </c>
      <c r="G2858">
        <v>757</v>
      </c>
      <c r="H2858">
        <v>74257452</v>
      </c>
      <c r="I2858">
        <v>253343</v>
      </c>
      <c r="J2858" t="s">
        <v>21</v>
      </c>
      <c r="K2858" t="s">
        <v>22</v>
      </c>
      <c r="L2858">
        <v>1</v>
      </c>
      <c r="M2858">
        <v>9.9600000000000009</v>
      </c>
      <c r="N2858">
        <v>453926</v>
      </c>
      <c r="O2858">
        <v>1</v>
      </c>
    </row>
    <row r="2859" spans="1:15">
      <c r="A2859" t="s">
        <v>2885</v>
      </c>
      <c r="B2859" t="s">
        <v>38</v>
      </c>
      <c r="C2859">
        <v>3</v>
      </c>
      <c r="D2859">
        <v>1830939</v>
      </c>
      <c r="E2859">
        <v>2</v>
      </c>
      <c r="F2859">
        <v>26</v>
      </c>
      <c r="G2859">
        <v>521</v>
      </c>
      <c r="H2859">
        <v>49389367</v>
      </c>
      <c r="I2859">
        <v>906752</v>
      </c>
      <c r="J2859" t="s">
        <v>25</v>
      </c>
      <c r="K2859" t="s">
        <v>30</v>
      </c>
      <c r="L2859">
        <v>5</v>
      </c>
      <c r="M2859">
        <v>84.61</v>
      </c>
      <c r="N2859">
        <v>545187</v>
      </c>
      <c r="O2859">
        <v>1</v>
      </c>
    </row>
    <row r="2860" spans="1:15">
      <c r="A2860" t="s">
        <v>2886</v>
      </c>
      <c r="B2860" t="s">
        <v>27</v>
      </c>
      <c r="C2860">
        <v>7</v>
      </c>
      <c r="D2860">
        <v>28388763</v>
      </c>
      <c r="E2860">
        <v>4</v>
      </c>
      <c r="F2860">
        <v>4</v>
      </c>
      <c r="G2860">
        <v>298</v>
      </c>
      <c r="H2860">
        <v>52224144</v>
      </c>
      <c r="I2860">
        <v>93622</v>
      </c>
      <c r="J2860" t="s">
        <v>25</v>
      </c>
      <c r="K2860" t="s">
        <v>22</v>
      </c>
      <c r="L2860">
        <v>4</v>
      </c>
      <c r="M2860">
        <v>83.69</v>
      </c>
      <c r="N2860">
        <v>648742</v>
      </c>
      <c r="O2860">
        <v>1</v>
      </c>
    </row>
    <row r="2861" spans="1:15">
      <c r="A2861" t="s">
        <v>2887</v>
      </c>
      <c r="B2861" t="s">
        <v>16</v>
      </c>
      <c r="C2861">
        <v>2</v>
      </c>
      <c r="D2861">
        <v>984802</v>
      </c>
      <c r="E2861">
        <v>3</v>
      </c>
      <c r="F2861">
        <v>4</v>
      </c>
      <c r="G2861">
        <v>936</v>
      </c>
      <c r="H2861">
        <v>95334018</v>
      </c>
      <c r="I2861">
        <v>204382</v>
      </c>
      <c r="J2861" t="s">
        <v>21</v>
      </c>
      <c r="K2861" t="s">
        <v>22</v>
      </c>
      <c r="L2861">
        <v>5</v>
      </c>
      <c r="M2861">
        <v>4.34</v>
      </c>
      <c r="N2861">
        <v>313193</v>
      </c>
      <c r="O2861">
        <v>1</v>
      </c>
    </row>
    <row r="2862" spans="1:15">
      <c r="A2862" t="s">
        <v>2888</v>
      </c>
      <c r="B2862" t="s">
        <v>29</v>
      </c>
      <c r="C2862">
        <v>10</v>
      </c>
      <c r="D2862">
        <v>818712</v>
      </c>
      <c r="E2862">
        <v>1</v>
      </c>
      <c r="F2862">
        <v>8</v>
      </c>
      <c r="G2862">
        <v>432</v>
      </c>
      <c r="H2862">
        <v>95411438</v>
      </c>
      <c r="I2862">
        <v>267474</v>
      </c>
      <c r="J2862" t="s">
        <v>25</v>
      </c>
      <c r="K2862" t="s">
        <v>18</v>
      </c>
      <c r="L2862">
        <v>8</v>
      </c>
      <c r="M2862">
        <v>9.25</v>
      </c>
      <c r="N2862">
        <v>641877</v>
      </c>
      <c r="O2862">
        <v>1</v>
      </c>
    </row>
    <row r="2863" spans="1:15">
      <c r="A2863" t="s">
        <v>2889</v>
      </c>
      <c r="B2863" t="s">
        <v>24</v>
      </c>
      <c r="C2863">
        <v>3</v>
      </c>
      <c r="D2863">
        <v>47209754</v>
      </c>
      <c r="E2863">
        <v>1</v>
      </c>
      <c r="F2863">
        <v>19</v>
      </c>
      <c r="G2863">
        <v>991</v>
      </c>
      <c r="H2863">
        <v>11866596</v>
      </c>
      <c r="I2863">
        <v>977239</v>
      </c>
      <c r="J2863" t="s">
        <v>21</v>
      </c>
      <c r="K2863" t="s">
        <v>30</v>
      </c>
      <c r="L2863">
        <v>6</v>
      </c>
      <c r="M2863">
        <v>6.67</v>
      </c>
      <c r="N2863">
        <v>971370</v>
      </c>
      <c r="O2863">
        <v>1</v>
      </c>
    </row>
    <row r="2864" spans="1:15">
      <c r="A2864" t="s">
        <v>2890</v>
      </c>
      <c r="B2864" t="s">
        <v>24</v>
      </c>
      <c r="C2864">
        <v>9</v>
      </c>
      <c r="D2864">
        <v>44335170</v>
      </c>
      <c r="E2864">
        <v>2</v>
      </c>
      <c r="F2864">
        <v>20</v>
      </c>
      <c r="G2864">
        <v>341</v>
      </c>
      <c r="H2864">
        <v>62815670</v>
      </c>
      <c r="I2864">
        <v>64289</v>
      </c>
      <c r="J2864" t="s">
        <v>25</v>
      </c>
      <c r="K2864" t="s">
        <v>18</v>
      </c>
      <c r="L2864">
        <v>4</v>
      </c>
      <c r="M2864">
        <v>16.46</v>
      </c>
      <c r="N2864">
        <v>15878</v>
      </c>
      <c r="O2864">
        <v>1</v>
      </c>
    </row>
    <row r="2865" spans="1:15">
      <c r="A2865" t="s">
        <v>2891</v>
      </c>
      <c r="B2865" t="s">
        <v>32</v>
      </c>
      <c r="C2865">
        <v>3</v>
      </c>
      <c r="D2865">
        <v>2328094</v>
      </c>
      <c r="E2865">
        <v>3</v>
      </c>
      <c r="F2865">
        <v>9</v>
      </c>
      <c r="G2865">
        <v>437</v>
      </c>
      <c r="H2865">
        <v>3008985</v>
      </c>
      <c r="I2865">
        <v>127291</v>
      </c>
      <c r="J2865" t="s">
        <v>21</v>
      </c>
      <c r="K2865" t="s">
        <v>30</v>
      </c>
      <c r="L2865">
        <v>3</v>
      </c>
      <c r="M2865">
        <v>37.19</v>
      </c>
      <c r="N2865">
        <v>925218</v>
      </c>
      <c r="O2865">
        <v>1</v>
      </c>
    </row>
    <row r="2866" spans="1:15">
      <c r="A2866" t="s">
        <v>2892</v>
      </c>
      <c r="B2866" t="s">
        <v>32</v>
      </c>
      <c r="C2866">
        <v>10</v>
      </c>
      <c r="D2866">
        <v>42664693</v>
      </c>
      <c r="E2866">
        <v>2</v>
      </c>
      <c r="F2866">
        <v>2</v>
      </c>
      <c r="G2866">
        <v>993</v>
      </c>
      <c r="H2866">
        <v>67852794</v>
      </c>
      <c r="I2866">
        <v>502291</v>
      </c>
      <c r="J2866" t="s">
        <v>21</v>
      </c>
      <c r="K2866" t="s">
        <v>22</v>
      </c>
      <c r="L2866">
        <v>6</v>
      </c>
      <c r="M2866">
        <v>14.39</v>
      </c>
      <c r="N2866">
        <v>869271</v>
      </c>
      <c r="O2866">
        <v>1</v>
      </c>
    </row>
    <row r="2867" spans="1:15">
      <c r="A2867" t="s">
        <v>2893</v>
      </c>
      <c r="B2867" t="s">
        <v>20</v>
      </c>
      <c r="C2867">
        <v>13</v>
      </c>
      <c r="D2867">
        <v>37972718</v>
      </c>
      <c r="E2867">
        <v>3</v>
      </c>
      <c r="F2867">
        <v>8</v>
      </c>
      <c r="G2867">
        <v>7</v>
      </c>
      <c r="H2867">
        <v>79910404</v>
      </c>
      <c r="I2867">
        <v>623700</v>
      </c>
      <c r="J2867" t="s">
        <v>17</v>
      </c>
      <c r="K2867" t="s">
        <v>30</v>
      </c>
      <c r="L2867">
        <v>5</v>
      </c>
      <c r="M2867">
        <v>53.15</v>
      </c>
      <c r="N2867">
        <v>124904</v>
      </c>
      <c r="O2867">
        <v>1</v>
      </c>
    </row>
    <row r="2868" spans="1:15">
      <c r="A2868" t="s">
        <v>2894</v>
      </c>
      <c r="B2868" t="s">
        <v>16</v>
      </c>
      <c r="C2868">
        <v>14</v>
      </c>
      <c r="D2868">
        <v>17920342</v>
      </c>
      <c r="E2868">
        <v>4</v>
      </c>
      <c r="F2868">
        <v>4</v>
      </c>
      <c r="G2868">
        <v>354</v>
      </c>
      <c r="H2868">
        <v>10747102</v>
      </c>
      <c r="I2868">
        <v>337961</v>
      </c>
      <c r="J2868" t="s">
        <v>25</v>
      </c>
      <c r="K2868" t="s">
        <v>18</v>
      </c>
      <c r="L2868">
        <v>1</v>
      </c>
      <c r="M2868">
        <v>86.18</v>
      </c>
      <c r="N2868">
        <v>202842</v>
      </c>
      <c r="O2868">
        <v>1</v>
      </c>
    </row>
    <row r="2869" spans="1:15">
      <c r="A2869" t="s">
        <v>2895</v>
      </c>
      <c r="B2869" t="s">
        <v>24</v>
      </c>
      <c r="C2869">
        <v>10</v>
      </c>
      <c r="D2869">
        <v>29746549</v>
      </c>
      <c r="E2869">
        <v>2</v>
      </c>
      <c r="F2869">
        <v>1</v>
      </c>
      <c r="G2869">
        <v>413</v>
      </c>
      <c r="H2869">
        <v>45112562</v>
      </c>
      <c r="I2869">
        <v>912256</v>
      </c>
      <c r="J2869" t="s">
        <v>17</v>
      </c>
      <c r="K2869" t="s">
        <v>22</v>
      </c>
      <c r="L2869">
        <v>5</v>
      </c>
      <c r="M2869">
        <v>17.100000000000001</v>
      </c>
      <c r="N2869">
        <v>262575</v>
      </c>
      <c r="O2869">
        <v>1</v>
      </c>
    </row>
    <row r="2870" spans="1:15">
      <c r="A2870" t="s">
        <v>2896</v>
      </c>
      <c r="B2870" t="s">
        <v>29</v>
      </c>
      <c r="C2870">
        <v>3</v>
      </c>
      <c r="D2870">
        <v>15294617</v>
      </c>
      <c r="E2870">
        <v>3</v>
      </c>
      <c r="F2870">
        <v>6</v>
      </c>
      <c r="G2870">
        <v>615</v>
      </c>
      <c r="H2870">
        <v>83412447</v>
      </c>
      <c r="I2870">
        <v>313516</v>
      </c>
      <c r="J2870" t="s">
        <v>21</v>
      </c>
      <c r="K2870" t="s">
        <v>18</v>
      </c>
      <c r="L2870">
        <v>3</v>
      </c>
      <c r="M2870">
        <v>34.22</v>
      </c>
      <c r="N2870">
        <v>718569</v>
      </c>
      <c r="O2870">
        <v>1</v>
      </c>
    </row>
    <row r="2871" spans="1:15">
      <c r="A2871" t="s">
        <v>2897</v>
      </c>
      <c r="B2871" t="s">
        <v>32</v>
      </c>
      <c r="C2871">
        <v>6</v>
      </c>
      <c r="D2871">
        <v>15814294</v>
      </c>
      <c r="E2871">
        <v>3</v>
      </c>
      <c r="F2871">
        <v>25</v>
      </c>
      <c r="G2871">
        <v>617</v>
      </c>
      <c r="H2871">
        <v>83056175</v>
      </c>
      <c r="I2871">
        <v>315081</v>
      </c>
      <c r="J2871" t="s">
        <v>25</v>
      </c>
      <c r="K2871" t="s">
        <v>30</v>
      </c>
      <c r="L2871">
        <v>8</v>
      </c>
      <c r="M2871">
        <v>56.6</v>
      </c>
      <c r="N2871">
        <v>872048</v>
      </c>
      <c r="O2871">
        <v>1</v>
      </c>
    </row>
    <row r="2872" spans="1:15">
      <c r="A2872" t="s">
        <v>2898</v>
      </c>
      <c r="B2872" t="s">
        <v>20</v>
      </c>
      <c r="C2872">
        <v>6</v>
      </c>
      <c r="D2872">
        <v>32170807</v>
      </c>
      <c r="E2872">
        <v>3</v>
      </c>
      <c r="F2872">
        <v>15</v>
      </c>
      <c r="G2872">
        <v>828</v>
      </c>
      <c r="H2872">
        <v>18635400</v>
      </c>
      <c r="I2872">
        <v>699077</v>
      </c>
      <c r="J2872" t="s">
        <v>21</v>
      </c>
      <c r="K2872" t="s">
        <v>22</v>
      </c>
      <c r="L2872">
        <v>8</v>
      </c>
      <c r="M2872">
        <v>90.04</v>
      </c>
      <c r="N2872">
        <v>342718</v>
      </c>
      <c r="O2872">
        <v>1</v>
      </c>
    </row>
    <row r="2873" spans="1:15">
      <c r="A2873" t="s">
        <v>2899</v>
      </c>
      <c r="B2873" t="s">
        <v>38</v>
      </c>
      <c r="C2873">
        <v>4</v>
      </c>
      <c r="D2873">
        <v>37439356</v>
      </c>
      <c r="E2873">
        <v>3</v>
      </c>
      <c r="F2873">
        <v>4</v>
      </c>
      <c r="G2873">
        <v>934</v>
      </c>
      <c r="H2873">
        <v>3948485</v>
      </c>
      <c r="I2873">
        <v>627976</v>
      </c>
      <c r="J2873" t="s">
        <v>21</v>
      </c>
      <c r="K2873" t="s">
        <v>30</v>
      </c>
      <c r="L2873">
        <v>5</v>
      </c>
      <c r="M2873">
        <v>87.26</v>
      </c>
      <c r="N2873">
        <v>792945</v>
      </c>
      <c r="O2873">
        <v>1</v>
      </c>
    </row>
    <row r="2874" spans="1:15">
      <c r="A2874" t="s">
        <v>2900</v>
      </c>
      <c r="B2874" t="s">
        <v>20</v>
      </c>
      <c r="C2874">
        <v>7</v>
      </c>
      <c r="D2874">
        <v>19958148</v>
      </c>
      <c r="E2874">
        <v>4</v>
      </c>
      <c r="F2874">
        <v>6</v>
      </c>
      <c r="G2874">
        <v>186</v>
      </c>
      <c r="H2874">
        <v>60495642</v>
      </c>
      <c r="I2874">
        <v>931164</v>
      </c>
      <c r="J2874" t="s">
        <v>17</v>
      </c>
      <c r="K2874" t="s">
        <v>30</v>
      </c>
      <c r="L2874">
        <v>3</v>
      </c>
      <c r="M2874">
        <v>25.17</v>
      </c>
      <c r="N2874">
        <v>848027</v>
      </c>
      <c r="O2874">
        <v>1</v>
      </c>
    </row>
    <row r="2875" spans="1:15">
      <c r="A2875" t="s">
        <v>2901</v>
      </c>
      <c r="B2875" t="s">
        <v>38</v>
      </c>
      <c r="C2875">
        <v>13</v>
      </c>
      <c r="D2875">
        <v>10287129</v>
      </c>
      <c r="E2875">
        <v>2</v>
      </c>
      <c r="F2875">
        <v>6</v>
      </c>
      <c r="G2875">
        <v>903</v>
      </c>
      <c r="H2875">
        <v>10809756</v>
      </c>
      <c r="I2875">
        <v>315334</v>
      </c>
      <c r="J2875" t="s">
        <v>21</v>
      </c>
      <c r="K2875" t="s">
        <v>22</v>
      </c>
      <c r="L2875">
        <v>4</v>
      </c>
      <c r="M2875">
        <v>28.31</v>
      </c>
      <c r="N2875">
        <v>560589</v>
      </c>
      <c r="O2875">
        <v>1</v>
      </c>
    </row>
    <row r="2876" spans="1:15">
      <c r="A2876" t="s">
        <v>2902</v>
      </c>
      <c r="B2876" t="s">
        <v>24</v>
      </c>
      <c r="C2876">
        <v>10</v>
      </c>
      <c r="D2876">
        <v>17780817</v>
      </c>
      <c r="E2876">
        <v>3</v>
      </c>
      <c r="F2876">
        <v>22</v>
      </c>
      <c r="G2876">
        <v>381</v>
      </c>
      <c r="H2876">
        <v>57076555</v>
      </c>
      <c r="I2876">
        <v>428301</v>
      </c>
      <c r="J2876" t="s">
        <v>21</v>
      </c>
      <c r="K2876" t="s">
        <v>22</v>
      </c>
      <c r="L2876">
        <v>4</v>
      </c>
      <c r="M2876">
        <v>48.64</v>
      </c>
      <c r="N2876">
        <v>230867</v>
      </c>
      <c r="O2876">
        <v>1</v>
      </c>
    </row>
    <row r="2877" spans="1:15">
      <c r="A2877" t="s">
        <v>2903</v>
      </c>
      <c r="B2877" t="s">
        <v>16</v>
      </c>
      <c r="C2877">
        <v>1</v>
      </c>
      <c r="D2877">
        <v>43164804</v>
      </c>
      <c r="E2877">
        <v>4</v>
      </c>
      <c r="F2877">
        <v>3</v>
      </c>
      <c r="G2877">
        <v>559</v>
      </c>
      <c r="H2877">
        <v>48893166</v>
      </c>
      <c r="I2877">
        <v>697900</v>
      </c>
      <c r="J2877" t="s">
        <v>21</v>
      </c>
      <c r="K2877" t="s">
        <v>22</v>
      </c>
      <c r="L2877">
        <v>2</v>
      </c>
      <c r="M2877">
        <v>53.45</v>
      </c>
      <c r="N2877">
        <v>401621</v>
      </c>
      <c r="O2877">
        <v>1</v>
      </c>
    </row>
    <row r="2878" spans="1:15">
      <c r="A2878" t="s">
        <v>2904</v>
      </c>
      <c r="B2878" t="s">
        <v>32</v>
      </c>
      <c r="C2878">
        <v>12</v>
      </c>
      <c r="D2878">
        <v>12237714</v>
      </c>
      <c r="E2878">
        <v>2</v>
      </c>
      <c r="F2878">
        <v>29</v>
      </c>
      <c r="G2878">
        <v>689</v>
      </c>
      <c r="H2878">
        <v>71068168</v>
      </c>
      <c r="I2878">
        <v>60659</v>
      </c>
      <c r="J2878" t="s">
        <v>25</v>
      </c>
      <c r="K2878" t="s">
        <v>30</v>
      </c>
      <c r="L2878">
        <v>9</v>
      </c>
      <c r="M2878">
        <v>50.69</v>
      </c>
      <c r="N2878">
        <v>209807</v>
      </c>
      <c r="O2878">
        <v>1</v>
      </c>
    </row>
    <row r="2879" spans="1:15">
      <c r="A2879" t="s">
        <v>2905</v>
      </c>
      <c r="B2879" t="s">
        <v>16</v>
      </c>
      <c r="C2879">
        <v>7</v>
      </c>
      <c r="D2879">
        <v>10220760</v>
      </c>
      <c r="E2879">
        <v>1</v>
      </c>
      <c r="F2879">
        <v>8</v>
      </c>
      <c r="G2879">
        <v>501</v>
      </c>
      <c r="H2879">
        <v>64550765</v>
      </c>
      <c r="I2879">
        <v>174872</v>
      </c>
      <c r="J2879" t="s">
        <v>25</v>
      </c>
      <c r="K2879" t="s">
        <v>30</v>
      </c>
      <c r="L2879">
        <v>7</v>
      </c>
      <c r="M2879">
        <v>60.46</v>
      </c>
      <c r="N2879">
        <v>273637</v>
      </c>
      <c r="O2879">
        <v>1</v>
      </c>
    </row>
    <row r="2880" spans="1:15">
      <c r="A2880" t="s">
        <v>2906</v>
      </c>
      <c r="B2880" t="s">
        <v>32</v>
      </c>
      <c r="C2880">
        <v>14</v>
      </c>
      <c r="D2880">
        <v>38699497</v>
      </c>
      <c r="E2880">
        <v>4</v>
      </c>
      <c r="F2880">
        <v>13</v>
      </c>
      <c r="G2880">
        <v>496</v>
      </c>
      <c r="H2880">
        <v>62734612</v>
      </c>
      <c r="I2880">
        <v>657159</v>
      </c>
      <c r="J2880" t="s">
        <v>21</v>
      </c>
      <c r="K2880" t="s">
        <v>18</v>
      </c>
      <c r="L2880">
        <v>2</v>
      </c>
      <c r="M2880">
        <v>19.010000000000002</v>
      </c>
      <c r="N2880">
        <v>301959</v>
      </c>
      <c r="O2880">
        <v>1</v>
      </c>
    </row>
    <row r="2881" spans="1:15">
      <c r="A2881" t="s">
        <v>2907</v>
      </c>
      <c r="B2881" t="s">
        <v>27</v>
      </c>
      <c r="C2881">
        <v>9</v>
      </c>
      <c r="D2881">
        <v>22367239</v>
      </c>
      <c r="E2881">
        <v>4</v>
      </c>
      <c r="F2881">
        <v>6</v>
      </c>
      <c r="G2881">
        <v>829</v>
      </c>
      <c r="H2881">
        <v>29505874</v>
      </c>
      <c r="I2881">
        <v>16560</v>
      </c>
      <c r="J2881" t="s">
        <v>21</v>
      </c>
      <c r="K2881" t="s">
        <v>22</v>
      </c>
      <c r="L2881">
        <v>8</v>
      </c>
      <c r="M2881">
        <v>77.62</v>
      </c>
      <c r="N2881">
        <v>536072</v>
      </c>
      <c r="O2881">
        <v>1</v>
      </c>
    </row>
    <row r="2882" spans="1:15">
      <c r="A2882" t="s">
        <v>2908</v>
      </c>
      <c r="B2882" t="s">
        <v>24</v>
      </c>
      <c r="C2882">
        <v>5</v>
      </c>
      <c r="D2882">
        <v>40146341</v>
      </c>
      <c r="E2882">
        <v>4</v>
      </c>
      <c r="F2882">
        <v>28</v>
      </c>
      <c r="G2882">
        <v>805</v>
      </c>
      <c r="H2882">
        <v>98946103</v>
      </c>
      <c r="I2882">
        <v>294488</v>
      </c>
      <c r="J2882" t="s">
        <v>25</v>
      </c>
      <c r="K2882" t="s">
        <v>22</v>
      </c>
      <c r="L2882">
        <v>7</v>
      </c>
      <c r="M2882">
        <v>37.17</v>
      </c>
      <c r="N2882">
        <v>539451</v>
      </c>
      <c r="O2882">
        <v>1</v>
      </c>
    </row>
    <row r="2883" spans="1:15">
      <c r="A2883" t="s">
        <v>2909</v>
      </c>
      <c r="B2883" t="s">
        <v>38</v>
      </c>
      <c r="C2883">
        <v>14</v>
      </c>
      <c r="D2883">
        <v>3254296</v>
      </c>
      <c r="E2883">
        <v>2</v>
      </c>
      <c r="F2883">
        <v>26</v>
      </c>
      <c r="G2883">
        <v>120</v>
      </c>
      <c r="H2883">
        <v>78029209</v>
      </c>
      <c r="I2883">
        <v>819906</v>
      </c>
      <c r="J2883" t="s">
        <v>25</v>
      </c>
      <c r="K2883" t="s">
        <v>30</v>
      </c>
      <c r="L2883">
        <v>2</v>
      </c>
      <c r="M2883">
        <v>92</v>
      </c>
      <c r="N2883">
        <v>899477</v>
      </c>
      <c r="O2883">
        <v>1</v>
      </c>
    </row>
    <row r="2884" spans="1:15">
      <c r="A2884" t="s">
        <v>2910</v>
      </c>
      <c r="B2884" t="s">
        <v>24</v>
      </c>
      <c r="C2884">
        <v>3</v>
      </c>
      <c r="D2884">
        <v>33027128</v>
      </c>
      <c r="E2884">
        <v>3</v>
      </c>
      <c r="F2884">
        <v>14</v>
      </c>
      <c r="G2884">
        <v>163</v>
      </c>
      <c r="H2884">
        <v>65930641</v>
      </c>
      <c r="I2884">
        <v>826718</v>
      </c>
      <c r="J2884" t="s">
        <v>17</v>
      </c>
      <c r="K2884" t="s">
        <v>22</v>
      </c>
      <c r="L2884">
        <v>8</v>
      </c>
      <c r="M2884">
        <v>58.09</v>
      </c>
      <c r="N2884">
        <v>865131</v>
      </c>
      <c r="O2884">
        <v>1</v>
      </c>
    </row>
    <row r="2885" spans="1:15">
      <c r="A2885" t="s">
        <v>2911</v>
      </c>
      <c r="B2885" t="s">
        <v>27</v>
      </c>
      <c r="C2885">
        <v>5</v>
      </c>
      <c r="D2885">
        <v>9169631</v>
      </c>
      <c r="E2885">
        <v>4</v>
      </c>
      <c r="F2885">
        <v>0</v>
      </c>
      <c r="G2885">
        <v>827</v>
      </c>
      <c r="H2885">
        <v>76762286</v>
      </c>
      <c r="I2885">
        <v>652831</v>
      </c>
      <c r="J2885" t="s">
        <v>21</v>
      </c>
      <c r="K2885" t="s">
        <v>30</v>
      </c>
      <c r="L2885">
        <v>6</v>
      </c>
      <c r="M2885">
        <v>0.81</v>
      </c>
      <c r="N2885">
        <v>102874</v>
      </c>
      <c r="O2885">
        <v>1</v>
      </c>
    </row>
    <row r="2886" spans="1:15">
      <c r="A2886" t="s">
        <v>2912</v>
      </c>
      <c r="B2886" t="s">
        <v>16</v>
      </c>
      <c r="C2886">
        <v>14</v>
      </c>
      <c r="D2886">
        <v>31606622</v>
      </c>
      <c r="E2886">
        <v>2</v>
      </c>
      <c r="F2886">
        <v>0</v>
      </c>
      <c r="G2886">
        <v>19</v>
      </c>
      <c r="H2886">
        <v>56253761</v>
      </c>
      <c r="I2886">
        <v>718109</v>
      </c>
      <c r="J2886" t="s">
        <v>21</v>
      </c>
      <c r="K2886" t="s">
        <v>18</v>
      </c>
      <c r="L2886">
        <v>4</v>
      </c>
      <c r="M2886">
        <v>10.57</v>
      </c>
      <c r="N2886">
        <v>145873</v>
      </c>
      <c r="O2886">
        <v>1</v>
      </c>
    </row>
    <row r="2887" spans="1:15">
      <c r="A2887" t="s">
        <v>2913</v>
      </c>
      <c r="B2887" t="s">
        <v>29</v>
      </c>
      <c r="C2887">
        <v>2</v>
      </c>
      <c r="D2887">
        <v>30244979</v>
      </c>
      <c r="E2887">
        <v>3</v>
      </c>
      <c r="F2887">
        <v>0</v>
      </c>
      <c r="G2887">
        <v>669</v>
      </c>
      <c r="H2887">
        <v>59331631</v>
      </c>
      <c r="I2887">
        <v>71268</v>
      </c>
      <c r="J2887" t="s">
        <v>21</v>
      </c>
      <c r="K2887" t="s">
        <v>22</v>
      </c>
      <c r="L2887">
        <v>8</v>
      </c>
      <c r="M2887">
        <v>45.18</v>
      </c>
      <c r="N2887">
        <v>408238</v>
      </c>
      <c r="O2887">
        <v>1</v>
      </c>
    </row>
    <row r="2888" spans="1:15">
      <c r="A2888" t="s">
        <v>2914</v>
      </c>
      <c r="B2888" t="s">
        <v>16</v>
      </c>
      <c r="C2888">
        <v>5</v>
      </c>
      <c r="D2888">
        <v>7129059</v>
      </c>
      <c r="E2888">
        <v>1</v>
      </c>
      <c r="F2888">
        <v>26</v>
      </c>
      <c r="G2888">
        <v>191</v>
      </c>
      <c r="H2888">
        <v>51648045</v>
      </c>
      <c r="I2888">
        <v>385192</v>
      </c>
      <c r="J2888" t="s">
        <v>21</v>
      </c>
      <c r="K2888" t="s">
        <v>18</v>
      </c>
      <c r="L2888">
        <v>5</v>
      </c>
      <c r="M2888">
        <v>29.29</v>
      </c>
      <c r="N2888">
        <v>602222</v>
      </c>
      <c r="O2888">
        <v>1</v>
      </c>
    </row>
    <row r="2889" spans="1:15">
      <c r="A2889" t="s">
        <v>2915</v>
      </c>
      <c r="B2889" t="s">
        <v>32</v>
      </c>
      <c r="C2889">
        <v>11</v>
      </c>
      <c r="D2889">
        <v>27600329</v>
      </c>
      <c r="E2889">
        <v>3</v>
      </c>
      <c r="F2889">
        <v>11</v>
      </c>
      <c r="G2889">
        <v>978</v>
      </c>
      <c r="H2889">
        <v>36833737</v>
      </c>
      <c r="I2889">
        <v>668632</v>
      </c>
      <c r="J2889" t="s">
        <v>17</v>
      </c>
      <c r="K2889" t="s">
        <v>18</v>
      </c>
      <c r="L2889">
        <v>9</v>
      </c>
      <c r="M2889">
        <v>86.68</v>
      </c>
      <c r="N2889">
        <v>757176</v>
      </c>
      <c r="O2889">
        <v>1</v>
      </c>
    </row>
    <row r="2890" spans="1:15">
      <c r="A2890" t="s">
        <v>2916</v>
      </c>
      <c r="B2890" t="s">
        <v>32</v>
      </c>
      <c r="C2890">
        <v>14</v>
      </c>
      <c r="D2890">
        <v>4868181</v>
      </c>
      <c r="E2890">
        <v>3</v>
      </c>
      <c r="F2890">
        <v>26</v>
      </c>
      <c r="G2890">
        <v>419</v>
      </c>
      <c r="H2890">
        <v>39438752</v>
      </c>
      <c r="I2890">
        <v>197896</v>
      </c>
      <c r="J2890" t="s">
        <v>25</v>
      </c>
      <c r="K2890" t="s">
        <v>18</v>
      </c>
      <c r="L2890">
        <v>9</v>
      </c>
      <c r="M2890">
        <v>89.88</v>
      </c>
      <c r="N2890">
        <v>169444</v>
      </c>
      <c r="O2890">
        <v>1</v>
      </c>
    </row>
    <row r="2891" spans="1:15">
      <c r="A2891" t="s">
        <v>2917</v>
      </c>
      <c r="B2891" t="s">
        <v>24</v>
      </c>
      <c r="C2891">
        <v>4</v>
      </c>
      <c r="D2891">
        <v>47831894</v>
      </c>
      <c r="E2891">
        <v>2</v>
      </c>
      <c r="F2891">
        <v>13</v>
      </c>
      <c r="G2891">
        <v>210</v>
      </c>
      <c r="H2891">
        <v>18596756</v>
      </c>
      <c r="I2891">
        <v>891318</v>
      </c>
      <c r="J2891" t="s">
        <v>17</v>
      </c>
      <c r="K2891" t="s">
        <v>30</v>
      </c>
      <c r="L2891">
        <v>2</v>
      </c>
      <c r="M2891">
        <v>6.85</v>
      </c>
      <c r="N2891">
        <v>860897</v>
      </c>
      <c r="O2891">
        <v>1</v>
      </c>
    </row>
    <row r="2892" spans="1:15">
      <c r="A2892" t="s">
        <v>2918</v>
      </c>
      <c r="B2892" t="s">
        <v>24</v>
      </c>
      <c r="C2892">
        <v>2</v>
      </c>
      <c r="D2892">
        <v>16101368</v>
      </c>
      <c r="E2892">
        <v>2</v>
      </c>
      <c r="F2892">
        <v>2</v>
      </c>
      <c r="G2892">
        <v>721</v>
      </c>
      <c r="H2892">
        <v>26141687</v>
      </c>
      <c r="I2892">
        <v>626364</v>
      </c>
      <c r="J2892" t="s">
        <v>25</v>
      </c>
      <c r="K2892" t="s">
        <v>18</v>
      </c>
      <c r="L2892">
        <v>3</v>
      </c>
      <c r="M2892">
        <v>6.02</v>
      </c>
      <c r="N2892">
        <v>142704</v>
      </c>
      <c r="O2892">
        <v>1</v>
      </c>
    </row>
    <row r="2893" spans="1:15">
      <c r="A2893" t="s">
        <v>2919</v>
      </c>
      <c r="B2893" t="s">
        <v>32</v>
      </c>
      <c r="C2893">
        <v>14</v>
      </c>
      <c r="D2893">
        <v>12417325</v>
      </c>
      <c r="E2893">
        <v>3</v>
      </c>
      <c r="F2893">
        <v>12</v>
      </c>
      <c r="G2893">
        <v>613</v>
      </c>
      <c r="H2893">
        <v>47179673</v>
      </c>
      <c r="I2893">
        <v>192507</v>
      </c>
      <c r="J2893" t="s">
        <v>25</v>
      </c>
      <c r="K2893" t="s">
        <v>30</v>
      </c>
      <c r="L2893">
        <v>8</v>
      </c>
      <c r="M2893">
        <v>43.24</v>
      </c>
      <c r="N2893">
        <v>556737</v>
      </c>
      <c r="O2893">
        <v>1</v>
      </c>
    </row>
    <row r="2894" spans="1:15">
      <c r="A2894" t="s">
        <v>2920</v>
      </c>
      <c r="B2894" t="s">
        <v>24</v>
      </c>
      <c r="C2894">
        <v>6</v>
      </c>
      <c r="D2894">
        <v>45195201</v>
      </c>
      <c r="E2894">
        <v>1</v>
      </c>
      <c r="F2894">
        <v>21</v>
      </c>
      <c r="G2894">
        <v>32</v>
      </c>
      <c r="H2894">
        <v>82782525</v>
      </c>
      <c r="I2894">
        <v>760226</v>
      </c>
      <c r="J2894" t="s">
        <v>17</v>
      </c>
      <c r="K2894" t="s">
        <v>22</v>
      </c>
      <c r="L2894">
        <v>8</v>
      </c>
      <c r="M2894">
        <v>27.01</v>
      </c>
      <c r="N2894">
        <v>383428</v>
      </c>
      <c r="O2894">
        <v>1</v>
      </c>
    </row>
    <row r="2895" spans="1:15">
      <c r="A2895" t="s">
        <v>2921</v>
      </c>
      <c r="B2895" t="s">
        <v>20</v>
      </c>
      <c r="C2895">
        <v>11</v>
      </c>
      <c r="D2895">
        <v>49667560</v>
      </c>
      <c r="E2895">
        <v>2</v>
      </c>
      <c r="F2895">
        <v>22</v>
      </c>
      <c r="G2895">
        <v>991</v>
      </c>
      <c r="H2895">
        <v>48366409</v>
      </c>
      <c r="I2895">
        <v>890617</v>
      </c>
      <c r="J2895" t="s">
        <v>25</v>
      </c>
      <c r="K2895" t="s">
        <v>30</v>
      </c>
      <c r="L2895">
        <v>7</v>
      </c>
      <c r="M2895">
        <v>91.3</v>
      </c>
      <c r="N2895">
        <v>867392</v>
      </c>
      <c r="O2895">
        <v>1</v>
      </c>
    </row>
    <row r="2896" spans="1:15">
      <c r="A2896" t="s">
        <v>2922</v>
      </c>
      <c r="B2896" t="s">
        <v>32</v>
      </c>
      <c r="C2896">
        <v>11</v>
      </c>
      <c r="D2896">
        <v>37994528</v>
      </c>
      <c r="E2896">
        <v>2</v>
      </c>
      <c r="F2896">
        <v>2</v>
      </c>
      <c r="G2896">
        <v>845</v>
      </c>
      <c r="H2896">
        <v>27346095</v>
      </c>
      <c r="I2896">
        <v>913068</v>
      </c>
      <c r="J2896" t="s">
        <v>25</v>
      </c>
      <c r="K2896" t="s">
        <v>18</v>
      </c>
      <c r="L2896">
        <v>7</v>
      </c>
      <c r="M2896">
        <v>71.83</v>
      </c>
      <c r="N2896">
        <v>743758</v>
      </c>
      <c r="O2896">
        <v>1</v>
      </c>
    </row>
    <row r="2897" spans="1:15">
      <c r="A2897" t="s">
        <v>2923</v>
      </c>
      <c r="B2897" t="s">
        <v>16</v>
      </c>
      <c r="C2897">
        <v>8</v>
      </c>
      <c r="D2897">
        <v>44019051</v>
      </c>
      <c r="E2897">
        <v>1</v>
      </c>
      <c r="F2897">
        <v>3</v>
      </c>
      <c r="G2897">
        <v>407</v>
      </c>
      <c r="H2897">
        <v>60146713</v>
      </c>
      <c r="I2897">
        <v>512766</v>
      </c>
      <c r="J2897" t="s">
        <v>25</v>
      </c>
      <c r="K2897" t="s">
        <v>18</v>
      </c>
      <c r="L2897">
        <v>8</v>
      </c>
      <c r="M2897">
        <v>96.51</v>
      </c>
      <c r="N2897">
        <v>396113</v>
      </c>
      <c r="O2897">
        <v>1</v>
      </c>
    </row>
    <row r="2898" spans="1:15">
      <c r="A2898" t="s">
        <v>2924</v>
      </c>
      <c r="B2898" t="s">
        <v>38</v>
      </c>
      <c r="C2898">
        <v>12</v>
      </c>
      <c r="D2898">
        <v>45570021</v>
      </c>
      <c r="E2898">
        <v>3</v>
      </c>
      <c r="F2898">
        <v>1</v>
      </c>
      <c r="G2898">
        <v>774</v>
      </c>
      <c r="H2898">
        <v>41513683</v>
      </c>
      <c r="I2898">
        <v>609822</v>
      </c>
      <c r="J2898" t="s">
        <v>17</v>
      </c>
      <c r="K2898" t="s">
        <v>30</v>
      </c>
      <c r="L2898">
        <v>5</v>
      </c>
      <c r="M2898">
        <v>57.16</v>
      </c>
      <c r="N2898">
        <v>778040</v>
      </c>
      <c r="O2898">
        <v>1</v>
      </c>
    </row>
    <row r="2899" spans="1:15">
      <c r="A2899" t="s">
        <v>2925</v>
      </c>
      <c r="B2899" t="s">
        <v>29</v>
      </c>
      <c r="C2899">
        <v>7</v>
      </c>
      <c r="D2899">
        <v>24644712</v>
      </c>
      <c r="E2899">
        <v>4</v>
      </c>
      <c r="F2899">
        <v>9</v>
      </c>
      <c r="G2899">
        <v>419</v>
      </c>
      <c r="H2899">
        <v>73672208</v>
      </c>
      <c r="I2899">
        <v>544933</v>
      </c>
      <c r="J2899" t="s">
        <v>17</v>
      </c>
      <c r="K2899" t="s">
        <v>30</v>
      </c>
      <c r="L2899">
        <v>3</v>
      </c>
      <c r="M2899">
        <v>22.19</v>
      </c>
      <c r="N2899">
        <v>143195</v>
      </c>
      <c r="O2899">
        <v>1</v>
      </c>
    </row>
    <row r="2900" spans="1:15">
      <c r="A2900" t="s">
        <v>2926</v>
      </c>
      <c r="B2900" t="s">
        <v>20</v>
      </c>
      <c r="C2900">
        <v>2</v>
      </c>
      <c r="D2900">
        <v>47773532</v>
      </c>
      <c r="E2900">
        <v>3</v>
      </c>
      <c r="F2900">
        <v>7</v>
      </c>
      <c r="G2900">
        <v>26</v>
      </c>
      <c r="H2900">
        <v>10408257</v>
      </c>
      <c r="I2900">
        <v>320331</v>
      </c>
      <c r="J2900" t="s">
        <v>21</v>
      </c>
      <c r="K2900" t="s">
        <v>30</v>
      </c>
      <c r="L2900">
        <v>1</v>
      </c>
      <c r="M2900">
        <v>39.909999999999997</v>
      </c>
      <c r="N2900">
        <v>313256</v>
      </c>
      <c r="O2900">
        <v>1</v>
      </c>
    </row>
    <row r="2901" spans="1:15">
      <c r="A2901" t="s">
        <v>2927</v>
      </c>
      <c r="B2901" t="s">
        <v>38</v>
      </c>
      <c r="C2901">
        <v>4</v>
      </c>
      <c r="D2901">
        <v>21417387</v>
      </c>
      <c r="E2901">
        <v>1</v>
      </c>
      <c r="F2901">
        <v>26</v>
      </c>
      <c r="G2901">
        <v>155</v>
      </c>
      <c r="H2901">
        <v>26905461</v>
      </c>
      <c r="I2901">
        <v>131572</v>
      </c>
      <c r="J2901" t="s">
        <v>17</v>
      </c>
      <c r="K2901" t="s">
        <v>22</v>
      </c>
      <c r="L2901">
        <v>1</v>
      </c>
      <c r="M2901">
        <v>19.89</v>
      </c>
      <c r="N2901">
        <v>363935</v>
      </c>
      <c r="O2901">
        <v>1</v>
      </c>
    </row>
    <row r="2902" spans="1:15">
      <c r="A2902" t="s">
        <v>2928</v>
      </c>
      <c r="B2902" t="s">
        <v>38</v>
      </c>
      <c r="C2902">
        <v>8</v>
      </c>
      <c r="D2902">
        <v>4887448</v>
      </c>
      <c r="E2902">
        <v>1</v>
      </c>
      <c r="F2902">
        <v>13</v>
      </c>
      <c r="G2902">
        <v>125</v>
      </c>
      <c r="H2902">
        <v>33640983</v>
      </c>
      <c r="I2902">
        <v>772144</v>
      </c>
      <c r="J2902" t="s">
        <v>25</v>
      </c>
      <c r="K2902" t="s">
        <v>22</v>
      </c>
      <c r="L2902">
        <v>7</v>
      </c>
      <c r="M2902">
        <v>89.41</v>
      </c>
      <c r="N2902">
        <v>816820</v>
      </c>
      <c r="O2902">
        <v>1</v>
      </c>
    </row>
    <row r="2903" spans="1:15">
      <c r="A2903" t="s">
        <v>2929</v>
      </c>
      <c r="B2903" t="s">
        <v>24</v>
      </c>
      <c r="C2903">
        <v>13</v>
      </c>
      <c r="D2903">
        <v>4245277</v>
      </c>
      <c r="E2903">
        <v>4</v>
      </c>
      <c r="F2903">
        <v>23</v>
      </c>
      <c r="G2903">
        <v>19</v>
      </c>
      <c r="H2903">
        <v>33941962</v>
      </c>
      <c r="I2903">
        <v>834468</v>
      </c>
      <c r="J2903" t="s">
        <v>25</v>
      </c>
      <c r="K2903" t="s">
        <v>22</v>
      </c>
      <c r="L2903">
        <v>2</v>
      </c>
      <c r="M2903">
        <v>16.89</v>
      </c>
      <c r="N2903">
        <v>475144</v>
      </c>
      <c r="O2903">
        <v>1</v>
      </c>
    </row>
    <row r="2904" spans="1:15">
      <c r="A2904" t="s">
        <v>2930</v>
      </c>
      <c r="B2904" t="s">
        <v>29</v>
      </c>
      <c r="C2904">
        <v>4</v>
      </c>
      <c r="D2904">
        <v>38769866</v>
      </c>
      <c r="E2904">
        <v>1</v>
      </c>
      <c r="F2904">
        <v>4</v>
      </c>
      <c r="G2904">
        <v>269</v>
      </c>
      <c r="H2904">
        <v>20821786</v>
      </c>
      <c r="I2904">
        <v>672838</v>
      </c>
      <c r="J2904" t="s">
        <v>17</v>
      </c>
      <c r="K2904" t="s">
        <v>22</v>
      </c>
      <c r="L2904">
        <v>5</v>
      </c>
      <c r="M2904">
        <v>0.49</v>
      </c>
      <c r="N2904">
        <v>322875</v>
      </c>
      <c r="O2904">
        <v>1</v>
      </c>
    </row>
    <row r="2905" spans="1:15">
      <c r="A2905" t="s">
        <v>2931</v>
      </c>
      <c r="B2905" t="s">
        <v>16</v>
      </c>
      <c r="C2905">
        <v>7</v>
      </c>
      <c r="D2905">
        <v>15454055</v>
      </c>
      <c r="E2905">
        <v>2</v>
      </c>
      <c r="F2905">
        <v>16</v>
      </c>
      <c r="G2905">
        <v>657</v>
      </c>
      <c r="H2905">
        <v>60393894</v>
      </c>
      <c r="I2905">
        <v>632856</v>
      </c>
      <c r="J2905" t="s">
        <v>17</v>
      </c>
      <c r="K2905" t="s">
        <v>18</v>
      </c>
      <c r="L2905">
        <v>2</v>
      </c>
      <c r="M2905">
        <v>59.33</v>
      </c>
      <c r="N2905">
        <v>637981</v>
      </c>
      <c r="O2905">
        <v>1</v>
      </c>
    </row>
    <row r="2906" spans="1:15">
      <c r="A2906" t="s">
        <v>2932</v>
      </c>
      <c r="B2906" t="s">
        <v>20</v>
      </c>
      <c r="C2906">
        <v>6</v>
      </c>
      <c r="D2906">
        <v>19266306</v>
      </c>
      <c r="E2906">
        <v>4</v>
      </c>
      <c r="F2906">
        <v>3</v>
      </c>
      <c r="G2906">
        <v>776</v>
      </c>
      <c r="H2906">
        <v>85607595</v>
      </c>
      <c r="I2906">
        <v>821059</v>
      </c>
      <c r="J2906" t="s">
        <v>25</v>
      </c>
      <c r="K2906" t="s">
        <v>30</v>
      </c>
      <c r="L2906">
        <v>5</v>
      </c>
      <c r="M2906">
        <v>63.94</v>
      </c>
      <c r="N2906">
        <v>414928</v>
      </c>
      <c r="O2906">
        <v>1</v>
      </c>
    </row>
    <row r="2907" spans="1:15">
      <c r="A2907" t="s">
        <v>2933</v>
      </c>
      <c r="B2907" t="s">
        <v>32</v>
      </c>
      <c r="C2907">
        <v>3</v>
      </c>
      <c r="D2907">
        <v>39775362</v>
      </c>
      <c r="E2907">
        <v>4</v>
      </c>
      <c r="F2907">
        <v>2</v>
      </c>
      <c r="G2907">
        <v>808</v>
      </c>
      <c r="H2907">
        <v>8220053</v>
      </c>
      <c r="I2907">
        <v>622195</v>
      </c>
      <c r="J2907" t="s">
        <v>17</v>
      </c>
      <c r="K2907" t="s">
        <v>30</v>
      </c>
      <c r="L2907">
        <v>9</v>
      </c>
      <c r="M2907">
        <v>35.25</v>
      </c>
      <c r="N2907">
        <v>381215</v>
      </c>
      <c r="O2907">
        <v>1</v>
      </c>
    </row>
    <row r="2908" spans="1:15">
      <c r="A2908" t="s">
        <v>2934</v>
      </c>
      <c r="B2908" t="s">
        <v>16</v>
      </c>
      <c r="C2908">
        <v>2</v>
      </c>
      <c r="D2908">
        <v>35981324</v>
      </c>
      <c r="E2908">
        <v>4</v>
      </c>
      <c r="F2908">
        <v>9</v>
      </c>
      <c r="G2908">
        <v>711</v>
      </c>
      <c r="H2908">
        <v>23772650</v>
      </c>
      <c r="I2908">
        <v>272422</v>
      </c>
      <c r="J2908" t="s">
        <v>25</v>
      </c>
      <c r="K2908" t="s">
        <v>30</v>
      </c>
      <c r="L2908">
        <v>9</v>
      </c>
      <c r="M2908">
        <v>78.47</v>
      </c>
      <c r="N2908">
        <v>497845</v>
      </c>
      <c r="O2908">
        <v>1</v>
      </c>
    </row>
    <row r="2909" spans="1:15">
      <c r="A2909" t="s">
        <v>2935</v>
      </c>
      <c r="B2909" t="s">
        <v>20</v>
      </c>
      <c r="C2909">
        <v>14</v>
      </c>
      <c r="D2909">
        <v>46537079</v>
      </c>
      <c r="E2909">
        <v>3</v>
      </c>
      <c r="F2909">
        <v>3</v>
      </c>
      <c r="G2909">
        <v>419</v>
      </c>
      <c r="H2909">
        <v>53814605</v>
      </c>
      <c r="I2909">
        <v>369471</v>
      </c>
      <c r="J2909" t="s">
        <v>17</v>
      </c>
      <c r="K2909" t="s">
        <v>18</v>
      </c>
      <c r="L2909">
        <v>6</v>
      </c>
      <c r="M2909">
        <v>98.8</v>
      </c>
      <c r="N2909">
        <v>113319</v>
      </c>
      <c r="O2909">
        <v>1</v>
      </c>
    </row>
    <row r="2910" spans="1:15">
      <c r="A2910" t="s">
        <v>2936</v>
      </c>
      <c r="B2910" t="s">
        <v>24</v>
      </c>
      <c r="C2910">
        <v>2</v>
      </c>
      <c r="D2910">
        <v>18565505</v>
      </c>
      <c r="E2910">
        <v>4</v>
      </c>
      <c r="F2910">
        <v>14</v>
      </c>
      <c r="G2910">
        <v>664</v>
      </c>
      <c r="H2910">
        <v>534720</v>
      </c>
      <c r="I2910">
        <v>998437</v>
      </c>
      <c r="J2910" t="s">
        <v>25</v>
      </c>
      <c r="K2910" t="s">
        <v>18</v>
      </c>
      <c r="L2910">
        <v>9</v>
      </c>
      <c r="M2910">
        <v>78.209999999999994</v>
      </c>
      <c r="N2910">
        <v>801061</v>
      </c>
      <c r="O2910">
        <v>1</v>
      </c>
    </row>
    <row r="2911" spans="1:15">
      <c r="A2911" t="s">
        <v>2937</v>
      </c>
      <c r="B2911" t="s">
        <v>20</v>
      </c>
      <c r="C2911">
        <v>6</v>
      </c>
      <c r="D2911">
        <v>44868044</v>
      </c>
      <c r="E2911">
        <v>3</v>
      </c>
      <c r="F2911">
        <v>2</v>
      </c>
      <c r="G2911">
        <v>38</v>
      </c>
      <c r="H2911">
        <v>2485554</v>
      </c>
      <c r="I2911">
        <v>361674</v>
      </c>
      <c r="J2911" t="s">
        <v>21</v>
      </c>
      <c r="K2911" t="s">
        <v>22</v>
      </c>
      <c r="L2911">
        <v>8</v>
      </c>
      <c r="M2911">
        <v>30.45</v>
      </c>
      <c r="N2911">
        <v>725542</v>
      </c>
      <c r="O2911">
        <v>1</v>
      </c>
    </row>
    <row r="2912" spans="1:15">
      <c r="A2912" t="s">
        <v>2938</v>
      </c>
      <c r="B2912" t="s">
        <v>32</v>
      </c>
      <c r="C2912">
        <v>6</v>
      </c>
      <c r="D2912">
        <v>38643643</v>
      </c>
      <c r="E2912">
        <v>3</v>
      </c>
      <c r="F2912">
        <v>21</v>
      </c>
      <c r="G2912">
        <v>825</v>
      </c>
      <c r="H2912">
        <v>5958822</v>
      </c>
      <c r="I2912">
        <v>772260</v>
      </c>
      <c r="J2912" t="s">
        <v>21</v>
      </c>
      <c r="K2912" t="s">
        <v>22</v>
      </c>
      <c r="L2912">
        <v>6</v>
      </c>
      <c r="M2912">
        <v>2.73</v>
      </c>
      <c r="N2912">
        <v>887197</v>
      </c>
      <c r="O2912">
        <v>1</v>
      </c>
    </row>
    <row r="2913" spans="1:15">
      <c r="A2913" t="s">
        <v>2939</v>
      </c>
      <c r="B2913" t="s">
        <v>24</v>
      </c>
      <c r="C2913">
        <v>2</v>
      </c>
      <c r="D2913">
        <v>22812971</v>
      </c>
      <c r="E2913">
        <v>1</v>
      </c>
      <c r="F2913">
        <v>8</v>
      </c>
      <c r="G2913">
        <v>473</v>
      </c>
      <c r="H2913">
        <v>2487399</v>
      </c>
      <c r="I2913">
        <v>117788</v>
      </c>
      <c r="J2913" t="s">
        <v>25</v>
      </c>
      <c r="K2913" t="s">
        <v>18</v>
      </c>
      <c r="L2913">
        <v>6</v>
      </c>
      <c r="M2913">
        <v>98.2</v>
      </c>
      <c r="N2913">
        <v>321769</v>
      </c>
      <c r="O2913">
        <v>1</v>
      </c>
    </row>
    <row r="2914" spans="1:15">
      <c r="A2914" t="s">
        <v>2940</v>
      </c>
      <c r="B2914" t="s">
        <v>38</v>
      </c>
      <c r="C2914">
        <v>2</v>
      </c>
      <c r="D2914">
        <v>105620</v>
      </c>
      <c r="E2914">
        <v>3</v>
      </c>
      <c r="F2914">
        <v>26</v>
      </c>
      <c r="G2914">
        <v>48</v>
      </c>
      <c r="H2914">
        <v>19185317</v>
      </c>
      <c r="I2914">
        <v>895265</v>
      </c>
      <c r="J2914" t="s">
        <v>17</v>
      </c>
      <c r="K2914" t="s">
        <v>22</v>
      </c>
      <c r="L2914">
        <v>1</v>
      </c>
      <c r="M2914">
        <v>52.76</v>
      </c>
      <c r="N2914">
        <v>186583</v>
      </c>
      <c r="O2914">
        <v>1</v>
      </c>
    </row>
    <row r="2915" spans="1:15">
      <c r="A2915" t="s">
        <v>2941</v>
      </c>
      <c r="B2915" t="s">
        <v>16</v>
      </c>
      <c r="C2915">
        <v>8</v>
      </c>
      <c r="D2915">
        <v>11362380</v>
      </c>
      <c r="E2915">
        <v>2</v>
      </c>
      <c r="F2915">
        <v>9</v>
      </c>
      <c r="G2915">
        <v>945</v>
      </c>
      <c r="H2915">
        <v>8146766</v>
      </c>
      <c r="I2915">
        <v>327038</v>
      </c>
      <c r="J2915" t="s">
        <v>25</v>
      </c>
      <c r="K2915" t="s">
        <v>22</v>
      </c>
      <c r="L2915">
        <v>6</v>
      </c>
      <c r="M2915">
        <v>28.91</v>
      </c>
      <c r="N2915">
        <v>933861</v>
      </c>
      <c r="O2915">
        <v>1</v>
      </c>
    </row>
    <row r="2916" spans="1:15">
      <c r="A2916" t="s">
        <v>2942</v>
      </c>
      <c r="B2916" t="s">
        <v>20</v>
      </c>
      <c r="C2916">
        <v>2</v>
      </c>
      <c r="D2916">
        <v>40233038</v>
      </c>
      <c r="E2916">
        <v>4</v>
      </c>
      <c r="F2916">
        <v>13</v>
      </c>
      <c r="G2916">
        <v>377</v>
      </c>
      <c r="H2916">
        <v>9914331</v>
      </c>
      <c r="I2916">
        <v>297119</v>
      </c>
      <c r="J2916" t="s">
        <v>17</v>
      </c>
      <c r="K2916" t="s">
        <v>30</v>
      </c>
      <c r="L2916">
        <v>8</v>
      </c>
      <c r="M2916">
        <v>31.38</v>
      </c>
      <c r="N2916">
        <v>833234</v>
      </c>
      <c r="O2916">
        <v>1</v>
      </c>
    </row>
    <row r="2917" spans="1:15">
      <c r="A2917" t="s">
        <v>2943</v>
      </c>
      <c r="B2917" t="s">
        <v>32</v>
      </c>
      <c r="C2917">
        <v>12</v>
      </c>
      <c r="D2917">
        <v>15372495</v>
      </c>
      <c r="E2917">
        <v>4</v>
      </c>
      <c r="F2917">
        <v>2</v>
      </c>
      <c r="G2917">
        <v>425</v>
      </c>
      <c r="H2917">
        <v>40503549</v>
      </c>
      <c r="I2917">
        <v>520731</v>
      </c>
      <c r="J2917" t="s">
        <v>21</v>
      </c>
      <c r="K2917" t="s">
        <v>30</v>
      </c>
      <c r="L2917">
        <v>5</v>
      </c>
      <c r="M2917">
        <v>23.1</v>
      </c>
      <c r="N2917">
        <v>635989</v>
      </c>
      <c r="O2917">
        <v>1</v>
      </c>
    </row>
    <row r="2918" spans="1:15">
      <c r="A2918" t="s">
        <v>2944</v>
      </c>
      <c r="B2918" t="s">
        <v>20</v>
      </c>
      <c r="C2918">
        <v>1</v>
      </c>
      <c r="D2918">
        <v>48465720</v>
      </c>
      <c r="E2918">
        <v>1</v>
      </c>
      <c r="F2918">
        <v>26</v>
      </c>
      <c r="G2918">
        <v>868</v>
      </c>
      <c r="H2918">
        <v>65919944</v>
      </c>
      <c r="I2918">
        <v>757520</v>
      </c>
      <c r="J2918" t="s">
        <v>21</v>
      </c>
      <c r="K2918" t="s">
        <v>30</v>
      </c>
      <c r="L2918">
        <v>2</v>
      </c>
      <c r="M2918">
        <v>24.51</v>
      </c>
      <c r="N2918">
        <v>678248</v>
      </c>
      <c r="O2918">
        <v>1</v>
      </c>
    </row>
    <row r="2919" spans="1:15">
      <c r="A2919" t="s">
        <v>2945</v>
      </c>
      <c r="B2919" t="s">
        <v>24</v>
      </c>
      <c r="C2919">
        <v>7</v>
      </c>
      <c r="D2919">
        <v>23929627</v>
      </c>
      <c r="E2919">
        <v>2</v>
      </c>
      <c r="F2919">
        <v>5</v>
      </c>
      <c r="G2919">
        <v>720</v>
      </c>
      <c r="H2919">
        <v>23402983</v>
      </c>
      <c r="I2919">
        <v>428154</v>
      </c>
      <c r="J2919" t="s">
        <v>17</v>
      </c>
      <c r="K2919" t="s">
        <v>18</v>
      </c>
      <c r="L2919">
        <v>2</v>
      </c>
      <c r="M2919">
        <v>74.44</v>
      </c>
      <c r="N2919">
        <v>678547</v>
      </c>
      <c r="O2919">
        <v>1</v>
      </c>
    </row>
    <row r="2920" spans="1:15">
      <c r="A2920" t="s">
        <v>2946</v>
      </c>
      <c r="B2920" t="s">
        <v>38</v>
      </c>
      <c r="C2920">
        <v>8</v>
      </c>
      <c r="D2920">
        <v>3747760</v>
      </c>
      <c r="E2920">
        <v>3</v>
      </c>
      <c r="F2920">
        <v>28</v>
      </c>
      <c r="G2920">
        <v>492</v>
      </c>
      <c r="H2920">
        <v>64481514</v>
      </c>
      <c r="I2920">
        <v>59857</v>
      </c>
      <c r="J2920" t="s">
        <v>25</v>
      </c>
      <c r="K2920" t="s">
        <v>18</v>
      </c>
      <c r="L2920">
        <v>6</v>
      </c>
      <c r="M2920">
        <v>88.27</v>
      </c>
      <c r="N2920">
        <v>917375</v>
      </c>
      <c r="O2920">
        <v>1</v>
      </c>
    </row>
    <row r="2921" spans="1:15">
      <c r="A2921" t="s">
        <v>2947</v>
      </c>
      <c r="B2921" t="s">
        <v>20</v>
      </c>
      <c r="C2921">
        <v>14</v>
      </c>
      <c r="D2921">
        <v>48367035</v>
      </c>
      <c r="E2921">
        <v>4</v>
      </c>
      <c r="F2921">
        <v>22</v>
      </c>
      <c r="G2921">
        <v>369</v>
      </c>
      <c r="H2921">
        <v>24649067</v>
      </c>
      <c r="I2921">
        <v>531354</v>
      </c>
      <c r="J2921" t="s">
        <v>17</v>
      </c>
      <c r="K2921" t="s">
        <v>22</v>
      </c>
      <c r="L2921">
        <v>6</v>
      </c>
      <c r="M2921">
        <v>96.47</v>
      </c>
      <c r="N2921">
        <v>409233</v>
      </c>
      <c r="O2921">
        <v>1</v>
      </c>
    </row>
    <row r="2922" spans="1:15">
      <c r="A2922" t="s">
        <v>2948</v>
      </c>
      <c r="B2922" t="s">
        <v>38</v>
      </c>
      <c r="C2922">
        <v>8</v>
      </c>
      <c r="D2922">
        <v>21910615</v>
      </c>
      <c r="E2922">
        <v>4</v>
      </c>
      <c r="F2922">
        <v>10</v>
      </c>
      <c r="G2922">
        <v>524</v>
      </c>
      <c r="H2922">
        <v>77754450</v>
      </c>
      <c r="I2922">
        <v>358444</v>
      </c>
      <c r="J2922" t="s">
        <v>17</v>
      </c>
      <c r="K2922" t="s">
        <v>18</v>
      </c>
      <c r="L2922">
        <v>6</v>
      </c>
      <c r="M2922">
        <v>32.119999999999997</v>
      </c>
      <c r="N2922">
        <v>319140</v>
      </c>
      <c r="O2922">
        <v>1</v>
      </c>
    </row>
    <row r="2923" spans="1:15">
      <c r="A2923" t="s">
        <v>2949</v>
      </c>
      <c r="B2923" t="s">
        <v>32</v>
      </c>
      <c r="C2923">
        <v>4</v>
      </c>
      <c r="D2923">
        <v>21306220</v>
      </c>
      <c r="E2923">
        <v>1</v>
      </c>
      <c r="F2923">
        <v>25</v>
      </c>
      <c r="G2923">
        <v>869</v>
      </c>
      <c r="H2923">
        <v>78173136</v>
      </c>
      <c r="I2923">
        <v>824164</v>
      </c>
      <c r="J2923" t="s">
        <v>17</v>
      </c>
      <c r="K2923" t="s">
        <v>30</v>
      </c>
      <c r="L2923">
        <v>1</v>
      </c>
      <c r="M2923">
        <v>3.45</v>
      </c>
      <c r="N2923">
        <v>106443</v>
      </c>
      <c r="O2923">
        <v>1</v>
      </c>
    </row>
    <row r="2924" spans="1:15">
      <c r="A2924" t="s">
        <v>2950</v>
      </c>
      <c r="B2924" t="s">
        <v>16</v>
      </c>
      <c r="C2924">
        <v>4</v>
      </c>
      <c r="D2924">
        <v>32905794</v>
      </c>
      <c r="E2924">
        <v>1</v>
      </c>
      <c r="F2924">
        <v>18</v>
      </c>
      <c r="G2924">
        <v>21</v>
      </c>
      <c r="H2924">
        <v>76869142</v>
      </c>
      <c r="I2924">
        <v>977324</v>
      </c>
      <c r="J2924" t="s">
        <v>21</v>
      </c>
      <c r="K2924" t="s">
        <v>22</v>
      </c>
      <c r="L2924">
        <v>5</v>
      </c>
      <c r="M2924">
        <v>37.5</v>
      </c>
      <c r="N2924">
        <v>53001</v>
      </c>
      <c r="O2924">
        <v>1</v>
      </c>
    </row>
    <row r="2925" spans="1:15">
      <c r="A2925" t="s">
        <v>2951</v>
      </c>
      <c r="B2925" t="s">
        <v>16</v>
      </c>
      <c r="C2925">
        <v>10</v>
      </c>
      <c r="D2925">
        <v>30601287</v>
      </c>
      <c r="E2925">
        <v>3</v>
      </c>
      <c r="F2925">
        <v>11</v>
      </c>
      <c r="G2925">
        <v>391</v>
      </c>
      <c r="H2925">
        <v>78797825</v>
      </c>
      <c r="I2925">
        <v>825768</v>
      </c>
      <c r="J2925" t="s">
        <v>21</v>
      </c>
      <c r="K2925" t="s">
        <v>22</v>
      </c>
      <c r="L2925">
        <v>2</v>
      </c>
      <c r="M2925">
        <v>75.78</v>
      </c>
      <c r="N2925">
        <v>822823</v>
      </c>
      <c r="O2925">
        <v>1</v>
      </c>
    </row>
    <row r="2926" spans="1:15">
      <c r="A2926" t="s">
        <v>2952</v>
      </c>
      <c r="B2926" t="s">
        <v>38</v>
      </c>
      <c r="C2926">
        <v>10</v>
      </c>
      <c r="D2926">
        <v>24974134</v>
      </c>
      <c r="E2926">
        <v>1</v>
      </c>
      <c r="F2926">
        <v>9</v>
      </c>
      <c r="G2926">
        <v>973</v>
      </c>
      <c r="H2926">
        <v>70096381</v>
      </c>
      <c r="I2926">
        <v>515611</v>
      </c>
      <c r="J2926" t="s">
        <v>17</v>
      </c>
      <c r="K2926" t="s">
        <v>30</v>
      </c>
      <c r="L2926">
        <v>3</v>
      </c>
      <c r="M2926">
        <v>4.7699999999999996</v>
      </c>
      <c r="N2926">
        <v>865021</v>
      </c>
      <c r="O2926">
        <v>1</v>
      </c>
    </row>
    <row r="2927" spans="1:15">
      <c r="A2927" t="s">
        <v>2953</v>
      </c>
      <c r="B2927" t="s">
        <v>16</v>
      </c>
      <c r="C2927">
        <v>6</v>
      </c>
      <c r="D2927">
        <v>31905804</v>
      </c>
      <c r="E2927">
        <v>3</v>
      </c>
      <c r="F2927">
        <v>11</v>
      </c>
      <c r="G2927">
        <v>31</v>
      </c>
      <c r="H2927">
        <v>94070247</v>
      </c>
      <c r="I2927">
        <v>800015</v>
      </c>
      <c r="J2927" t="s">
        <v>17</v>
      </c>
      <c r="K2927" t="s">
        <v>18</v>
      </c>
      <c r="L2927">
        <v>1</v>
      </c>
      <c r="M2927">
        <v>29.7</v>
      </c>
      <c r="N2927">
        <v>980842</v>
      </c>
      <c r="O2927">
        <v>1</v>
      </c>
    </row>
    <row r="2928" spans="1:15">
      <c r="A2928" t="s">
        <v>2954</v>
      </c>
      <c r="B2928" t="s">
        <v>24</v>
      </c>
      <c r="C2928">
        <v>9</v>
      </c>
      <c r="D2928">
        <v>48259005</v>
      </c>
      <c r="E2928">
        <v>4</v>
      </c>
      <c r="F2928">
        <v>23</v>
      </c>
      <c r="G2928">
        <v>581</v>
      </c>
      <c r="H2928">
        <v>36742313</v>
      </c>
      <c r="I2928">
        <v>357422</v>
      </c>
      <c r="J2928" t="s">
        <v>17</v>
      </c>
      <c r="K2928" t="s">
        <v>22</v>
      </c>
      <c r="L2928">
        <v>1</v>
      </c>
      <c r="M2928">
        <v>45.42</v>
      </c>
      <c r="N2928">
        <v>424463</v>
      </c>
      <c r="O2928">
        <v>1</v>
      </c>
    </row>
    <row r="2929" spans="1:15">
      <c r="A2929" t="s">
        <v>2955</v>
      </c>
      <c r="B2929" t="s">
        <v>16</v>
      </c>
      <c r="C2929">
        <v>2</v>
      </c>
      <c r="D2929">
        <v>31189239</v>
      </c>
      <c r="E2929">
        <v>2</v>
      </c>
      <c r="F2929">
        <v>18</v>
      </c>
      <c r="G2929">
        <v>847</v>
      </c>
      <c r="H2929">
        <v>86107187</v>
      </c>
      <c r="I2929">
        <v>926541</v>
      </c>
      <c r="J2929" t="s">
        <v>17</v>
      </c>
      <c r="K2929" t="s">
        <v>22</v>
      </c>
      <c r="L2929">
        <v>1</v>
      </c>
      <c r="M2929">
        <v>11.97</v>
      </c>
      <c r="N2929">
        <v>201764</v>
      </c>
      <c r="O2929">
        <v>1</v>
      </c>
    </row>
    <row r="2930" spans="1:15">
      <c r="A2930" t="s">
        <v>2956</v>
      </c>
      <c r="B2930" t="s">
        <v>27</v>
      </c>
      <c r="C2930">
        <v>8</v>
      </c>
      <c r="D2930">
        <v>9329497</v>
      </c>
      <c r="E2930">
        <v>3</v>
      </c>
      <c r="F2930">
        <v>5</v>
      </c>
      <c r="G2930">
        <v>562</v>
      </c>
      <c r="H2930">
        <v>6717894</v>
      </c>
      <c r="I2930">
        <v>901453</v>
      </c>
      <c r="J2930" t="s">
        <v>17</v>
      </c>
      <c r="K2930" t="s">
        <v>18</v>
      </c>
      <c r="L2930">
        <v>7</v>
      </c>
      <c r="M2930">
        <v>21.76</v>
      </c>
      <c r="N2930">
        <v>133524</v>
      </c>
      <c r="O2930">
        <v>1</v>
      </c>
    </row>
    <row r="2931" spans="1:15">
      <c r="A2931" t="s">
        <v>2957</v>
      </c>
      <c r="B2931" t="s">
        <v>32</v>
      </c>
      <c r="C2931">
        <v>4</v>
      </c>
      <c r="D2931">
        <v>14991544</v>
      </c>
      <c r="E2931">
        <v>3</v>
      </c>
      <c r="F2931">
        <v>15</v>
      </c>
      <c r="G2931">
        <v>528</v>
      </c>
      <c r="H2931">
        <v>91656906</v>
      </c>
      <c r="I2931">
        <v>562674</v>
      </c>
      <c r="J2931" t="s">
        <v>17</v>
      </c>
      <c r="K2931" t="s">
        <v>30</v>
      </c>
      <c r="L2931">
        <v>3</v>
      </c>
      <c r="M2931">
        <v>22.61</v>
      </c>
      <c r="N2931">
        <v>494618</v>
      </c>
      <c r="O2931">
        <v>1</v>
      </c>
    </row>
    <row r="2932" spans="1:15">
      <c r="A2932" t="s">
        <v>2958</v>
      </c>
      <c r="B2932" t="s">
        <v>16</v>
      </c>
      <c r="C2932">
        <v>14</v>
      </c>
      <c r="D2932">
        <v>4051886</v>
      </c>
      <c r="E2932">
        <v>2</v>
      </c>
      <c r="F2932">
        <v>9</v>
      </c>
      <c r="G2932">
        <v>919</v>
      </c>
      <c r="H2932">
        <v>6794539</v>
      </c>
      <c r="I2932">
        <v>729389</v>
      </c>
      <c r="J2932" t="s">
        <v>25</v>
      </c>
      <c r="K2932" t="s">
        <v>18</v>
      </c>
      <c r="L2932">
        <v>7</v>
      </c>
      <c r="M2932">
        <v>20.29</v>
      </c>
      <c r="N2932">
        <v>67268</v>
      </c>
      <c r="O2932">
        <v>1</v>
      </c>
    </row>
    <row r="2933" spans="1:15">
      <c r="A2933" t="s">
        <v>2959</v>
      </c>
      <c r="B2933" t="s">
        <v>24</v>
      </c>
      <c r="C2933">
        <v>9</v>
      </c>
      <c r="D2933">
        <v>1553383</v>
      </c>
      <c r="E2933">
        <v>1</v>
      </c>
      <c r="F2933">
        <v>13</v>
      </c>
      <c r="G2933">
        <v>234</v>
      </c>
      <c r="H2933">
        <v>3876687</v>
      </c>
      <c r="I2933">
        <v>306608</v>
      </c>
      <c r="J2933" t="s">
        <v>21</v>
      </c>
      <c r="K2933" t="s">
        <v>22</v>
      </c>
      <c r="L2933">
        <v>4</v>
      </c>
      <c r="M2933">
        <v>7.81</v>
      </c>
      <c r="N2933">
        <v>285043</v>
      </c>
      <c r="O2933">
        <v>1</v>
      </c>
    </row>
    <row r="2934" spans="1:15">
      <c r="A2934" t="s">
        <v>2960</v>
      </c>
      <c r="B2934" t="s">
        <v>16</v>
      </c>
      <c r="C2934">
        <v>1</v>
      </c>
      <c r="D2934">
        <v>36534340</v>
      </c>
      <c r="E2934">
        <v>3</v>
      </c>
      <c r="F2934">
        <v>12</v>
      </c>
      <c r="G2934">
        <v>297</v>
      </c>
      <c r="H2934">
        <v>18028048</v>
      </c>
      <c r="I2934">
        <v>208105</v>
      </c>
      <c r="J2934" t="s">
        <v>17</v>
      </c>
      <c r="K2934" t="s">
        <v>22</v>
      </c>
      <c r="L2934">
        <v>3</v>
      </c>
      <c r="M2934">
        <v>90.43</v>
      </c>
      <c r="N2934">
        <v>282383</v>
      </c>
      <c r="O2934">
        <v>1</v>
      </c>
    </row>
    <row r="2935" spans="1:15">
      <c r="A2935" t="s">
        <v>2961</v>
      </c>
      <c r="B2935" t="s">
        <v>24</v>
      </c>
      <c r="C2935">
        <v>11</v>
      </c>
      <c r="D2935">
        <v>32772</v>
      </c>
      <c r="E2935">
        <v>4</v>
      </c>
      <c r="F2935">
        <v>12</v>
      </c>
      <c r="G2935">
        <v>667</v>
      </c>
      <c r="H2935">
        <v>67854545</v>
      </c>
      <c r="I2935">
        <v>33147</v>
      </c>
      <c r="J2935" t="s">
        <v>25</v>
      </c>
      <c r="K2935" t="s">
        <v>22</v>
      </c>
      <c r="L2935">
        <v>5</v>
      </c>
      <c r="M2935">
        <v>2.08</v>
      </c>
      <c r="N2935">
        <v>830757</v>
      </c>
      <c r="O2935">
        <v>1</v>
      </c>
    </row>
    <row r="2936" spans="1:15">
      <c r="A2936" t="s">
        <v>2962</v>
      </c>
      <c r="B2936" t="s">
        <v>20</v>
      </c>
      <c r="C2936">
        <v>1</v>
      </c>
      <c r="D2936">
        <v>22161393</v>
      </c>
      <c r="E2936">
        <v>2</v>
      </c>
      <c r="F2936">
        <v>8</v>
      </c>
      <c r="G2936">
        <v>298</v>
      </c>
      <c r="H2936">
        <v>58499078</v>
      </c>
      <c r="I2936">
        <v>194294</v>
      </c>
      <c r="J2936" t="s">
        <v>21</v>
      </c>
      <c r="K2936" t="s">
        <v>30</v>
      </c>
      <c r="L2936">
        <v>6</v>
      </c>
      <c r="M2936">
        <v>55.1</v>
      </c>
      <c r="N2936">
        <v>735120</v>
      </c>
      <c r="O2936">
        <v>1</v>
      </c>
    </row>
    <row r="2937" spans="1:15">
      <c r="A2937" t="s">
        <v>2963</v>
      </c>
      <c r="B2937" t="s">
        <v>24</v>
      </c>
      <c r="C2937">
        <v>3</v>
      </c>
      <c r="D2937">
        <v>37327225</v>
      </c>
      <c r="E2937">
        <v>3</v>
      </c>
      <c r="F2937">
        <v>10</v>
      </c>
      <c r="G2937">
        <v>678</v>
      </c>
      <c r="H2937">
        <v>84181949</v>
      </c>
      <c r="I2937">
        <v>985085</v>
      </c>
      <c r="J2937" t="s">
        <v>25</v>
      </c>
      <c r="K2937" t="s">
        <v>22</v>
      </c>
      <c r="L2937">
        <v>4</v>
      </c>
      <c r="M2937">
        <v>27.32</v>
      </c>
      <c r="N2937">
        <v>684876</v>
      </c>
      <c r="O2937">
        <v>1</v>
      </c>
    </row>
    <row r="2938" spans="1:15">
      <c r="A2938" t="s">
        <v>2964</v>
      </c>
      <c r="B2938" t="s">
        <v>24</v>
      </c>
      <c r="C2938">
        <v>0</v>
      </c>
      <c r="D2938">
        <v>29159663</v>
      </c>
      <c r="E2938">
        <v>2</v>
      </c>
      <c r="F2938">
        <v>25</v>
      </c>
      <c r="G2938">
        <v>940</v>
      </c>
      <c r="H2938">
        <v>88597630</v>
      </c>
      <c r="I2938">
        <v>220847</v>
      </c>
      <c r="J2938" t="s">
        <v>17</v>
      </c>
      <c r="K2938" t="s">
        <v>22</v>
      </c>
      <c r="L2938">
        <v>1</v>
      </c>
      <c r="M2938">
        <v>61.79</v>
      </c>
      <c r="N2938">
        <v>716094</v>
      </c>
      <c r="O2938">
        <v>1</v>
      </c>
    </row>
    <row r="2939" spans="1:15">
      <c r="A2939" t="s">
        <v>2965</v>
      </c>
      <c r="B2939" t="s">
        <v>16</v>
      </c>
      <c r="C2939">
        <v>1</v>
      </c>
      <c r="D2939">
        <v>36334107</v>
      </c>
      <c r="E2939">
        <v>3</v>
      </c>
      <c r="F2939">
        <v>3</v>
      </c>
      <c r="G2939">
        <v>673</v>
      </c>
      <c r="H2939">
        <v>61872005</v>
      </c>
      <c r="I2939">
        <v>507227</v>
      </c>
      <c r="J2939" t="s">
        <v>25</v>
      </c>
      <c r="K2939" t="s">
        <v>18</v>
      </c>
      <c r="L2939">
        <v>7</v>
      </c>
      <c r="M2939">
        <v>71.06</v>
      </c>
      <c r="N2939">
        <v>597119</v>
      </c>
      <c r="O2939">
        <v>1</v>
      </c>
    </row>
    <row r="2940" spans="1:15">
      <c r="A2940" t="s">
        <v>2966</v>
      </c>
      <c r="B2940" t="s">
        <v>32</v>
      </c>
      <c r="C2940">
        <v>2</v>
      </c>
      <c r="D2940">
        <v>48815711</v>
      </c>
      <c r="E2940">
        <v>2</v>
      </c>
      <c r="F2940">
        <v>1</v>
      </c>
      <c r="G2940">
        <v>448</v>
      </c>
      <c r="H2940">
        <v>64841974</v>
      </c>
      <c r="I2940">
        <v>687586</v>
      </c>
      <c r="J2940" t="s">
        <v>17</v>
      </c>
      <c r="K2940" t="s">
        <v>30</v>
      </c>
      <c r="L2940">
        <v>1</v>
      </c>
      <c r="M2940">
        <v>65.040000000000006</v>
      </c>
      <c r="N2940">
        <v>416929</v>
      </c>
      <c r="O2940">
        <v>1</v>
      </c>
    </row>
    <row r="2941" spans="1:15">
      <c r="A2941" t="s">
        <v>2967</v>
      </c>
      <c r="B2941" t="s">
        <v>38</v>
      </c>
      <c r="C2941">
        <v>13</v>
      </c>
      <c r="D2941">
        <v>30037410</v>
      </c>
      <c r="E2941">
        <v>2</v>
      </c>
      <c r="F2941">
        <v>24</v>
      </c>
      <c r="G2941">
        <v>217</v>
      </c>
      <c r="H2941">
        <v>11631910</v>
      </c>
      <c r="I2941">
        <v>267671</v>
      </c>
      <c r="J2941" t="s">
        <v>21</v>
      </c>
      <c r="K2941" t="s">
        <v>18</v>
      </c>
      <c r="L2941">
        <v>9</v>
      </c>
      <c r="M2941">
        <v>87.14</v>
      </c>
      <c r="N2941">
        <v>479235</v>
      </c>
      <c r="O2941">
        <v>1</v>
      </c>
    </row>
    <row r="2942" spans="1:15">
      <c r="A2942" t="s">
        <v>2968</v>
      </c>
      <c r="B2942" t="s">
        <v>38</v>
      </c>
      <c r="C2942">
        <v>12</v>
      </c>
      <c r="D2942">
        <v>9272518</v>
      </c>
      <c r="E2942">
        <v>3</v>
      </c>
      <c r="F2942">
        <v>4</v>
      </c>
      <c r="G2942">
        <v>940</v>
      </c>
      <c r="H2942">
        <v>14931329</v>
      </c>
      <c r="I2942">
        <v>770056</v>
      </c>
      <c r="J2942" t="s">
        <v>21</v>
      </c>
      <c r="K2942" t="s">
        <v>18</v>
      </c>
      <c r="L2942">
        <v>7</v>
      </c>
      <c r="M2942">
        <v>84.38</v>
      </c>
      <c r="N2942">
        <v>354078</v>
      </c>
      <c r="O2942">
        <v>1</v>
      </c>
    </row>
    <row r="2943" spans="1:15">
      <c r="A2943" t="s">
        <v>2969</v>
      </c>
      <c r="B2943" t="s">
        <v>27</v>
      </c>
      <c r="C2943">
        <v>11</v>
      </c>
      <c r="D2943">
        <v>19651487</v>
      </c>
      <c r="E2943">
        <v>1</v>
      </c>
      <c r="F2943">
        <v>5</v>
      </c>
      <c r="G2943">
        <v>578</v>
      </c>
      <c r="H2943">
        <v>21943479</v>
      </c>
      <c r="I2943">
        <v>500887</v>
      </c>
      <c r="J2943" t="s">
        <v>17</v>
      </c>
      <c r="K2943" t="s">
        <v>18</v>
      </c>
      <c r="L2943">
        <v>5</v>
      </c>
      <c r="M2943">
        <v>5.75</v>
      </c>
      <c r="N2943">
        <v>913818</v>
      </c>
      <c r="O2943">
        <v>1</v>
      </c>
    </row>
    <row r="2944" spans="1:15">
      <c r="A2944" t="s">
        <v>2970</v>
      </c>
      <c r="B2944" t="s">
        <v>38</v>
      </c>
      <c r="C2944">
        <v>13</v>
      </c>
      <c r="D2944">
        <v>6225962</v>
      </c>
      <c r="E2944">
        <v>4</v>
      </c>
      <c r="F2944">
        <v>8</v>
      </c>
      <c r="G2944">
        <v>679</v>
      </c>
      <c r="H2944">
        <v>95253733</v>
      </c>
      <c r="I2944">
        <v>589660</v>
      </c>
      <c r="J2944" t="s">
        <v>25</v>
      </c>
      <c r="K2944" t="s">
        <v>30</v>
      </c>
      <c r="L2944">
        <v>1</v>
      </c>
      <c r="M2944">
        <v>25.01</v>
      </c>
      <c r="N2944">
        <v>307258</v>
      </c>
      <c r="O2944">
        <v>1</v>
      </c>
    </row>
    <row r="2945" spans="1:15">
      <c r="A2945" t="s">
        <v>2971</v>
      </c>
      <c r="B2945" t="s">
        <v>24</v>
      </c>
      <c r="C2945">
        <v>3</v>
      </c>
      <c r="D2945">
        <v>37969307</v>
      </c>
      <c r="E2945">
        <v>3</v>
      </c>
      <c r="F2945">
        <v>21</v>
      </c>
      <c r="G2945">
        <v>390</v>
      </c>
      <c r="H2945">
        <v>37293553</v>
      </c>
      <c r="I2945">
        <v>580796</v>
      </c>
      <c r="J2945" t="s">
        <v>17</v>
      </c>
      <c r="K2945" t="s">
        <v>22</v>
      </c>
      <c r="L2945">
        <v>9</v>
      </c>
      <c r="M2945">
        <v>37.67</v>
      </c>
      <c r="N2945">
        <v>631836</v>
      </c>
      <c r="O2945">
        <v>1</v>
      </c>
    </row>
    <row r="2946" spans="1:15">
      <c r="A2946" t="s">
        <v>2972</v>
      </c>
      <c r="B2946" t="s">
        <v>32</v>
      </c>
      <c r="C2946">
        <v>5</v>
      </c>
      <c r="D2946">
        <v>45783659</v>
      </c>
      <c r="E2946">
        <v>2</v>
      </c>
      <c r="F2946">
        <v>17</v>
      </c>
      <c r="G2946">
        <v>479</v>
      </c>
      <c r="H2946">
        <v>75850770</v>
      </c>
      <c r="I2946">
        <v>133616</v>
      </c>
      <c r="J2946" t="s">
        <v>17</v>
      </c>
      <c r="K2946" t="s">
        <v>18</v>
      </c>
      <c r="L2946">
        <v>4</v>
      </c>
      <c r="M2946">
        <v>54.44</v>
      </c>
      <c r="N2946">
        <v>503454</v>
      </c>
      <c r="O2946">
        <v>1</v>
      </c>
    </row>
    <row r="2947" spans="1:15">
      <c r="A2947" t="s">
        <v>2973</v>
      </c>
      <c r="B2947" t="s">
        <v>38</v>
      </c>
      <c r="C2947">
        <v>13</v>
      </c>
      <c r="D2947">
        <v>39251619</v>
      </c>
      <c r="E2947">
        <v>4</v>
      </c>
      <c r="F2947">
        <v>1</v>
      </c>
      <c r="G2947">
        <v>275</v>
      </c>
      <c r="H2947">
        <v>3788513</v>
      </c>
      <c r="I2947">
        <v>624193</v>
      </c>
      <c r="J2947" t="s">
        <v>17</v>
      </c>
      <c r="K2947" t="s">
        <v>22</v>
      </c>
      <c r="L2947">
        <v>7</v>
      </c>
      <c r="M2947">
        <v>99.88</v>
      </c>
      <c r="N2947">
        <v>801107</v>
      </c>
      <c r="O2947">
        <v>1</v>
      </c>
    </row>
    <row r="2948" spans="1:15">
      <c r="A2948" t="s">
        <v>2974</v>
      </c>
      <c r="B2948" t="s">
        <v>16</v>
      </c>
      <c r="C2948">
        <v>0</v>
      </c>
      <c r="D2948">
        <v>18027164</v>
      </c>
      <c r="E2948">
        <v>4</v>
      </c>
      <c r="F2948">
        <v>13</v>
      </c>
      <c r="G2948">
        <v>101</v>
      </c>
      <c r="H2948">
        <v>1527324</v>
      </c>
      <c r="I2948">
        <v>49140</v>
      </c>
      <c r="J2948" t="s">
        <v>17</v>
      </c>
      <c r="K2948" t="s">
        <v>22</v>
      </c>
      <c r="L2948">
        <v>3</v>
      </c>
      <c r="M2948">
        <v>37.54</v>
      </c>
      <c r="N2948">
        <v>726471</v>
      </c>
      <c r="O2948">
        <v>1</v>
      </c>
    </row>
    <row r="2949" spans="1:15">
      <c r="A2949" t="s">
        <v>2975</v>
      </c>
      <c r="B2949" t="s">
        <v>24</v>
      </c>
      <c r="C2949">
        <v>0</v>
      </c>
      <c r="D2949">
        <v>44929282</v>
      </c>
      <c r="E2949">
        <v>2</v>
      </c>
      <c r="F2949">
        <v>0</v>
      </c>
      <c r="G2949">
        <v>649</v>
      </c>
      <c r="H2949">
        <v>45801073</v>
      </c>
      <c r="I2949">
        <v>545099</v>
      </c>
      <c r="J2949" t="s">
        <v>25</v>
      </c>
      <c r="K2949" t="s">
        <v>22</v>
      </c>
      <c r="L2949">
        <v>8</v>
      </c>
      <c r="M2949">
        <v>15.61</v>
      </c>
      <c r="N2949">
        <v>650188</v>
      </c>
      <c r="O2949">
        <v>1</v>
      </c>
    </row>
    <row r="2950" spans="1:15">
      <c r="A2950" t="s">
        <v>2976</v>
      </c>
      <c r="B2950" t="s">
        <v>32</v>
      </c>
      <c r="C2950">
        <v>5</v>
      </c>
      <c r="D2950">
        <v>28428660</v>
      </c>
      <c r="E2950">
        <v>1</v>
      </c>
      <c r="F2950">
        <v>2</v>
      </c>
      <c r="G2950">
        <v>142</v>
      </c>
      <c r="H2950">
        <v>21092445</v>
      </c>
      <c r="I2950">
        <v>892970</v>
      </c>
      <c r="J2950" t="s">
        <v>25</v>
      </c>
      <c r="K2950" t="s">
        <v>18</v>
      </c>
      <c r="L2950">
        <v>2</v>
      </c>
      <c r="M2950">
        <v>56.27</v>
      </c>
      <c r="N2950">
        <v>985496</v>
      </c>
      <c r="O2950">
        <v>1</v>
      </c>
    </row>
    <row r="2951" spans="1:15">
      <c r="A2951" t="s">
        <v>2977</v>
      </c>
      <c r="B2951" t="s">
        <v>32</v>
      </c>
      <c r="C2951">
        <v>0</v>
      </c>
      <c r="D2951">
        <v>35368169</v>
      </c>
      <c r="E2951">
        <v>2</v>
      </c>
      <c r="F2951">
        <v>11</v>
      </c>
      <c r="G2951">
        <v>251</v>
      </c>
      <c r="H2951">
        <v>70698492</v>
      </c>
      <c r="I2951">
        <v>693811</v>
      </c>
      <c r="J2951" t="s">
        <v>17</v>
      </c>
      <c r="K2951" t="s">
        <v>22</v>
      </c>
      <c r="L2951">
        <v>3</v>
      </c>
      <c r="M2951">
        <v>72.8</v>
      </c>
      <c r="N2951">
        <v>106409</v>
      </c>
      <c r="O2951">
        <v>1</v>
      </c>
    </row>
    <row r="2952" spans="1:15">
      <c r="A2952" t="s">
        <v>2978</v>
      </c>
      <c r="B2952" t="s">
        <v>16</v>
      </c>
      <c r="C2952">
        <v>11</v>
      </c>
      <c r="D2952">
        <v>792154</v>
      </c>
      <c r="E2952">
        <v>2</v>
      </c>
      <c r="F2952">
        <v>29</v>
      </c>
      <c r="G2952">
        <v>451</v>
      </c>
      <c r="H2952">
        <v>36074386</v>
      </c>
      <c r="I2952">
        <v>828202</v>
      </c>
      <c r="J2952" t="s">
        <v>25</v>
      </c>
      <c r="K2952" t="s">
        <v>22</v>
      </c>
      <c r="L2952">
        <v>2</v>
      </c>
      <c r="M2952">
        <v>1.99</v>
      </c>
      <c r="N2952">
        <v>283340</v>
      </c>
      <c r="O2952">
        <v>1</v>
      </c>
    </row>
    <row r="2953" spans="1:15">
      <c r="A2953" t="s">
        <v>2979</v>
      </c>
      <c r="B2953" t="s">
        <v>16</v>
      </c>
      <c r="C2953">
        <v>7</v>
      </c>
      <c r="D2953">
        <v>22566359</v>
      </c>
      <c r="E2953">
        <v>1</v>
      </c>
      <c r="F2953">
        <v>21</v>
      </c>
      <c r="G2953">
        <v>28</v>
      </c>
      <c r="H2953">
        <v>19834118</v>
      </c>
      <c r="I2953">
        <v>945412</v>
      </c>
      <c r="J2953" t="s">
        <v>21</v>
      </c>
      <c r="K2953" t="s">
        <v>22</v>
      </c>
      <c r="L2953">
        <v>1</v>
      </c>
      <c r="M2953">
        <v>35.29</v>
      </c>
      <c r="N2953">
        <v>243378</v>
      </c>
      <c r="O2953">
        <v>1</v>
      </c>
    </row>
    <row r="2954" spans="1:15">
      <c r="A2954" t="s">
        <v>2980</v>
      </c>
      <c r="B2954" t="s">
        <v>16</v>
      </c>
      <c r="C2954">
        <v>10</v>
      </c>
      <c r="D2954">
        <v>22832051</v>
      </c>
      <c r="E2954">
        <v>2</v>
      </c>
      <c r="F2954">
        <v>25</v>
      </c>
      <c r="G2954">
        <v>570</v>
      </c>
      <c r="H2954">
        <v>1477288</v>
      </c>
      <c r="I2954">
        <v>687743</v>
      </c>
      <c r="J2954" t="s">
        <v>25</v>
      </c>
      <c r="K2954" t="s">
        <v>30</v>
      </c>
      <c r="L2954">
        <v>7</v>
      </c>
      <c r="M2954">
        <v>13.8</v>
      </c>
      <c r="N2954">
        <v>292984</v>
      </c>
      <c r="O2954">
        <v>1</v>
      </c>
    </row>
    <row r="2955" spans="1:15">
      <c r="A2955" t="s">
        <v>2981</v>
      </c>
      <c r="B2955" t="s">
        <v>24</v>
      </c>
      <c r="C2955">
        <v>11</v>
      </c>
      <c r="D2955">
        <v>46182269</v>
      </c>
      <c r="E2955">
        <v>3</v>
      </c>
      <c r="F2955">
        <v>28</v>
      </c>
      <c r="G2955">
        <v>962</v>
      </c>
      <c r="H2955">
        <v>76199222</v>
      </c>
      <c r="I2955">
        <v>647387</v>
      </c>
      <c r="J2955" t="s">
        <v>21</v>
      </c>
      <c r="K2955" t="s">
        <v>18</v>
      </c>
      <c r="L2955">
        <v>7</v>
      </c>
      <c r="M2955">
        <v>90.57</v>
      </c>
      <c r="N2955">
        <v>921940</v>
      </c>
      <c r="O2955">
        <v>1</v>
      </c>
    </row>
    <row r="2956" spans="1:15">
      <c r="A2956" t="s">
        <v>2982</v>
      </c>
      <c r="B2956" t="s">
        <v>24</v>
      </c>
      <c r="C2956">
        <v>3</v>
      </c>
      <c r="D2956">
        <v>46156915</v>
      </c>
      <c r="E2956">
        <v>2</v>
      </c>
      <c r="F2956">
        <v>11</v>
      </c>
      <c r="G2956">
        <v>238</v>
      </c>
      <c r="H2956">
        <v>40511495</v>
      </c>
      <c r="I2956">
        <v>939540</v>
      </c>
      <c r="J2956" t="s">
        <v>17</v>
      </c>
      <c r="K2956" t="s">
        <v>22</v>
      </c>
      <c r="L2956">
        <v>9</v>
      </c>
      <c r="M2956">
        <v>57.62</v>
      </c>
      <c r="N2956">
        <v>501675</v>
      </c>
      <c r="O2956">
        <v>1</v>
      </c>
    </row>
    <row r="2957" spans="1:15">
      <c r="A2957" t="s">
        <v>2983</v>
      </c>
      <c r="B2957" t="s">
        <v>20</v>
      </c>
      <c r="C2957">
        <v>0</v>
      </c>
      <c r="D2957">
        <v>48522712</v>
      </c>
      <c r="E2957">
        <v>3</v>
      </c>
      <c r="F2957">
        <v>21</v>
      </c>
      <c r="G2957">
        <v>580</v>
      </c>
      <c r="H2957">
        <v>20149993</v>
      </c>
      <c r="I2957">
        <v>514655</v>
      </c>
      <c r="J2957" t="s">
        <v>25</v>
      </c>
      <c r="K2957" t="s">
        <v>30</v>
      </c>
      <c r="L2957">
        <v>8</v>
      </c>
      <c r="M2957">
        <v>31.3</v>
      </c>
      <c r="N2957">
        <v>999866</v>
      </c>
      <c r="O2957">
        <v>1</v>
      </c>
    </row>
    <row r="2958" spans="1:15">
      <c r="A2958" t="s">
        <v>2984</v>
      </c>
      <c r="B2958" t="s">
        <v>24</v>
      </c>
      <c r="C2958">
        <v>11</v>
      </c>
      <c r="D2958">
        <v>44490182</v>
      </c>
      <c r="E2958">
        <v>1</v>
      </c>
      <c r="F2958">
        <v>2</v>
      </c>
      <c r="G2958">
        <v>402</v>
      </c>
      <c r="H2958">
        <v>71665363</v>
      </c>
      <c r="I2958">
        <v>208708</v>
      </c>
      <c r="J2958" t="s">
        <v>25</v>
      </c>
      <c r="K2958" t="s">
        <v>18</v>
      </c>
      <c r="L2958">
        <v>1</v>
      </c>
      <c r="M2958">
        <v>2.67</v>
      </c>
      <c r="N2958">
        <v>850818</v>
      </c>
      <c r="O2958">
        <v>1</v>
      </c>
    </row>
    <row r="2959" spans="1:15">
      <c r="A2959" t="s">
        <v>2985</v>
      </c>
      <c r="B2959" t="s">
        <v>38</v>
      </c>
      <c r="C2959">
        <v>4</v>
      </c>
      <c r="D2959">
        <v>19897090</v>
      </c>
      <c r="E2959">
        <v>4</v>
      </c>
      <c r="F2959">
        <v>11</v>
      </c>
      <c r="G2959">
        <v>286</v>
      </c>
      <c r="H2959">
        <v>48276723</v>
      </c>
      <c r="I2959">
        <v>461424</v>
      </c>
      <c r="J2959" t="s">
        <v>25</v>
      </c>
      <c r="K2959" t="s">
        <v>18</v>
      </c>
      <c r="L2959">
        <v>1</v>
      </c>
      <c r="M2959">
        <v>7.47</v>
      </c>
      <c r="N2959">
        <v>701417</v>
      </c>
      <c r="O2959">
        <v>1</v>
      </c>
    </row>
    <row r="2960" spans="1:15">
      <c r="A2960" t="s">
        <v>2986</v>
      </c>
      <c r="B2960" t="s">
        <v>38</v>
      </c>
      <c r="C2960">
        <v>9</v>
      </c>
      <c r="D2960">
        <v>39481372</v>
      </c>
      <c r="E2960">
        <v>3</v>
      </c>
      <c r="F2960">
        <v>13</v>
      </c>
      <c r="G2960">
        <v>405</v>
      </c>
      <c r="H2960">
        <v>86103349</v>
      </c>
      <c r="I2960">
        <v>169456</v>
      </c>
      <c r="J2960" t="s">
        <v>25</v>
      </c>
      <c r="K2960" t="s">
        <v>30</v>
      </c>
      <c r="L2960">
        <v>8</v>
      </c>
      <c r="M2960">
        <v>64.12</v>
      </c>
      <c r="N2960">
        <v>554295</v>
      </c>
      <c r="O2960">
        <v>1</v>
      </c>
    </row>
    <row r="2961" spans="1:15">
      <c r="A2961" t="s">
        <v>2987</v>
      </c>
      <c r="B2961" t="s">
        <v>29</v>
      </c>
      <c r="C2961">
        <v>2</v>
      </c>
      <c r="D2961">
        <v>27355124</v>
      </c>
      <c r="E2961">
        <v>3</v>
      </c>
      <c r="F2961">
        <v>24</v>
      </c>
      <c r="G2961">
        <v>744</v>
      </c>
      <c r="H2961">
        <v>70914908</v>
      </c>
      <c r="I2961">
        <v>142057</v>
      </c>
      <c r="J2961" t="s">
        <v>25</v>
      </c>
      <c r="K2961" t="s">
        <v>30</v>
      </c>
      <c r="L2961">
        <v>5</v>
      </c>
      <c r="M2961">
        <v>1.05</v>
      </c>
      <c r="N2961">
        <v>484150</v>
      </c>
      <c r="O2961">
        <v>1</v>
      </c>
    </row>
    <row r="2962" spans="1:15">
      <c r="A2962" t="s">
        <v>2988</v>
      </c>
      <c r="B2962" t="s">
        <v>27</v>
      </c>
      <c r="C2962">
        <v>14</v>
      </c>
      <c r="D2962">
        <v>32949374</v>
      </c>
      <c r="E2962">
        <v>1</v>
      </c>
      <c r="F2962">
        <v>10</v>
      </c>
      <c r="G2962">
        <v>307</v>
      </c>
      <c r="H2962">
        <v>82070208</v>
      </c>
      <c r="I2962">
        <v>986039</v>
      </c>
      <c r="J2962" t="s">
        <v>25</v>
      </c>
      <c r="K2962" t="s">
        <v>30</v>
      </c>
      <c r="L2962">
        <v>1</v>
      </c>
      <c r="M2962">
        <v>63.94</v>
      </c>
      <c r="N2962">
        <v>48360</v>
      </c>
      <c r="O2962">
        <v>1</v>
      </c>
    </row>
    <row r="2963" spans="1:15">
      <c r="A2963" t="s">
        <v>2989</v>
      </c>
      <c r="B2963" t="s">
        <v>38</v>
      </c>
      <c r="C2963">
        <v>13</v>
      </c>
      <c r="D2963">
        <v>32498032</v>
      </c>
      <c r="E2963">
        <v>4</v>
      </c>
      <c r="F2963">
        <v>11</v>
      </c>
      <c r="G2963">
        <v>210</v>
      </c>
      <c r="H2963">
        <v>47131398</v>
      </c>
      <c r="I2963">
        <v>605597</v>
      </c>
      <c r="J2963" t="s">
        <v>25</v>
      </c>
      <c r="K2963" t="s">
        <v>18</v>
      </c>
      <c r="L2963">
        <v>8</v>
      </c>
      <c r="M2963">
        <v>61.68</v>
      </c>
      <c r="N2963">
        <v>438494</v>
      </c>
      <c r="O2963">
        <v>1</v>
      </c>
    </row>
    <row r="2964" spans="1:15">
      <c r="A2964" t="s">
        <v>2990</v>
      </c>
      <c r="B2964" t="s">
        <v>16</v>
      </c>
      <c r="C2964">
        <v>11</v>
      </c>
      <c r="D2964">
        <v>18272499</v>
      </c>
      <c r="E2964">
        <v>1</v>
      </c>
      <c r="F2964">
        <v>15</v>
      </c>
      <c r="G2964">
        <v>387</v>
      </c>
      <c r="H2964">
        <v>40784643</v>
      </c>
      <c r="I2964">
        <v>407468</v>
      </c>
      <c r="J2964" t="s">
        <v>17</v>
      </c>
      <c r="K2964" t="s">
        <v>22</v>
      </c>
      <c r="L2964">
        <v>3</v>
      </c>
      <c r="M2964">
        <v>66.34</v>
      </c>
      <c r="N2964">
        <v>243106</v>
      </c>
      <c r="O2964">
        <v>1</v>
      </c>
    </row>
    <row r="2965" spans="1:15">
      <c r="A2965" t="s">
        <v>2991</v>
      </c>
      <c r="B2965" t="s">
        <v>27</v>
      </c>
      <c r="C2965">
        <v>13</v>
      </c>
      <c r="D2965">
        <v>4260741</v>
      </c>
      <c r="E2965">
        <v>1</v>
      </c>
      <c r="F2965">
        <v>27</v>
      </c>
      <c r="G2965">
        <v>972</v>
      </c>
      <c r="H2965">
        <v>82115551</v>
      </c>
      <c r="I2965">
        <v>368684</v>
      </c>
      <c r="J2965" t="s">
        <v>21</v>
      </c>
      <c r="K2965" t="s">
        <v>22</v>
      </c>
      <c r="L2965">
        <v>8</v>
      </c>
      <c r="M2965">
        <v>41.76</v>
      </c>
      <c r="N2965">
        <v>962222</v>
      </c>
      <c r="O2965">
        <v>1</v>
      </c>
    </row>
    <row r="2966" spans="1:15">
      <c r="A2966" t="s">
        <v>2992</v>
      </c>
      <c r="B2966" t="s">
        <v>20</v>
      </c>
      <c r="C2966">
        <v>1</v>
      </c>
      <c r="D2966">
        <v>12875318</v>
      </c>
      <c r="E2966">
        <v>3</v>
      </c>
      <c r="F2966">
        <v>10</v>
      </c>
      <c r="G2966">
        <v>319</v>
      </c>
      <c r="H2966">
        <v>17530687</v>
      </c>
      <c r="I2966">
        <v>725033</v>
      </c>
      <c r="J2966" t="s">
        <v>17</v>
      </c>
      <c r="K2966" t="s">
        <v>18</v>
      </c>
      <c r="L2966">
        <v>3</v>
      </c>
      <c r="M2966">
        <v>43.04</v>
      </c>
      <c r="N2966">
        <v>509362</v>
      </c>
      <c r="O2966">
        <v>1</v>
      </c>
    </row>
    <row r="2967" spans="1:15">
      <c r="A2967" t="s">
        <v>2993</v>
      </c>
      <c r="B2967" t="s">
        <v>20</v>
      </c>
      <c r="C2967">
        <v>14</v>
      </c>
      <c r="D2967">
        <v>10956780</v>
      </c>
      <c r="E2967">
        <v>3</v>
      </c>
      <c r="F2967">
        <v>29</v>
      </c>
      <c r="G2967">
        <v>659</v>
      </c>
      <c r="H2967">
        <v>78570448</v>
      </c>
      <c r="I2967">
        <v>840910</v>
      </c>
      <c r="J2967" t="s">
        <v>17</v>
      </c>
      <c r="K2967" t="s">
        <v>30</v>
      </c>
      <c r="L2967">
        <v>2</v>
      </c>
      <c r="M2967">
        <v>43.29</v>
      </c>
      <c r="N2967">
        <v>76495</v>
      </c>
      <c r="O2967">
        <v>1</v>
      </c>
    </row>
    <row r="2968" spans="1:15">
      <c r="A2968" t="s">
        <v>2994</v>
      </c>
      <c r="B2968" t="s">
        <v>27</v>
      </c>
      <c r="C2968">
        <v>10</v>
      </c>
      <c r="D2968">
        <v>13431406</v>
      </c>
      <c r="E2968">
        <v>2</v>
      </c>
      <c r="F2968">
        <v>17</v>
      </c>
      <c r="G2968">
        <v>161</v>
      </c>
      <c r="H2968">
        <v>50905227</v>
      </c>
      <c r="I2968">
        <v>62053</v>
      </c>
      <c r="J2968" t="s">
        <v>25</v>
      </c>
      <c r="K2968" t="s">
        <v>22</v>
      </c>
      <c r="L2968">
        <v>3</v>
      </c>
      <c r="M2968">
        <v>22.98</v>
      </c>
      <c r="N2968">
        <v>89093</v>
      </c>
      <c r="O2968">
        <v>1</v>
      </c>
    </row>
    <row r="2969" spans="1:15">
      <c r="A2969" t="s">
        <v>2995</v>
      </c>
      <c r="B2969" t="s">
        <v>27</v>
      </c>
      <c r="C2969">
        <v>14</v>
      </c>
      <c r="D2969">
        <v>37524264</v>
      </c>
      <c r="E2969">
        <v>3</v>
      </c>
      <c r="F2969">
        <v>5</v>
      </c>
      <c r="G2969">
        <v>896</v>
      </c>
      <c r="H2969">
        <v>54223395</v>
      </c>
      <c r="I2969">
        <v>8419</v>
      </c>
      <c r="J2969" t="s">
        <v>17</v>
      </c>
      <c r="K2969" t="s">
        <v>30</v>
      </c>
      <c r="L2969">
        <v>8</v>
      </c>
      <c r="M2969">
        <v>28.71</v>
      </c>
      <c r="N2969">
        <v>608158</v>
      </c>
      <c r="O2969">
        <v>1</v>
      </c>
    </row>
    <row r="2970" spans="1:15">
      <c r="A2970" t="s">
        <v>2996</v>
      </c>
      <c r="B2970" t="s">
        <v>32</v>
      </c>
      <c r="C2970">
        <v>14</v>
      </c>
      <c r="D2970">
        <v>40885474</v>
      </c>
      <c r="E2970">
        <v>2</v>
      </c>
      <c r="F2970">
        <v>9</v>
      </c>
      <c r="G2970">
        <v>336</v>
      </c>
      <c r="H2970">
        <v>94883301</v>
      </c>
      <c r="I2970">
        <v>91334</v>
      </c>
      <c r="J2970" t="s">
        <v>21</v>
      </c>
      <c r="K2970" t="s">
        <v>22</v>
      </c>
      <c r="L2970">
        <v>6</v>
      </c>
      <c r="M2970">
        <v>43.87</v>
      </c>
      <c r="N2970">
        <v>352379</v>
      </c>
      <c r="O2970">
        <v>1</v>
      </c>
    </row>
    <row r="2971" spans="1:15">
      <c r="A2971" t="s">
        <v>2997</v>
      </c>
      <c r="B2971" t="s">
        <v>32</v>
      </c>
      <c r="C2971">
        <v>7</v>
      </c>
      <c r="D2971">
        <v>30968494</v>
      </c>
      <c r="E2971">
        <v>1</v>
      </c>
      <c r="F2971">
        <v>7</v>
      </c>
      <c r="G2971">
        <v>430</v>
      </c>
      <c r="H2971">
        <v>75552694</v>
      </c>
      <c r="I2971">
        <v>410959</v>
      </c>
      <c r="J2971" t="s">
        <v>21</v>
      </c>
      <c r="K2971" t="s">
        <v>18</v>
      </c>
      <c r="L2971">
        <v>3</v>
      </c>
      <c r="M2971">
        <v>36.76</v>
      </c>
      <c r="N2971">
        <v>365013</v>
      </c>
      <c r="O2971">
        <v>1</v>
      </c>
    </row>
    <row r="2972" spans="1:15">
      <c r="A2972" t="s">
        <v>2998</v>
      </c>
      <c r="B2972" t="s">
        <v>27</v>
      </c>
      <c r="C2972">
        <v>3</v>
      </c>
      <c r="D2972">
        <v>33771659</v>
      </c>
      <c r="E2972">
        <v>3</v>
      </c>
      <c r="F2972">
        <v>12</v>
      </c>
      <c r="G2972">
        <v>858</v>
      </c>
      <c r="H2972">
        <v>47607540</v>
      </c>
      <c r="I2972">
        <v>768965</v>
      </c>
      <c r="J2972" t="s">
        <v>25</v>
      </c>
      <c r="K2972" t="s">
        <v>30</v>
      </c>
      <c r="L2972">
        <v>9</v>
      </c>
      <c r="M2972">
        <v>64.849999999999994</v>
      </c>
      <c r="N2972">
        <v>457743</v>
      </c>
      <c r="O2972">
        <v>1</v>
      </c>
    </row>
    <row r="2973" spans="1:15">
      <c r="A2973" t="s">
        <v>2999</v>
      </c>
      <c r="B2973" t="s">
        <v>27</v>
      </c>
      <c r="C2973">
        <v>14</v>
      </c>
      <c r="D2973">
        <v>7446299</v>
      </c>
      <c r="E2973">
        <v>3</v>
      </c>
      <c r="F2973">
        <v>8</v>
      </c>
      <c r="G2973">
        <v>740</v>
      </c>
      <c r="H2973">
        <v>33440192</v>
      </c>
      <c r="I2973">
        <v>873467</v>
      </c>
      <c r="J2973" t="s">
        <v>25</v>
      </c>
      <c r="K2973" t="s">
        <v>22</v>
      </c>
      <c r="L2973">
        <v>4</v>
      </c>
      <c r="M2973">
        <v>21.24</v>
      </c>
      <c r="N2973">
        <v>616242</v>
      </c>
      <c r="O2973">
        <v>1</v>
      </c>
    </row>
    <row r="2974" spans="1:15">
      <c r="A2974" t="s">
        <v>3000</v>
      </c>
      <c r="B2974" t="s">
        <v>32</v>
      </c>
      <c r="C2974">
        <v>12</v>
      </c>
      <c r="D2974">
        <v>39401690</v>
      </c>
      <c r="E2974">
        <v>4</v>
      </c>
      <c r="F2974">
        <v>0</v>
      </c>
      <c r="G2974">
        <v>588</v>
      </c>
      <c r="H2974">
        <v>21939598</v>
      </c>
      <c r="I2974">
        <v>245659</v>
      </c>
      <c r="J2974" t="s">
        <v>21</v>
      </c>
      <c r="K2974" t="s">
        <v>18</v>
      </c>
      <c r="L2974">
        <v>9</v>
      </c>
      <c r="M2974">
        <v>15.02</v>
      </c>
      <c r="N2974">
        <v>960281</v>
      </c>
      <c r="O2974">
        <v>1</v>
      </c>
    </row>
    <row r="2975" spans="1:15">
      <c r="A2975" t="s">
        <v>3001</v>
      </c>
      <c r="B2975" t="s">
        <v>32</v>
      </c>
      <c r="C2975">
        <v>5</v>
      </c>
      <c r="D2975">
        <v>44230167</v>
      </c>
      <c r="E2975">
        <v>3</v>
      </c>
      <c r="F2975">
        <v>4</v>
      </c>
      <c r="G2975">
        <v>263</v>
      </c>
      <c r="H2975">
        <v>38828448</v>
      </c>
      <c r="I2975">
        <v>917792</v>
      </c>
      <c r="J2975" t="s">
        <v>17</v>
      </c>
      <c r="K2975" t="s">
        <v>18</v>
      </c>
      <c r="L2975">
        <v>6</v>
      </c>
      <c r="M2975">
        <v>68.87</v>
      </c>
      <c r="N2975">
        <v>987969</v>
      </c>
      <c r="O2975">
        <v>1</v>
      </c>
    </row>
    <row r="2976" spans="1:15">
      <c r="A2976" t="s">
        <v>3002</v>
      </c>
      <c r="B2976" t="s">
        <v>29</v>
      </c>
      <c r="C2976">
        <v>7</v>
      </c>
      <c r="D2976">
        <v>17323984</v>
      </c>
      <c r="E2976">
        <v>2</v>
      </c>
      <c r="F2976">
        <v>22</v>
      </c>
      <c r="G2976">
        <v>677</v>
      </c>
      <c r="H2976">
        <v>20391570</v>
      </c>
      <c r="I2976">
        <v>190166</v>
      </c>
      <c r="J2976" t="s">
        <v>25</v>
      </c>
      <c r="K2976" t="s">
        <v>30</v>
      </c>
      <c r="L2976">
        <v>7</v>
      </c>
      <c r="M2976">
        <v>76.290000000000006</v>
      </c>
      <c r="N2976">
        <v>362715</v>
      </c>
      <c r="O2976">
        <v>1</v>
      </c>
    </row>
    <row r="2977" spans="1:15">
      <c r="A2977" t="s">
        <v>3003</v>
      </c>
      <c r="B2977" t="s">
        <v>29</v>
      </c>
      <c r="C2977">
        <v>4</v>
      </c>
      <c r="D2977">
        <v>36201127</v>
      </c>
      <c r="E2977">
        <v>4</v>
      </c>
      <c r="F2977">
        <v>16</v>
      </c>
      <c r="G2977">
        <v>174</v>
      </c>
      <c r="H2977">
        <v>78083232</v>
      </c>
      <c r="I2977">
        <v>403073</v>
      </c>
      <c r="J2977" t="s">
        <v>17</v>
      </c>
      <c r="K2977" t="s">
        <v>30</v>
      </c>
      <c r="L2977">
        <v>5</v>
      </c>
      <c r="M2977">
        <v>42.84</v>
      </c>
      <c r="N2977">
        <v>549260</v>
      </c>
      <c r="O2977">
        <v>1</v>
      </c>
    </row>
    <row r="2978" spans="1:15">
      <c r="A2978" t="s">
        <v>3004</v>
      </c>
      <c r="B2978" t="s">
        <v>29</v>
      </c>
      <c r="C2978">
        <v>4</v>
      </c>
      <c r="D2978">
        <v>15884080</v>
      </c>
      <c r="E2978">
        <v>1</v>
      </c>
      <c r="F2978">
        <v>4</v>
      </c>
      <c r="G2978">
        <v>281</v>
      </c>
      <c r="H2978">
        <v>68911256</v>
      </c>
      <c r="I2978">
        <v>591696</v>
      </c>
      <c r="J2978" t="s">
        <v>17</v>
      </c>
      <c r="K2978" t="s">
        <v>18</v>
      </c>
      <c r="L2978">
        <v>1</v>
      </c>
      <c r="M2978">
        <v>42.7</v>
      </c>
      <c r="N2978">
        <v>321390</v>
      </c>
      <c r="O2978">
        <v>1</v>
      </c>
    </row>
    <row r="2979" spans="1:15">
      <c r="A2979" t="s">
        <v>3005</v>
      </c>
      <c r="B2979" t="s">
        <v>32</v>
      </c>
      <c r="C2979">
        <v>7</v>
      </c>
      <c r="D2979">
        <v>20649547</v>
      </c>
      <c r="E2979">
        <v>1</v>
      </c>
      <c r="F2979">
        <v>2</v>
      </c>
      <c r="G2979">
        <v>310</v>
      </c>
      <c r="H2979">
        <v>73145524</v>
      </c>
      <c r="I2979">
        <v>46818</v>
      </c>
      <c r="J2979" t="s">
        <v>21</v>
      </c>
      <c r="K2979" t="s">
        <v>22</v>
      </c>
      <c r="L2979">
        <v>3</v>
      </c>
      <c r="M2979">
        <v>88.38</v>
      </c>
      <c r="N2979">
        <v>456880</v>
      </c>
      <c r="O2979">
        <v>1</v>
      </c>
    </row>
    <row r="2980" spans="1:15">
      <c r="A2980" t="s">
        <v>3006</v>
      </c>
      <c r="B2980" t="s">
        <v>29</v>
      </c>
      <c r="C2980">
        <v>9</v>
      </c>
      <c r="D2980">
        <v>30748600</v>
      </c>
      <c r="E2980">
        <v>3</v>
      </c>
      <c r="F2980">
        <v>23</v>
      </c>
      <c r="G2980">
        <v>690</v>
      </c>
      <c r="H2980">
        <v>64115584</v>
      </c>
      <c r="I2980">
        <v>350761</v>
      </c>
      <c r="J2980" t="s">
        <v>21</v>
      </c>
      <c r="K2980" t="s">
        <v>30</v>
      </c>
      <c r="L2980">
        <v>7</v>
      </c>
      <c r="M2980">
        <v>1.79</v>
      </c>
      <c r="N2980">
        <v>570022</v>
      </c>
      <c r="O2980">
        <v>1</v>
      </c>
    </row>
    <row r="2981" spans="1:15">
      <c r="A2981" t="s">
        <v>3007</v>
      </c>
      <c r="B2981" t="s">
        <v>32</v>
      </c>
      <c r="C2981">
        <v>8</v>
      </c>
      <c r="D2981">
        <v>31580506</v>
      </c>
      <c r="E2981">
        <v>3</v>
      </c>
      <c r="F2981">
        <v>2</v>
      </c>
      <c r="G2981">
        <v>612</v>
      </c>
      <c r="H2981">
        <v>59283079</v>
      </c>
      <c r="I2981">
        <v>695114</v>
      </c>
      <c r="J2981" t="s">
        <v>17</v>
      </c>
      <c r="K2981" t="s">
        <v>30</v>
      </c>
      <c r="L2981">
        <v>7</v>
      </c>
      <c r="M2981">
        <v>91.62</v>
      </c>
      <c r="N2981">
        <v>365055</v>
      </c>
      <c r="O2981">
        <v>1</v>
      </c>
    </row>
    <row r="2982" spans="1:15">
      <c r="A2982" t="s">
        <v>3008</v>
      </c>
      <c r="B2982" t="s">
        <v>27</v>
      </c>
      <c r="C2982">
        <v>7</v>
      </c>
      <c r="D2982">
        <v>22887338</v>
      </c>
      <c r="E2982">
        <v>2</v>
      </c>
      <c r="F2982">
        <v>16</v>
      </c>
      <c r="G2982">
        <v>215</v>
      </c>
      <c r="H2982">
        <v>54059543</v>
      </c>
      <c r="I2982">
        <v>329864</v>
      </c>
      <c r="J2982" t="s">
        <v>25</v>
      </c>
      <c r="K2982" t="s">
        <v>18</v>
      </c>
      <c r="L2982">
        <v>1</v>
      </c>
      <c r="M2982">
        <v>68.61</v>
      </c>
      <c r="N2982">
        <v>898302</v>
      </c>
      <c r="O2982">
        <v>1</v>
      </c>
    </row>
    <row r="2983" spans="1:15">
      <c r="A2983" t="s">
        <v>3009</v>
      </c>
      <c r="B2983" t="s">
        <v>32</v>
      </c>
      <c r="C2983">
        <v>3</v>
      </c>
      <c r="D2983">
        <v>888990</v>
      </c>
      <c r="E2983">
        <v>2</v>
      </c>
      <c r="F2983">
        <v>28</v>
      </c>
      <c r="G2983">
        <v>316</v>
      </c>
      <c r="H2983">
        <v>28976659</v>
      </c>
      <c r="I2983">
        <v>510698</v>
      </c>
      <c r="J2983" t="s">
        <v>17</v>
      </c>
      <c r="K2983" t="s">
        <v>22</v>
      </c>
      <c r="L2983">
        <v>8</v>
      </c>
      <c r="M2983">
        <v>82.86</v>
      </c>
      <c r="N2983">
        <v>487730</v>
      </c>
      <c r="O2983">
        <v>1</v>
      </c>
    </row>
    <row r="2984" spans="1:15">
      <c r="A2984" t="s">
        <v>3010</v>
      </c>
      <c r="B2984" t="s">
        <v>32</v>
      </c>
      <c r="C2984">
        <v>2</v>
      </c>
      <c r="D2984">
        <v>38561351</v>
      </c>
      <c r="E2984">
        <v>4</v>
      </c>
      <c r="F2984">
        <v>21</v>
      </c>
      <c r="G2984">
        <v>946</v>
      </c>
      <c r="H2984">
        <v>4993532</v>
      </c>
      <c r="I2984">
        <v>80618</v>
      </c>
      <c r="J2984" t="s">
        <v>25</v>
      </c>
      <c r="K2984" t="s">
        <v>18</v>
      </c>
      <c r="L2984">
        <v>3</v>
      </c>
      <c r="M2984">
        <v>77.16</v>
      </c>
      <c r="N2984">
        <v>700683</v>
      </c>
      <c r="O2984">
        <v>1</v>
      </c>
    </row>
    <row r="2985" spans="1:15">
      <c r="A2985" t="s">
        <v>3011</v>
      </c>
      <c r="B2985" t="s">
        <v>16</v>
      </c>
      <c r="C2985">
        <v>7</v>
      </c>
      <c r="D2985">
        <v>19990217</v>
      </c>
      <c r="E2985">
        <v>4</v>
      </c>
      <c r="F2985">
        <v>24</v>
      </c>
      <c r="G2985">
        <v>675</v>
      </c>
      <c r="H2985">
        <v>73357467</v>
      </c>
      <c r="I2985">
        <v>794186</v>
      </c>
      <c r="J2985" t="s">
        <v>17</v>
      </c>
      <c r="K2985" t="s">
        <v>22</v>
      </c>
      <c r="L2985">
        <v>6</v>
      </c>
      <c r="M2985">
        <v>33.020000000000003</v>
      </c>
      <c r="N2985">
        <v>421809</v>
      </c>
      <c r="O2985">
        <v>1</v>
      </c>
    </row>
    <row r="2986" spans="1:15">
      <c r="A2986" t="s">
        <v>3012</v>
      </c>
      <c r="B2986" t="s">
        <v>16</v>
      </c>
      <c r="C2986">
        <v>11</v>
      </c>
      <c r="D2986">
        <v>6189401</v>
      </c>
      <c r="E2986">
        <v>4</v>
      </c>
      <c r="F2986">
        <v>29</v>
      </c>
      <c r="G2986">
        <v>55</v>
      </c>
      <c r="H2986">
        <v>75862715</v>
      </c>
      <c r="I2986">
        <v>817017</v>
      </c>
      <c r="J2986" t="s">
        <v>17</v>
      </c>
      <c r="K2986" t="s">
        <v>30</v>
      </c>
      <c r="L2986">
        <v>3</v>
      </c>
      <c r="M2986">
        <v>97.77</v>
      </c>
      <c r="N2986">
        <v>620535</v>
      </c>
      <c r="O2986">
        <v>1</v>
      </c>
    </row>
    <row r="2987" spans="1:15">
      <c r="A2987" t="s">
        <v>3013</v>
      </c>
      <c r="B2987" t="s">
        <v>27</v>
      </c>
      <c r="C2987">
        <v>8</v>
      </c>
      <c r="D2987">
        <v>47754676</v>
      </c>
      <c r="E2987">
        <v>1</v>
      </c>
      <c r="F2987">
        <v>13</v>
      </c>
      <c r="G2987">
        <v>505</v>
      </c>
      <c r="H2987">
        <v>20648117</v>
      </c>
      <c r="I2987">
        <v>11215</v>
      </c>
      <c r="J2987" t="s">
        <v>17</v>
      </c>
      <c r="K2987" t="s">
        <v>22</v>
      </c>
      <c r="L2987">
        <v>9</v>
      </c>
      <c r="M2987">
        <v>64.510000000000005</v>
      </c>
      <c r="N2987">
        <v>294329</v>
      </c>
      <c r="O2987">
        <v>1</v>
      </c>
    </row>
    <row r="2988" spans="1:15">
      <c r="A2988" t="s">
        <v>3014</v>
      </c>
      <c r="B2988" t="s">
        <v>32</v>
      </c>
      <c r="C2988">
        <v>2</v>
      </c>
      <c r="D2988">
        <v>26029158</v>
      </c>
      <c r="E2988">
        <v>1</v>
      </c>
      <c r="F2988">
        <v>20</v>
      </c>
      <c r="G2988">
        <v>341</v>
      </c>
      <c r="H2988">
        <v>26651954</v>
      </c>
      <c r="I2988">
        <v>487461</v>
      </c>
      <c r="J2988" t="s">
        <v>21</v>
      </c>
      <c r="K2988" t="s">
        <v>22</v>
      </c>
      <c r="L2988">
        <v>7</v>
      </c>
      <c r="M2988">
        <v>69.44</v>
      </c>
      <c r="N2988">
        <v>898756</v>
      </c>
      <c r="O2988">
        <v>1</v>
      </c>
    </row>
    <row r="2989" spans="1:15">
      <c r="A2989" t="s">
        <v>3015</v>
      </c>
      <c r="B2989" t="s">
        <v>16</v>
      </c>
      <c r="C2989">
        <v>9</v>
      </c>
      <c r="D2989">
        <v>11755474</v>
      </c>
      <c r="E2989">
        <v>3</v>
      </c>
      <c r="F2989">
        <v>4</v>
      </c>
      <c r="G2989">
        <v>692</v>
      </c>
      <c r="H2989">
        <v>23989080</v>
      </c>
      <c r="I2989">
        <v>364124</v>
      </c>
      <c r="J2989" t="s">
        <v>25</v>
      </c>
      <c r="K2989" t="s">
        <v>30</v>
      </c>
      <c r="L2989">
        <v>6</v>
      </c>
      <c r="M2989">
        <v>62.16</v>
      </c>
      <c r="N2989">
        <v>446361</v>
      </c>
      <c r="O2989">
        <v>1</v>
      </c>
    </row>
    <row r="2990" spans="1:15">
      <c r="A2990" t="s">
        <v>3016</v>
      </c>
      <c r="B2990" t="s">
        <v>32</v>
      </c>
      <c r="C2990">
        <v>3</v>
      </c>
      <c r="D2990">
        <v>45710933</v>
      </c>
      <c r="E2990">
        <v>3</v>
      </c>
      <c r="F2990">
        <v>5</v>
      </c>
      <c r="G2990">
        <v>883</v>
      </c>
      <c r="H2990">
        <v>58775760</v>
      </c>
      <c r="I2990">
        <v>178589</v>
      </c>
      <c r="J2990" t="s">
        <v>17</v>
      </c>
      <c r="K2990" t="s">
        <v>22</v>
      </c>
      <c r="L2990">
        <v>5</v>
      </c>
      <c r="M2990">
        <v>77.45</v>
      </c>
      <c r="N2990">
        <v>295320</v>
      </c>
      <c r="O2990">
        <v>1</v>
      </c>
    </row>
    <row r="2991" spans="1:15">
      <c r="A2991" t="s">
        <v>3017</v>
      </c>
      <c r="B2991" t="s">
        <v>27</v>
      </c>
      <c r="C2991">
        <v>13</v>
      </c>
      <c r="D2991">
        <v>4206132</v>
      </c>
      <c r="E2991">
        <v>3</v>
      </c>
      <c r="F2991">
        <v>3</v>
      </c>
      <c r="G2991">
        <v>623</v>
      </c>
      <c r="H2991">
        <v>869235</v>
      </c>
      <c r="I2991">
        <v>636814</v>
      </c>
      <c r="J2991" t="s">
        <v>21</v>
      </c>
      <c r="K2991" t="s">
        <v>18</v>
      </c>
      <c r="L2991">
        <v>1</v>
      </c>
      <c r="M2991">
        <v>52.21</v>
      </c>
      <c r="N2991">
        <v>410313</v>
      </c>
      <c r="O2991">
        <v>1</v>
      </c>
    </row>
    <row r="2992" spans="1:15">
      <c r="A2992" t="s">
        <v>3018</v>
      </c>
      <c r="B2992" t="s">
        <v>38</v>
      </c>
      <c r="C2992">
        <v>13</v>
      </c>
      <c r="D2992">
        <v>22376934</v>
      </c>
      <c r="E2992">
        <v>2</v>
      </c>
      <c r="F2992">
        <v>20</v>
      </c>
      <c r="G2992">
        <v>464</v>
      </c>
      <c r="H2992">
        <v>1268039</v>
      </c>
      <c r="I2992">
        <v>103663</v>
      </c>
      <c r="J2992" t="s">
        <v>21</v>
      </c>
      <c r="K2992" t="s">
        <v>30</v>
      </c>
      <c r="L2992">
        <v>6</v>
      </c>
      <c r="M2992">
        <v>56.08</v>
      </c>
      <c r="N2992">
        <v>21162</v>
      </c>
      <c r="O2992">
        <v>1</v>
      </c>
    </row>
    <row r="2993" spans="1:15">
      <c r="A2993" t="s">
        <v>3019</v>
      </c>
      <c r="B2993" t="s">
        <v>16</v>
      </c>
      <c r="C2993">
        <v>8</v>
      </c>
      <c r="D2993">
        <v>24589306</v>
      </c>
      <c r="E2993">
        <v>3</v>
      </c>
      <c r="F2993">
        <v>29</v>
      </c>
      <c r="G2993">
        <v>752</v>
      </c>
      <c r="H2993">
        <v>73986501</v>
      </c>
      <c r="I2993">
        <v>542621</v>
      </c>
      <c r="J2993" t="s">
        <v>17</v>
      </c>
      <c r="K2993" t="s">
        <v>22</v>
      </c>
      <c r="L2993">
        <v>3</v>
      </c>
      <c r="M2993">
        <v>87.88</v>
      </c>
      <c r="N2993">
        <v>922515</v>
      </c>
      <c r="O2993">
        <v>1</v>
      </c>
    </row>
    <row r="2994" spans="1:15">
      <c r="A2994" t="s">
        <v>3020</v>
      </c>
      <c r="B2994" t="s">
        <v>27</v>
      </c>
      <c r="C2994">
        <v>9</v>
      </c>
      <c r="D2994">
        <v>1597874</v>
      </c>
      <c r="E2994">
        <v>2</v>
      </c>
      <c r="F2994">
        <v>2</v>
      </c>
      <c r="G2994">
        <v>779</v>
      </c>
      <c r="H2994">
        <v>61663605</v>
      </c>
      <c r="I2994">
        <v>67489</v>
      </c>
      <c r="J2994" t="s">
        <v>21</v>
      </c>
      <c r="K2994" t="s">
        <v>30</v>
      </c>
      <c r="L2994">
        <v>2</v>
      </c>
      <c r="M2994">
        <v>45.63</v>
      </c>
      <c r="N2994">
        <v>815371</v>
      </c>
      <c r="O2994">
        <v>1</v>
      </c>
    </row>
    <row r="2995" spans="1:15">
      <c r="A2995" t="s">
        <v>3021</v>
      </c>
      <c r="B2995" t="s">
        <v>29</v>
      </c>
      <c r="C2995">
        <v>10</v>
      </c>
      <c r="D2995">
        <v>17222829</v>
      </c>
      <c r="E2995">
        <v>1</v>
      </c>
      <c r="F2995">
        <v>21</v>
      </c>
      <c r="G2995">
        <v>928</v>
      </c>
      <c r="H2995">
        <v>51123042</v>
      </c>
      <c r="I2995">
        <v>338278</v>
      </c>
      <c r="J2995" t="s">
        <v>21</v>
      </c>
      <c r="K2995" t="s">
        <v>30</v>
      </c>
      <c r="L2995">
        <v>3</v>
      </c>
      <c r="M2995">
        <v>72.2</v>
      </c>
      <c r="N2995">
        <v>757911</v>
      </c>
      <c r="O2995">
        <v>1</v>
      </c>
    </row>
    <row r="2996" spans="1:15">
      <c r="A2996" t="s">
        <v>3022</v>
      </c>
      <c r="B2996" t="s">
        <v>20</v>
      </c>
      <c r="C2996">
        <v>1</v>
      </c>
      <c r="D2996">
        <v>35712162</v>
      </c>
      <c r="E2996">
        <v>4</v>
      </c>
      <c r="F2996">
        <v>12</v>
      </c>
      <c r="G2996">
        <v>726</v>
      </c>
      <c r="H2996">
        <v>29786771</v>
      </c>
      <c r="I2996">
        <v>128258</v>
      </c>
      <c r="J2996" t="s">
        <v>21</v>
      </c>
      <c r="K2996" t="s">
        <v>18</v>
      </c>
      <c r="L2996">
        <v>5</v>
      </c>
      <c r="M2996">
        <v>14.53</v>
      </c>
      <c r="N2996">
        <v>191223</v>
      </c>
      <c r="O2996">
        <v>1</v>
      </c>
    </row>
    <row r="2997" spans="1:15">
      <c r="A2997" t="s">
        <v>3023</v>
      </c>
      <c r="B2997" t="s">
        <v>16</v>
      </c>
      <c r="C2997">
        <v>7</v>
      </c>
      <c r="D2997">
        <v>34852672</v>
      </c>
      <c r="E2997">
        <v>1</v>
      </c>
      <c r="F2997">
        <v>28</v>
      </c>
      <c r="G2997">
        <v>747</v>
      </c>
      <c r="H2997">
        <v>39722144</v>
      </c>
      <c r="I2997">
        <v>149367</v>
      </c>
      <c r="J2997" t="s">
        <v>17</v>
      </c>
      <c r="K2997" t="s">
        <v>30</v>
      </c>
      <c r="L2997">
        <v>8</v>
      </c>
      <c r="M2997">
        <v>86.24</v>
      </c>
      <c r="N2997">
        <v>50829</v>
      </c>
      <c r="O2997">
        <v>1</v>
      </c>
    </row>
    <row r="2998" spans="1:15">
      <c r="A2998" t="s">
        <v>3024</v>
      </c>
      <c r="B2998" t="s">
        <v>16</v>
      </c>
      <c r="C2998">
        <v>2</v>
      </c>
      <c r="D2998">
        <v>21140792</v>
      </c>
      <c r="E2998">
        <v>1</v>
      </c>
      <c r="F2998">
        <v>13</v>
      </c>
      <c r="G2998">
        <v>395</v>
      </c>
      <c r="H2998">
        <v>45700722</v>
      </c>
      <c r="I2998">
        <v>262456</v>
      </c>
      <c r="J2998" t="s">
        <v>25</v>
      </c>
      <c r="K2998" t="s">
        <v>22</v>
      </c>
      <c r="L2998">
        <v>2</v>
      </c>
      <c r="M2998">
        <v>70.099999999999994</v>
      </c>
      <c r="N2998">
        <v>510047</v>
      </c>
      <c r="O2998">
        <v>1</v>
      </c>
    </row>
    <row r="2999" spans="1:15">
      <c r="A2999" t="s">
        <v>3025</v>
      </c>
      <c r="B2999" t="s">
        <v>16</v>
      </c>
      <c r="C2999">
        <v>0</v>
      </c>
      <c r="D2999">
        <v>43364717</v>
      </c>
      <c r="E2999">
        <v>4</v>
      </c>
      <c r="F2999">
        <v>1</v>
      </c>
      <c r="G2999">
        <v>505</v>
      </c>
      <c r="H2999">
        <v>18552372</v>
      </c>
      <c r="I2999">
        <v>93617</v>
      </c>
      <c r="J2999" t="s">
        <v>21</v>
      </c>
      <c r="K2999" t="s">
        <v>18</v>
      </c>
      <c r="L2999">
        <v>5</v>
      </c>
      <c r="M2999">
        <v>68.45</v>
      </c>
      <c r="N2999">
        <v>522751</v>
      </c>
      <c r="O2999">
        <v>1</v>
      </c>
    </row>
    <row r="3000" spans="1:15">
      <c r="A3000" t="s">
        <v>3026</v>
      </c>
      <c r="B3000" t="s">
        <v>38</v>
      </c>
      <c r="C3000">
        <v>6</v>
      </c>
      <c r="D3000">
        <v>16187479</v>
      </c>
      <c r="E3000">
        <v>2</v>
      </c>
      <c r="F3000">
        <v>16</v>
      </c>
      <c r="G3000">
        <v>800</v>
      </c>
      <c r="H3000">
        <v>94426630</v>
      </c>
      <c r="I3000">
        <v>623828</v>
      </c>
      <c r="J3000" t="s">
        <v>25</v>
      </c>
      <c r="K3000" t="s">
        <v>30</v>
      </c>
      <c r="L3000">
        <v>8</v>
      </c>
      <c r="M3000">
        <v>31.96</v>
      </c>
      <c r="N3000">
        <v>74051</v>
      </c>
      <c r="O3000">
        <v>1</v>
      </c>
    </row>
    <row r="3001" spans="1:15">
      <c r="A3001" t="s">
        <v>3027</v>
      </c>
      <c r="B3001" t="s">
        <v>16</v>
      </c>
      <c r="C3001">
        <v>5</v>
      </c>
      <c r="D3001">
        <v>5896402</v>
      </c>
      <c r="E3001">
        <v>4</v>
      </c>
      <c r="F3001">
        <v>4</v>
      </c>
      <c r="G3001">
        <v>584</v>
      </c>
      <c r="H3001">
        <v>37050657</v>
      </c>
      <c r="I3001">
        <v>823754</v>
      </c>
      <c r="J3001" t="s">
        <v>25</v>
      </c>
      <c r="K3001" t="s">
        <v>22</v>
      </c>
      <c r="L3001">
        <v>6</v>
      </c>
      <c r="M3001">
        <v>84.77</v>
      </c>
      <c r="N3001">
        <v>224403</v>
      </c>
      <c r="O3001">
        <v>1</v>
      </c>
    </row>
    <row r="3002" spans="1:15">
      <c r="A3002" t="s">
        <v>3028</v>
      </c>
      <c r="B3002" t="s">
        <v>29</v>
      </c>
      <c r="C3002">
        <v>14</v>
      </c>
      <c r="D3002">
        <v>48275999</v>
      </c>
      <c r="E3002">
        <v>1</v>
      </c>
      <c r="F3002">
        <v>12</v>
      </c>
      <c r="G3002">
        <v>457</v>
      </c>
      <c r="H3002">
        <v>32393708</v>
      </c>
      <c r="I3002">
        <v>299123</v>
      </c>
      <c r="J3002" t="s">
        <v>21</v>
      </c>
      <c r="K3002" t="s">
        <v>30</v>
      </c>
      <c r="L3002">
        <v>1</v>
      </c>
      <c r="M3002">
        <v>45.63</v>
      </c>
      <c r="N3002">
        <v>149723</v>
      </c>
      <c r="O3002">
        <v>1</v>
      </c>
    </row>
    <row r="3003" spans="1:15">
      <c r="A3003" t="s">
        <v>3029</v>
      </c>
      <c r="B3003" t="s">
        <v>24</v>
      </c>
      <c r="C3003">
        <v>11</v>
      </c>
      <c r="D3003">
        <v>5573397</v>
      </c>
      <c r="E3003">
        <v>1</v>
      </c>
      <c r="F3003">
        <v>19</v>
      </c>
      <c r="G3003">
        <v>381</v>
      </c>
      <c r="H3003">
        <v>87318952</v>
      </c>
      <c r="I3003">
        <v>194177</v>
      </c>
      <c r="J3003" t="s">
        <v>21</v>
      </c>
      <c r="K3003" t="s">
        <v>22</v>
      </c>
      <c r="L3003">
        <v>4</v>
      </c>
      <c r="M3003">
        <v>92.64</v>
      </c>
      <c r="N3003">
        <v>346483</v>
      </c>
      <c r="O3003">
        <v>1</v>
      </c>
    </row>
    <row r="3004" spans="1:15">
      <c r="A3004" t="s">
        <v>3030</v>
      </c>
      <c r="B3004" t="s">
        <v>20</v>
      </c>
      <c r="C3004">
        <v>4</v>
      </c>
      <c r="D3004">
        <v>44211649</v>
      </c>
      <c r="E3004">
        <v>2</v>
      </c>
      <c r="F3004">
        <v>28</v>
      </c>
      <c r="G3004">
        <v>534</v>
      </c>
      <c r="H3004">
        <v>46281943</v>
      </c>
      <c r="I3004">
        <v>855686</v>
      </c>
      <c r="J3004" t="s">
        <v>21</v>
      </c>
      <c r="K3004" t="s">
        <v>18</v>
      </c>
      <c r="L3004">
        <v>1</v>
      </c>
      <c r="M3004">
        <v>74.64</v>
      </c>
      <c r="N3004">
        <v>67749</v>
      </c>
      <c r="O3004">
        <v>1</v>
      </c>
    </row>
    <row r="3005" spans="1:15">
      <c r="A3005" t="s">
        <v>3031</v>
      </c>
      <c r="B3005" t="s">
        <v>20</v>
      </c>
      <c r="C3005">
        <v>7</v>
      </c>
      <c r="D3005">
        <v>31269735</v>
      </c>
      <c r="E3005">
        <v>3</v>
      </c>
      <c r="F3005">
        <v>27</v>
      </c>
      <c r="G3005">
        <v>963</v>
      </c>
      <c r="H3005">
        <v>28103168</v>
      </c>
      <c r="I3005">
        <v>45548</v>
      </c>
      <c r="J3005" t="s">
        <v>25</v>
      </c>
      <c r="K3005" t="s">
        <v>18</v>
      </c>
      <c r="L3005">
        <v>8</v>
      </c>
      <c r="M3005">
        <v>13.97</v>
      </c>
      <c r="N3005">
        <v>748151</v>
      </c>
      <c r="O3005">
        <v>1</v>
      </c>
    </row>
    <row r="3006" spans="1:15">
      <c r="A3006" t="s">
        <v>3032</v>
      </c>
      <c r="B3006" t="s">
        <v>29</v>
      </c>
      <c r="C3006">
        <v>14</v>
      </c>
      <c r="D3006">
        <v>45225570</v>
      </c>
      <c r="E3006">
        <v>2</v>
      </c>
      <c r="F3006">
        <v>18</v>
      </c>
      <c r="G3006">
        <v>107</v>
      </c>
      <c r="H3006">
        <v>2092209</v>
      </c>
      <c r="I3006">
        <v>980746</v>
      </c>
      <c r="J3006" t="s">
        <v>17</v>
      </c>
      <c r="K3006" t="s">
        <v>18</v>
      </c>
      <c r="L3006">
        <v>8</v>
      </c>
      <c r="M3006">
        <v>18.829999999999998</v>
      </c>
      <c r="N3006">
        <v>304795</v>
      </c>
      <c r="O3006">
        <v>1</v>
      </c>
    </row>
    <row r="3007" spans="1:15">
      <c r="A3007" t="s">
        <v>3033</v>
      </c>
      <c r="B3007" t="s">
        <v>32</v>
      </c>
      <c r="C3007">
        <v>9</v>
      </c>
      <c r="D3007">
        <v>30982796</v>
      </c>
      <c r="E3007">
        <v>2</v>
      </c>
      <c r="F3007">
        <v>4</v>
      </c>
      <c r="G3007">
        <v>968</v>
      </c>
      <c r="H3007">
        <v>90016441</v>
      </c>
      <c r="I3007">
        <v>636392</v>
      </c>
      <c r="J3007" t="s">
        <v>25</v>
      </c>
      <c r="K3007" t="s">
        <v>22</v>
      </c>
      <c r="L3007">
        <v>5</v>
      </c>
      <c r="M3007">
        <v>21.14</v>
      </c>
      <c r="N3007">
        <v>386822</v>
      </c>
      <c r="O3007">
        <v>1</v>
      </c>
    </row>
    <row r="3008" spans="1:15">
      <c r="A3008" t="s">
        <v>3034</v>
      </c>
      <c r="B3008" t="s">
        <v>24</v>
      </c>
      <c r="C3008">
        <v>0</v>
      </c>
      <c r="D3008">
        <v>41589854</v>
      </c>
      <c r="E3008">
        <v>2</v>
      </c>
      <c r="F3008">
        <v>26</v>
      </c>
      <c r="G3008">
        <v>982</v>
      </c>
      <c r="H3008">
        <v>13450798</v>
      </c>
      <c r="I3008">
        <v>273742</v>
      </c>
      <c r="J3008" t="s">
        <v>25</v>
      </c>
      <c r="K3008" t="s">
        <v>30</v>
      </c>
      <c r="L3008">
        <v>5</v>
      </c>
      <c r="M3008">
        <v>86.73</v>
      </c>
      <c r="N3008">
        <v>352461</v>
      </c>
      <c r="O3008">
        <v>1</v>
      </c>
    </row>
    <row r="3009" spans="1:15">
      <c r="A3009" t="s">
        <v>3035</v>
      </c>
      <c r="B3009" t="s">
        <v>29</v>
      </c>
      <c r="C3009">
        <v>10</v>
      </c>
      <c r="D3009">
        <v>6722951</v>
      </c>
      <c r="E3009">
        <v>2</v>
      </c>
      <c r="F3009">
        <v>23</v>
      </c>
      <c r="G3009">
        <v>218</v>
      </c>
      <c r="H3009">
        <v>94340678</v>
      </c>
      <c r="I3009">
        <v>271108</v>
      </c>
      <c r="J3009" t="s">
        <v>25</v>
      </c>
      <c r="K3009" t="s">
        <v>30</v>
      </c>
      <c r="L3009">
        <v>8</v>
      </c>
      <c r="M3009">
        <v>48.17</v>
      </c>
      <c r="N3009">
        <v>326177</v>
      </c>
      <c r="O3009">
        <v>1</v>
      </c>
    </row>
    <row r="3010" spans="1:15">
      <c r="A3010" t="s">
        <v>3036</v>
      </c>
      <c r="B3010" t="s">
        <v>20</v>
      </c>
      <c r="C3010">
        <v>2</v>
      </c>
      <c r="D3010">
        <v>23432049</v>
      </c>
      <c r="E3010">
        <v>2</v>
      </c>
      <c r="F3010">
        <v>4</v>
      </c>
      <c r="G3010">
        <v>852</v>
      </c>
      <c r="H3010">
        <v>61822018</v>
      </c>
      <c r="I3010">
        <v>467740</v>
      </c>
      <c r="J3010" t="s">
        <v>25</v>
      </c>
      <c r="K3010" t="s">
        <v>22</v>
      </c>
      <c r="L3010">
        <v>3</v>
      </c>
      <c r="M3010">
        <v>25.28</v>
      </c>
      <c r="N3010">
        <v>389074</v>
      </c>
      <c r="O3010">
        <v>1</v>
      </c>
    </row>
    <row r="3011" spans="1:15">
      <c r="A3011" t="s">
        <v>3037</v>
      </c>
      <c r="B3011" t="s">
        <v>32</v>
      </c>
      <c r="C3011">
        <v>0</v>
      </c>
      <c r="D3011">
        <v>11955950</v>
      </c>
      <c r="E3011">
        <v>4</v>
      </c>
      <c r="F3011">
        <v>29</v>
      </c>
      <c r="G3011">
        <v>326</v>
      </c>
      <c r="H3011">
        <v>80872613</v>
      </c>
      <c r="I3011">
        <v>104920</v>
      </c>
      <c r="J3011" t="s">
        <v>17</v>
      </c>
      <c r="K3011" t="s">
        <v>18</v>
      </c>
      <c r="L3011">
        <v>1</v>
      </c>
      <c r="M3011">
        <v>47.27</v>
      </c>
      <c r="N3011">
        <v>888587</v>
      </c>
      <c r="O3011">
        <v>1</v>
      </c>
    </row>
    <row r="3012" spans="1:15">
      <c r="A3012" t="s">
        <v>3038</v>
      </c>
      <c r="B3012" t="s">
        <v>20</v>
      </c>
      <c r="C3012">
        <v>14</v>
      </c>
      <c r="D3012">
        <v>11294214</v>
      </c>
      <c r="E3012">
        <v>2</v>
      </c>
      <c r="F3012">
        <v>19</v>
      </c>
      <c r="G3012">
        <v>14</v>
      </c>
      <c r="H3012">
        <v>91092738</v>
      </c>
      <c r="I3012">
        <v>85515</v>
      </c>
      <c r="J3012" t="s">
        <v>17</v>
      </c>
      <c r="K3012" t="s">
        <v>22</v>
      </c>
      <c r="L3012">
        <v>6</v>
      </c>
      <c r="M3012">
        <v>43.72</v>
      </c>
      <c r="N3012">
        <v>189997</v>
      </c>
      <c r="O3012">
        <v>1</v>
      </c>
    </row>
    <row r="3013" spans="1:15">
      <c r="A3013" t="s">
        <v>3039</v>
      </c>
      <c r="B3013" t="s">
        <v>32</v>
      </c>
      <c r="C3013">
        <v>1</v>
      </c>
      <c r="D3013">
        <v>35074027</v>
      </c>
      <c r="E3013">
        <v>3</v>
      </c>
      <c r="F3013">
        <v>2</v>
      </c>
      <c r="G3013">
        <v>175</v>
      </c>
      <c r="H3013">
        <v>46536605</v>
      </c>
      <c r="I3013">
        <v>482989</v>
      </c>
      <c r="J3013" t="s">
        <v>25</v>
      </c>
      <c r="K3013" t="s">
        <v>30</v>
      </c>
      <c r="L3013">
        <v>3</v>
      </c>
      <c r="M3013">
        <v>67.930000000000007</v>
      </c>
      <c r="N3013">
        <v>99542</v>
      </c>
      <c r="O3013">
        <v>1</v>
      </c>
    </row>
    <row r="3014" spans="1:15">
      <c r="A3014" t="s">
        <v>3040</v>
      </c>
      <c r="B3014" t="s">
        <v>24</v>
      </c>
      <c r="C3014">
        <v>12</v>
      </c>
      <c r="D3014">
        <v>5070551</v>
      </c>
      <c r="E3014">
        <v>2</v>
      </c>
      <c r="F3014">
        <v>10</v>
      </c>
      <c r="G3014">
        <v>179</v>
      </c>
      <c r="H3014">
        <v>94413810</v>
      </c>
      <c r="I3014">
        <v>122164</v>
      </c>
      <c r="J3014" t="s">
        <v>25</v>
      </c>
      <c r="K3014" t="s">
        <v>18</v>
      </c>
      <c r="L3014">
        <v>9</v>
      </c>
      <c r="M3014">
        <v>19</v>
      </c>
      <c r="N3014">
        <v>117521</v>
      </c>
      <c r="O3014">
        <v>1</v>
      </c>
    </row>
    <row r="3015" spans="1:15">
      <c r="A3015" t="s">
        <v>3041</v>
      </c>
      <c r="B3015" t="s">
        <v>24</v>
      </c>
      <c r="C3015">
        <v>2</v>
      </c>
      <c r="D3015">
        <v>38255805</v>
      </c>
      <c r="E3015">
        <v>3</v>
      </c>
      <c r="F3015">
        <v>21</v>
      </c>
      <c r="G3015">
        <v>743</v>
      </c>
      <c r="H3015">
        <v>49996868</v>
      </c>
      <c r="I3015">
        <v>425275</v>
      </c>
      <c r="J3015" t="s">
        <v>25</v>
      </c>
      <c r="K3015" t="s">
        <v>18</v>
      </c>
      <c r="L3015">
        <v>3</v>
      </c>
      <c r="M3015">
        <v>7.69</v>
      </c>
      <c r="N3015">
        <v>789531</v>
      </c>
      <c r="O3015">
        <v>1</v>
      </c>
    </row>
    <row r="3016" spans="1:15">
      <c r="A3016" t="s">
        <v>3042</v>
      </c>
      <c r="B3016" t="s">
        <v>27</v>
      </c>
      <c r="C3016">
        <v>8</v>
      </c>
      <c r="D3016">
        <v>24366221</v>
      </c>
      <c r="E3016">
        <v>4</v>
      </c>
      <c r="F3016">
        <v>26</v>
      </c>
      <c r="G3016">
        <v>345</v>
      </c>
      <c r="H3016">
        <v>85028843</v>
      </c>
      <c r="I3016">
        <v>782808</v>
      </c>
      <c r="J3016" t="s">
        <v>21</v>
      </c>
      <c r="K3016" t="s">
        <v>18</v>
      </c>
      <c r="L3016">
        <v>6</v>
      </c>
      <c r="M3016">
        <v>79.38</v>
      </c>
      <c r="N3016">
        <v>410017</v>
      </c>
      <c r="O3016">
        <v>1</v>
      </c>
    </row>
    <row r="3017" spans="1:15">
      <c r="A3017" t="s">
        <v>3043</v>
      </c>
      <c r="B3017" t="s">
        <v>38</v>
      </c>
      <c r="C3017">
        <v>1</v>
      </c>
      <c r="D3017">
        <v>40958543</v>
      </c>
      <c r="E3017">
        <v>4</v>
      </c>
      <c r="F3017">
        <v>17</v>
      </c>
      <c r="G3017">
        <v>643</v>
      </c>
      <c r="H3017">
        <v>55579437</v>
      </c>
      <c r="I3017">
        <v>902654</v>
      </c>
      <c r="J3017" t="s">
        <v>17</v>
      </c>
      <c r="K3017" t="s">
        <v>30</v>
      </c>
      <c r="L3017">
        <v>8</v>
      </c>
      <c r="M3017">
        <v>88.9</v>
      </c>
      <c r="N3017">
        <v>489707</v>
      </c>
      <c r="O3017">
        <v>1</v>
      </c>
    </row>
    <row r="3018" spans="1:15">
      <c r="A3018" t="s">
        <v>3044</v>
      </c>
      <c r="B3018" t="s">
        <v>27</v>
      </c>
      <c r="C3018">
        <v>9</v>
      </c>
      <c r="D3018">
        <v>9775179</v>
      </c>
      <c r="E3018">
        <v>2</v>
      </c>
      <c r="F3018">
        <v>22</v>
      </c>
      <c r="G3018">
        <v>769</v>
      </c>
      <c r="H3018">
        <v>73189055</v>
      </c>
      <c r="I3018">
        <v>548642</v>
      </c>
      <c r="J3018" t="s">
        <v>21</v>
      </c>
      <c r="K3018" t="s">
        <v>18</v>
      </c>
      <c r="L3018">
        <v>2</v>
      </c>
      <c r="M3018">
        <v>5.23</v>
      </c>
      <c r="N3018">
        <v>451503</v>
      </c>
      <c r="O3018">
        <v>1</v>
      </c>
    </row>
    <row r="3019" spans="1:15">
      <c r="A3019" t="s">
        <v>3045</v>
      </c>
      <c r="B3019" t="s">
        <v>32</v>
      </c>
      <c r="C3019">
        <v>5</v>
      </c>
      <c r="D3019">
        <v>34062906</v>
      </c>
      <c r="E3019">
        <v>3</v>
      </c>
      <c r="F3019">
        <v>17</v>
      </c>
      <c r="G3019">
        <v>625</v>
      </c>
      <c r="H3019">
        <v>34180296</v>
      </c>
      <c r="I3019">
        <v>310797</v>
      </c>
      <c r="J3019" t="s">
        <v>21</v>
      </c>
      <c r="K3019" t="s">
        <v>22</v>
      </c>
      <c r="L3019">
        <v>7</v>
      </c>
      <c r="M3019">
        <v>48.38</v>
      </c>
      <c r="N3019">
        <v>857685</v>
      </c>
      <c r="O3019">
        <v>1</v>
      </c>
    </row>
    <row r="3020" spans="1:15">
      <c r="A3020" t="s">
        <v>3046</v>
      </c>
      <c r="B3020" t="s">
        <v>27</v>
      </c>
      <c r="C3020">
        <v>10</v>
      </c>
      <c r="D3020">
        <v>44813318</v>
      </c>
      <c r="E3020">
        <v>4</v>
      </c>
      <c r="F3020">
        <v>27</v>
      </c>
      <c r="G3020">
        <v>640</v>
      </c>
      <c r="H3020">
        <v>7051774</v>
      </c>
      <c r="I3020">
        <v>399385</v>
      </c>
      <c r="J3020" t="s">
        <v>17</v>
      </c>
      <c r="K3020" t="s">
        <v>18</v>
      </c>
      <c r="L3020">
        <v>5</v>
      </c>
      <c r="M3020">
        <v>59.2</v>
      </c>
      <c r="N3020">
        <v>227869</v>
      </c>
      <c r="O3020">
        <v>1</v>
      </c>
    </row>
    <row r="3021" spans="1:15">
      <c r="A3021" t="s">
        <v>3047</v>
      </c>
      <c r="B3021" t="s">
        <v>27</v>
      </c>
      <c r="C3021">
        <v>13</v>
      </c>
      <c r="D3021">
        <v>16315012</v>
      </c>
      <c r="E3021">
        <v>4</v>
      </c>
      <c r="F3021">
        <v>25</v>
      </c>
      <c r="G3021">
        <v>556</v>
      </c>
      <c r="H3021">
        <v>47726296</v>
      </c>
      <c r="I3021">
        <v>483928</v>
      </c>
      <c r="J3021" t="s">
        <v>17</v>
      </c>
      <c r="K3021" t="s">
        <v>22</v>
      </c>
      <c r="L3021">
        <v>9</v>
      </c>
      <c r="M3021">
        <v>67.86</v>
      </c>
      <c r="N3021">
        <v>37632</v>
      </c>
      <c r="O3021">
        <v>1</v>
      </c>
    </row>
    <row r="3022" spans="1:15">
      <c r="A3022" t="s">
        <v>3048</v>
      </c>
      <c r="B3022" t="s">
        <v>20</v>
      </c>
      <c r="C3022">
        <v>7</v>
      </c>
      <c r="D3022">
        <v>23111690</v>
      </c>
      <c r="E3022">
        <v>1</v>
      </c>
      <c r="F3022">
        <v>14</v>
      </c>
      <c r="G3022">
        <v>595</v>
      </c>
      <c r="H3022">
        <v>86690829</v>
      </c>
      <c r="I3022">
        <v>361282</v>
      </c>
      <c r="J3022" t="s">
        <v>21</v>
      </c>
      <c r="K3022" t="s">
        <v>22</v>
      </c>
      <c r="L3022">
        <v>5</v>
      </c>
      <c r="M3022">
        <v>0.84</v>
      </c>
      <c r="N3022">
        <v>324009</v>
      </c>
      <c r="O3022">
        <v>1</v>
      </c>
    </row>
    <row r="3023" spans="1:15">
      <c r="A3023" t="s">
        <v>3049</v>
      </c>
      <c r="B3023" t="s">
        <v>16</v>
      </c>
      <c r="C3023">
        <v>13</v>
      </c>
      <c r="D3023">
        <v>2122426</v>
      </c>
      <c r="E3023">
        <v>1</v>
      </c>
      <c r="F3023">
        <v>4</v>
      </c>
      <c r="G3023">
        <v>170</v>
      </c>
      <c r="H3023">
        <v>80869839</v>
      </c>
      <c r="I3023">
        <v>620033</v>
      </c>
      <c r="J3023" t="s">
        <v>17</v>
      </c>
      <c r="K3023" t="s">
        <v>18</v>
      </c>
      <c r="L3023">
        <v>5</v>
      </c>
      <c r="M3023">
        <v>82.13</v>
      </c>
      <c r="N3023">
        <v>483374</v>
      </c>
      <c r="O3023">
        <v>1</v>
      </c>
    </row>
    <row r="3024" spans="1:15">
      <c r="A3024" t="s">
        <v>3050</v>
      </c>
      <c r="B3024" t="s">
        <v>32</v>
      </c>
      <c r="C3024">
        <v>3</v>
      </c>
      <c r="D3024">
        <v>42095857</v>
      </c>
      <c r="E3024">
        <v>3</v>
      </c>
      <c r="F3024">
        <v>19</v>
      </c>
      <c r="G3024">
        <v>313</v>
      </c>
      <c r="H3024">
        <v>58609704</v>
      </c>
      <c r="I3024">
        <v>94448</v>
      </c>
      <c r="J3024" t="s">
        <v>21</v>
      </c>
      <c r="K3024" t="s">
        <v>18</v>
      </c>
      <c r="L3024">
        <v>4</v>
      </c>
      <c r="M3024">
        <v>58.4</v>
      </c>
      <c r="N3024">
        <v>988015</v>
      </c>
      <c r="O3024">
        <v>1</v>
      </c>
    </row>
    <row r="3025" spans="1:15">
      <c r="A3025" t="s">
        <v>3051</v>
      </c>
      <c r="B3025" t="s">
        <v>24</v>
      </c>
      <c r="C3025">
        <v>7</v>
      </c>
      <c r="D3025">
        <v>934153</v>
      </c>
      <c r="E3025">
        <v>1</v>
      </c>
      <c r="F3025">
        <v>22</v>
      </c>
      <c r="G3025">
        <v>729</v>
      </c>
      <c r="H3025">
        <v>70879663</v>
      </c>
      <c r="I3025">
        <v>668901</v>
      </c>
      <c r="J3025" t="s">
        <v>25</v>
      </c>
      <c r="K3025" t="s">
        <v>30</v>
      </c>
      <c r="L3025">
        <v>5</v>
      </c>
      <c r="M3025">
        <v>25.65</v>
      </c>
      <c r="N3025">
        <v>209557</v>
      </c>
      <c r="O3025">
        <v>1</v>
      </c>
    </row>
    <row r="3026" spans="1:15">
      <c r="A3026" t="s">
        <v>3052</v>
      </c>
      <c r="B3026" t="s">
        <v>29</v>
      </c>
      <c r="C3026">
        <v>13</v>
      </c>
      <c r="D3026">
        <v>41463696</v>
      </c>
      <c r="E3026">
        <v>4</v>
      </c>
      <c r="F3026">
        <v>20</v>
      </c>
      <c r="G3026">
        <v>4</v>
      </c>
      <c r="H3026">
        <v>18273335</v>
      </c>
      <c r="I3026">
        <v>337990</v>
      </c>
      <c r="J3026" t="s">
        <v>21</v>
      </c>
      <c r="K3026" t="s">
        <v>18</v>
      </c>
      <c r="L3026">
        <v>9</v>
      </c>
      <c r="M3026">
        <v>53.5</v>
      </c>
      <c r="N3026">
        <v>897977</v>
      </c>
      <c r="O3026">
        <v>1</v>
      </c>
    </row>
    <row r="3027" spans="1:15">
      <c r="A3027" t="s">
        <v>3053</v>
      </c>
      <c r="B3027" t="s">
        <v>27</v>
      </c>
      <c r="C3027">
        <v>7</v>
      </c>
      <c r="D3027">
        <v>45210612</v>
      </c>
      <c r="E3027">
        <v>2</v>
      </c>
      <c r="F3027">
        <v>16</v>
      </c>
      <c r="G3027">
        <v>71</v>
      </c>
      <c r="H3027">
        <v>33412350</v>
      </c>
      <c r="I3027">
        <v>846120</v>
      </c>
      <c r="J3027" t="s">
        <v>17</v>
      </c>
      <c r="K3027" t="s">
        <v>22</v>
      </c>
      <c r="L3027">
        <v>2</v>
      </c>
      <c r="M3027">
        <v>75.510000000000005</v>
      </c>
      <c r="N3027">
        <v>823301</v>
      </c>
      <c r="O3027">
        <v>1</v>
      </c>
    </row>
    <row r="3028" spans="1:15">
      <c r="A3028" t="s">
        <v>3054</v>
      </c>
      <c r="B3028" t="s">
        <v>32</v>
      </c>
      <c r="C3028">
        <v>12</v>
      </c>
      <c r="D3028">
        <v>18560829</v>
      </c>
      <c r="E3028">
        <v>2</v>
      </c>
      <c r="F3028">
        <v>18</v>
      </c>
      <c r="G3028">
        <v>964</v>
      </c>
      <c r="H3028">
        <v>3804082</v>
      </c>
      <c r="I3028">
        <v>929086</v>
      </c>
      <c r="J3028" t="s">
        <v>17</v>
      </c>
      <c r="K3028" t="s">
        <v>22</v>
      </c>
      <c r="L3028">
        <v>9</v>
      </c>
      <c r="M3028">
        <v>16.34</v>
      </c>
      <c r="N3028">
        <v>697827</v>
      </c>
      <c r="O3028">
        <v>1</v>
      </c>
    </row>
    <row r="3029" spans="1:15">
      <c r="A3029" t="s">
        <v>3055</v>
      </c>
      <c r="B3029" t="s">
        <v>38</v>
      </c>
      <c r="C3029">
        <v>14</v>
      </c>
      <c r="D3029">
        <v>40310183</v>
      </c>
      <c r="E3029">
        <v>2</v>
      </c>
      <c r="F3029">
        <v>28</v>
      </c>
      <c r="G3029">
        <v>34</v>
      </c>
      <c r="H3029">
        <v>17472022</v>
      </c>
      <c r="I3029">
        <v>446194</v>
      </c>
      <c r="J3029" t="s">
        <v>25</v>
      </c>
      <c r="K3029" t="s">
        <v>30</v>
      </c>
      <c r="L3029">
        <v>6</v>
      </c>
      <c r="M3029">
        <v>65.180000000000007</v>
      </c>
      <c r="N3029">
        <v>460368</v>
      </c>
      <c r="O3029">
        <v>1</v>
      </c>
    </row>
    <row r="3030" spans="1:15">
      <c r="A3030" t="s">
        <v>3056</v>
      </c>
      <c r="B3030" t="s">
        <v>29</v>
      </c>
      <c r="C3030">
        <v>7</v>
      </c>
      <c r="D3030">
        <v>171194</v>
      </c>
      <c r="E3030">
        <v>2</v>
      </c>
      <c r="F3030">
        <v>11</v>
      </c>
      <c r="G3030">
        <v>695</v>
      </c>
      <c r="H3030">
        <v>15938301</v>
      </c>
      <c r="I3030">
        <v>145825</v>
      </c>
      <c r="J3030" t="s">
        <v>21</v>
      </c>
      <c r="K3030" t="s">
        <v>18</v>
      </c>
      <c r="L3030">
        <v>9</v>
      </c>
      <c r="M3030">
        <v>54.21</v>
      </c>
      <c r="N3030">
        <v>106857</v>
      </c>
      <c r="O3030">
        <v>1</v>
      </c>
    </row>
    <row r="3031" spans="1:15">
      <c r="A3031" t="s">
        <v>3057</v>
      </c>
      <c r="B3031" t="s">
        <v>29</v>
      </c>
      <c r="C3031">
        <v>5</v>
      </c>
      <c r="D3031">
        <v>18594144</v>
      </c>
      <c r="E3031">
        <v>4</v>
      </c>
      <c r="F3031">
        <v>1</v>
      </c>
      <c r="G3031">
        <v>272</v>
      </c>
      <c r="H3031">
        <v>78560063</v>
      </c>
      <c r="I3031">
        <v>193267</v>
      </c>
      <c r="J3031" t="s">
        <v>25</v>
      </c>
      <c r="K3031" t="s">
        <v>30</v>
      </c>
      <c r="L3031">
        <v>3</v>
      </c>
      <c r="M3031">
        <v>89.56</v>
      </c>
      <c r="N3031">
        <v>767620</v>
      </c>
      <c r="O3031">
        <v>1</v>
      </c>
    </row>
    <row r="3032" spans="1:15">
      <c r="A3032" t="s">
        <v>3058</v>
      </c>
      <c r="B3032" t="s">
        <v>27</v>
      </c>
      <c r="C3032">
        <v>14</v>
      </c>
      <c r="D3032">
        <v>38321993</v>
      </c>
      <c r="E3032">
        <v>4</v>
      </c>
      <c r="F3032">
        <v>12</v>
      </c>
      <c r="G3032">
        <v>953</v>
      </c>
      <c r="H3032">
        <v>26758240</v>
      </c>
      <c r="I3032">
        <v>240187</v>
      </c>
      <c r="J3032" t="s">
        <v>25</v>
      </c>
      <c r="K3032" t="s">
        <v>22</v>
      </c>
      <c r="L3032">
        <v>6</v>
      </c>
      <c r="M3032">
        <v>88.37</v>
      </c>
      <c r="N3032">
        <v>226158</v>
      </c>
      <c r="O3032">
        <v>1</v>
      </c>
    </row>
    <row r="3033" spans="1:15">
      <c r="A3033" t="s">
        <v>3059</v>
      </c>
      <c r="B3033" t="s">
        <v>29</v>
      </c>
      <c r="C3033">
        <v>3</v>
      </c>
      <c r="D3033">
        <v>48718541</v>
      </c>
      <c r="E3033">
        <v>2</v>
      </c>
      <c r="F3033">
        <v>14</v>
      </c>
      <c r="G3033">
        <v>127</v>
      </c>
      <c r="H3033">
        <v>57795282</v>
      </c>
      <c r="I3033">
        <v>724123</v>
      </c>
      <c r="J3033" t="s">
        <v>21</v>
      </c>
      <c r="K3033" t="s">
        <v>22</v>
      </c>
      <c r="L3033">
        <v>8</v>
      </c>
      <c r="M3033">
        <v>74.05</v>
      </c>
      <c r="N3033">
        <v>904381</v>
      </c>
      <c r="O3033">
        <v>1</v>
      </c>
    </row>
    <row r="3034" spans="1:15">
      <c r="A3034" t="s">
        <v>3060</v>
      </c>
      <c r="B3034" t="s">
        <v>16</v>
      </c>
      <c r="C3034">
        <v>1</v>
      </c>
      <c r="D3034">
        <v>18159091</v>
      </c>
      <c r="E3034">
        <v>1</v>
      </c>
      <c r="F3034">
        <v>16</v>
      </c>
      <c r="G3034">
        <v>689</v>
      </c>
      <c r="H3034">
        <v>60077747</v>
      </c>
      <c r="I3034">
        <v>220695</v>
      </c>
      <c r="J3034" t="s">
        <v>21</v>
      </c>
      <c r="K3034" t="s">
        <v>18</v>
      </c>
      <c r="L3034">
        <v>3</v>
      </c>
      <c r="M3034">
        <v>56.53</v>
      </c>
      <c r="N3034">
        <v>222742</v>
      </c>
      <c r="O3034">
        <v>1</v>
      </c>
    </row>
    <row r="3035" spans="1:15">
      <c r="A3035" t="s">
        <v>3061</v>
      </c>
      <c r="B3035" t="s">
        <v>38</v>
      </c>
      <c r="C3035">
        <v>4</v>
      </c>
      <c r="D3035">
        <v>21631819</v>
      </c>
      <c r="E3035">
        <v>1</v>
      </c>
      <c r="F3035">
        <v>19</v>
      </c>
      <c r="G3035">
        <v>432</v>
      </c>
      <c r="H3035">
        <v>47175718</v>
      </c>
      <c r="I3035">
        <v>626199</v>
      </c>
      <c r="J3035" t="s">
        <v>25</v>
      </c>
      <c r="K3035" t="s">
        <v>22</v>
      </c>
      <c r="L3035">
        <v>5</v>
      </c>
      <c r="M3035">
        <v>39.19</v>
      </c>
      <c r="N3035">
        <v>953784</v>
      </c>
      <c r="O3035">
        <v>1</v>
      </c>
    </row>
    <row r="3036" spans="1:15">
      <c r="A3036" t="s">
        <v>3062</v>
      </c>
      <c r="B3036" t="s">
        <v>16</v>
      </c>
      <c r="C3036">
        <v>10</v>
      </c>
      <c r="D3036">
        <v>39155910</v>
      </c>
      <c r="E3036">
        <v>1</v>
      </c>
      <c r="F3036">
        <v>27</v>
      </c>
      <c r="G3036">
        <v>155</v>
      </c>
      <c r="H3036">
        <v>55217811</v>
      </c>
      <c r="I3036">
        <v>122813</v>
      </c>
      <c r="J3036" t="s">
        <v>25</v>
      </c>
      <c r="K3036" t="s">
        <v>22</v>
      </c>
      <c r="L3036">
        <v>2</v>
      </c>
      <c r="M3036">
        <v>46.34</v>
      </c>
      <c r="N3036">
        <v>338060</v>
      </c>
      <c r="O3036">
        <v>1</v>
      </c>
    </row>
    <row r="3037" spans="1:15">
      <c r="A3037" t="s">
        <v>3063</v>
      </c>
      <c r="B3037" t="s">
        <v>29</v>
      </c>
      <c r="C3037">
        <v>4</v>
      </c>
      <c r="D3037">
        <v>21728385</v>
      </c>
      <c r="E3037">
        <v>1</v>
      </c>
      <c r="F3037">
        <v>22</v>
      </c>
      <c r="G3037">
        <v>552</v>
      </c>
      <c r="H3037">
        <v>2058533</v>
      </c>
      <c r="I3037">
        <v>971297</v>
      </c>
      <c r="J3037" t="s">
        <v>21</v>
      </c>
      <c r="K3037" t="s">
        <v>30</v>
      </c>
      <c r="L3037">
        <v>9</v>
      </c>
      <c r="M3037">
        <v>9.7200000000000006</v>
      </c>
      <c r="N3037">
        <v>989911</v>
      </c>
      <c r="O3037">
        <v>1</v>
      </c>
    </row>
    <row r="3038" spans="1:15">
      <c r="A3038" t="s">
        <v>3064</v>
      </c>
      <c r="B3038" t="s">
        <v>24</v>
      </c>
      <c r="C3038">
        <v>3</v>
      </c>
      <c r="D3038">
        <v>11894281</v>
      </c>
      <c r="E3038">
        <v>2</v>
      </c>
      <c r="F3038">
        <v>26</v>
      </c>
      <c r="G3038">
        <v>204</v>
      </c>
      <c r="H3038">
        <v>74118360</v>
      </c>
      <c r="I3038">
        <v>459031</v>
      </c>
      <c r="J3038" t="s">
        <v>25</v>
      </c>
      <c r="K3038" t="s">
        <v>22</v>
      </c>
      <c r="L3038">
        <v>7</v>
      </c>
      <c r="M3038">
        <v>89.21</v>
      </c>
      <c r="N3038">
        <v>994689</v>
      </c>
      <c r="O3038">
        <v>1</v>
      </c>
    </row>
    <row r="3039" spans="1:15">
      <c r="A3039" t="s">
        <v>3065</v>
      </c>
      <c r="B3039" t="s">
        <v>20</v>
      </c>
      <c r="C3039">
        <v>8</v>
      </c>
      <c r="D3039">
        <v>38761834</v>
      </c>
      <c r="E3039">
        <v>3</v>
      </c>
      <c r="F3039">
        <v>0</v>
      </c>
      <c r="G3039">
        <v>757</v>
      </c>
      <c r="H3039">
        <v>79081857</v>
      </c>
      <c r="I3039">
        <v>967453</v>
      </c>
      <c r="J3039" t="s">
        <v>25</v>
      </c>
      <c r="K3039" t="s">
        <v>30</v>
      </c>
      <c r="L3039">
        <v>8</v>
      </c>
      <c r="M3039">
        <v>60.95</v>
      </c>
      <c r="N3039">
        <v>364402</v>
      </c>
      <c r="O3039">
        <v>1</v>
      </c>
    </row>
    <row r="3040" spans="1:15">
      <c r="A3040" t="s">
        <v>3066</v>
      </c>
      <c r="B3040" t="s">
        <v>20</v>
      </c>
      <c r="C3040">
        <v>2</v>
      </c>
      <c r="D3040">
        <v>3236545</v>
      </c>
      <c r="E3040">
        <v>4</v>
      </c>
      <c r="F3040">
        <v>20</v>
      </c>
      <c r="G3040">
        <v>731</v>
      </c>
      <c r="H3040">
        <v>64145642</v>
      </c>
      <c r="I3040">
        <v>660195</v>
      </c>
      <c r="J3040" t="s">
        <v>17</v>
      </c>
      <c r="K3040" t="s">
        <v>30</v>
      </c>
      <c r="L3040">
        <v>6</v>
      </c>
      <c r="M3040">
        <v>50.55</v>
      </c>
      <c r="N3040">
        <v>400416</v>
      </c>
      <c r="O3040">
        <v>1</v>
      </c>
    </row>
    <row r="3041" spans="1:15">
      <c r="A3041" t="s">
        <v>3067</v>
      </c>
      <c r="B3041" t="s">
        <v>29</v>
      </c>
      <c r="C3041">
        <v>8</v>
      </c>
      <c r="D3041">
        <v>8575508</v>
      </c>
      <c r="E3041">
        <v>1</v>
      </c>
      <c r="F3041">
        <v>17</v>
      </c>
      <c r="G3041">
        <v>584</v>
      </c>
      <c r="H3041">
        <v>67255413</v>
      </c>
      <c r="I3041">
        <v>711270</v>
      </c>
      <c r="J3041" t="s">
        <v>17</v>
      </c>
      <c r="K3041" t="s">
        <v>30</v>
      </c>
      <c r="L3041">
        <v>9</v>
      </c>
      <c r="M3041">
        <v>15.93</v>
      </c>
      <c r="N3041">
        <v>556461</v>
      </c>
      <c r="O3041">
        <v>1</v>
      </c>
    </row>
    <row r="3042" spans="1:15">
      <c r="A3042" t="s">
        <v>3068</v>
      </c>
      <c r="B3042" t="s">
        <v>38</v>
      </c>
      <c r="C3042">
        <v>6</v>
      </c>
      <c r="D3042">
        <v>18585939</v>
      </c>
      <c r="E3042">
        <v>3</v>
      </c>
      <c r="F3042">
        <v>29</v>
      </c>
      <c r="G3042">
        <v>360</v>
      </c>
      <c r="H3042">
        <v>48741734</v>
      </c>
      <c r="I3042">
        <v>311995</v>
      </c>
      <c r="J3042" t="s">
        <v>25</v>
      </c>
      <c r="K3042" t="s">
        <v>18</v>
      </c>
      <c r="L3042">
        <v>7</v>
      </c>
      <c r="M3042">
        <v>2.73</v>
      </c>
      <c r="N3042">
        <v>143571</v>
      </c>
      <c r="O3042">
        <v>1</v>
      </c>
    </row>
    <row r="3043" spans="1:15">
      <c r="A3043" t="s">
        <v>3069</v>
      </c>
      <c r="B3043" t="s">
        <v>20</v>
      </c>
      <c r="C3043">
        <v>6</v>
      </c>
      <c r="D3043">
        <v>34079188</v>
      </c>
      <c r="E3043">
        <v>3</v>
      </c>
      <c r="F3043">
        <v>22</v>
      </c>
      <c r="G3043">
        <v>821</v>
      </c>
      <c r="H3043">
        <v>44289238</v>
      </c>
      <c r="I3043">
        <v>400216</v>
      </c>
      <c r="J3043" t="s">
        <v>25</v>
      </c>
      <c r="K3043" t="s">
        <v>22</v>
      </c>
      <c r="L3043">
        <v>3</v>
      </c>
      <c r="M3043">
        <v>87.81</v>
      </c>
      <c r="N3043">
        <v>32282</v>
      </c>
      <c r="O3043">
        <v>1</v>
      </c>
    </row>
    <row r="3044" spans="1:15">
      <c r="A3044" t="s">
        <v>3070</v>
      </c>
      <c r="B3044" t="s">
        <v>27</v>
      </c>
      <c r="C3044">
        <v>1</v>
      </c>
      <c r="D3044">
        <v>13474678</v>
      </c>
      <c r="E3044">
        <v>3</v>
      </c>
      <c r="F3044">
        <v>12</v>
      </c>
      <c r="G3044">
        <v>879</v>
      </c>
      <c r="H3044">
        <v>41494039</v>
      </c>
      <c r="I3044">
        <v>613724</v>
      </c>
      <c r="J3044" t="s">
        <v>17</v>
      </c>
      <c r="K3044" t="s">
        <v>18</v>
      </c>
      <c r="L3044">
        <v>5</v>
      </c>
      <c r="M3044">
        <v>6.05</v>
      </c>
      <c r="N3044">
        <v>935888</v>
      </c>
      <c r="O3044">
        <v>1</v>
      </c>
    </row>
    <row r="3045" spans="1:15">
      <c r="A3045" t="s">
        <v>3071</v>
      </c>
      <c r="B3045" t="s">
        <v>20</v>
      </c>
      <c r="C3045">
        <v>4</v>
      </c>
      <c r="D3045">
        <v>34790807</v>
      </c>
      <c r="E3045">
        <v>4</v>
      </c>
      <c r="F3045">
        <v>10</v>
      </c>
      <c r="G3045">
        <v>562</v>
      </c>
      <c r="H3045">
        <v>8066820</v>
      </c>
      <c r="I3045">
        <v>967817</v>
      </c>
      <c r="J3045" t="s">
        <v>25</v>
      </c>
      <c r="K3045" t="s">
        <v>22</v>
      </c>
      <c r="L3045">
        <v>9</v>
      </c>
      <c r="M3045">
        <v>60.68</v>
      </c>
      <c r="N3045">
        <v>618773</v>
      </c>
      <c r="O3045">
        <v>1</v>
      </c>
    </row>
    <row r="3046" spans="1:15">
      <c r="A3046" t="s">
        <v>3072</v>
      </c>
      <c r="B3046" t="s">
        <v>16</v>
      </c>
      <c r="C3046">
        <v>13</v>
      </c>
      <c r="D3046">
        <v>11460241</v>
      </c>
      <c r="E3046">
        <v>1</v>
      </c>
      <c r="F3046">
        <v>23</v>
      </c>
      <c r="G3046">
        <v>376</v>
      </c>
      <c r="H3046">
        <v>32958840</v>
      </c>
      <c r="I3046">
        <v>457420</v>
      </c>
      <c r="J3046" t="s">
        <v>17</v>
      </c>
      <c r="K3046" t="s">
        <v>18</v>
      </c>
      <c r="L3046">
        <v>3</v>
      </c>
      <c r="M3046">
        <v>0.92</v>
      </c>
      <c r="N3046">
        <v>13098</v>
      </c>
      <c r="O3046">
        <v>1</v>
      </c>
    </row>
    <row r="3047" spans="1:15">
      <c r="A3047" t="s">
        <v>3073</v>
      </c>
      <c r="B3047" t="s">
        <v>24</v>
      </c>
      <c r="C3047">
        <v>8</v>
      </c>
      <c r="D3047">
        <v>38938123</v>
      </c>
      <c r="E3047">
        <v>4</v>
      </c>
      <c r="F3047">
        <v>0</v>
      </c>
      <c r="G3047">
        <v>793</v>
      </c>
      <c r="H3047">
        <v>50041656</v>
      </c>
      <c r="I3047">
        <v>585010</v>
      </c>
      <c r="J3047" t="s">
        <v>17</v>
      </c>
      <c r="K3047" t="s">
        <v>30</v>
      </c>
      <c r="L3047">
        <v>6</v>
      </c>
      <c r="M3047">
        <v>64.05</v>
      </c>
      <c r="N3047">
        <v>493155</v>
      </c>
      <c r="O3047">
        <v>1</v>
      </c>
    </row>
    <row r="3048" spans="1:15">
      <c r="A3048" t="s">
        <v>3074</v>
      </c>
      <c r="B3048" t="s">
        <v>38</v>
      </c>
      <c r="C3048">
        <v>12</v>
      </c>
      <c r="D3048">
        <v>9547907</v>
      </c>
      <c r="E3048">
        <v>2</v>
      </c>
      <c r="F3048">
        <v>4</v>
      </c>
      <c r="G3048">
        <v>251</v>
      </c>
      <c r="H3048">
        <v>46361007</v>
      </c>
      <c r="I3048">
        <v>18298</v>
      </c>
      <c r="J3048" t="s">
        <v>25</v>
      </c>
      <c r="K3048" t="s">
        <v>22</v>
      </c>
      <c r="L3048">
        <v>2</v>
      </c>
      <c r="M3048">
        <v>44.82</v>
      </c>
      <c r="N3048">
        <v>933973</v>
      </c>
      <c r="O3048">
        <v>1</v>
      </c>
    </row>
    <row r="3049" spans="1:15">
      <c r="A3049" t="s">
        <v>3075</v>
      </c>
      <c r="B3049" t="s">
        <v>29</v>
      </c>
      <c r="C3049">
        <v>1</v>
      </c>
      <c r="D3049">
        <v>1220081</v>
      </c>
      <c r="E3049">
        <v>3</v>
      </c>
      <c r="F3049">
        <v>28</v>
      </c>
      <c r="G3049">
        <v>217</v>
      </c>
      <c r="H3049">
        <v>75963439</v>
      </c>
      <c r="I3049">
        <v>377496</v>
      </c>
      <c r="J3049" t="s">
        <v>25</v>
      </c>
      <c r="K3049" t="s">
        <v>22</v>
      </c>
      <c r="L3049">
        <v>5</v>
      </c>
      <c r="M3049">
        <v>40.51</v>
      </c>
      <c r="N3049">
        <v>944235</v>
      </c>
      <c r="O3049">
        <v>1</v>
      </c>
    </row>
    <row r="3050" spans="1:15">
      <c r="A3050" t="s">
        <v>3076</v>
      </c>
      <c r="B3050" t="s">
        <v>27</v>
      </c>
      <c r="C3050">
        <v>14</v>
      </c>
      <c r="D3050">
        <v>45796857</v>
      </c>
      <c r="E3050">
        <v>3</v>
      </c>
      <c r="F3050">
        <v>11</v>
      </c>
      <c r="G3050">
        <v>181</v>
      </c>
      <c r="H3050">
        <v>22612578</v>
      </c>
      <c r="I3050">
        <v>621629</v>
      </c>
      <c r="J3050" t="s">
        <v>21</v>
      </c>
      <c r="K3050" t="s">
        <v>18</v>
      </c>
      <c r="L3050">
        <v>1</v>
      </c>
      <c r="M3050">
        <v>89</v>
      </c>
      <c r="N3050">
        <v>954450</v>
      </c>
      <c r="O3050">
        <v>1</v>
      </c>
    </row>
    <row r="3051" spans="1:15">
      <c r="A3051" t="s">
        <v>3077</v>
      </c>
      <c r="B3051" t="s">
        <v>38</v>
      </c>
      <c r="C3051">
        <v>2</v>
      </c>
      <c r="D3051">
        <v>14968256</v>
      </c>
      <c r="E3051">
        <v>1</v>
      </c>
      <c r="F3051">
        <v>21</v>
      </c>
      <c r="G3051">
        <v>641</v>
      </c>
      <c r="H3051">
        <v>97572001</v>
      </c>
      <c r="I3051">
        <v>807390</v>
      </c>
      <c r="J3051" t="s">
        <v>17</v>
      </c>
      <c r="K3051" t="s">
        <v>30</v>
      </c>
      <c r="L3051">
        <v>9</v>
      </c>
      <c r="M3051">
        <v>91.93</v>
      </c>
      <c r="N3051">
        <v>633349</v>
      </c>
      <c r="O3051">
        <v>1</v>
      </c>
    </row>
    <row r="3052" spans="1:15">
      <c r="A3052" t="s">
        <v>3078</v>
      </c>
      <c r="B3052" t="s">
        <v>29</v>
      </c>
      <c r="C3052">
        <v>3</v>
      </c>
      <c r="D3052">
        <v>27690526</v>
      </c>
      <c r="E3052">
        <v>1</v>
      </c>
      <c r="F3052">
        <v>2</v>
      </c>
      <c r="G3052">
        <v>924</v>
      </c>
      <c r="H3052">
        <v>10847240</v>
      </c>
      <c r="I3052">
        <v>636054</v>
      </c>
      <c r="J3052" t="s">
        <v>17</v>
      </c>
      <c r="K3052" t="s">
        <v>30</v>
      </c>
      <c r="L3052">
        <v>6</v>
      </c>
      <c r="M3052">
        <v>31.59</v>
      </c>
      <c r="N3052">
        <v>346094</v>
      </c>
      <c r="O3052">
        <v>1</v>
      </c>
    </row>
    <row r="3053" spans="1:15">
      <c r="A3053" t="s">
        <v>3079</v>
      </c>
      <c r="B3053" t="s">
        <v>32</v>
      </c>
      <c r="C3053">
        <v>12</v>
      </c>
      <c r="D3053">
        <v>2618621</v>
      </c>
      <c r="E3053">
        <v>2</v>
      </c>
      <c r="F3053">
        <v>8</v>
      </c>
      <c r="G3053">
        <v>100</v>
      </c>
      <c r="H3053">
        <v>55463659</v>
      </c>
      <c r="I3053">
        <v>526701</v>
      </c>
      <c r="J3053" t="s">
        <v>17</v>
      </c>
      <c r="K3053" t="s">
        <v>22</v>
      </c>
      <c r="L3053">
        <v>1</v>
      </c>
      <c r="M3053">
        <v>48.84</v>
      </c>
      <c r="N3053">
        <v>455601</v>
      </c>
      <c r="O3053">
        <v>1</v>
      </c>
    </row>
    <row r="3054" spans="1:15">
      <c r="A3054" t="s">
        <v>3080</v>
      </c>
      <c r="B3054" t="s">
        <v>32</v>
      </c>
      <c r="C3054">
        <v>5</v>
      </c>
      <c r="D3054">
        <v>28950080</v>
      </c>
      <c r="E3054">
        <v>4</v>
      </c>
      <c r="F3054">
        <v>6</v>
      </c>
      <c r="G3054">
        <v>571</v>
      </c>
      <c r="H3054">
        <v>58079942</v>
      </c>
      <c r="I3054">
        <v>170713</v>
      </c>
      <c r="J3054" t="s">
        <v>21</v>
      </c>
      <c r="K3054" t="s">
        <v>22</v>
      </c>
      <c r="L3054">
        <v>4</v>
      </c>
      <c r="M3054">
        <v>29.24</v>
      </c>
      <c r="N3054">
        <v>163967</v>
      </c>
      <c r="O3054">
        <v>1</v>
      </c>
    </row>
    <row r="3055" spans="1:15">
      <c r="A3055" t="s">
        <v>3081</v>
      </c>
      <c r="B3055" t="s">
        <v>38</v>
      </c>
      <c r="C3055">
        <v>11</v>
      </c>
      <c r="D3055">
        <v>10111555</v>
      </c>
      <c r="E3055">
        <v>1</v>
      </c>
      <c r="F3055">
        <v>5</v>
      </c>
      <c r="G3055">
        <v>457</v>
      </c>
      <c r="H3055">
        <v>31704982</v>
      </c>
      <c r="I3055">
        <v>910808</v>
      </c>
      <c r="J3055" t="s">
        <v>17</v>
      </c>
      <c r="K3055" t="s">
        <v>30</v>
      </c>
      <c r="L3055">
        <v>6</v>
      </c>
      <c r="M3055">
        <v>3.9</v>
      </c>
      <c r="N3055">
        <v>790118</v>
      </c>
      <c r="O3055">
        <v>1</v>
      </c>
    </row>
    <row r="3056" spans="1:15">
      <c r="A3056" t="s">
        <v>3082</v>
      </c>
      <c r="B3056" t="s">
        <v>29</v>
      </c>
      <c r="C3056">
        <v>8</v>
      </c>
      <c r="D3056">
        <v>35615517</v>
      </c>
      <c r="E3056">
        <v>1</v>
      </c>
      <c r="F3056">
        <v>26</v>
      </c>
      <c r="G3056">
        <v>599</v>
      </c>
      <c r="H3056">
        <v>68518423</v>
      </c>
      <c r="I3056">
        <v>494664</v>
      </c>
      <c r="J3056" t="s">
        <v>25</v>
      </c>
      <c r="K3056" t="s">
        <v>30</v>
      </c>
      <c r="L3056">
        <v>2</v>
      </c>
      <c r="M3056">
        <v>84.97</v>
      </c>
      <c r="N3056">
        <v>700884</v>
      </c>
      <c r="O3056">
        <v>1</v>
      </c>
    </row>
    <row r="3057" spans="1:15">
      <c r="A3057" t="s">
        <v>3083</v>
      </c>
      <c r="B3057" t="s">
        <v>16</v>
      </c>
      <c r="C3057">
        <v>0</v>
      </c>
      <c r="D3057">
        <v>30250295</v>
      </c>
      <c r="E3057">
        <v>3</v>
      </c>
      <c r="F3057">
        <v>4</v>
      </c>
      <c r="G3057">
        <v>581</v>
      </c>
      <c r="H3057">
        <v>45476921</v>
      </c>
      <c r="I3057">
        <v>44243</v>
      </c>
      <c r="J3057" t="s">
        <v>25</v>
      </c>
      <c r="K3057" t="s">
        <v>22</v>
      </c>
      <c r="L3057">
        <v>8</v>
      </c>
      <c r="M3057">
        <v>70.489999999999995</v>
      </c>
      <c r="N3057">
        <v>19097</v>
      </c>
      <c r="O3057">
        <v>1</v>
      </c>
    </row>
    <row r="3058" spans="1:15">
      <c r="A3058" t="s">
        <v>3084</v>
      </c>
      <c r="B3058" t="s">
        <v>29</v>
      </c>
      <c r="C3058">
        <v>9</v>
      </c>
      <c r="D3058">
        <v>41717128</v>
      </c>
      <c r="E3058">
        <v>1</v>
      </c>
      <c r="F3058">
        <v>20</v>
      </c>
      <c r="G3058">
        <v>140</v>
      </c>
      <c r="H3058">
        <v>45217684</v>
      </c>
      <c r="I3058">
        <v>818029</v>
      </c>
      <c r="J3058" t="s">
        <v>25</v>
      </c>
      <c r="K3058" t="s">
        <v>18</v>
      </c>
      <c r="L3058">
        <v>4</v>
      </c>
      <c r="M3058">
        <v>90.19</v>
      </c>
      <c r="N3058">
        <v>961373</v>
      </c>
      <c r="O3058">
        <v>1</v>
      </c>
    </row>
    <row r="3059" spans="1:15">
      <c r="A3059" t="s">
        <v>3085</v>
      </c>
      <c r="B3059" t="s">
        <v>20</v>
      </c>
      <c r="C3059">
        <v>5</v>
      </c>
      <c r="D3059">
        <v>13673902</v>
      </c>
      <c r="E3059">
        <v>3</v>
      </c>
      <c r="F3059">
        <v>16</v>
      </c>
      <c r="G3059">
        <v>340</v>
      </c>
      <c r="H3059">
        <v>91465125</v>
      </c>
      <c r="I3059">
        <v>725923</v>
      </c>
      <c r="J3059" t="s">
        <v>21</v>
      </c>
      <c r="K3059" t="s">
        <v>18</v>
      </c>
      <c r="L3059">
        <v>1</v>
      </c>
      <c r="M3059">
        <v>75.72</v>
      </c>
      <c r="N3059">
        <v>823283</v>
      </c>
      <c r="O3059">
        <v>1</v>
      </c>
    </row>
    <row r="3060" spans="1:15">
      <c r="A3060" t="s">
        <v>3086</v>
      </c>
      <c r="B3060" t="s">
        <v>16</v>
      </c>
      <c r="C3060">
        <v>10</v>
      </c>
      <c r="D3060">
        <v>29778981</v>
      </c>
      <c r="E3060">
        <v>2</v>
      </c>
      <c r="F3060">
        <v>13</v>
      </c>
      <c r="G3060">
        <v>99</v>
      </c>
      <c r="H3060">
        <v>59942153</v>
      </c>
      <c r="I3060">
        <v>245528</v>
      </c>
      <c r="J3060" t="s">
        <v>17</v>
      </c>
      <c r="K3060" t="s">
        <v>18</v>
      </c>
      <c r="L3060">
        <v>8</v>
      </c>
      <c r="M3060">
        <v>89.73</v>
      </c>
      <c r="N3060">
        <v>148933</v>
      </c>
      <c r="O3060">
        <v>1</v>
      </c>
    </row>
    <row r="3061" spans="1:15">
      <c r="A3061" t="s">
        <v>3087</v>
      </c>
      <c r="B3061" t="s">
        <v>32</v>
      </c>
      <c r="C3061">
        <v>0</v>
      </c>
      <c r="D3061">
        <v>8739051</v>
      </c>
      <c r="E3061">
        <v>4</v>
      </c>
      <c r="F3061">
        <v>8</v>
      </c>
      <c r="G3061">
        <v>137</v>
      </c>
      <c r="H3061">
        <v>8679010</v>
      </c>
      <c r="I3061">
        <v>955237</v>
      </c>
      <c r="J3061" t="s">
        <v>21</v>
      </c>
      <c r="K3061" t="s">
        <v>30</v>
      </c>
      <c r="L3061">
        <v>9</v>
      </c>
      <c r="M3061">
        <v>97.5</v>
      </c>
      <c r="N3061">
        <v>139905</v>
      </c>
      <c r="O3061">
        <v>1</v>
      </c>
    </row>
    <row r="3062" spans="1:15">
      <c r="A3062" t="s">
        <v>3088</v>
      </c>
      <c r="B3062" t="s">
        <v>29</v>
      </c>
      <c r="C3062">
        <v>10</v>
      </c>
      <c r="D3062">
        <v>22327615</v>
      </c>
      <c r="E3062">
        <v>4</v>
      </c>
      <c r="F3062">
        <v>6</v>
      </c>
      <c r="G3062">
        <v>759</v>
      </c>
      <c r="H3062">
        <v>93238740</v>
      </c>
      <c r="I3062">
        <v>852053</v>
      </c>
      <c r="J3062" t="s">
        <v>21</v>
      </c>
      <c r="K3062" t="s">
        <v>18</v>
      </c>
      <c r="L3062">
        <v>8</v>
      </c>
      <c r="M3062">
        <v>23.62</v>
      </c>
      <c r="N3062">
        <v>749246</v>
      </c>
      <c r="O3062">
        <v>1</v>
      </c>
    </row>
    <row r="3063" spans="1:15">
      <c r="A3063" t="s">
        <v>3089</v>
      </c>
      <c r="B3063" t="s">
        <v>24</v>
      </c>
      <c r="C3063">
        <v>11</v>
      </c>
      <c r="D3063">
        <v>33216365</v>
      </c>
      <c r="E3063">
        <v>4</v>
      </c>
      <c r="F3063">
        <v>18</v>
      </c>
      <c r="G3063">
        <v>664</v>
      </c>
      <c r="H3063">
        <v>62897883</v>
      </c>
      <c r="I3063">
        <v>798189</v>
      </c>
      <c r="J3063" t="s">
        <v>17</v>
      </c>
      <c r="K3063" t="s">
        <v>22</v>
      </c>
      <c r="L3063">
        <v>5</v>
      </c>
      <c r="M3063">
        <v>35.61</v>
      </c>
      <c r="N3063">
        <v>455309</v>
      </c>
      <c r="O3063">
        <v>1</v>
      </c>
    </row>
    <row r="3064" spans="1:15">
      <c r="A3064" t="s">
        <v>3090</v>
      </c>
      <c r="B3064" t="s">
        <v>38</v>
      </c>
      <c r="C3064">
        <v>8</v>
      </c>
      <c r="D3064">
        <v>40634399</v>
      </c>
      <c r="E3064">
        <v>3</v>
      </c>
      <c r="F3064">
        <v>26</v>
      </c>
      <c r="G3064">
        <v>225</v>
      </c>
      <c r="H3064">
        <v>26114949</v>
      </c>
      <c r="I3064">
        <v>392928</v>
      </c>
      <c r="J3064" t="s">
        <v>17</v>
      </c>
      <c r="K3064" t="s">
        <v>30</v>
      </c>
      <c r="L3064">
        <v>2</v>
      </c>
      <c r="M3064">
        <v>98.02</v>
      </c>
      <c r="N3064">
        <v>950637</v>
      </c>
      <c r="O3064">
        <v>1</v>
      </c>
    </row>
    <row r="3065" spans="1:15">
      <c r="A3065" t="s">
        <v>3091</v>
      </c>
      <c r="B3065" t="s">
        <v>29</v>
      </c>
      <c r="C3065">
        <v>11</v>
      </c>
      <c r="D3065">
        <v>7212794</v>
      </c>
      <c r="E3065">
        <v>1</v>
      </c>
      <c r="F3065">
        <v>22</v>
      </c>
      <c r="G3065">
        <v>171</v>
      </c>
      <c r="H3065">
        <v>89528499</v>
      </c>
      <c r="I3065">
        <v>703352</v>
      </c>
      <c r="J3065" t="s">
        <v>17</v>
      </c>
      <c r="K3065" t="s">
        <v>18</v>
      </c>
      <c r="L3065">
        <v>7</v>
      </c>
      <c r="M3065">
        <v>29.46</v>
      </c>
      <c r="N3065">
        <v>10526</v>
      </c>
      <c r="O3065">
        <v>1</v>
      </c>
    </row>
    <row r="3066" spans="1:15">
      <c r="A3066" t="s">
        <v>3092</v>
      </c>
      <c r="B3066" t="s">
        <v>38</v>
      </c>
      <c r="C3066">
        <v>2</v>
      </c>
      <c r="D3066">
        <v>17087590</v>
      </c>
      <c r="E3066">
        <v>3</v>
      </c>
      <c r="F3066">
        <v>6</v>
      </c>
      <c r="G3066">
        <v>958</v>
      </c>
      <c r="H3066">
        <v>1434026</v>
      </c>
      <c r="I3066">
        <v>359440</v>
      </c>
      <c r="J3066" t="s">
        <v>17</v>
      </c>
      <c r="K3066" t="s">
        <v>30</v>
      </c>
      <c r="L3066">
        <v>4</v>
      </c>
      <c r="M3066">
        <v>94.38</v>
      </c>
      <c r="N3066">
        <v>195320</v>
      </c>
      <c r="O3066">
        <v>1</v>
      </c>
    </row>
    <row r="3067" spans="1:15">
      <c r="A3067" t="s">
        <v>3093</v>
      </c>
      <c r="B3067" t="s">
        <v>27</v>
      </c>
      <c r="C3067">
        <v>11</v>
      </c>
      <c r="D3067">
        <v>42180463</v>
      </c>
      <c r="E3067">
        <v>4</v>
      </c>
      <c r="F3067">
        <v>8</v>
      </c>
      <c r="G3067">
        <v>647</v>
      </c>
      <c r="H3067">
        <v>35696976</v>
      </c>
      <c r="I3067">
        <v>768731</v>
      </c>
      <c r="J3067" t="s">
        <v>17</v>
      </c>
      <c r="K3067" t="s">
        <v>22</v>
      </c>
      <c r="L3067">
        <v>1</v>
      </c>
      <c r="M3067">
        <v>61.96</v>
      </c>
      <c r="N3067">
        <v>7537</v>
      </c>
      <c r="O3067">
        <v>1</v>
      </c>
    </row>
    <row r="3068" spans="1:15">
      <c r="A3068" t="s">
        <v>3094</v>
      </c>
      <c r="B3068" t="s">
        <v>38</v>
      </c>
      <c r="C3068">
        <v>3</v>
      </c>
      <c r="D3068">
        <v>46111599</v>
      </c>
      <c r="E3068">
        <v>4</v>
      </c>
      <c r="F3068">
        <v>24</v>
      </c>
      <c r="G3068">
        <v>690</v>
      </c>
      <c r="H3068">
        <v>53477104</v>
      </c>
      <c r="I3068">
        <v>142672</v>
      </c>
      <c r="J3068" t="s">
        <v>25</v>
      </c>
      <c r="K3068" t="s">
        <v>30</v>
      </c>
      <c r="L3068">
        <v>5</v>
      </c>
      <c r="M3068">
        <v>27.85</v>
      </c>
      <c r="N3068">
        <v>276139</v>
      </c>
      <c r="O3068">
        <v>1</v>
      </c>
    </row>
    <row r="3069" spans="1:15">
      <c r="A3069" t="s">
        <v>3095</v>
      </c>
      <c r="B3069" t="s">
        <v>20</v>
      </c>
      <c r="C3069">
        <v>12</v>
      </c>
      <c r="D3069">
        <v>24027488</v>
      </c>
      <c r="E3069">
        <v>3</v>
      </c>
      <c r="F3069">
        <v>29</v>
      </c>
      <c r="G3069">
        <v>433</v>
      </c>
      <c r="H3069">
        <v>16649661</v>
      </c>
      <c r="I3069">
        <v>216477</v>
      </c>
      <c r="J3069" t="s">
        <v>17</v>
      </c>
      <c r="K3069" t="s">
        <v>18</v>
      </c>
      <c r="L3069">
        <v>7</v>
      </c>
      <c r="M3069">
        <v>43.74</v>
      </c>
      <c r="N3069">
        <v>97860</v>
      </c>
      <c r="O3069">
        <v>1</v>
      </c>
    </row>
    <row r="3070" spans="1:15">
      <c r="A3070" t="s">
        <v>3096</v>
      </c>
      <c r="B3070" t="s">
        <v>20</v>
      </c>
      <c r="C3070">
        <v>10</v>
      </c>
      <c r="D3070">
        <v>12674280</v>
      </c>
      <c r="E3070">
        <v>4</v>
      </c>
      <c r="F3070">
        <v>28</v>
      </c>
      <c r="G3070">
        <v>158</v>
      </c>
      <c r="H3070">
        <v>53512641</v>
      </c>
      <c r="I3070">
        <v>514238</v>
      </c>
      <c r="J3070" t="s">
        <v>25</v>
      </c>
      <c r="K3070" t="s">
        <v>30</v>
      </c>
      <c r="L3070">
        <v>8</v>
      </c>
      <c r="M3070">
        <v>0.81</v>
      </c>
      <c r="N3070">
        <v>127857</v>
      </c>
      <c r="O3070">
        <v>1</v>
      </c>
    </row>
    <row r="3071" spans="1:15">
      <c r="A3071" t="s">
        <v>3097</v>
      </c>
      <c r="B3071" t="s">
        <v>16</v>
      </c>
      <c r="C3071">
        <v>13</v>
      </c>
      <c r="D3071">
        <v>45569661</v>
      </c>
      <c r="E3071">
        <v>3</v>
      </c>
      <c r="F3071">
        <v>0</v>
      </c>
      <c r="G3071">
        <v>984</v>
      </c>
      <c r="H3071">
        <v>55106282</v>
      </c>
      <c r="I3071">
        <v>246499</v>
      </c>
      <c r="J3071" t="s">
        <v>17</v>
      </c>
      <c r="K3071" t="s">
        <v>30</v>
      </c>
      <c r="L3071">
        <v>4</v>
      </c>
      <c r="M3071">
        <v>18.57</v>
      </c>
      <c r="N3071">
        <v>239363</v>
      </c>
      <c r="O3071">
        <v>1</v>
      </c>
    </row>
    <row r="3072" spans="1:15">
      <c r="A3072" t="s">
        <v>3098</v>
      </c>
      <c r="B3072" t="s">
        <v>20</v>
      </c>
      <c r="C3072">
        <v>1</v>
      </c>
      <c r="D3072">
        <v>44502040</v>
      </c>
      <c r="E3072">
        <v>2</v>
      </c>
      <c r="F3072">
        <v>0</v>
      </c>
      <c r="G3072">
        <v>627</v>
      </c>
      <c r="H3072">
        <v>1286361</v>
      </c>
      <c r="I3072">
        <v>42460</v>
      </c>
      <c r="J3072" t="s">
        <v>25</v>
      </c>
      <c r="K3072" t="s">
        <v>18</v>
      </c>
      <c r="L3072">
        <v>5</v>
      </c>
      <c r="M3072">
        <v>62.89</v>
      </c>
      <c r="N3072">
        <v>616954</v>
      </c>
      <c r="O3072">
        <v>1</v>
      </c>
    </row>
    <row r="3073" spans="1:15">
      <c r="A3073" t="s">
        <v>3099</v>
      </c>
      <c r="B3073" t="s">
        <v>24</v>
      </c>
      <c r="C3073">
        <v>0</v>
      </c>
      <c r="D3073">
        <v>10478335</v>
      </c>
      <c r="E3073">
        <v>3</v>
      </c>
      <c r="F3073">
        <v>29</v>
      </c>
      <c r="G3073">
        <v>723</v>
      </c>
      <c r="H3073">
        <v>48917927</v>
      </c>
      <c r="I3073">
        <v>937374</v>
      </c>
      <c r="J3073" t="s">
        <v>25</v>
      </c>
      <c r="K3073" t="s">
        <v>30</v>
      </c>
      <c r="L3073">
        <v>7</v>
      </c>
      <c r="M3073">
        <v>92.92</v>
      </c>
      <c r="N3073">
        <v>891725</v>
      </c>
      <c r="O3073">
        <v>1</v>
      </c>
    </row>
    <row r="3074" spans="1:15">
      <c r="A3074" t="s">
        <v>3100</v>
      </c>
      <c r="B3074" t="s">
        <v>27</v>
      </c>
      <c r="C3074">
        <v>14</v>
      </c>
      <c r="D3074">
        <v>30037354</v>
      </c>
      <c r="E3074">
        <v>4</v>
      </c>
      <c r="F3074">
        <v>28</v>
      </c>
      <c r="G3074">
        <v>769</v>
      </c>
      <c r="H3074">
        <v>38849587</v>
      </c>
      <c r="I3074">
        <v>895887</v>
      </c>
      <c r="J3074" t="s">
        <v>17</v>
      </c>
      <c r="K3074" t="s">
        <v>22</v>
      </c>
      <c r="L3074">
        <v>4</v>
      </c>
      <c r="M3074">
        <v>52.62</v>
      </c>
      <c r="N3074">
        <v>132878</v>
      </c>
      <c r="O3074">
        <v>1</v>
      </c>
    </row>
    <row r="3075" spans="1:15">
      <c r="A3075" t="s">
        <v>3101</v>
      </c>
      <c r="B3075" t="s">
        <v>29</v>
      </c>
      <c r="C3075">
        <v>1</v>
      </c>
      <c r="D3075">
        <v>7792096</v>
      </c>
      <c r="E3075">
        <v>2</v>
      </c>
      <c r="F3075">
        <v>12</v>
      </c>
      <c r="G3075">
        <v>389</v>
      </c>
      <c r="H3075">
        <v>49060942</v>
      </c>
      <c r="I3075">
        <v>224586</v>
      </c>
      <c r="J3075" t="s">
        <v>17</v>
      </c>
      <c r="K3075" t="s">
        <v>18</v>
      </c>
      <c r="L3075">
        <v>2</v>
      </c>
      <c r="M3075">
        <v>79.02</v>
      </c>
      <c r="N3075">
        <v>105648</v>
      </c>
      <c r="O3075">
        <v>1</v>
      </c>
    </row>
    <row r="3076" spans="1:15">
      <c r="A3076" t="s">
        <v>3102</v>
      </c>
      <c r="B3076" t="s">
        <v>32</v>
      </c>
      <c r="C3076">
        <v>8</v>
      </c>
      <c r="D3076">
        <v>32360252</v>
      </c>
      <c r="E3076">
        <v>2</v>
      </c>
      <c r="F3076">
        <v>3</v>
      </c>
      <c r="G3076">
        <v>800</v>
      </c>
      <c r="H3076">
        <v>28764391</v>
      </c>
      <c r="I3076">
        <v>908117</v>
      </c>
      <c r="J3076" t="s">
        <v>21</v>
      </c>
      <c r="K3076" t="s">
        <v>18</v>
      </c>
      <c r="L3076">
        <v>7</v>
      </c>
      <c r="M3076">
        <v>99.71</v>
      </c>
      <c r="N3076">
        <v>97053</v>
      </c>
      <c r="O3076">
        <v>1</v>
      </c>
    </row>
    <row r="3077" spans="1:15">
      <c r="A3077" t="s">
        <v>3103</v>
      </c>
      <c r="B3077" t="s">
        <v>20</v>
      </c>
      <c r="C3077">
        <v>12</v>
      </c>
      <c r="D3077">
        <v>16523141</v>
      </c>
      <c r="E3077">
        <v>3</v>
      </c>
      <c r="F3077">
        <v>19</v>
      </c>
      <c r="G3077">
        <v>842</v>
      </c>
      <c r="H3077">
        <v>6118010</v>
      </c>
      <c r="I3077">
        <v>603127</v>
      </c>
      <c r="J3077" t="s">
        <v>25</v>
      </c>
      <c r="K3077" t="s">
        <v>30</v>
      </c>
      <c r="L3077">
        <v>5</v>
      </c>
      <c r="M3077">
        <v>91.27</v>
      </c>
      <c r="N3077">
        <v>266165</v>
      </c>
      <c r="O3077">
        <v>1</v>
      </c>
    </row>
    <row r="3078" spans="1:15">
      <c r="A3078" t="s">
        <v>3104</v>
      </c>
      <c r="B3078" t="s">
        <v>20</v>
      </c>
      <c r="C3078">
        <v>8</v>
      </c>
      <c r="D3078">
        <v>37052057</v>
      </c>
      <c r="E3078">
        <v>1</v>
      </c>
      <c r="F3078">
        <v>11</v>
      </c>
      <c r="G3078">
        <v>971</v>
      </c>
      <c r="H3078">
        <v>28453888</v>
      </c>
      <c r="I3078">
        <v>509845</v>
      </c>
      <c r="J3078" t="s">
        <v>17</v>
      </c>
      <c r="K3078" t="s">
        <v>22</v>
      </c>
      <c r="L3078">
        <v>7</v>
      </c>
      <c r="M3078">
        <v>65.92</v>
      </c>
      <c r="N3078">
        <v>350637</v>
      </c>
      <c r="O3078">
        <v>1</v>
      </c>
    </row>
    <row r="3079" spans="1:15">
      <c r="A3079" t="s">
        <v>3105</v>
      </c>
      <c r="B3079" t="s">
        <v>24</v>
      </c>
      <c r="C3079">
        <v>11</v>
      </c>
      <c r="D3079">
        <v>33794870</v>
      </c>
      <c r="E3079">
        <v>2</v>
      </c>
      <c r="F3079">
        <v>12</v>
      </c>
      <c r="G3079">
        <v>771</v>
      </c>
      <c r="H3079">
        <v>81261909</v>
      </c>
      <c r="I3079">
        <v>220119</v>
      </c>
      <c r="J3079" t="s">
        <v>17</v>
      </c>
      <c r="K3079" t="s">
        <v>18</v>
      </c>
      <c r="L3079">
        <v>2</v>
      </c>
      <c r="M3079">
        <v>56.22</v>
      </c>
      <c r="N3079">
        <v>442967</v>
      </c>
      <c r="O3079">
        <v>1</v>
      </c>
    </row>
    <row r="3080" spans="1:15">
      <c r="A3080" t="s">
        <v>3106</v>
      </c>
      <c r="B3080" t="s">
        <v>16</v>
      </c>
      <c r="C3080">
        <v>8</v>
      </c>
      <c r="D3080">
        <v>2481302</v>
      </c>
      <c r="E3080">
        <v>4</v>
      </c>
      <c r="F3080">
        <v>5</v>
      </c>
      <c r="G3080">
        <v>999</v>
      </c>
      <c r="H3080">
        <v>98670310</v>
      </c>
      <c r="I3080">
        <v>323600</v>
      </c>
      <c r="J3080" t="s">
        <v>25</v>
      </c>
      <c r="K3080" t="s">
        <v>22</v>
      </c>
      <c r="L3080">
        <v>7</v>
      </c>
      <c r="M3080">
        <v>20.78</v>
      </c>
      <c r="N3080">
        <v>820478</v>
      </c>
      <c r="O3080">
        <v>1</v>
      </c>
    </row>
    <row r="3081" spans="1:15">
      <c r="A3081" t="s">
        <v>3107</v>
      </c>
      <c r="B3081" t="s">
        <v>16</v>
      </c>
      <c r="C3081">
        <v>4</v>
      </c>
      <c r="D3081">
        <v>48889324</v>
      </c>
      <c r="E3081">
        <v>2</v>
      </c>
      <c r="F3081">
        <v>15</v>
      </c>
      <c r="G3081">
        <v>323</v>
      </c>
      <c r="H3081">
        <v>12997223</v>
      </c>
      <c r="I3081">
        <v>413916</v>
      </c>
      <c r="J3081" t="s">
        <v>17</v>
      </c>
      <c r="K3081" t="s">
        <v>30</v>
      </c>
      <c r="L3081">
        <v>7</v>
      </c>
      <c r="M3081">
        <v>7.07</v>
      </c>
      <c r="N3081">
        <v>693607</v>
      </c>
      <c r="O3081">
        <v>1</v>
      </c>
    </row>
    <row r="3082" spans="1:15">
      <c r="A3082" t="s">
        <v>3108</v>
      </c>
      <c r="B3082" t="s">
        <v>38</v>
      </c>
      <c r="C3082">
        <v>6</v>
      </c>
      <c r="D3082">
        <v>43159174</v>
      </c>
      <c r="E3082">
        <v>1</v>
      </c>
      <c r="F3082">
        <v>25</v>
      </c>
      <c r="G3082">
        <v>590</v>
      </c>
      <c r="H3082">
        <v>66174106</v>
      </c>
      <c r="I3082">
        <v>534152</v>
      </c>
      <c r="J3082" t="s">
        <v>25</v>
      </c>
      <c r="K3082" t="s">
        <v>30</v>
      </c>
      <c r="L3082">
        <v>8</v>
      </c>
      <c r="M3082">
        <v>46.71</v>
      </c>
      <c r="N3082">
        <v>788660</v>
      </c>
      <c r="O3082">
        <v>1</v>
      </c>
    </row>
    <row r="3083" spans="1:15">
      <c r="A3083" t="s">
        <v>3109</v>
      </c>
      <c r="B3083" t="s">
        <v>29</v>
      </c>
      <c r="C3083">
        <v>7</v>
      </c>
      <c r="D3083">
        <v>30451837</v>
      </c>
      <c r="E3083">
        <v>4</v>
      </c>
      <c r="F3083">
        <v>20</v>
      </c>
      <c r="G3083">
        <v>294</v>
      </c>
      <c r="H3083">
        <v>70957100</v>
      </c>
      <c r="I3083">
        <v>353514</v>
      </c>
      <c r="J3083" t="s">
        <v>21</v>
      </c>
      <c r="K3083" t="s">
        <v>18</v>
      </c>
      <c r="L3083">
        <v>9</v>
      </c>
      <c r="M3083">
        <v>61.42</v>
      </c>
      <c r="N3083">
        <v>300725</v>
      </c>
      <c r="O3083">
        <v>1</v>
      </c>
    </row>
    <row r="3084" spans="1:15">
      <c r="A3084" t="s">
        <v>3110</v>
      </c>
      <c r="B3084" t="s">
        <v>27</v>
      </c>
      <c r="C3084">
        <v>13</v>
      </c>
      <c r="D3084">
        <v>45935216</v>
      </c>
      <c r="E3084">
        <v>2</v>
      </c>
      <c r="F3084">
        <v>7</v>
      </c>
      <c r="G3084">
        <v>138</v>
      </c>
      <c r="H3084">
        <v>4310196</v>
      </c>
      <c r="I3084">
        <v>923016</v>
      </c>
      <c r="J3084" t="s">
        <v>17</v>
      </c>
      <c r="K3084" t="s">
        <v>22</v>
      </c>
      <c r="L3084">
        <v>5</v>
      </c>
      <c r="M3084">
        <v>2.5499999999999998</v>
      </c>
      <c r="N3084">
        <v>601806</v>
      </c>
      <c r="O3084">
        <v>1</v>
      </c>
    </row>
    <row r="3085" spans="1:15">
      <c r="A3085" t="s">
        <v>3111</v>
      </c>
      <c r="B3085" t="s">
        <v>38</v>
      </c>
      <c r="C3085">
        <v>8</v>
      </c>
      <c r="D3085">
        <v>32197533</v>
      </c>
      <c r="E3085">
        <v>1</v>
      </c>
      <c r="F3085">
        <v>16</v>
      </c>
      <c r="G3085">
        <v>138</v>
      </c>
      <c r="H3085">
        <v>93674519</v>
      </c>
      <c r="I3085">
        <v>492333</v>
      </c>
      <c r="J3085" t="s">
        <v>17</v>
      </c>
      <c r="K3085" t="s">
        <v>30</v>
      </c>
      <c r="L3085">
        <v>6</v>
      </c>
      <c r="M3085">
        <v>79.14</v>
      </c>
      <c r="N3085">
        <v>773062</v>
      </c>
      <c r="O3085">
        <v>1</v>
      </c>
    </row>
    <row r="3086" spans="1:15">
      <c r="A3086" t="s">
        <v>3112</v>
      </c>
      <c r="B3086" t="s">
        <v>38</v>
      </c>
      <c r="C3086">
        <v>8</v>
      </c>
      <c r="D3086">
        <v>14038856</v>
      </c>
      <c r="E3086">
        <v>1</v>
      </c>
      <c r="F3086">
        <v>29</v>
      </c>
      <c r="G3086">
        <v>16</v>
      </c>
      <c r="H3086">
        <v>73061503</v>
      </c>
      <c r="I3086">
        <v>15194</v>
      </c>
      <c r="J3086" t="s">
        <v>17</v>
      </c>
      <c r="K3086" t="s">
        <v>18</v>
      </c>
      <c r="L3086">
        <v>8</v>
      </c>
      <c r="M3086">
        <v>51.17</v>
      </c>
      <c r="N3086">
        <v>72628</v>
      </c>
      <c r="O3086">
        <v>1</v>
      </c>
    </row>
    <row r="3087" spans="1:15">
      <c r="A3087" t="s">
        <v>3113</v>
      </c>
      <c r="B3087" t="s">
        <v>20</v>
      </c>
      <c r="C3087">
        <v>7</v>
      </c>
      <c r="D3087">
        <v>17582642</v>
      </c>
      <c r="E3087">
        <v>2</v>
      </c>
      <c r="F3087">
        <v>29</v>
      </c>
      <c r="G3087">
        <v>107</v>
      </c>
      <c r="H3087">
        <v>65864346</v>
      </c>
      <c r="I3087">
        <v>37103</v>
      </c>
      <c r="J3087" t="s">
        <v>17</v>
      </c>
      <c r="K3087" t="s">
        <v>30</v>
      </c>
      <c r="L3087">
        <v>9</v>
      </c>
      <c r="M3087">
        <v>90.73</v>
      </c>
      <c r="N3087">
        <v>692385</v>
      </c>
      <c r="O3087">
        <v>1</v>
      </c>
    </row>
    <row r="3088" spans="1:15">
      <c r="A3088" t="s">
        <v>3114</v>
      </c>
      <c r="B3088" t="s">
        <v>24</v>
      </c>
      <c r="C3088">
        <v>3</v>
      </c>
      <c r="D3088">
        <v>39697069</v>
      </c>
      <c r="E3088">
        <v>3</v>
      </c>
      <c r="F3088">
        <v>21</v>
      </c>
      <c r="G3088">
        <v>462</v>
      </c>
      <c r="H3088">
        <v>23740857</v>
      </c>
      <c r="I3088">
        <v>495387</v>
      </c>
      <c r="J3088" t="s">
        <v>17</v>
      </c>
      <c r="K3088" t="s">
        <v>18</v>
      </c>
      <c r="L3088">
        <v>5</v>
      </c>
      <c r="M3088">
        <v>46.44</v>
      </c>
      <c r="N3088">
        <v>429603</v>
      </c>
      <c r="O3088">
        <v>1</v>
      </c>
    </row>
    <row r="3089" spans="1:15">
      <c r="A3089" t="s">
        <v>3115</v>
      </c>
      <c r="B3089" t="s">
        <v>20</v>
      </c>
      <c r="C3089">
        <v>12</v>
      </c>
      <c r="D3089">
        <v>28275341</v>
      </c>
      <c r="E3089">
        <v>2</v>
      </c>
      <c r="F3089">
        <v>6</v>
      </c>
      <c r="G3089">
        <v>878</v>
      </c>
      <c r="H3089">
        <v>50783006</v>
      </c>
      <c r="I3089">
        <v>158997</v>
      </c>
      <c r="J3089" t="s">
        <v>25</v>
      </c>
      <c r="K3089" t="s">
        <v>18</v>
      </c>
      <c r="L3089">
        <v>4</v>
      </c>
      <c r="M3089">
        <v>6.16</v>
      </c>
      <c r="N3089">
        <v>77575</v>
      </c>
      <c r="O3089">
        <v>1</v>
      </c>
    </row>
    <row r="3090" spans="1:15">
      <c r="A3090" t="s">
        <v>3116</v>
      </c>
      <c r="B3090" t="s">
        <v>38</v>
      </c>
      <c r="C3090">
        <v>0</v>
      </c>
      <c r="D3090">
        <v>35501281</v>
      </c>
      <c r="E3090">
        <v>2</v>
      </c>
      <c r="F3090">
        <v>0</v>
      </c>
      <c r="G3090">
        <v>128</v>
      </c>
      <c r="H3090">
        <v>54452032</v>
      </c>
      <c r="I3090">
        <v>932807</v>
      </c>
      <c r="J3090" t="s">
        <v>25</v>
      </c>
      <c r="K3090" t="s">
        <v>30</v>
      </c>
      <c r="L3090">
        <v>4</v>
      </c>
      <c r="M3090">
        <v>57.25</v>
      </c>
      <c r="N3090">
        <v>863274</v>
      </c>
      <c r="O3090">
        <v>1</v>
      </c>
    </row>
    <row r="3091" spans="1:15">
      <c r="A3091" t="s">
        <v>3117</v>
      </c>
      <c r="B3091" t="s">
        <v>24</v>
      </c>
      <c r="C3091">
        <v>1</v>
      </c>
      <c r="D3091">
        <v>33524267</v>
      </c>
      <c r="E3091">
        <v>2</v>
      </c>
      <c r="F3091">
        <v>5</v>
      </c>
      <c r="G3091">
        <v>280</v>
      </c>
      <c r="H3091">
        <v>6199443</v>
      </c>
      <c r="I3091">
        <v>23843</v>
      </c>
      <c r="J3091" t="s">
        <v>17</v>
      </c>
      <c r="K3091" t="s">
        <v>30</v>
      </c>
      <c r="L3091">
        <v>6</v>
      </c>
      <c r="M3091">
        <v>9.3800000000000008</v>
      </c>
      <c r="N3091">
        <v>939044</v>
      </c>
      <c r="O3091">
        <v>1</v>
      </c>
    </row>
    <row r="3092" spans="1:15">
      <c r="A3092" t="s">
        <v>3118</v>
      </c>
      <c r="B3092" t="s">
        <v>27</v>
      </c>
      <c r="C3092">
        <v>3</v>
      </c>
      <c r="D3092">
        <v>16801905</v>
      </c>
      <c r="E3092">
        <v>1</v>
      </c>
      <c r="F3092">
        <v>2</v>
      </c>
      <c r="G3092">
        <v>833</v>
      </c>
      <c r="H3092">
        <v>72752658</v>
      </c>
      <c r="I3092">
        <v>166391</v>
      </c>
      <c r="J3092" t="s">
        <v>21</v>
      </c>
      <c r="K3092" t="s">
        <v>22</v>
      </c>
      <c r="L3092">
        <v>2</v>
      </c>
      <c r="M3092">
        <v>28.76</v>
      </c>
      <c r="N3092">
        <v>933041</v>
      </c>
      <c r="O3092">
        <v>1</v>
      </c>
    </row>
    <row r="3093" spans="1:15">
      <c r="A3093" t="s">
        <v>3119</v>
      </c>
      <c r="B3093" t="s">
        <v>20</v>
      </c>
      <c r="C3093">
        <v>4</v>
      </c>
      <c r="D3093">
        <v>27993125</v>
      </c>
      <c r="E3093">
        <v>1</v>
      </c>
      <c r="F3093">
        <v>26</v>
      </c>
      <c r="G3093">
        <v>682</v>
      </c>
      <c r="H3093">
        <v>28657239</v>
      </c>
      <c r="I3093">
        <v>118912</v>
      </c>
      <c r="J3093" t="s">
        <v>17</v>
      </c>
      <c r="K3093" t="s">
        <v>30</v>
      </c>
      <c r="L3093">
        <v>5</v>
      </c>
      <c r="M3093">
        <v>79.2</v>
      </c>
      <c r="N3093">
        <v>623572</v>
      </c>
      <c r="O3093">
        <v>1</v>
      </c>
    </row>
    <row r="3094" spans="1:15">
      <c r="A3094" t="s">
        <v>3120</v>
      </c>
      <c r="B3094" t="s">
        <v>20</v>
      </c>
      <c r="C3094">
        <v>6</v>
      </c>
      <c r="D3094">
        <v>37478681</v>
      </c>
      <c r="E3094">
        <v>4</v>
      </c>
      <c r="F3094">
        <v>19</v>
      </c>
      <c r="G3094">
        <v>774</v>
      </c>
      <c r="H3094">
        <v>97906831</v>
      </c>
      <c r="I3094">
        <v>914707</v>
      </c>
      <c r="J3094" t="s">
        <v>21</v>
      </c>
      <c r="K3094" t="s">
        <v>30</v>
      </c>
      <c r="L3094">
        <v>5</v>
      </c>
      <c r="M3094">
        <v>79.19</v>
      </c>
      <c r="N3094">
        <v>438681</v>
      </c>
      <c r="O3094">
        <v>1</v>
      </c>
    </row>
    <row r="3095" spans="1:15">
      <c r="A3095" t="s">
        <v>3121</v>
      </c>
      <c r="B3095" t="s">
        <v>29</v>
      </c>
      <c r="C3095">
        <v>4</v>
      </c>
      <c r="D3095">
        <v>30241553</v>
      </c>
      <c r="E3095">
        <v>3</v>
      </c>
      <c r="F3095">
        <v>0</v>
      </c>
      <c r="G3095">
        <v>712</v>
      </c>
      <c r="H3095">
        <v>18004378</v>
      </c>
      <c r="I3095">
        <v>956912</v>
      </c>
      <c r="J3095" t="s">
        <v>25</v>
      </c>
      <c r="K3095" t="s">
        <v>18</v>
      </c>
      <c r="L3095">
        <v>5</v>
      </c>
      <c r="M3095">
        <v>46.23</v>
      </c>
      <c r="N3095">
        <v>966394</v>
      </c>
      <c r="O3095">
        <v>1</v>
      </c>
    </row>
    <row r="3096" spans="1:15">
      <c r="A3096" t="s">
        <v>3122</v>
      </c>
      <c r="B3096" t="s">
        <v>27</v>
      </c>
      <c r="C3096">
        <v>1</v>
      </c>
      <c r="D3096">
        <v>2423913</v>
      </c>
      <c r="E3096">
        <v>4</v>
      </c>
      <c r="F3096">
        <v>14</v>
      </c>
      <c r="G3096">
        <v>964</v>
      </c>
      <c r="H3096">
        <v>46005175</v>
      </c>
      <c r="I3096">
        <v>533250</v>
      </c>
      <c r="J3096" t="s">
        <v>25</v>
      </c>
      <c r="K3096" t="s">
        <v>22</v>
      </c>
      <c r="L3096">
        <v>2</v>
      </c>
      <c r="M3096">
        <v>22.25</v>
      </c>
      <c r="N3096">
        <v>254197</v>
      </c>
      <c r="O3096">
        <v>1</v>
      </c>
    </row>
    <row r="3097" spans="1:15">
      <c r="A3097" t="s">
        <v>3123</v>
      </c>
      <c r="B3097" t="s">
        <v>32</v>
      </c>
      <c r="C3097">
        <v>11</v>
      </c>
      <c r="D3097">
        <v>39432193</v>
      </c>
      <c r="E3097">
        <v>2</v>
      </c>
      <c r="F3097">
        <v>2</v>
      </c>
      <c r="G3097">
        <v>38</v>
      </c>
      <c r="H3097">
        <v>73523945</v>
      </c>
      <c r="I3097">
        <v>992106</v>
      </c>
      <c r="J3097" t="s">
        <v>17</v>
      </c>
      <c r="K3097" t="s">
        <v>22</v>
      </c>
      <c r="L3097">
        <v>1</v>
      </c>
      <c r="M3097">
        <v>24.36</v>
      </c>
      <c r="N3097">
        <v>589281</v>
      </c>
      <c r="O3097">
        <v>1</v>
      </c>
    </row>
    <row r="3098" spans="1:15">
      <c r="A3098" t="s">
        <v>3124</v>
      </c>
      <c r="B3098" t="s">
        <v>38</v>
      </c>
      <c r="C3098">
        <v>1</v>
      </c>
      <c r="D3098">
        <v>24969558</v>
      </c>
      <c r="E3098">
        <v>1</v>
      </c>
      <c r="F3098">
        <v>20</v>
      </c>
      <c r="G3098">
        <v>963</v>
      </c>
      <c r="H3098">
        <v>61042572</v>
      </c>
      <c r="I3098">
        <v>527884</v>
      </c>
      <c r="J3098" t="s">
        <v>25</v>
      </c>
      <c r="K3098" t="s">
        <v>18</v>
      </c>
      <c r="L3098">
        <v>1</v>
      </c>
      <c r="M3098">
        <v>80.88</v>
      </c>
      <c r="N3098">
        <v>855028</v>
      </c>
      <c r="O3098">
        <v>1</v>
      </c>
    </row>
    <row r="3099" spans="1:15">
      <c r="A3099" t="s">
        <v>3125</v>
      </c>
      <c r="B3099" t="s">
        <v>27</v>
      </c>
      <c r="C3099">
        <v>9</v>
      </c>
      <c r="D3099">
        <v>9002851</v>
      </c>
      <c r="E3099">
        <v>2</v>
      </c>
      <c r="F3099">
        <v>26</v>
      </c>
      <c r="G3099">
        <v>574</v>
      </c>
      <c r="H3099">
        <v>5098341</v>
      </c>
      <c r="I3099">
        <v>816100</v>
      </c>
      <c r="J3099" t="s">
        <v>21</v>
      </c>
      <c r="K3099" t="s">
        <v>18</v>
      </c>
      <c r="L3099">
        <v>1</v>
      </c>
      <c r="M3099">
        <v>8.09</v>
      </c>
      <c r="N3099">
        <v>190140</v>
      </c>
      <c r="O3099">
        <v>1</v>
      </c>
    </row>
    <row r="3100" spans="1:15">
      <c r="A3100" t="s">
        <v>3126</v>
      </c>
      <c r="B3100" t="s">
        <v>16</v>
      </c>
      <c r="C3100">
        <v>6</v>
      </c>
      <c r="D3100">
        <v>9867705</v>
      </c>
      <c r="E3100">
        <v>2</v>
      </c>
      <c r="F3100">
        <v>25</v>
      </c>
      <c r="G3100">
        <v>621</v>
      </c>
      <c r="H3100">
        <v>30662021</v>
      </c>
      <c r="I3100">
        <v>46113</v>
      </c>
      <c r="J3100" t="s">
        <v>21</v>
      </c>
      <c r="K3100" t="s">
        <v>22</v>
      </c>
      <c r="L3100">
        <v>1</v>
      </c>
      <c r="M3100">
        <v>8.73</v>
      </c>
      <c r="N3100">
        <v>915965</v>
      </c>
      <c r="O3100">
        <v>1</v>
      </c>
    </row>
    <row r="3101" spans="1:15">
      <c r="A3101" t="s">
        <v>3127</v>
      </c>
      <c r="B3101" t="s">
        <v>38</v>
      </c>
      <c r="C3101">
        <v>4</v>
      </c>
      <c r="D3101">
        <v>16948225</v>
      </c>
      <c r="E3101">
        <v>3</v>
      </c>
      <c r="F3101">
        <v>11</v>
      </c>
      <c r="G3101">
        <v>292</v>
      </c>
      <c r="H3101">
        <v>59271983</v>
      </c>
      <c r="I3101">
        <v>768750</v>
      </c>
      <c r="J3101" t="s">
        <v>25</v>
      </c>
      <c r="K3101" t="s">
        <v>22</v>
      </c>
      <c r="L3101">
        <v>9</v>
      </c>
      <c r="M3101">
        <v>92.01</v>
      </c>
      <c r="N3101">
        <v>44510</v>
      </c>
      <c r="O3101">
        <v>1</v>
      </c>
    </row>
    <row r="3102" spans="1:15">
      <c r="A3102" t="s">
        <v>3128</v>
      </c>
      <c r="B3102" t="s">
        <v>24</v>
      </c>
      <c r="C3102">
        <v>0</v>
      </c>
      <c r="D3102">
        <v>20688617</v>
      </c>
      <c r="E3102">
        <v>1</v>
      </c>
      <c r="F3102">
        <v>23</v>
      </c>
      <c r="G3102">
        <v>451</v>
      </c>
      <c r="H3102">
        <v>19166904</v>
      </c>
      <c r="I3102">
        <v>766778</v>
      </c>
      <c r="J3102" t="s">
        <v>25</v>
      </c>
      <c r="K3102" t="s">
        <v>22</v>
      </c>
      <c r="L3102">
        <v>1</v>
      </c>
      <c r="M3102">
        <v>53.54</v>
      </c>
      <c r="N3102">
        <v>750771</v>
      </c>
      <c r="O3102">
        <v>1</v>
      </c>
    </row>
    <row r="3103" spans="1:15">
      <c r="A3103" t="s">
        <v>3129</v>
      </c>
      <c r="B3103" t="s">
        <v>27</v>
      </c>
      <c r="C3103">
        <v>8</v>
      </c>
      <c r="D3103">
        <v>47948719</v>
      </c>
      <c r="E3103">
        <v>4</v>
      </c>
      <c r="F3103">
        <v>2</v>
      </c>
      <c r="G3103">
        <v>76</v>
      </c>
      <c r="H3103">
        <v>22006184</v>
      </c>
      <c r="I3103">
        <v>959407</v>
      </c>
      <c r="J3103" t="s">
        <v>17</v>
      </c>
      <c r="K3103" t="s">
        <v>30</v>
      </c>
      <c r="L3103">
        <v>8</v>
      </c>
      <c r="M3103">
        <v>84.29</v>
      </c>
      <c r="N3103">
        <v>142635</v>
      </c>
      <c r="O3103">
        <v>1</v>
      </c>
    </row>
    <row r="3104" spans="1:15">
      <c r="A3104" t="s">
        <v>3130</v>
      </c>
      <c r="B3104" t="s">
        <v>38</v>
      </c>
      <c r="C3104">
        <v>0</v>
      </c>
      <c r="D3104">
        <v>23055093</v>
      </c>
      <c r="E3104">
        <v>2</v>
      </c>
      <c r="F3104">
        <v>21</v>
      </c>
      <c r="G3104">
        <v>747</v>
      </c>
      <c r="H3104">
        <v>8110729</v>
      </c>
      <c r="I3104">
        <v>970543</v>
      </c>
      <c r="J3104" t="s">
        <v>17</v>
      </c>
      <c r="K3104" t="s">
        <v>18</v>
      </c>
      <c r="L3104">
        <v>4</v>
      </c>
      <c r="M3104">
        <v>34.119999999999997</v>
      </c>
      <c r="N3104">
        <v>414523</v>
      </c>
      <c r="O3104">
        <v>1</v>
      </c>
    </row>
    <row r="3105" spans="1:15">
      <c r="A3105" t="s">
        <v>3131</v>
      </c>
      <c r="B3105" t="s">
        <v>38</v>
      </c>
      <c r="C3105">
        <v>11</v>
      </c>
      <c r="D3105">
        <v>36597435</v>
      </c>
      <c r="E3105">
        <v>1</v>
      </c>
      <c r="F3105">
        <v>5</v>
      </c>
      <c r="G3105">
        <v>761</v>
      </c>
      <c r="H3105">
        <v>84045696</v>
      </c>
      <c r="I3105">
        <v>164425</v>
      </c>
      <c r="J3105" t="s">
        <v>21</v>
      </c>
      <c r="K3105" t="s">
        <v>22</v>
      </c>
      <c r="L3105">
        <v>2</v>
      </c>
      <c r="M3105">
        <v>88.78</v>
      </c>
      <c r="N3105">
        <v>249750</v>
      </c>
      <c r="O3105">
        <v>1</v>
      </c>
    </row>
    <row r="3106" spans="1:15">
      <c r="A3106" t="s">
        <v>3132</v>
      </c>
      <c r="B3106" t="s">
        <v>24</v>
      </c>
      <c r="C3106">
        <v>5</v>
      </c>
      <c r="D3106">
        <v>43181077</v>
      </c>
      <c r="E3106">
        <v>3</v>
      </c>
      <c r="F3106">
        <v>10</v>
      </c>
      <c r="G3106">
        <v>814</v>
      </c>
      <c r="H3106">
        <v>91088354</v>
      </c>
      <c r="I3106">
        <v>797978</v>
      </c>
      <c r="J3106" t="s">
        <v>25</v>
      </c>
      <c r="K3106" t="s">
        <v>22</v>
      </c>
      <c r="L3106">
        <v>7</v>
      </c>
      <c r="M3106">
        <v>63.4</v>
      </c>
      <c r="N3106">
        <v>859747</v>
      </c>
      <c r="O3106">
        <v>1</v>
      </c>
    </row>
    <row r="3107" spans="1:15">
      <c r="A3107" t="s">
        <v>3133</v>
      </c>
      <c r="B3107" t="s">
        <v>20</v>
      </c>
      <c r="C3107">
        <v>10</v>
      </c>
      <c r="D3107">
        <v>3162200</v>
      </c>
      <c r="E3107">
        <v>3</v>
      </c>
      <c r="F3107">
        <v>1</v>
      </c>
      <c r="G3107">
        <v>724</v>
      </c>
      <c r="H3107">
        <v>6725243</v>
      </c>
      <c r="I3107">
        <v>63915</v>
      </c>
      <c r="J3107" t="s">
        <v>21</v>
      </c>
      <c r="K3107" t="s">
        <v>30</v>
      </c>
      <c r="L3107">
        <v>2</v>
      </c>
      <c r="M3107">
        <v>25.72</v>
      </c>
      <c r="N3107">
        <v>411685</v>
      </c>
      <c r="O3107">
        <v>1</v>
      </c>
    </row>
    <row r="3108" spans="1:15">
      <c r="A3108" t="s">
        <v>3134</v>
      </c>
      <c r="B3108" t="s">
        <v>32</v>
      </c>
      <c r="C3108">
        <v>3</v>
      </c>
      <c r="D3108">
        <v>37190848</v>
      </c>
      <c r="E3108">
        <v>3</v>
      </c>
      <c r="F3108">
        <v>16</v>
      </c>
      <c r="G3108">
        <v>984</v>
      </c>
      <c r="H3108">
        <v>76325335</v>
      </c>
      <c r="I3108">
        <v>446522</v>
      </c>
      <c r="J3108" t="s">
        <v>25</v>
      </c>
      <c r="K3108" t="s">
        <v>18</v>
      </c>
      <c r="L3108">
        <v>8</v>
      </c>
      <c r="M3108">
        <v>65.510000000000005</v>
      </c>
      <c r="N3108">
        <v>162674</v>
      </c>
      <c r="O3108">
        <v>1</v>
      </c>
    </row>
    <row r="3109" spans="1:15">
      <c r="A3109" t="s">
        <v>3135</v>
      </c>
      <c r="B3109" t="s">
        <v>16</v>
      </c>
      <c r="C3109">
        <v>3</v>
      </c>
      <c r="D3109">
        <v>7345713</v>
      </c>
      <c r="E3109">
        <v>2</v>
      </c>
      <c r="F3109">
        <v>28</v>
      </c>
      <c r="G3109">
        <v>514</v>
      </c>
      <c r="H3109">
        <v>88908695</v>
      </c>
      <c r="I3109">
        <v>490811</v>
      </c>
      <c r="J3109" t="s">
        <v>25</v>
      </c>
      <c r="K3109" t="s">
        <v>30</v>
      </c>
      <c r="L3109">
        <v>4</v>
      </c>
      <c r="M3109">
        <v>61.81</v>
      </c>
      <c r="N3109">
        <v>790610</v>
      </c>
      <c r="O3109">
        <v>1</v>
      </c>
    </row>
    <row r="3110" spans="1:15">
      <c r="A3110" t="s">
        <v>3136</v>
      </c>
      <c r="B3110" t="s">
        <v>29</v>
      </c>
      <c r="C3110">
        <v>9</v>
      </c>
      <c r="D3110">
        <v>37765131</v>
      </c>
      <c r="E3110">
        <v>4</v>
      </c>
      <c r="F3110">
        <v>18</v>
      </c>
      <c r="G3110">
        <v>169</v>
      </c>
      <c r="H3110">
        <v>98523163</v>
      </c>
      <c r="I3110">
        <v>944662</v>
      </c>
      <c r="J3110" t="s">
        <v>25</v>
      </c>
      <c r="K3110" t="s">
        <v>18</v>
      </c>
      <c r="L3110">
        <v>3</v>
      </c>
      <c r="M3110">
        <v>61.1</v>
      </c>
      <c r="N3110">
        <v>995095</v>
      </c>
      <c r="O3110">
        <v>1</v>
      </c>
    </row>
    <row r="3111" spans="1:15">
      <c r="A3111" t="s">
        <v>3137</v>
      </c>
      <c r="B3111" t="s">
        <v>24</v>
      </c>
      <c r="C3111">
        <v>13</v>
      </c>
      <c r="D3111">
        <v>47064842</v>
      </c>
      <c r="E3111">
        <v>1</v>
      </c>
      <c r="F3111">
        <v>15</v>
      </c>
      <c r="G3111">
        <v>519</v>
      </c>
      <c r="H3111">
        <v>48065137</v>
      </c>
      <c r="I3111">
        <v>493255</v>
      </c>
      <c r="J3111" t="s">
        <v>25</v>
      </c>
      <c r="K3111" t="s">
        <v>30</v>
      </c>
      <c r="L3111">
        <v>8</v>
      </c>
      <c r="M3111">
        <v>86.32</v>
      </c>
      <c r="N3111">
        <v>252422</v>
      </c>
      <c r="O3111">
        <v>1</v>
      </c>
    </row>
    <row r="3112" spans="1:15">
      <c r="A3112" t="s">
        <v>3138</v>
      </c>
      <c r="B3112" t="s">
        <v>38</v>
      </c>
      <c r="C3112">
        <v>4</v>
      </c>
      <c r="D3112">
        <v>2213967</v>
      </c>
      <c r="E3112">
        <v>1</v>
      </c>
      <c r="F3112">
        <v>22</v>
      </c>
      <c r="G3112">
        <v>551</v>
      </c>
      <c r="H3112">
        <v>7693388</v>
      </c>
      <c r="I3112">
        <v>948333</v>
      </c>
      <c r="J3112" t="s">
        <v>17</v>
      </c>
      <c r="K3112" t="s">
        <v>18</v>
      </c>
      <c r="L3112">
        <v>9</v>
      </c>
      <c r="M3112">
        <v>47.79</v>
      </c>
      <c r="N3112">
        <v>297493</v>
      </c>
      <c r="O3112">
        <v>1</v>
      </c>
    </row>
    <row r="3113" spans="1:15">
      <c r="A3113" t="s">
        <v>3139</v>
      </c>
      <c r="B3113" t="s">
        <v>38</v>
      </c>
      <c r="C3113">
        <v>7</v>
      </c>
      <c r="D3113">
        <v>23854275</v>
      </c>
      <c r="E3113">
        <v>1</v>
      </c>
      <c r="F3113">
        <v>20</v>
      </c>
      <c r="G3113">
        <v>970</v>
      </c>
      <c r="H3113">
        <v>99650963</v>
      </c>
      <c r="I3113">
        <v>874786</v>
      </c>
      <c r="J3113" t="s">
        <v>21</v>
      </c>
      <c r="K3113" t="s">
        <v>30</v>
      </c>
      <c r="L3113">
        <v>5</v>
      </c>
      <c r="M3113">
        <v>95.17</v>
      </c>
      <c r="N3113">
        <v>473046</v>
      </c>
      <c r="O3113">
        <v>1</v>
      </c>
    </row>
    <row r="3114" spans="1:15">
      <c r="A3114" t="s">
        <v>3140</v>
      </c>
      <c r="B3114" t="s">
        <v>32</v>
      </c>
      <c r="C3114">
        <v>12</v>
      </c>
      <c r="D3114">
        <v>32424268</v>
      </c>
      <c r="E3114">
        <v>1</v>
      </c>
      <c r="F3114">
        <v>26</v>
      </c>
      <c r="G3114">
        <v>654</v>
      </c>
      <c r="H3114">
        <v>47823188</v>
      </c>
      <c r="I3114">
        <v>424958</v>
      </c>
      <c r="J3114" t="s">
        <v>21</v>
      </c>
      <c r="K3114" t="s">
        <v>30</v>
      </c>
      <c r="L3114">
        <v>7</v>
      </c>
      <c r="M3114">
        <v>61.29</v>
      </c>
      <c r="N3114">
        <v>968835</v>
      </c>
      <c r="O3114">
        <v>1</v>
      </c>
    </row>
    <row r="3115" spans="1:15">
      <c r="A3115" t="s">
        <v>3141</v>
      </c>
      <c r="B3115" t="s">
        <v>16</v>
      </c>
      <c r="C3115">
        <v>8</v>
      </c>
      <c r="D3115">
        <v>39298995</v>
      </c>
      <c r="E3115">
        <v>3</v>
      </c>
      <c r="F3115">
        <v>15</v>
      </c>
      <c r="G3115">
        <v>698</v>
      </c>
      <c r="H3115">
        <v>53335290</v>
      </c>
      <c r="I3115">
        <v>875192</v>
      </c>
      <c r="J3115" t="s">
        <v>21</v>
      </c>
      <c r="K3115" t="s">
        <v>18</v>
      </c>
      <c r="L3115">
        <v>6</v>
      </c>
      <c r="M3115">
        <v>56.95</v>
      </c>
      <c r="N3115">
        <v>955261</v>
      </c>
      <c r="O3115">
        <v>1</v>
      </c>
    </row>
    <row r="3116" spans="1:15">
      <c r="A3116" t="s">
        <v>3142</v>
      </c>
      <c r="B3116" t="s">
        <v>24</v>
      </c>
      <c r="C3116">
        <v>10</v>
      </c>
      <c r="D3116">
        <v>29215526</v>
      </c>
      <c r="E3116">
        <v>1</v>
      </c>
      <c r="F3116">
        <v>9</v>
      </c>
      <c r="G3116">
        <v>93</v>
      </c>
      <c r="H3116">
        <v>52251460</v>
      </c>
      <c r="I3116">
        <v>942368</v>
      </c>
      <c r="J3116" t="s">
        <v>25</v>
      </c>
      <c r="K3116" t="s">
        <v>22</v>
      </c>
      <c r="L3116">
        <v>7</v>
      </c>
      <c r="M3116">
        <v>68.86</v>
      </c>
      <c r="N3116">
        <v>376113</v>
      </c>
      <c r="O3116">
        <v>1</v>
      </c>
    </row>
    <row r="3117" spans="1:15">
      <c r="A3117" t="s">
        <v>3143</v>
      </c>
      <c r="B3117" t="s">
        <v>24</v>
      </c>
      <c r="C3117">
        <v>8</v>
      </c>
      <c r="D3117">
        <v>17707607</v>
      </c>
      <c r="E3117">
        <v>1</v>
      </c>
      <c r="F3117">
        <v>22</v>
      </c>
      <c r="G3117">
        <v>84</v>
      </c>
      <c r="H3117">
        <v>22974371</v>
      </c>
      <c r="I3117">
        <v>783315</v>
      </c>
      <c r="J3117" t="s">
        <v>21</v>
      </c>
      <c r="K3117" t="s">
        <v>18</v>
      </c>
      <c r="L3117">
        <v>1</v>
      </c>
      <c r="M3117">
        <v>3.87</v>
      </c>
      <c r="N3117">
        <v>15300</v>
      </c>
      <c r="O3117">
        <v>1</v>
      </c>
    </row>
    <row r="3118" spans="1:15">
      <c r="A3118" t="s">
        <v>3144</v>
      </c>
      <c r="B3118" t="s">
        <v>38</v>
      </c>
      <c r="C3118">
        <v>6</v>
      </c>
      <c r="D3118">
        <v>8305040</v>
      </c>
      <c r="E3118">
        <v>2</v>
      </c>
      <c r="F3118">
        <v>26</v>
      </c>
      <c r="G3118">
        <v>731</v>
      </c>
      <c r="H3118">
        <v>9309267</v>
      </c>
      <c r="I3118">
        <v>913174</v>
      </c>
      <c r="J3118" t="s">
        <v>17</v>
      </c>
      <c r="K3118" t="s">
        <v>30</v>
      </c>
      <c r="L3118">
        <v>5</v>
      </c>
      <c r="M3118">
        <v>86.96</v>
      </c>
      <c r="N3118">
        <v>435461</v>
      </c>
      <c r="O3118">
        <v>1</v>
      </c>
    </row>
    <row r="3119" spans="1:15">
      <c r="A3119" t="s">
        <v>3145</v>
      </c>
      <c r="B3119" t="s">
        <v>29</v>
      </c>
      <c r="C3119">
        <v>6</v>
      </c>
      <c r="D3119">
        <v>3367937</v>
      </c>
      <c r="E3119">
        <v>4</v>
      </c>
      <c r="F3119">
        <v>16</v>
      </c>
      <c r="G3119">
        <v>926</v>
      </c>
      <c r="H3119">
        <v>74195845</v>
      </c>
      <c r="I3119">
        <v>925418</v>
      </c>
      <c r="J3119" t="s">
        <v>25</v>
      </c>
      <c r="K3119" t="s">
        <v>18</v>
      </c>
      <c r="L3119">
        <v>4</v>
      </c>
      <c r="M3119">
        <v>39.65</v>
      </c>
      <c r="N3119">
        <v>31869</v>
      </c>
      <c r="O3119">
        <v>1</v>
      </c>
    </row>
    <row r="3120" spans="1:15">
      <c r="A3120" t="s">
        <v>3146</v>
      </c>
      <c r="B3120" t="s">
        <v>38</v>
      </c>
      <c r="C3120">
        <v>4</v>
      </c>
      <c r="D3120">
        <v>31996562</v>
      </c>
      <c r="E3120">
        <v>1</v>
      </c>
      <c r="F3120">
        <v>1</v>
      </c>
      <c r="G3120">
        <v>140</v>
      </c>
      <c r="H3120">
        <v>59777221</v>
      </c>
      <c r="I3120">
        <v>305536</v>
      </c>
      <c r="J3120" t="s">
        <v>25</v>
      </c>
      <c r="K3120" t="s">
        <v>22</v>
      </c>
      <c r="L3120">
        <v>6</v>
      </c>
      <c r="M3120">
        <v>6.35</v>
      </c>
      <c r="N3120">
        <v>706440</v>
      </c>
      <c r="O3120">
        <v>1</v>
      </c>
    </row>
    <row r="3121" spans="1:15">
      <c r="A3121" t="s">
        <v>3147</v>
      </c>
      <c r="B3121" t="s">
        <v>16</v>
      </c>
      <c r="C3121">
        <v>10</v>
      </c>
      <c r="D3121">
        <v>3101944</v>
      </c>
      <c r="E3121">
        <v>2</v>
      </c>
      <c r="F3121">
        <v>22</v>
      </c>
      <c r="G3121">
        <v>92</v>
      </c>
      <c r="H3121">
        <v>19653535</v>
      </c>
      <c r="I3121">
        <v>776449</v>
      </c>
      <c r="J3121" t="s">
        <v>17</v>
      </c>
      <c r="K3121" t="s">
        <v>30</v>
      </c>
      <c r="L3121">
        <v>5</v>
      </c>
      <c r="M3121">
        <v>15.19</v>
      </c>
      <c r="N3121">
        <v>588536</v>
      </c>
      <c r="O3121">
        <v>1</v>
      </c>
    </row>
    <row r="3122" spans="1:15">
      <c r="A3122" t="s">
        <v>3148</v>
      </c>
      <c r="B3122" t="s">
        <v>20</v>
      </c>
      <c r="C3122">
        <v>7</v>
      </c>
      <c r="D3122">
        <v>40576753</v>
      </c>
      <c r="E3122">
        <v>4</v>
      </c>
      <c r="F3122">
        <v>22</v>
      </c>
      <c r="G3122">
        <v>995</v>
      </c>
      <c r="H3122">
        <v>21211057</v>
      </c>
      <c r="I3122">
        <v>838054</v>
      </c>
      <c r="J3122" t="s">
        <v>21</v>
      </c>
      <c r="K3122" t="s">
        <v>18</v>
      </c>
      <c r="L3122">
        <v>3</v>
      </c>
      <c r="M3122">
        <v>21.53</v>
      </c>
      <c r="N3122">
        <v>770529</v>
      </c>
      <c r="O3122">
        <v>1</v>
      </c>
    </row>
    <row r="3123" spans="1:15">
      <c r="A3123" t="s">
        <v>3149</v>
      </c>
      <c r="B3123" t="s">
        <v>29</v>
      </c>
      <c r="C3123">
        <v>12</v>
      </c>
      <c r="D3123">
        <v>45623378</v>
      </c>
      <c r="E3123">
        <v>2</v>
      </c>
      <c r="F3123">
        <v>2</v>
      </c>
      <c r="G3123">
        <v>310</v>
      </c>
      <c r="H3123">
        <v>33593885</v>
      </c>
      <c r="I3123">
        <v>454069</v>
      </c>
      <c r="J3123" t="s">
        <v>17</v>
      </c>
      <c r="K3123" t="s">
        <v>22</v>
      </c>
      <c r="L3123">
        <v>7</v>
      </c>
      <c r="M3123">
        <v>14.54</v>
      </c>
      <c r="N3123">
        <v>129898</v>
      </c>
      <c r="O3123">
        <v>1</v>
      </c>
    </row>
    <row r="3124" spans="1:15">
      <c r="A3124" t="s">
        <v>3150</v>
      </c>
      <c r="B3124" t="s">
        <v>38</v>
      </c>
      <c r="C3124">
        <v>12</v>
      </c>
      <c r="D3124">
        <v>35036949</v>
      </c>
      <c r="E3124">
        <v>2</v>
      </c>
      <c r="F3124">
        <v>10</v>
      </c>
      <c r="G3124">
        <v>167</v>
      </c>
      <c r="H3124">
        <v>2560930</v>
      </c>
      <c r="I3124">
        <v>395063</v>
      </c>
      <c r="J3124" t="s">
        <v>25</v>
      </c>
      <c r="K3124" t="s">
        <v>30</v>
      </c>
      <c r="L3124">
        <v>7</v>
      </c>
      <c r="M3124">
        <v>83.41</v>
      </c>
      <c r="N3124">
        <v>988824</v>
      </c>
      <c r="O3124">
        <v>1</v>
      </c>
    </row>
    <row r="3125" spans="1:15">
      <c r="A3125" t="s">
        <v>3151</v>
      </c>
      <c r="B3125" t="s">
        <v>16</v>
      </c>
      <c r="C3125">
        <v>0</v>
      </c>
      <c r="D3125">
        <v>22322991</v>
      </c>
      <c r="E3125">
        <v>2</v>
      </c>
      <c r="F3125">
        <v>27</v>
      </c>
      <c r="G3125">
        <v>725</v>
      </c>
      <c r="H3125">
        <v>93777586</v>
      </c>
      <c r="I3125">
        <v>490719</v>
      </c>
      <c r="J3125" t="s">
        <v>17</v>
      </c>
      <c r="K3125" t="s">
        <v>22</v>
      </c>
      <c r="L3125">
        <v>8</v>
      </c>
      <c r="M3125">
        <v>26.33</v>
      </c>
      <c r="N3125">
        <v>18337</v>
      </c>
      <c r="O3125">
        <v>1</v>
      </c>
    </row>
    <row r="3126" spans="1:15">
      <c r="A3126" t="s">
        <v>3152</v>
      </c>
      <c r="B3126" t="s">
        <v>32</v>
      </c>
      <c r="C3126">
        <v>14</v>
      </c>
      <c r="D3126">
        <v>39641094</v>
      </c>
      <c r="E3126">
        <v>1</v>
      </c>
      <c r="F3126">
        <v>11</v>
      </c>
      <c r="G3126">
        <v>345</v>
      </c>
      <c r="H3126">
        <v>1691371</v>
      </c>
      <c r="I3126">
        <v>77825</v>
      </c>
      <c r="J3126" t="s">
        <v>21</v>
      </c>
      <c r="K3126" t="s">
        <v>30</v>
      </c>
      <c r="L3126">
        <v>6</v>
      </c>
      <c r="M3126">
        <v>95.11</v>
      </c>
      <c r="N3126">
        <v>944520</v>
      </c>
      <c r="O3126">
        <v>1</v>
      </c>
    </row>
    <row r="3127" spans="1:15">
      <c r="A3127" t="s">
        <v>3153</v>
      </c>
      <c r="B3127" t="s">
        <v>16</v>
      </c>
      <c r="C3127">
        <v>7</v>
      </c>
      <c r="D3127">
        <v>9734870</v>
      </c>
      <c r="E3127">
        <v>4</v>
      </c>
      <c r="F3127">
        <v>24</v>
      </c>
      <c r="G3127">
        <v>181</v>
      </c>
      <c r="H3127">
        <v>2847978</v>
      </c>
      <c r="I3127">
        <v>866785</v>
      </c>
      <c r="J3127" t="s">
        <v>21</v>
      </c>
      <c r="K3127" t="s">
        <v>18</v>
      </c>
      <c r="L3127">
        <v>1</v>
      </c>
      <c r="M3127">
        <v>77.650000000000006</v>
      </c>
      <c r="N3127">
        <v>540579</v>
      </c>
      <c r="O3127">
        <v>1</v>
      </c>
    </row>
    <row r="3128" spans="1:15">
      <c r="A3128" t="s">
        <v>3154</v>
      </c>
      <c r="B3128" t="s">
        <v>29</v>
      </c>
      <c r="C3128">
        <v>10</v>
      </c>
      <c r="D3128">
        <v>7210553</v>
      </c>
      <c r="E3128">
        <v>2</v>
      </c>
      <c r="F3128">
        <v>26</v>
      </c>
      <c r="G3128">
        <v>328</v>
      </c>
      <c r="H3128">
        <v>31063510</v>
      </c>
      <c r="I3128">
        <v>360400</v>
      </c>
      <c r="J3128" t="s">
        <v>21</v>
      </c>
      <c r="K3128" t="s">
        <v>18</v>
      </c>
      <c r="L3128">
        <v>5</v>
      </c>
      <c r="M3128">
        <v>83.94</v>
      </c>
      <c r="N3128">
        <v>31777</v>
      </c>
      <c r="O3128">
        <v>1</v>
      </c>
    </row>
    <row r="3129" spans="1:15">
      <c r="A3129" t="s">
        <v>3155</v>
      </c>
      <c r="B3129" t="s">
        <v>20</v>
      </c>
      <c r="C3129">
        <v>9</v>
      </c>
      <c r="D3129">
        <v>34307851</v>
      </c>
      <c r="E3129">
        <v>1</v>
      </c>
      <c r="F3129">
        <v>5</v>
      </c>
      <c r="G3129">
        <v>563</v>
      </c>
      <c r="H3129">
        <v>34699875</v>
      </c>
      <c r="I3129">
        <v>601780</v>
      </c>
      <c r="J3129" t="s">
        <v>17</v>
      </c>
      <c r="K3129" t="s">
        <v>22</v>
      </c>
      <c r="L3129">
        <v>5</v>
      </c>
      <c r="M3129">
        <v>35.17</v>
      </c>
      <c r="N3129">
        <v>310894</v>
      </c>
      <c r="O3129">
        <v>1</v>
      </c>
    </row>
    <row r="3130" spans="1:15">
      <c r="A3130" t="s">
        <v>3156</v>
      </c>
      <c r="B3130" t="s">
        <v>24</v>
      </c>
      <c r="C3130">
        <v>11</v>
      </c>
      <c r="D3130">
        <v>40645623</v>
      </c>
      <c r="E3130">
        <v>2</v>
      </c>
      <c r="F3130">
        <v>19</v>
      </c>
      <c r="G3130">
        <v>970</v>
      </c>
      <c r="H3130">
        <v>7621813</v>
      </c>
      <c r="I3130">
        <v>32764</v>
      </c>
      <c r="J3130" t="s">
        <v>21</v>
      </c>
      <c r="K3130" t="s">
        <v>22</v>
      </c>
      <c r="L3130">
        <v>1</v>
      </c>
      <c r="M3130">
        <v>93.98</v>
      </c>
      <c r="N3130">
        <v>14307</v>
      </c>
      <c r="O3130">
        <v>1</v>
      </c>
    </row>
    <row r="3131" spans="1:15">
      <c r="A3131" t="s">
        <v>3157</v>
      </c>
      <c r="B3131" t="s">
        <v>38</v>
      </c>
      <c r="C3131">
        <v>2</v>
      </c>
      <c r="D3131">
        <v>17377835</v>
      </c>
      <c r="E3131">
        <v>1</v>
      </c>
      <c r="F3131">
        <v>28</v>
      </c>
      <c r="G3131">
        <v>360</v>
      </c>
      <c r="H3131">
        <v>42570674</v>
      </c>
      <c r="I3131">
        <v>619000</v>
      </c>
      <c r="J3131" t="s">
        <v>25</v>
      </c>
      <c r="K3131" t="s">
        <v>18</v>
      </c>
      <c r="L3131">
        <v>6</v>
      </c>
      <c r="M3131">
        <v>51.95</v>
      </c>
      <c r="N3131">
        <v>483343</v>
      </c>
      <c r="O3131">
        <v>1</v>
      </c>
    </row>
    <row r="3132" spans="1:15">
      <c r="A3132" t="s">
        <v>3158</v>
      </c>
      <c r="B3132" t="s">
        <v>29</v>
      </c>
      <c r="C3132">
        <v>3</v>
      </c>
      <c r="D3132">
        <v>28024724</v>
      </c>
      <c r="E3132">
        <v>3</v>
      </c>
      <c r="F3132">
        <v>1</v>
      </c>
      <c r="G3132">
        <v>764</v>
      </c>
      <c r="H3132">
        <v>867613</v>
      </c>
      <c r="I3132">
        <v>587696</v>
      </c>
      <c r="J3132" t="s">
        <v>17</v>
      </c>
      <c r="K3132" t="s">
        <v>18</v>
      </c>
      <c r="L3132">
        <v>6</v>
      </c>
      <c r="M3132">
        <v>97.25</v>
      </c>
      <c r="N3132">
        <v>578851</v>
      </c>
      <c r="O3132">
        <v>1</v>
      </c>
    </row>
    <row r="3133" spans="1:15">
      <c r="A3133" t="s">
        <v>3159</v>
      </c>
      <c r="B3133" t="s">
        <v>27</v>
      </c>
      <c r="C3133">
        <v>1</v>
      </c>
      <c r="D3133">
        <v>27792787</v>
      </c>
      <c r="E3133">
        <v>1</v>
      </c>
      <c r="F3133">
        <v>29</v>
      </c>
      <c r="G3133">
        <v>212</v>
      </c>
      <c r="H3133">
        <v>77091469</v>
      </c>
      <c r="I3133">
        <v>597375</v>
      </c>
      <c r="J3133" t="s">
        <v>25</v>
      </c>
      <c r="K3133" t="s">
        <v>22</v>
      </c>
      <c r="L3133">
        <v>5</v>
      </c>
      <c r="M3133">
        <v>12.6</v>
      </c>
      <c r="N3133">
        <v>418200</v>
      </c>
      <c r="O3133">
        <v>1</v>
      </c>
    </row>
    <row r="3134" spans="1:15">
      <c r="A3134" t="s">
        <v>3160</v>
      </c>
      <c r="B3134" t="s">
        <v>29</v>
      </c>
      <c r="C3134">
        <v>13</v>
      </c>
      <c r="D3134">
        <v>25873334</v>
      </c>
      <c r="E3134">
        <v>3</v>
      </c>
      <c r="F3134">
        <v>4</v>
      </c>
      <c r="G3134">
        <v>905</v>
      </c>
      <c r="H3134">
        <v>47625786</v>
      </c>
      <c r="I3134">
        <v>940286</v>
      </c>
      <c r="J3134" t="s">
        <v>17</v>
      </c>
      <c r="K3134" t="s">
        <v>22</v>
      </c>
      <c r="L3134">
        <v>3</v>
      </c>
      <c r="M3134">
        <v>80.930000000000007</v>
      </c>
      <c r="N3134">
        <v>543876</v>
      </c>
      <c r="O3134">
        <v>1</v>
      </c>
    </row>
    <row r="3135" spans="1:15">
      <c r="A3135" t="s">
        <v>3161</v>
      </c>
      <c r="B3135" t="s">
        <v>38</v>
      </c>
      <c r="C3135">
        <v>13</v>
      </c>
      <c r="D3135">
        <v>49192563</v>
      </c>
      <c r="E3135">
        <v>4</v>
      </c>
      <c r="F3135">
        <v>20</v>
      </c>
      <c r="G3135">
        <v>277</v>
      </c>
      <c r="H3135">
        <v>71125659</v>
      </c>
      <c r="I3135">
        <v>219939</v>
      </c>
      <c r="J3135" t="s">
        <v>21</v>
      </c>
      <c r="K3135" t="s">
        <v>22</v>
      </c>
      <c r="L3135">
        <v>6</v>
      </c>
      <c r="M3135">
        <v>22.09</v>
      </c>
      <c r="N3135">
        <v>695049</v>
      </c>
      <c r="O3135">
        <v>1</v>
      </c>
    </row>
    <row r="3136" spans="1:15">
      <c r="A3136" t="s">
        <v>3162</v>
      </c>
      <c r="B3136" t="s">
        <v>24</v>
      </c>
      <c r="C3136">
        <v>13</v>
      </c>
      <c r="D3136">
        <v>4016993</v>
      </c>
      <c r="E3136">
        <v>4</v>
      </c>
      <c r="F3136">
        <v>2</v>
      </c>
      <c r="G3136">
        <v>572</v>
      </c>
      <c r="H3136">
        <v>22228149</v>
      </c>
      <c r="I3136">
        <v>438000</v>
      </c>
      <c r="J3136" t="s">
        <v>21</v>
      </c>
      <c r="K3136" t="s">
        <v>18</v>
      </c>
      <c r="L3136">
        <v>3</v>
      </c>
      <c r="M3136">
        <v>18.23</v>
      </c>
      <c r="N3136">
        <v>695664</v>
      </c>
      <c r="O3136">
        <v>1</v>
      </c>
    </row>
    <row r="3137" spans="1:15">
      <c r="A3137" t="s">
        <v>3163</v>
      </c>
      <c r="B3137" t="s">
        <v>27</v>
      </c>
      <c r="C3137">
        <v>14</v>
      </c>
      <c r="D3137">
        <v>21077422</v>
      </c>
      <c r="E3137">
        <v>4</v>
      </c>
      <c r="F3137">
        <v>22</v>
      </c>
      <c r="G3137">
        <v>965</v>
      </c>
      <c r="H3137">
        <v>58903146</v>
      </c>
      <c r="I3137">
        <v>539131</v>
      </c>
      <c r="J3137" t="s">
        <v>25</v>
      </c>
      <c r="K3137" t="s">
        <v>18</v>
      </c>
      <c r="L3137">
        <v>6</v>
      </c>
      <c r="M3137">
        <v>84.44</v>
      </c>
      <c r="N3137">
        <v>179481</v>
      </c>
      <c r="O3137">
        <v>1</v>
      </c>
    </row>
    <row r="3138" spans="1:15">
      <c r="A3138" t="s">
        <v>3164</v>
      </c>
      <c r="B3138" t="s">
        <v>20</v>
      </c>
      <c r="C3138">
        <v>4</v>
      </c>
      <c r="D3138">
        <v>24959296</v>
      </c>
      <c r="E3138">
        <v>1</v>
      </c>
      <c r="F3138">
        <v>22</v>
      </c>
      <c r="G3138">
        <v>196</v>
      </c>
      <c r="H3138">
        <v>86432367</v>
      </c>
      <c r="I3138">
        <v>877051</v>
      </c>
      <c r="J3138" t="s">
        <v>21</v>
      </c>
      <c r="K3138" t="s">
        <v>18</v>
      </c>
      <c r="L3138">
        <v>2</v>
      </c>
      <c r="M3138">
        <v>97.41</v>
      </c>
      <c r="N3138">
        <v>488188</v>
      </c>
      <c r="O3138">
        <v>1</v>
      </c>
    </row>
    <row r="3139" spans="1:15">
      <c r="A3139" t="s">
        <v>3165</v>
      </c>
      <c r="B3139" t="s">
        <v>32</v>
      </c>
      <c r="C3139">
        <v>1</v>
      </c>
      <c r="D3139">
        <v>21810397</v>
      </c>
      <c r="E3139">
        <v>2</v>
      </c>
      <c r="F3139">
        <v>23</v>
      </c>
      <c r="G3139">
        <v>645</v>
      </c>
      <c r="H3139">
        <v>49669756</v>
      </c>
      <c r="I3139">
        <v>644750</v>
      </c>
      <c r="J3139" t="s">
        <v>21</v>
      </c>
      <c r="K3139" t="s">
        <v>30</v>
      </c>
      <c r="L3139">
        <v>4</v>
      </c>
      <c r="M3139">
        <v>64.98</v>
      </c>
      <c r="N3139">
        <v>349130</v>
      </c>
      <c r="O3139">
        <v>1</v>
      </c>
    </row>
    <row r="3140" spans="1:15">
      <c r="A3140" t="s">
        <v>3166</v>
      </c>
      <c r="B3140" t="s">
        <v>38</v>
      </c>
      <c r="C3140">
        <v>12</v>
      </c>
      <c r="D3140">
        <v>2271177</v>
      </c>
      <c r="E3140">
        <v>4</v>
      </c>
      <c r="F3140">
        <v>28</v>
      </c>
      <c r="G3140">
        <v>552</v>
      </c>
      <c r="H3140">
        <v>58901762</v>
      </c>
      <c r="I3140">
        <v>293827</v>
      </c>
      <c r="J3140" t="s">
        <v>21</v>
      </c>
      <c r="K3140" t="s">
        <v>22</v>
      </c>
      <c r="L3140">
        <v>9</v>
      </c>
      <c r="M3140">
        <v>60.58</v>
      </c>
      <c r="N3140">
        <v>458723</v>
      </c>
      <c r="O3140">
        <v>1</v>
      </c>
    </row>
    <row r="3141" spans="1:15">
      <c r="A3141" t="s">
        <v>3167</v>
      </c>
      <c r="B3141" t="s">
        <v>24</v>
      </c>
      <c r="C3141">
        <v>11</v>
      </c>
      <c r="D3141">
        <v>43911761</v>
      </c>
      <c r="E3141">
        <v>4</v>
      </c>
      <c r="F3141">
        <v>4</v>
      </c>
      <c r="G3141">
        <v>552</v>
      </c>
      <c r="H3141">
        <v>73540896</v>
      </c>
      <c r="I3141">
        <v>138929</v>
      </c>
      <c r="J3141" t="s">
        <v>25</v>
      </c>
      <c r="K3141" t="s">
        <v>30</v>
      </c>
      <c r="L3141">
        <v>8</v>
      </c>
      <c r="M3141">
        <v>20.63</v>
      </c>
      <c r="N3141">
        <v>660643</v>
      </c>
      <c r="O3141">
        <v>1</v>
      </c>
    </row>
    <row r="3142" spans="1:15">
      <c r="A3142" t="s">
        <v>3168</v>
      </c>
      <c r="B3142" t="s">
        <v>29</v>
      </c>
      <c r="C3142">
        <v>14</v>
      </c>
      <c r="D3142">
        <v>12187303</v>
      </c>
      <c r="E3142">
        <v>1</v>
      </c>
      <c r="F3142">
        <v>23</v>
      </c>
      <c r="G3142">
        <v>639</v>
      </c>
      <c r="H3142">
        <v>5181470</v>
      </c>
      <c r="I3142">
        <v>679333</v>
      </c>
      <c r="J3142" t="s">
        <v>17</v>
      </c>
      <c r="K3142" t="s">
        <v>30</v>
      </c>
      <c r="L3142">
        <v>7</v>
      </c>
      <c r="M3142">
        <v>10.09</v>
      </c>
      <c r="N3142">
        <v>937595</v>
      </c>
      <c r="O3142">
        <v>1</v>
      </c>
    </row>
    <row r="3143" spans="1:15">
      <c r="A3143" t="s">
        <v>3169</v>
      </c>
      <c r="B3143" t="s">
        <v>16</v>
      </c>
      <c r="C3143">
        <v>9</v>
      </c>
      <c r="D3143">
        <v>15231573</v>
      </c>
      <c r="E3143">
        <v>2</v>
      </c>
      <c r="F3143">
        <v>18</v>
      </c>
      <c r="G3143">
        <v>153</v>
      </c>
      <c r="H3143">
        <v>66905942</v>
      </c>
      <c r="I3143">
        <v>105649</v>
      </c>
      <c r="J3143" t="s">
        <v>25</v>
      </c>
      <c r="K3143" t="s">
        <v>18</v>
      </c>
      <c r="L3143">
        <v>6</v>
      </c>
      <c r="M3143">
        <v>48.65</v>
      </c>
      <c r="N3143">
        <v>836462</v>
      </c>
      <c r="O3143">
        <v>1</v>
      </c>
    </row>
    <row r="3144" spans="1:15">
      <c r="A3144" t="s">
        <v>3170</v>
      </c>
      <c r="B3144" t="s">
        <v>27</v>
      </c>
      <c r="C3144">
        <v>1</v>
      </c>
      <c r="D3144">
        <v>6243382</v>
      </c>
      <c r="E3144">
        <v>4</v>
      </c>
      <c r="F3144">
        <v>17</v>
      </c>
      <c r="G3144">
        <v>269</v>
      </c>
      <c r="H3144">
        <v>39935539</v>
      </c>
      <c r="I3144">
        <v>332281</v>
      </c>
      <c r="J3144" t="s">
        <v>25</v>
      </c>
      <c r="K3144" t="s">
        <v>30</v>
      </c>
      <c r="L3144">
        <v>5</v>
      </c>
      <c r="M3144">
        <v>33.65</v>
      </c>
      <c r="N3144">
        <v>830403</v>
      </c>
      <c r="O3144">
        <v>1</v>
      </c>
    </row>
    <row r="3145" spans="1:15">
      <c r="A3145" t="s">
        <v>3171</v>
      </c>
      <c r="B3145" t="s">
        <v>20</v>
      </c>
      <c r="C3145">
        <v>6</v>
      </c>
      <c r="D3145">
        <v>48359820</v>
      </c>
      <c r="E3145">
        <v>4</v>
      </c>
      <c r="F3145">
        <v>18</v>
      </c>
      <c r="G3145">
        <v>818</v>
      </c>
      <c r="H3145">
        <v>74459112</v>
      </c>
      <c r="I3145">
        <v>212515</v>
      </c>
      <c r="J3145" t="s">
        <v>25</v>
      </c>
      <c r="K3145" t="s">
        <v>30</v>
      </c>
      <c r="L3145">
        <v>6</v>
      </c>
      <c r="M3145">
        <v>14.28</v>
      </c>
      <c r="N3145">
        <v>938062</v>
      </c>
      <c r="O3145">
        <v>1</v>
      </c>
    </row>
    <row r="3146" spans="1:15">
      <c r="A3146" t="s">
        <v>3172</v>
      </c>
      <c r="B3146" t="s">
        <v>38</v>
      </c>
      <c r="C3146">
        <v>0</v>
      </c>
      <c r="D3146">
        <v>868357</v>
      </c>
      <c r="E3146">
        <v>1</v>
      </c>
      <c r="F3146">
        <v>12</v>
      </c>
      <c r="G3146">
        <v>543</v>
      </c>
      <c r="H3146">
        <v>25966275</v>
      </c>
      <c r="I3146">
        <v>452415</v>
      </c>
      <c r="J3146" t="s">
        <v>17</v>
      </c>
      <c r="K3146" t="s">
        <v>18</v>
      </c>
      <c r="L3146">
        <v>9</v>
      </c>
      <c r="M3146">
        <v>86.52</v>
      </c>
      <c r="N3146">
        <v>958554</v>
      </c>
      <c r="O3146">
        <v>1</v>
      </c>
    </row>
    <row r="3147" spans="1:15">
      <c r="A3147" t="s">
        <v>3173</v>
      </c>
      <c r="B3147" t="s">
        <v>27</v>
      </c>
      <c r="C3147">
        <v>12</v>
      </c>
      <c r="D3147">
        <v>22354853</v>
      </c>
      <c r="E3147">
        <v>3</v>
      </c>
      <c r="F3147">
        <v>18</v>
      </c>
      <c r="G3147">
        <v>448</v>
      </c>
      <c r="H3147">
        <v>45031316</v>
      </c>
      <c r="I3147">
        <v>33181</v>
      </c>
      <c r="J3147" t="s">
        <v>17</v>
      </c>
      <c r="K3147" t="s">
        <v>22</v>
      </c>
      <c r="L3147">
        <v>9</v>
      </c>
      <c r="M3147">
        <v>64.53</v>
      </c>
      <c r="N3147">
        <v>109543</v>
      </c>
      <c r="O3147">
        <v>1</v>
      </c>
    </row>
    <row r="3148" spans="1:15">
      <c r="A3148" t="s">
        <v>3174</v>
      </c>
      <c r="B3148" t="s">
        <v>27</v>
      </c>
      <c r="C3148">
        <v>14</v>
      </c>
      <c r="D3148">
        <v>34727928</v>
      </c>
      <c r="E3148">
        <v>1</v>
      </c>
      <c r="F3148">
        <v>9</v>
      </c>
      <c r="G3148">
        <v>795</v>
      </c>
      <c r="H3148">
        <v>45068513</v>
      </c>
      <c r="I3148">
        <v>923018</v>
      </c>
      <c r="J3148" t="s">
        <v>25</v>
      </c>
      <c r="K3148" t="s">
        <v>30</v>
      </c>
      <c r="L3148">
        <v>3</v>
      </c>
      <c r="M3148">
        <v>32.81</v>
      </c>
      <c r="N3148">
        <v>134232</v>
      </c>
      <c r="O3148">
        <v>1</v>
      </c>
    </row>
    <row r="3149" spans="1:15">
      <c r="A3149" t="s">
        <v>3175</v>
      </c>
      <c r="B3149" t="s">
        <v>38</v>
      </c>
      <c r="C3149">
        <v>14</v>
      </c>
      <c r="D3149">
        <v>26865802</v>
      </c>
      <c r="E3149">
        <v>2</v>
      </c>
      <c r="F3149">
        <v>17</v>
      </c>
      <c r="G3149">
        <v>269</v>
      </c>
      <c r="H3149">
        <v>52388143</v>
      </c>
      <c r="I3149">
        <v>813589</v>
      </c>
      <c r="J3149" t="s">
        <v>25</v>
      </c>
      <c r="K3149" t="s">
        <v>30</v>
      </c>
      <c r="L3149">
        <v>2</v>
      </c>
      <c r="M3149">
        <v>63.7</v>
      </c>
      <c r="N3149">
        <v>470494</v>
      </c>
      <c r="O3149">
        <v>1</v>
      </c>
    </row>
    <row r="3150" spans="1:15">
      <c r="A3150" t="s">
        <v>3176</v>
      </c>
      <c r="B3150" t="s">
        <v>27</v>
      </c>
      <c r="C3150">
        <v>0</v>
      </c>
      <c r="D3150">
        <v>41055290</v>
      </c>
      <c r="E3150">
        <v>1</v>
      </c>
      <c r="F3150">
        <v>11</v>
      </c>
      <c r="G3150">
        <v>730</v>
      </c>
      <c r="H3150">
        <v>87926960</v>
      </c>
      <c r="I3150">
        <v>736737</v>
      </c>
      <c r="J3150" t="s">
        <v>17</v>
      </c>
      <c r="K3150" t="s">
        <v>22</v>
      </c>
      <c r="L3150">
        <v>3</v>
      </c>
      <c r="M3150">
        <v>26.94</v>
      </c>
      <c r="N3150">
        <v>473154</v>
      </c>
      <c r="O3150">
        <v>1</v>
      </c>
    </row>
    <row r="3151" spans="1:15">
      <c r="A3151" t="s">
        <v>3177</v>
      </c>
      <c r="B3151" t="s">
        <v>29</v>
      </c>
      <c r="C3151">
        <v>3</v>
      </c>
      <c r="D3151">
        <v>44320705</v>
      </c>
      <c r="E3151">
        <v>1</v>
      </c>
      <c r="F3151">
        <v>16</v>
      </c>
      <c r="G3151">
        <v>254</v>
      </c>
      <c r="H3151">
        <v>10490673</v>
      </c>
      <c r="I3151">
        <v>884164</v>
      </c>
      <c r="J3151" t="s">
        <v>25</v>
      </c>
      <c r="K3151" t="s">
        <v>18</v>
      </c>
      <c r="L3151">
        <v>4</v>
      </c>
      <c r="M3151">
        <v>56.1</v>
      </c>
      <c r="N3151">
        <v>10729</v>
      </c>
      <c r="O3151">
        <v>1</v>
      </c>
    </row>
    <row r="3152" spans="1:15">
      <c r="A3152" t="s">
        <v>3178</v>
      </c>
      <c r="B3152" t="s">
        <v>38</v>
      </c>
      <c r="C3152">
        <v>4</v>
      </c>
      <c r="D3152">
        <v>17046972</v>
      </c>
      <c r="E3152">
        <v>2</v>
      </c>
      <c r="F3152">
        <v>27</v>
      </c>
      <c r="G3152">
        <v>842</v>
      </c>
      <c r="H3152">
        <v>82118161</v>
      </c>
      <c r="I3152">
        <v>580462</v>
      </c>
      <c r="J3152" t="s">
        <v>21</v>
      </c>
      <c r="K3152" t="s">
        <v>18</v>
      </c>
      <c r="L3152">
        <v>8</v>
      </c>
      <c r="M3152">
        <v>71.28</v>
      </c>
      <c r="N3152">
        <v>67344</v>
      </c>
      <c r="O3152">
        <v>1</v>
      </c>
    </row>
    <row r="3153" spans="1:15">
      <c r="A3153" t="s">
        <v>3179</v>
      </c>
      <c r="B3153" t="s">
        <v>32</v>
      </c>
      <c r="C3153">
        <v>5</v>
      </c>
      <c r="D3153">
        <v>49096848</v>
      </c>
      <c r="E3153">
        <v>3</v>
      </c>
      <c r="F3153">
        <v>12</v>
      </c>
      <c r="G3153">
        <v>507</v>
      </c>
      <c r="H3153">
        <v>7147396</v>
      </c>
      <c r="I3153">
        <v>66797</v>
      </c>
      <c r="J3153" t="s">
        <v>21</v>
      </c>
      <c r="K3153" t="s">
        <v>30</v>
      </c>
      <c r="L3153">
        <v>1</v>
      </c>
      <c r="M3153">
        <v>41.74</v>
      </c>
      <c r="N3153">
        <v>473227</v>
      </c>
      <c r="O3153">
        <v>1</v>
      </c>
    </row>
    <row r="3154" spans="1:15">
      <c r="A3154" t="s">
        <v>3180</v>
      </c>
      <c r="B3154" t="s">
        <v>32</v>
      </c>
      <c r="C3154">
        <v>11</v>
      </c>
      <c r="D3154">
        <v>27611072</v>
      </c>
      <c r="E3154">
        <v>4</v>
      </c>
      <c r="F3154">
        <v>10</v>
      </c>
      <c r="G3154">
        <v>908</v>
      </c>
      <c r="H3154">
        <v>56411788</v>
      </c>
      <c r="I3154">
        <v>634022</v>
      </c>
      <c r="J3154" t="s">
        <v>21</v>
      </c>
      <c r="K3154" t="s">
        <v>18</v>
      </c>
      <c r="L3154">
        <v>7</v>
      </c>
      <c r="M3154">
        <v>15.72</v>
      </c>
      <c r="N3154">
        <v>777953</v>
      </c>
      <c r="O3154">
        <v>1</v>
      </c>
    </row>
    <row r="3155" spans="1:15">
      <c r="A3155" t="s">
        <v>3181</v>
      </c>
      <c r="B3155" t="s">
        <v>32</v>
      </c>
      <c r="C3155">
        <v>7</v>
      </c>
      <c r="D3155">
        <v>25576797</v>
      </c>
      <c r="E3155">
        <v>1</v>
      </c>
      <c r="F3155">
        <v>13</v>
      </c>
      <c r="G3155">
        <v>228</v>
      </c>
      <c r="H3155">
        <v>92251387</v>
      </c>
      <c r="I3155">
        <v>992172</v>
      </c>
      <c r="J3155" t="s">
        <v>21</v>
      </c>
      <c r="K3155" t="s">
        <v>22</v>
      </c>
      <c r="L3155">
        <v>5</v>
      </c>
      <c r="M3155">
        <v>93.82</v>
      </c>
      <c r="N3155">
        <v>202927</v>
      </c>
      <c r="O3155">
        <v>1</v>
      </c>
    </row>
    <row r="3156" spans="1:15">
      <c r="A3156" t="s">
        <v>3182</v>
      </c>
      <c r="B3156" t="s">
        <v>38</v>
      </c>
      <c r="C3156">
        <v>10</v>
      </c>
      <c r="D3156">
        <v>36121255</v>
      </c>
      <c r="E3156">
        <v>3</v>
      </c>
      <c r="F3156">
        <v>8</v>
      </c>
      <c r="G3156">
        <v>848</v>
      </c>
      <c r="H3156">
        <v>75646656</v>
      </c>
      <c r="I3156">
        <v>726054</v>
      </c>
      <c r="J3156" t="s">
        <v>21</v>
      </c>
      <c r="K3156" t="s">
        <v>18</v>
      </c>
      <c r="L3156">
        <v>2</v>
      </c>
      <c r="M3156">
        <v>41.36</v>
      </c>
      <c r="N3156">
        <v>569014</v>
      </c>
      <c r="O3156">
        <v>1</v>
      </c>
    </row>
    <row r="3157" spans="1:15">
      <c r="A3157" t="s">
        <v>3183</v>
      </c>
      <c r="B3157" t="s">
        <v>32</v>
      </c>
      <c r="C3157">
        <v>5</v>
      </c>
      <c r="D3157">
        <v>27819737</v>
      </c>
      <c r="E3157">
        <v>3</v>
      </c>
      <c r="F3157">
        <v>27</v>
      </c>
      <c r="G3157">
        <v>207</v>
      </c>
      <c r="H3157">
        <v>91141273</v>
      </c>
      <c r="I3157">
        <v>150395</v>
      </c>
      <c r="J3157" t="s">
        <v>21</v>
      </c>
      <c r="K3157" t="s">
        <v>30</v>
      </c>
      <c r="L3157">
        <v>6</v>
      </c>
      <c r="M3157">
        <v>42.08</v>
      </c>
      <c r="N3157">
        <v>214651</v>
      </c>
      <c r="O3157">
        <v>1</v>
      </c>
    </row>
    <row r="3158" spans="1:15">
      <c r="A3158" t="s">
        <v>3184</v>
      </c>
      <c r="B3158" t="s">
        <v>27</v>
      </c>
      <c r="C3158">
        <v>11</v>
      </c>
      <c r="D3158">
        <v>40317639</v>
      </c>
      <c r="E3158">
        <v>4</v>
      </c>
      <c r="F3158">
        <v>24</v>
      </c>
      <c r="G3158">
        <v>295</v>
      </c>
      <c r="H3158">
        <v>1902158</v>
      </c>
      <c r="I3158">
        <v>248894</v>
      </c>
      <c r="J3158" t="s">
        <v>25</v>
      </c>
      <c r="K3158" t="s">
        <v>18</v>
      </c>
      <c r="L3158">
        <v>8</v>
      </c>
      <c r="M3158">
        <v>35.270000000000003</v>
      </c>
      <c r="N3158">
        <v>189325</v>
      </c>
      <c r="O3158">
        <v>1</v>
      </c>
    </row>
    <row r="3159" spans="1:15">
      <c r="A3159" t="s">
        <v>3185</v>
      </c>
      <c r="B3159" t="s">
        <v>24</v>
      </c>
      <c r="C3159">
        <v>5</v>
      </c>
      <c r="D3159">
        <v>46554680</v>
      </c>
      <c r="E3159">
        <v>3</v>
      </c>
      <c r="F3159">
        <v>10</v>
      </c>
      <c r="G3159">
        <v>326</v>
      </c>
      <c r="H3159">
        <v>1560143</v>
      </c>
      <c r="I3159">
        <v>123797</v>
      </c>
      <c r="J3159" t="s">
        <v>21</v>
      </c>
      <c r="K3159" t="s">
        <v>30</v>
      </c>
      <c r="L3159">
        <v>1</v>
      </c>
      <c r="M3159">
        <v>9.84</v>
      </c>
      <c r="N3159">
        <v>544429</v>
      </c>
      <c r="O3159">
        <v>1</v>
      </c>
    </row>
    <row r="3160" spans="1:15">
      <c r="A3160" t="s">
        <v>3186</v>
      </c>
      <c r="B3160" t="s">
        <v>20</v>
      </c>
      <c r="C3160">
        <v>2</v>
      </c>
      <c r="D3160">
        <v>20356943</v>
      </c>
      <c r="E3160">
        <v>2</v>
      </c>
      <c r="F3160">
        <v>6</v>
      </c>
      <c r="G3160">
        <v>152</v>
      </c>
      <c r="H3160">
        <v>33002631</v>
      </c>
      <c r="I3160">
        <v>23448</v>
      </c>
      <c r="J3160" t="s">
        <v>17</v>
      </c>
      <c r="K3160" t="s">
        <v>18</v>
      </c>
      <c r="L3160">
        <v>4</v>
      </c>
      <c r="M3160">
        <v>3.33</v>
      </c>
      <c r="N3160">
        <v>772860</v>
      </c>
      <c r="O3160">
        <v>1</v>
      </c>
    </row>
    <row r="3161" spans="1:15">
      <c r="A3161" t="s">
        <v>3187</v>
      </c>
      <c r="B3161" t="s">
        <v>20</v>
      </c>
      <c r="C3161">
        <v>9</v>
      </c>
      <c r="D3161">
        <v>47119690</v>
      </c>
      <c r="E3161">
        <v>2</v>
      </c>
      <c r="F3161">
        <v>17</v>
      </c>
      <c r="G3161">
        <v>597</v>
      </c>
      <c r="H3161">
        <v>61110094</v>
      </c>
      <c r="I3161">
        <v>396891</v>
      </c>
      <c r="J3161" t="s">
        <v>21</v>
      </c>
      <c r="K3161" t="s">
        <v>30</v>
      </c>
      <c r="L3161">
        <v>4</v>
      </c>
      <c r="M3161">
        <v>55.43</v>
      </c>
      <c r="N3161">
        <v>621525</v>
      </c>
      <c r="O3161">
        <v>1</v>
      </c>
    </row>
    <row r="3162" spans="1:15">
      <c r="A3162" t="s">
        <v>3188</v>
      </c>
      <c r="B3162" t="s">
        <v>27</v>
      </c>
      <c r="C3162">
        <v>3</v>
      </c>
      <c r="D3162">
        <v>2012407</v>
      </c>
      <c r="E3162">
        <v>3</v>
      </c>
      <c r="F3162">
        <v>15</v>
      </c>
      <c r="G3162">
        <v>694</v>
      </c>
      <c r="H3162">
        <v>11964416</v>
      </c>
      <c r="I3162">
        <v>306182</v>
      </c>
      <c r="J3162" t="s">
        <v>21</v>
      </c>
      <c r="K3162" t="s">
        <v>22</v>
      </c>
      <c r="L3162">
        <v>9</v>
      </c>
      <c r="M3162">
        <v>58.41</v>
      </c>
      <c r="N3162">
        <v>117955</v>
      </c>
      <c r="O3162">
        <v>1</v>
      </c>
    </row>
    <row r="3163" spans="1:15">
      <c r="A3163" t="s">
        <v>3189</v>
      </c>
      <c r="B3163" t="s">
        <v>38</v>
      </c>
      <c r="C3163">
        <v>12</v>
      </c>
      <c r="D3163">
        <v>12663724</v>
      </c>
      <c r="E3163">
        <v>1</v>
      </c>
      <c r="F3163">
        <v>7</v>
      </c>
      <c r="G3163">
        <v>905</v>
      </c>
      <c r="H3163">
        <v>93173814</v>
      </c>
      <c r="I3163">
        <v>335831</v>
      </c>
      <c r="J3163" t="s">
        <v>21</v>
      </c>
      <c r="K3163" t="s">
        <v>22</v>
      </c>
      <c r="L3163">
        <v>5</v>
      </c>
      <c r="M3163">
        <v>11.44</v>
      </c>
      <c r="N3163">
        <v>731061</v>
      </c>
      <c r="O3163">
        <v>1</v>
      </c>
    </row>
    <row r="3164" spans="1:15">
      <c r="A3164" t="s">
        <v>3190</v>
      </c>
      <c r="B3164" t="s">
        <v>27</v>
      </c>
      <c r="C3164">
        <v>4</v>
      </c>
      <c r="D3164">
        <v>7046134</v>
      </c>
      <c r="E3164">
        <v>3</v>
      </c>
      <c r="F3164">
        <v>21</v>
      </c>
      <c r="G3164">
        <v>428</v>
      </c>
      <c r="H3164">
        <v>5149424</v>
      </c>
      <c r="I3164">
        <v>961934</v>
      </c>
      <c r="J3164" t="s">
        <v>17</v>
      </c>
      <c r="K3164" t="s">
        <v>22</v>
      </c>
      <c r="L3164">
        <v>6</v>
      </c>
      <c r="M3164">
        <v>52.75</v>
      </c>
      <c r="N3164">
        <v>751906</v>
      </c>
      <c r="O3164">
        <v>1</v>
      </c>
    </row>
    <row r="3165" spans="1:15">
      <c r="A3165" t="s">
        <v>3191</v>
      </c>
      <c r="B3165" t="s">
        <v>16</v>
      </c>
      <c r="C3165">
        <v>11</v>
      </c>
      <c r="D3165">
        <v>29852591</v>
      </c>
      <c r="E3165">
        <v>2</v>
      </c>
      <c r="F3165">
        <v>10</v>
      </c>
      <c r="G3165">
        <v>662</v>
      </c>
      <c r="H3165">
        <v>32640696</v>
      </c>
      <c r="I3165">
        <v>111709</v>
      </c>
      <c r="J3165" t="s">
        <v>25</v>
      </c>
      <c r="K3165" t="s">
        <v>30</v>
      </c>
      <c r="L3165">
        <v>3</v>
      </c>
      <c r="M3165">
        <v>88.59</v>
      </c>
      <c r="N3165">
        <v>591368</v>
      </c>
      <c r="O3165">
        <v>1</v>
      </c>
    </row>
    <row r="3166" spans="1:15">
      <c r="A3166" t="s">
        <v>3192</v>
      </c>
      <c r="B3166" t="s">
        <v>16</v>
      </c>
      <c r="C3166">
        <v>1</v>
      </c>
      <c r="D3166">
        <v>40185129</v>
      </c>
      <c r="E3166">
        <v>3</v>
      </c>
      <c r="F3166">
        <v>29</v>
      </c>
      <c r="G3166">
        <v>191</v>
      </c>
      <c r="H3166">
        <v>32064424</v>
      </c>
      <c r="I3166">
        <v>218528</v>
      </c>
      <c r="J3166" t="s">
        <v>21</v>
      </c>
      <c r="K3166" t="s">
        <v>18</v>
      </c>
      <c r="L3166">
        <v>4</v>
      </c>
      <c r="M3166">
        <v>36.340000000000003</v>
      </c>
      <c r="N3166">
        <v>327214</v>
      </c>
      <c r="O3166">
        <v>1</v>
      </c>
    </row>
    <row r="3167" spans="1:15">
      <c r="A3167" t="s">
        <v>3193</v>
      </c>
      <c r="B3167" t="s">
        <v>20</v>
      </c>
      <c r="C3167">
        <v>5</v>
      </c>
      <c r="D3167">
        <v>42720630</v>
      </c>
      <c r="E3167">
        <v>1</v>
      </c>
      <c r="F3167">
        <v>5</v>
      </c>
      <c r="G3167">
        <v>351</v>
      </c>
      <c r="H3167">
        <v>27186959</v>
      </c>
      <c r="I3167">
        <v>941993</v>
      </c>
      <c r="J3167" t="s">
        <v>17</v>
      </c>
      <c r="K3167" t="s">
        <v>22</v>
      </c>
      <c r="L3167">
        <v>7</v>
      </c>
      <c r="M3167">
        <v>4.45</v>
      </c>
      <c r="N3167">
        <v>663413</v>
      </c>
      <c r="O3167">
        <v>1</v>
      </c>
    </row>
    <row r="3168" spans="1:15">
      <c r="A3168" t="s">
        <v>3194</v>
      </c>
      <c r="B3168" t="s">
        <v>38</v>
      </c>
      <c r="C3168">
        <v>7</v>
      </c>
      <c r="D3168">
        <v>17379463</v>
      </c>
      <c r="E3168">
        <v>3</v>
      </c>
      <c r="F3168">
        <v>4</v>
      </c>
      <c r="G3168">
        <v>487</v>
      </c>
      <c r="H3168">
        <v>97185018</v>
      </c>
      <c r="I3168">
        <v>201284</v>
      </c>
      <c r="J3168" t="s">
        <v>21</v>
      </c>
      <c r="K3168" t="s">
        <v>22</v>
      </c>
      <c r="L3168">
        <v>4</v>
      </c>
      <c r="M3168">
        <v>29.77</v>
      </c>
      <c r="N3168">
        <v>901090</v>
      </c>
      <c r="O3168">
        <v>1</v>
      </c>
    </row>
    <row r="3169" spans="1:15">
      <c r="A3169" t="s">
        <v>3195</v>
      </c>
      <c r="B3169" t="s">
        <v>32</v>
      </c>
      <c r="C3169">
        <v>8</v>
      </c>
      <c r="D3169">
        <v>26194499</v>
      </c>
      <c r="E3169">
        <v>4</v>
      </c>
      <c r="F3169">
        <v>7</v>
      </c>
      <c r="G3169">
        <v>607</v>
      </c>
      <c r="H3169">
        <v>62670881</v>
      </c>
      <c r="I3169">
        <v>667900</v>
      </c>
      <c r="J3169" t="s">
        <v>21</v>
      </c>
      <c r="K3169" t="s">
        <v>22</v>
      </c>
      <c r="L3169">
        <v>6</v>
      </c>
      <c r="M3169">
        <v>55.93</v>
      </c>
      <c r="N3169">
        <v>6523</v>
      </c>
      <c r="O3169">
        <v>1</v>
      </c>
    </row>
    <row r="3170" spans="1:15">
      <c r="A3170" t="s">
        <v>3196</v>
      </c>
      <c r="B3170" t="s">
        <v>24</v>
      </c>
      <c r="C3170">
        <v>14</v>
      </c>
      <c r="D3170">
        <v>19158993</v>
      </c>
      <c r="E3170">
        <v>4</v>
      </c>
      <c r="F3170">
        <v>27</v>
      </c>
      <c r="G3170">
        <v>826</v>
      </c>
      <c r="H3170">
        <v>87830594</v>
      </c>
      <c r="I3170">
        <v>354959</v>
      </c>
      <c r="J3170" t="s">
        <v>25</v>
      </c>
      <c r="K3170" t="s">
        <v>22</v>
      </c>
      <c r="L3170">
        <v>5</v>
      </c>
      <c r="M3170">
        <v>74.72</v>
      </c>
      <c r="N3170">
        <v>937452</v>
      </c>
      <c r="O3170">
        <v>1</v>
      </c>
    </row>
    <row r="3171" spans="1:15">
      <c r="A3171" t="s">
        <v>3197</v>
      </c>
      <c r="B3171" t="s">
        <v>16</v>
      </c>
      <c r="C3171">
        <v>5</v>
      </c>
      <c r="D3171">
        <v>10175386</v>
      </c>
      <c r="E3171">
        <v>1</v>
      </c>
      <c r="F3171">
        <v>24</v>
      </c>
      <c r="G3171">
        <v>396</v>
      </c>
      <c r="H3171">
        <v>70921462</v>
      </c>
      <c r="I3171">
        <v>855391</v>
      </c>
      <c r="J3171" t="s">
        <v>21</v>
      </c>
      <c r="K3171" t="s">
        <v>22</v>
      </c>
      <c r="L3171">
        <v>5</v>
      </c>
      <c r="M3171">
        <v>81.12</v>
      </c>
      <c r="N3171">
        <v>431637</v>
      </c>
      <c r="O3171">
        <v>1</v>
      </c>
    </row>
    <row r="3172" spans="1:15">
      <c r="A3172" t="s">
        <v>3198</v>
      </c>
      <c r="B3172" t="s">
        <v>29</v>
      </c>
      <c r="C3172">
        <v>14</v>
      </c>
      <c r="D3172">
        <v>39755701</v>
      </c>
      <c r="E3172">
        <v>3</v>
      </c>
      <c r="F3172">
        <v>22</v>
      </c>
      <c r="G3172">
        <v>493</v>
      </c>
      <c r="H3172">
        <v>91591141</v>
      </c>
      <c r="I3172">
        <v>553855</v>
      </c>
      <c r="J3172" t="s">
        <v>21</v>
      </c>
      <c r="K3172" t="s">
        <v>18</v>
      </c>
      <c r="L3172">
        <v>7</v>
      </c>
      <c r="M3172">
        <v>33.07</v>
      </c>
      <c r="N3172">
        <v>304125</v>
      </c>
      <c r="O3172">
        <v>1</v>
      </c>
    </row>
    <row r="3173" spans="1:15">
      <c r="A3173" t="s">
        <v>3199</v>
      </c>
      <c r="B3173" t="s">
        <v>38</v>
      </c>
      <c r="C3173">
        <v>13</v>
      </c>
      <c r="D3173">
        <v>36325869</v>
      </c>
      <c r="E3173">
        <v>1</v>
      </c>
      <c r="F3173">
        <v>12</v>
      </c>
      <c r="G3173">
        <v>11</v>
      </c>
      <c r="H3173">
        <v>1528187</v>
      </c>
      <c r="I3173">
        <v>255874</v>
      </c>
      <c r="J3173" t="s">
        <v>25</v>
      </c>
      <c r="K3173" t="s">
        <v>30</v>
      </c>
      <c r="L3173">
        <v>4</v>
      </c>
      <c r="M3173">
        <v>4.72</v>
      </c>
      <c r="N3173">
        <v>341876</v>
      </c>
      <c r="O3173">
        <v>1</v>
      </c>
    </row>
    <row r="3174" spans="1:15">
      <c r="A3174" t="s">
        <v>3200</v>
      </c>
      <c r="B3174" t="s">
        <v>29</v>
      </c>
      <c r="C3174">
        <v>12</v>
      </c>
      <c r="D3174">
        <v>21548409</v>
      </c>
      <c r="E3174">
        <v>3</v>
      </c>
      <c r="F3174">
        <v>11</v>
      </c>
      <c r="G3174">
        <v>182</v>
      </c>
      <c r="H3174">
        <v>31812507</v>
      </c>
      <c r="I3174">
        <v>605589</v>
      </c>
      <c r="J3174" t="s">
        <v>17</v>
      </c>
      <c r="K3174" t="s">
        <v>18</v>
      </c>
      <c r="L3174">
        <v>2</v>
      </c>
      <c r="M3174">
        <v>48.34</v>
      </c>
      <c r="N3174">
        <v>404899</v>
      </c>
      <c r="O3174">
        <v>1</v>
      </c>
    </row>
    <row r="3175" spans="1:15">
      <c r="A3175" t="s">
        <v>3201</v>
      </c>
      <c r="B3175" t="s">
        <v>20</v>
      </c>
      <c r="C3175">
        <v>6</v>
      </c>
      <c r="D3175">
        <v>36385497</v>
      </c>
      <c r="E3175">
        <v>2</v>
      </c>
      <c r="F3175">
        <v>17</v>
      </c>
      <c r="G3175">
        <v>949</v>
      </c>
      <c r="H3175">
        <v>73995048</v>
      </c>
      <c r="I3175">
        <v>824381</v>
      </c>
      <c r="J3175" t="s">
        <v>21</v>
      </c>
      <c r="K3175" t="s">
        <v>22</v>
      </c>
      <c r="L3175">
        <v>3</v>
      </c>
      <c r="M3175">
        <v>75.13</v>
      </c>
      <c r="N3175">
        <v>38492</v>
      </c>
      <c r="O3175">
        <v>1</v>
      </c>
    </row>
    <row r="3176" spans="1:15">
      <c r="A3176" t="s">
        <v>3202</v>
      </c>
      <c r="B3176" t="s">
        <v>20</v>
      </c>
      <c r="C3176">
        <v>3</v>
      </c>
      <c r="D3176">
        <v>7023610</v>
      </c>
      <c r="E3176">
        <v>1</v>
      </c>
      <c r="F3176">
        <v>1</v>
      </c>
      <c r="G3176">
        <v>836</v>
      </c>
      <c r="H3176">
        <v>37006729</v>
      </c>
      <c r="I3176">
        <v>709658</v>
      </c>
      <c r="J3176" t="s">
        <v>21</v>
      </c>
      <c r="K3176" t="s">
        <v>30</v>
      </c>
      <c r="L3176">
        <v>7</v>
      </c>
      <c r="M3176">
        <v>53.58</v>
      </c>
      <c r="N3176">
        <v>733306</v>
      </c>
      <c r="O3176">
        <v>1</v>
      </c>
    </row>
    <row r="3177" spans="1:15">
      <c r="A3177" t="s">
        <v>3203</v>
      </c>
      <c r="B3177" t="s">
        <v>24</v>
      </c>
      <c r="C3177">
        <v>7</v>
      </c>
      <c r="D3177">
        <v>35717984</v>
      </c>
      <c r="E3177">
        <v>3</v>
      </c>
      <c r="F3177">
        <v>29</v>
      </c>
      <c r="G3177">
        <v>365</v>
      </c>
      <c r="H3177">
        <v>88359740</v>
      </c>
      <c r="I3177">
        <v>291904</v>
      </c>
      <c r="J3177" t="s">
        <v>25</v>
      </c>
      <c r="K3177" t="s">
        <v>22</v>
      </c>
      <c r="L3177">
        <v>9</v>
      </c>
      <c r="M3177">
        <v>63.61</v>
      </c>
      <c r="N3177">
        <v>131160</v>
      </c>
      <c r="O3177">
        <v>1</v>
      </c>
    </row>
    <row r="3178" spans="1:15">
      <c r="A3178" t="s">
        <v>3204</v>
      </c>
      <c r="B3178" t="s">
        <v>16</v>
      </c>
      <c r="C3178">
        <v>5</v>
      </c>
      <c r="D3178">
        <v>18140855</v>
      </c>
      <c r="E3178">
        <v>1</v>
      </c>
      <c r="F3178">
        <v>12</v>
      </c>
      <c r="G3178">
        <v>879</v>
      </c>
      <c r="H3178">
        <v>5286906</v>
      </c>
      <c r="I3178">
        <v>574424</v>
      </c>
      <c r="J3178" t="s">
        <v>25</v>
      </c>
      <c r="K3178" t="s">
        <v>18</v>
      </c>
      <c r="L3178">
        <v>4</v>
      </c>
      <c r="M3178">
        <v>88.86</v>
      </c>
      <c r="N3178">
        <v>280593</v>
      </c>
      <c r="O3178">
        <v>1</v>
      </c>
    </row>
    <row r="3179" spans="1:15">
      <c r="A3179" t="s">
        <v>3205</v>
      </c>
      <c r="B3179" t="s">
        <v>38</v>
      </c>
      <c r="C3179">
        <v>7</v>
      </c>
      <c r="D3179">
        <v>37712488</v>
      </c>
      <c r="E3179">
        <v>3</v>
      </c>
      <c r="F3179">
        <v>15</v>
      </c>
      <c r="G3179">
        <v>835</v>
      </c>
      <c r="H3179">
        <v>59122992</v>
      </c>
      <c r="I3179">
        <v>746943</v>
      </c>
      <c r="J3179" t="s">
        <v>21</v>
      </c>
      <c r="K3179" t="s">
        <v>30</v>
      </c>
      <c r="L3179">
        <v>8</v>
      </c>
      <c r="M3179">
        <v>72.97</v>
      </c>
      <c r="N3179">
        <v>724466</v>
      </c>
      <c r="O3179">
        <v>1</v>
      </c>
    </row>
    <row r="3180" spans="1:15">
      <c r="A3180" t="s">
        <v>3206</v>
      </c>
      <c r="B3180" t="s">
        <v>32</v>
      </c>
      <c r="C3180">
        <v>0</v>
      </c>
      <c r="D3180">
        <v>21276145</v>
      </c>
      <c r="E3180">
        <v>3</v>
      </c>
      <c r="F3180">
        <v>3</v>
      </c>
      <c r="G3180">
        <v>548</v>
      </c>
      <c r="H3180">
        <v>57015274</v>
      </c>
      <c r="I3180">
        <v>697192</v>
      </c>
      <c r="J3180" t="s">
        <v>21</v>
      </c>
      <c r="K3180" t="s">
        <v>18</v>
      </c>
      <c r="L3180">
        <v>4</v>
      </c>
      <c r="M3180">
        <v>39.22</v>
      </c>
      <c r="N3180">
        <v>407547</v>
      </c>
      <c r="O3180">
        <v>1</v>
      </c>
    </row>
    <row r="3181" spans="1:15">
      <c r="A3181" t="s">
        <v>3207</v>
      </c>
      <c r="B3181" t="s">
        <v>27</v>
      </c>
      <c r="C3181">
        <v>12</v>
      </c>
      <c r="D3181">
        <v>10347219</v>
      </c>
      <c r="E3181">
        <v>3</v>
      </c>
      <c r="F3181">
        <v>11</v>
      </c>
      <c r="G3181">
        <v>816</v>
      </c>
      <c r="H3181">
        <v>83635559</v>
      </c>
      <c r="I3181">
        <v>236704</v>
      </c>
      <c r="J3181" t="s">
        <v>21</v>
      </c>
      <c r="K3181" t="s">
        <v>18</v>
      </c>
      <c r="L3181">
        <v>6</v>
      </c>
      <c r="M3181">
        <v>39.04</v>
      </c>
      <c r="N3181">
        <v>938734</v>
      </c>
      <c r="O3181">
        <v>1</v>
      </c>
    </row>
    <row r="3182" spans="1:15">
      <c r="A3182" t="s">
        <v>3208</v>
      </c>
      <c r="B3182" t="s">
        <v>29</v>
      </c>
      <c r="C3182">
        <v>14</v>
      </c>
      <c r="D3182">
        <v>32444694</v>
      </c>
      <c r="E3182">
        <v>1</v>
      </c>
      <c r="F3182">
        <v>13</v>
      </c>
      <c r="G3182">
        <v>960</v>
      </c>
      <c r="H3182">
        <v>99703284</v>
      </c>
      <c r="I3182">
        <v>820606</v>
      </c>
      <c r="J3182" t="s">
        <v>21</v>
      </c>
      <c r="K3182" t="s">
        <v>22</v>
      </c>
      <c r="L3182">
        <v>9</v>
      </c>
      <c r="M3182">
        <v>90.99</v>
      </c>
      <c r="N3182">
        <v>814127</v>
      </c>
      <c r="O3182">
        <v>1</v>
      </c>
    </row>
    <row r="3183" spans="1:15">
      <c r="A3183" t="s">
        <v>3209</v>
      </c>
      <c r="B3183" t="s">
        <v>32</v>
      </c>
      <c r="C3183">
        <v>13</v>
      </c>
      <c r="D3183">
        <v>13963583</v>
      </c>
      <c r="E3183">
        <v>3</v>
      </c>
      <c r="F3183">
        <v>7</v>
      </c>
      <c r="G3183">
        <v>105</v>
      </c>
      <c r="H3183">
        <v>70115497</v>
      </c>
      <c r="I3183">
        <v>225959</v>
      </c>
      <c r="J3183" t="s">
        <v>21</v>
      </c>
      <c r="K3183" t="s">
        <v>18</v>
      </c>
      <c r="L3183">
        <v>7</v>
      </c>
      <c r="M3183">
        <v>65.27</v>
      </c>
      <c r="N3183">
        <v>494743</v>
      </c>
      <c r="O3183">
        <v>1</v>
      </c>
    </row>
    <row r="3184" spans="1:15">
      <c r="A3184" t="s">
        <v>3210</v>
      </c>
      <c r="B3184" t="s">
        <v>27</v>
      </c>
      <c r="C3184">
        <v>14</v>
      </c>
      <c r="D3184">
        <v>7059617</v>
      </c>
      <c r="E3184">
        <v>2</v>
      </c>
      <c r="F3184">
        <v>0</v>
      </c>
      <c r="G3184">
        <v>622</v>
      </c>
      <c r="H3184">
        <v>54423441</v>
      </c>
      <c r="I3184">
        <v>272403</v>
      </c>
      <c r="J3184" t="s">
        <v>17</v>
      </c>
      <c r="K3184" t="s">
        <v>30</v>
      </c>
      <c r="L3184">
        <v>3</v>
      </c>
      <c r="M3184">
        <v>63.08</v>
      </c>
      <c r="N3184">
        <v>145985</v>
      </c>
      <c r="O3184">
        <v>1</v>
      </c>
    </row>
    <row r="3185" spans="1:15">
      <c r="A3185" t="s">
        <v>3211</v>
      </c>
      <c r="B3185" t="s">
        <v>24</v>
      </c>
      <c r="C3185">
        <v>14</v>
      </c>
      <c r="D3185">
        <v>2305592</v>
      </c>
      <c r="E3185">
        <v>4</v>
      </c>
      <c r="F3185">
        <v>18</v>
      </c>
      <c r="G3185">
        <v>121</v>
      </c>
      <c r="H3185">
        <v>57036763</v>
      </c>
      <c r="I3185">
        <v>504499</v>
      </c>
      <c r="J3185" t="s">
        <v>17</v>
      </c>
      <c r="K3185" t="s">
        <v>30</v>
      </c>
      <c r="L3185">
        <v>4</v>
      </c>
      <c r="M3185">
        <v>36.299999999999997</v>
      </c>
      <c r="N3185">
        <v>793382</v>
      </c>
      <c r="O3185">
        <v>1</v>
      </c>
    </row>
    <row r="3186" spans="1:15">
      <c r="A3186" t="s">
        <v>3212</v>
      </c>
      <c r="B3186" t="s">
        <v>16</v>
      </c>
      <c r="C3186">
        <v>8</v>
      </c>
      <c r="D3186">
        <v>14385442</v>
      </c>
      <c r="E3186">
        <v>4</v>
      </c>
      <c r="F3186">
        <v>25</v>
      </c>
      <c r="G3186">
        <v>727</v>
      </c>
      <c r="H3186">
        <v>3793</v>
      </c>
      <c r="I3186">
        <v>68628</v>
      </c>
      <c r="J3186" t="s">
        <v>21</v>
      </c>
      <c r="K3186" t="s">
        <v>30</v>
      </c>
      <c r="L3186">
        <v>2</v>
      </c>
      <c r="M3186">
        <v>38.58</v>
      </c>
      <c r="N3186">
        <v>210181</v>
      </c>
      <c r="O3186">
        <v>1</v>
      </c>
    </row>
    <row r="3187" spans="1:15">
      <c r="A3187" t="s">
        <v>3213</v>
      </c>
      <c r="B3187" t="s">
        <v>27</v>
      </c>
      <c r="C3187">
        <v>11</v>
      </c>
      <c r="D3187">
        <v>19399363</v>
      </c>
      <c r="E3187">
        <v>1</v>
      </c>
      <c r="F3187">
        <v>3</v>
      </c>
      <c r="G3187">
        <v>770</v>
      </c>
      <c r="H3187">
        <v>58054685</v>
      </c>
      <c r="I3187">
        <v>306835</v>
      </c>
      <c r="J3187" t="s">
        <v>25</v>
      </c>
      <c r="K3187" t="s">
        <v>22</v>
      </c>
      <c r="L3187">
        <v>2</v>
      </c>
      <c r="M3187">
        <v>93.19</v>
      </c>
      <c r="N3187">
        <v>302891</v>
      </c>
      <c r="O3187">
        <v>1</v>
      </c>
    </row>
    <row r="3188" spans="1:15">
      <c r="A3188" t="s">
        <v>3214</v>
      </c>
      <c r="B3188" t="s">
        <v>27</v>
      </c>
      <c r="C3188">
        <v>0</v>
      </c>
      <c r="D3188">
        <v>9358565</v>
      </c>
      <c r="E3188">
        <v>4</v>
      </c>
      <c r="F3188">
        <v>14</v>
      </c>
      <c r="G3188">
        <v>36</v>
      </c>
      <c r="H3188">
        <v>99147615</v>
      </c>
      <c r="I3188">
        <v>309980</v>
      </c>
      <c r="J3188" t="s">
        <v>17</v>
      </c>
      <c r="K3188" t="s">
        <v>22</v>
      </c>
      <c r="L3188">
        <v>3</v>
      </c>
      <c r="M3188">
        <v>42.47</v>
      </c>
      <c r="N3188">
        <v>850756</v>
      </c>
      <c r="O3188">
        <v>1</v>
      </c>
    </row>
    <row r="3189" spans="1:15">
      <c r="A3189" t="s">
        <v>3215</v>
      </c>
      <c r="B3189" t="s">
        <v>32</v>
      </c>
      <c r="C3189">
        <v>4</v>
      </c>
      <c r="D3189">
        <v>11579794</v>
      </c>
      <c r="E3189">
        <v>3</v>
      </c>
      <c r="F3189">
        <v>8</v>
      </c>
      <c r="G3189">
        <v>436</v>
      </c>
      <c r="H3189">
        <v>23478033</v>
      </c>
      <c r="I3189">
        <v>414871</v>
      </c>
      <c r="J3189" t="s">
        <v>21</v>
      </c>
      <c r="K3189" t="s">
        <v>18</v>
      </c>
      <c r="L3189">
        <v>2</v>
      </c>
      <c r="M3189">
        <v>82.65</v>
      </c>
      <c r="N3189">
        <v>151455</v>
      </c>
      <c r="O3189">
        <v>1</v>
      </c>
    </row>
    <row r="3190" spans="1:15">
      <c r="A3190" t="s">
        <v>3216</v>
      </c>
      <c r="B3190" t="s">
        <v>29</v>
      </c>
      <c r="C3190">
        <v>11</v>
      </c>
      <c r="D3190">
        <v>49221318</v>
      </c>
      <c r="E3190">
        <v>1</v>
      </c>
      <c r="F3190">
        <v>5</v>
      </c>
      <c r="G3190">
        <v>641</v>
      </c>
      <c r="H3190">
        <v>59782754</v>
      </c>
      <c r="I3190">
        <v>233465</v>
      </c>
      <c r="J3190" t="s">
        <v>17</v>
      </c>
      <c r="K3190" t="s">
        <v>18</v>
      </c>
      <c r="L3190">
        <v>3</v>
      </c>
      <c r="M3190">
        <v>54.13</v>
      </c>
      <c r="N3190">
        <v>504822</v>
      </c>
      <c r="O3190">
        <v>1</v>
      </c>
    </row>
    <row r="3191" spans="1:15">
      <c r="A3191" t="s">
        <v>3217</v>
      </c>
      <c r="B3191" t="s">
        <v>20</v>
      </c>
      <c r="C3191">
        <v>6</v>
      </c>
      <c r="D3191">
        <v>20410986</v>
      </c>
      <c r="E3191">
        <v>1</v>
      </c>
      <c r="F3191">
        <v>25</v>
      </c>
      <c r="G3191">
        <v>754</v>
      </c>
      <c r="H3191">
        <v>915250</v>
      </c>
      <c r="I3191">
        <v>826981</v>
      </c>
      <c r="J3191" t="s">
        <v>21</v>
      </c>
      <c r="K3191" t="s">
        <v>30</v>
      </c>
      <c r="L3191">
        <v>1</v>
      </c>
      <c r="M3191">
        <v>3.85</v>
      </c>
      <c r="N3191">
        <v>874355</v>
      </c>
      <c r="O3191">
        <v>1</v>
      </c>
    </row>
    <row r="3192" spans="1:15">
      <c r="A3192" t="s">
        <v>3218</v>
      </c>
      <c r="B3192" t="s">
        <v>20</v>
      </c>
      <c r="C3192">
        <v>10</v>
      </c>
      <c r="D3192">
        <v>21026178</v>
      </c>
      <c r="E3192">
        <v>4</v>
      </c>
      <c r="F3192">
        <v>23</v>
      </c>
      <c r="G3192">
        <v>326</v>
      </c>
      <c r="H3192">
        <v>78758917</v>
      </c>
      <c r="I3192">
        <v>34216</v>
      </c>
      <c r="J3192" t="s">
        <v>21</v>
      </c>
      <c r="K3192" t="s">
        <v>18</v>
      </c>
      <c r="L3192">
        <v>3</v>
      </c>
      <c r="M3192">
        <v>14.52</v>
      </c>
      <c r="N3192">
        <v>302313</v>
      </c>
      <c r="O3192">
        <v>1</v>
      </c>
    </row>
    <row r="3193" spans="1:15">
      <c r="A3193" t="s">
        <v>3219</v>
      </c>
      <c r="B3193" t="s">
        <v>16</v>
      </c>
      <c r="C3193">
        <v>10</v>
      </c>
      <c r="D3193">
        <v>4475492</v>
      </c>
      <c r="E3193">
        <v>2</v>
      </c>
      <c r="F3193">
        <v>5</v>
      </c>
      <c r="G3193">
        <v>96</v>
      </c>
      <c r="H3193">
        <v>40659322</v>
      </c>
      <c r="I3193">
        <v>196469</v>
      </c>
      <c r="J3193" t="s">
        <v>17</v>
      </c>
      <c r="K3193" t="s">
        <v>22</v>
      </c>
      <c r="L3193">
        <v>6</v>
      </c>
      <c r="M3193">
        <v>36.61</v>
      </c>
      <c r="N3193">
        <v>742998</v>
      </c>
      <c r="O3193">
        <v>1</v>
      </c>
    </row>
    <row r="3194" spans="1:15">
      <c r="A3194" t="s">
        <v>3220</v>
      </c>
      <c r="B3194" t="s">
        <v>32</v>
      </c>
      <c r="C3194">
        <v>9</v>
      </c>
      <c r="D3194">
        <v>42974975</v>
      </c>
      <c r="E3194">
        <v>3</v>
      </c>
      <c r="F3194">
        <v>3</v>
      </c>
      <c r="G3194">
        <v>552</v>
      </c>
      <c r="H3194">
        <v>88017690</v>
      </c>
      <c r="I3194">
        <v>315437</v>
      </c>
      <c r="J3194" t="s">
        <v>25</v>
      </c>
      <c r="K3194" t="s">
        <v>22</v>
      </c>
      <c r="L3194">
        <v>3</v>
      </c>
      <c r="M3194">
        <v>69.97</v>
      </c>
      <c r="N3194">
        <v>681990</v>
      </c>
      <c r="O3194">
        <v>1</v>
      </c>
    </row>
    <row r="3195" spans="1:15">
      <c r="A3195" t="s">
        <v>3221</v>
      </c>
      <c r="B3195" t="s">
        <v>24</v>
      </c>
      <c r="C3195">
        <v>14</v>
      </c>
      <c r="D3195">
        <v>26576702</v>
      </c>
      <c r="E3195">
        <v>3</v>
      </c>
      <c r="F3195">
        <v>27</v>
      </c>
      <c r="G3195">
        <v>37</v>
      </c>
      <c r="H3195">
        <v>98667772</v>
      </c>
      <c r="I3195">
        <v>16302</v>
      </c>
      <c r="J3195" t="s">
        <v>25</v>
      </c>
      <c r="K3195" t="s">
        <v>22</v>
      </c>
      <c r="L3195">
        <v>8</v>
      </c>
      <c r="M3195">
        <v>16.04</v>
      </c>
      <c r="N3195">
        <v>450775</v>
      </c>
      <c r="O3195">
        <v>1</v>
      </c>
    </row>
    <row r="3196" spans="1:15">
      <c r="A3196" t="s">
        <v>3222</v>
      </c>
      <c r="B3196" t="s">
        <v>20</v>
      </c>
      <c r="C3196">
        <v>11</v>
      </c>
      <c r="D3196">
        <v>7316964</v>
      </c>
      <c r="E3196">
        <v>2</v>
      </c>
      <c r="F3196">
        <v>23</v>
      </c>
      <c r="G3196">
        <v>238</v>
      </c>
      <c r="H3196">
        <v>9538422</v>
      </c>
      <c r="I3196">
        <v>676796</v>
      </c>
      <c r="J3196" t="s">
        <v>21</v>
      </c>
      <c r="K3196" t="s">
        <v>18</v>
      </c>
      <c r="L3196">
        <v>1</v>
      </c>
      <c r="M3196">
        <v>25.8</v>
      </c>
      <c r="N3196">
        <v>424692</v>
      </c>
      <c r="O3196">
        <v>1</v>
      </c>
    </row>
    <row r="3197" spans="1:15">
      <c r="A3197" t="s">
        <v>3223</v>
      </c>
      <c r="B3197" t="s">
        <v>32</v>
      </c>
      <c r="C3197">
        <v>4</v>
      </c>
      <c r="D3197">
        <v>31474564</v>
      </c>
      <c r="E3197">
        <v>4</v>
      </c>
      <c r="F3197">
        <v>17</v>
      </c>
      <c r="G3197">
        <v>649</v>
      </c>
      <c r="H3197">
        <v>39709969</v>
      </c>
      <c r="I3197">
        <v>515454</v>
      </c>
      <c r="J3197" t="s">
        <v>25</v>
      </c>
      <c r="K3197" t="s">
        <v>30</v>
      </c>
      <c r="L3197">
        <v>5</v>
      </c>
      <c r="M3197">
        <v>39.700000000000003</v>
      </c>
      <c r="N3197">
        <v>536678</v>
      </c>
      <c r="O3197">
        <v>1</v>
      </c>
    </row>
    <row r="3198" spans="1:15">
      <c r="A3198" t="s">
        <v>3224</v>
      </c>
      <c r="B3198" t="s">
        <v>20</v>
      </c>
      <c r="C3198">
        <v>4</v>
      </c>
      <c r="D3198">
        <v>27476887</v>
      </c>
      <c r="E3198">
        <v>2</v>
      </c>
      <c r="F3198">
        <v>26</v>
      </c>
      <c r="G3198">
        <v>18</v>
      </c>
      <c r="H3198">
        <v>90800833</v>
      </c>
      <c r="I3198">
        <v>802992</v>
      </c>
      <c r="J3198" t="s">
        <v>21</v>
      </c>
      <c r="K3198" t="s">
        <v>30</v>
      </c>
      <c r="L3198">
        <v>5</v>
      </c>
      <c r="M3198">
        <v>5.31</v>
      </c>
      <c r="N3198">
        <v>976494</v>
      </c>
      <c r="O3198">
        <v>1</v>
      </c>
    </row>
    <row r="3199" spans="1:15">
      <c r="A3199" t="s">
        <v>3225</v>
      </c>
      <c r="B3199" t="s">
        <v>24</v>
      </c>
      <c r="C3199">
        <v>11</v>
      </c>
      <c r="D3199">
        <v>46662587</v>
      </c>
      <c r="E3199">
        <v>1</v>
      </c>
      <c r="F3199">
        <v>20</v>
      </c>
      <c r="G3199">
        <v>221</v>
      </c>
      <c r="H3199">
        <v>65711012</v>
      </c>
      <c r="I3199">
        <v>717416</v>
      </c>
      <c r="J3199" t="s">
        <v>21</v>
      </c>
      <c r="K3199" t="s">
        <v>22</v>
      </c>
      <c r="L3199">
        <v>1</v>
      </c>
      <c r="M3199">
        <v>39.83</v>
      </c>
      <c r="N3199">
        <v>369564</v>
      </c>
      <c r="O3199">
        <v>1</v>
      </c>
    </row>
    <row r="3200" spans="1:15">
      <c r="A3200" t="s">
        <v>3226</v>
      </c>
      <c r="B3200" t="s">
        <v>16</v>
      </c>
      <c r="C3200">
        <v>3</v>
      </c>
      <c r="D3200">
        <v>21741124</v>
      </c>
      <c r="E3200">
        <v>2</v>
      </c>
      <c r="F3200">
        <v>1</v>
      </c>
      <c r="G3200">
        <v>961</v>
      </c>
      <c r="H3200">
        <v>32732237</v>
      </c>
      <c r="I3200">
        <v>609952</v>
      </c>
      <c r="J3200" t="s">
        <v>25</v>
      </c>
      <c r="K3200" t="s">
        <v>30</v>
      </c>
      <c r="L3200">
        <v>4</v>
      </c>
      <c r="M3200">
        <v>3.58</v>
      </c>
      <c r="N3200">
        <v>832192</v>
      </c>
      <c r="O3200">
        <v>1</v>
      </c>
    </row>
    <row r="3201" spans="1:15">
      <c r="A3201" t="s">
        <v>3227</v>
      </c>
      <c r="B3201" t="s">
        <v>27</v>
      </c>
      <c r="C3201">
        <v>5</v>
      </c>
      <c r="D3201">
        <v>43283050</v>
      </c>
      <c r="E3201">
        <v>3</v>
      </c>
      <c r="F3201">
        <v>8</v>
      </c>
      <c r="G3201">
        <v>304</v>
      </c>
      <c r="H3201">
        <v>45222547</v>
      </c>
      <c r="I3201">
        <v>511347</v>
      </c>
      <c r="J3201" t="s">
        <v>21</v>
      </c>
      <c r="K3201" t="s">
        <v>22</v>
      </c>
      <c r="L3201">
        <v>7</v>
      </c>
      <c r="M3201">
        <v>59.37</v>
      </c>
      <c r="N3201">
        <v>659447</v>
      </c>
      <c r="O3201">
        <v>1</v>
      </c>
    </row>
    <row r="3202" spans="1:15">
      <c r="A3202" t="s">
        <v>3228</v>
      </c>
      <c r="B3202" t="s">
        <v>20</v>
      </c>
      <c r="C3202">
        <v>9</v>
      </c>
      <c r="D3202">
        <v>19210812</v>
      </c>
      <c r="E3202">
        <v>1</v>
      </c>
      <c r="F3202">
        <v>23</v>
      </c>
      <c r="G3202">
        <v>777</v>
      </c>
      <c r="H3202">
        <v>16356742</v>
      </c>
      <c r="I3202">
        <v>521824</v>
      </c>
      <c r="J3202" t="s">
        <v>25</v>
      </c>
      <c r="K3202" t="s">
        <v>30</v>
      </c>
      <c r="L3202">
        <v>5</v>
      </c>
      <c r="M3202">
        <v>43.85</v>
      </c>
      <c r="N3202">
        <v>266294</v>
      </c>
      <c r="O3202">
        <v>1</v>
      </c>
    </row>
    <row r="3203" spans="1:15">
      <c r="A3203" t="s">
        <v>3229</v>
      </c>
      <c r="B3203" t="s">
        <v>16</v>
      </c>
      <c r="C3203">
        <v>5</v>
      </c>
      <c r="D3203">
        <v>28820033</v>
      </c>
      <c r="E3203">
        <v>2</v>
      </c>
      <c r="F3203">
        <v>23</v>
      </c>
      <c r="G3203">
        <v>458</v>
      </c>
      <c r="H3203">
        <v>22180959</v>
      </c>
      <c r="I3203">
        <v>732961</v>
      </c>
      <c r="J3203" t="s">
        <v>25</v>
      </c>
      <c r="K3203" t="s">
        <v>18</v>
      </c>
      <c r="L3203">
        <v>8</v>
      </c>
      <c r="M3203">
        <v>64.17</v>
      </c>
      <c r="N3203">
        <v>609314</v>
      </c>
      <c r="O3203">
        <v>1</v>
      </c>
    </row>
    <row r="3204" spans="1:15">
      <c r="A3204" t="s">
        <v>3230</v>
      </c>
      <c r="B3204" t="s">
        <v>20</v>
      </c>
      <c r="C3204">
        <v>13</v>
      </c>
      <c r="D3204">
        <v>24303018</v>
      </c>
      <c r="E3204">
        <v>2</v>
      </c>
      <c r="F3204">
        <v>7</v>
      </c>
      <c r="G3204">
        <v>670</v>
      </c>
      <c r="H3204">
        <v>41444159</v>
      </c>
      <c r="I3204">
        <v>336312</v>
      </c>
      <c r="J3204" t="s">
        <v>17</v>
      </c>
      <c r="K3204" t="s">
        <v>22</v>
      </c>
      <c r="L3204">
        <v>8</v>
      </c>
      <c r="M3204">
        <v>4.59</v>
      </c>
      <c r="N3204">
        <v>499885</v>
      </c>
      <c r="O3204">
        <v>1</v>
      </c>
    </row>
    <row r="3205" spans="1:15">
      <c r="A3205" t="s">
        <v>3231</v>
      </c>
      <c r="B3205" t="s">
        <v>24</v>
      </c>
      <c r="C3205">
        <v>9</v>
      </c>
      <c r="D3205">
        <v>484872</v>
      </c>
      <c r="E3205">
        <v>2</v>
      </c>
      <c r="F3205">
        <v>4</v>
      </c>
      <c r="G3205">
        <v>464</v>
      </c>
      <c r="H3205">
        <v>83157298</v>
      </c>
      <c r="I3205">
        <v>450432</v>
      </c>
      <c r="J3205" t="s">
        <v>21</v>
      </c>
      <c r="K3205" t="s">
        <v>30</v>
      </c>
      <c r="L3205">
        <v>3</v>
      </c>
      <c r="M3205">
        <v>37.78</v>
      </c>
      <c r="N3205">
        <v>35146</v>
      </c>
      <c r="O3205">
        <v>1</v>
      </c>
    </row>
    <row r="3206" spans="1:15">
      <c r="A3206" t="s">
        <v>3232</v>
      </c>
      <c r="B3206" t="s">
        <v>24</v>
      </c>
      <c r="C3206">
        <v>0</v>
      </c>
      <c r="D3206">
        <v>39964844</v>
      </c>
      <c r="E3206">
        <v>2</v>
      </c>
      <c r="F3206">
        <v>15</v>
      </c>
      <c r="G3206">
        <v>224</v>
      </c>
      <c r="H3206">
        <v>33498379</v>
      </c>
      <c r="I3206">
        <v>565415</v>
      </c>
      <c r="J3206" t="s">
        <v>17</v>
      </c>
      <c r="K3206" t="s">
        <v>18</v>
      </c>
      <c r="L3206">
        <v>2</v>
      </c>
      <c r="M3206">
        <v>73.959999999999994</v>
      </c>
      <c r="N3206">
        <v>662633</v>
      </c>
      <c r="O3206">
        <v>1</v>
      </c>
    </row>
    <row r="3207" spans="1:15">
      <c r="A3207" t="s">
        <v>3233</v>
      </c>
      <c r="B3207" t="s">
        <v>16</v>
      </c>
      <c r="C3207">
        <v>0</v>
      </c>
      <c r="D3207">
        <v>46986212</v>
      </c>
      <c r="E3207">
        <v>4</v>
      </c>
      <c r="F3207">
        <v>5</v>
      </c>
      <c r="G3207">
        <v>271</v>
      </c>
      <c r="H3207">
        <v>4437627</v>
      </c>
      <c r="I3207">
        <v>604275</v>
      </c>
      <c r="J3207" t="s">
        <v>21</v>
      </c>
      <c r="K3207" t="s">
        <v>30</v>
      </c>
      <c r="L3207">
        <v>4</v>
      </c>
      <c r="M3207">
        <v>53.63</v>
      </c>
      <c r="N3207">
        <v>896419</v>
      </c>
      <c r="O3207">
        <v>1</v>
      </c>
    </row>
    <row r="3208" spans="1:15">
      <c r="A3208" t="s">
        <v>3234</v>
      </c>
      <c r="B3208" t="s">
        <v>38</v>
      </c>
      <c r="C3208">
        <v>5</v>
      </c>
      <c r="D3208">
        <v>30669473</v>
      </c>
      <c r="E3208">
        <v>2</v>
      </c>
      <c r="F3208">
        <v>26</v>
      </c>
      <c r="G3208">
        <v>999</v>
      </c>
      <c r="H3208">
        <v>47296828</v>
      </c>
      <c r="I3208">
        <v>405414</v>
      </c>
      <c r="J3208" t="s">
        <v>17</v>
      </c>
      <c r="K3208" t="s">
        <v>22</v>
      </c>
      <c r="L3208">
        <v>2</v>
      </c>
      <c r="M3208">
        <v>66.709999999999994</v>
      </c>
      <c r="N3208">
        <v>314655</v>
      </c>
      <c r="O3208">
        <v>1</v>
      </c>
    </row>
    <row r="3209" spans="1:15">
      <c r="A3209" t="s">
        <v>3235</v>
      </c>
      <c r="B3209" t="s">
        <v>38</v>
      </c>
      <c r="C3209">
        <v>1</v>
      </c>
      <c r="D3209">
        <v>37561520</v>
      </c>
      <c r="E3209">
        <v>1</v>
      </c>
      <c r="F3209">
        <v>4</v>
      </c>
      <c r="G3209">
        <v>960</v>
      </c>
      <c r="H3209">
        <v>84116779</v>
      </c>
      <c r="I3209">
        <v>741902</v>
      </c>
      <c r="J3209" t="s">
        <v>25</v>
      </c>
      <c r="K3209" t="s">
        <v>22</v>
      </c>
      <c r="L3209">
        <v>7</v>
      </c>
      <c r="M3209">
        <v>78.39</v>
      </c>
      <c r="N3209">
        <v>25412</v>
      </c>
      <c r="O3209">
        <v>1</v>
      </c>
    </row>
    <row r="3210" spans="1:15">
      <c r="A3210" t="s">
        <v>3236</v>
      </c>
      <c r="B3210" t="s">
        <v>29</v>
      </c>
      <c r="C3210">
        <v>5</v>
      </c>
      <c r="D3210">
        <v>49214250</v>
      </c>
      <c r="E3210">
        <v>1</v>
      </c>
      <c r="F3210">
        <v>19</v>
      </c>
      <c r="G3210">
        <v>756</v>
      </c>
      <c r="H3210">
        <v>39239956</v>
      </c>
      <c r="I3210">
        <v>221654</v>
      </c>
      <c r="J3210" t="s">
        <v>21</v>
      </c>
      <c r="K3210" t="s">
        <v>18</v>
      </c>
      <c r="L3210">
        <v>8</v>
      </c>
      <c r="M3210">
        <v>72.040000000000006</v>
      </c>
      <c r="N3210">
        <v>217988</v>
      </c>
      <c r="O3210">
        <v>1</v>
      </c>
    </row>
    <row r="3211" spans="1:15">
      <c r="A3211" t="s">
        <v>3237</v>
      </c>
      <c r="B3211" t="s">
        <v>29</v>
      </c>
      <c r="C3211">
        <v>9</v>
      </c>
      <c r="D3211">
        <v>28178633</v>
      </c>
      <c r="E3211">
        <v>1</v>
      </c>
      <c r="F3211">
        <v>16</v>
      </c>
      <c r="G3211">
        <v>436</v>
      </c>
      <c r="H3211">
        <v>83317961</v>
      </c>
      <c r="I3211">
        <v>379121</v>
      </c>
      <c r="J3211" t="s">
        <v>21</v>
      </c>
      <c r="K3211" t="s">
        <v>22</v>
      </c>
      <c r="L3211">
        <v>4</v>
      </c>
      <c r="M3211">
        <v>15.05</v>
      </c>
      <c r="N3211">
        <v>404561</v>
      </c>
      <c r="O3211">
        <v>1</v>
      </c>
    </row>
    <row r="3212" spans="1:15">
      <c r="A3212" t="s">
        <v>3238</v>
      </c>
      <c r="B3212" t="s">
        <v>20</v>
      </c>
      <c r="C3212">
        <v>4</v>
      </c>
      <c r="D3212">
        <v>16898196</v>
      </c>
      <c r="E3212">
        <v>2</v>
      </c>
      <c r="F3212">
        <v>19</v>
      </c>
      <c r="G3212">
        <v>51</v>
      </c>
      <c r="H3212">
        <v>37243559</v>
      </c>
      <c r="I3212">
        <v>270442</v>
      </c>
      <c r="J3212" t="s">
        <v>17</v>
      </c>
      <c r="K3212" t="s">
        <v>22</v>
      </c>
      <c r="L3212">
        <v>5</v>
      </c>
      <c r="M3212">
        <v>81.97</v>
      </c>
      <c r="N3212">
        <v>990769</v>
      </c>
      <c r="O3212">
        <v>1</v>
      </c>
    </row>
    <row r="3213" spans="1:15">
      <c r="A3213" t="s">
        <v>3239</v>
      </c>
      <c r="B3213" t="s">
        <v>29</v>
      </c>
      <c r="C3213">
        <v>3</v>
      </c>
      <c r="D3213">
        <v>28429762</v>
      </c>
      <c r="E3213">
        <v>3</v>
      </c>
      <c r="F3213">
        <v>1</v>
      </c>
      <c r="G3213">
        <v>776</v>
      </c>
      <c r="H3213">
        <v>32653453</v>
      </c>
      <c r="I3213">
        <v>765261</v>
      </c>
      <c r="J3213" t="s">
        <v>25</v>
      </c>
      <c r="K3213" t="s">
        <v>18</v>
      </c>
      <c r="L3213">
        <v>6</v>
      </c>
      <c r="M3213">
        <v>42.24</v>
      </c>
      <c r="N3213">
        <v>739360</v>
      </c>
      <c r="O3213">
        <v>1</v>
      </c>
    </row>
    <row r="3214" spans="1:15">
      <c r="A3214" t="s">
        <v>3240</v>
      </c>
      <c r="B3214" t="s">
        <v>20</v>
      </c>
      <c r="C3214">
        <v>8</v>
      </c>
      <c r="D3214">
        <v>9117266</v>
      </c>
      <c r="E3214">
        <v>2</v>
      </c>
      <c r="F3214">
        <v>19</v>
      </c>
      <c r="G3214">
        <v>724</v>
      </c>
      <c r="H3214">
        <v>76512019</v>
      </c>
      <c r="I3214">
        <v>550005</v>
      </c>
      <c r="J3214" t="s">
        <v>17</v>
      </c>
      <c r="K3214" t="s">
        <v>22</v>
      </c>
      <c r="L3214">
        <v>8</v>
      </c>
      <c r="M3214">
        <v>90.8</v>
      </c>
      <c r="N3214">
        <v>215742</v>
      </c>
      <c r="O3214">
        <v>1</v>
      </c>
    </row>
    <row r="3215" spans="1:15">
      <c r="A3215" t="s">
        <v>3241</v>
      </c>
      <c r="B3215" t="s">
        <v>27</v>
      </c>
      <c r="C3215">
        <v>6</v>
      </c>
      <c r="D3215">
        <v>38988237</v>
      </c>
      <c r="E3215">
        <v>2</v>
      </c>
      <c r="F3215">
        <v>5</v>
      </c>
      <c r="G3215">
        <v>852</v>
      </c>
      <c r="H3215">
        <v>58436537</v>
      </c>
      <c r="I3215">
        <v>500906</v>
      </c>
      <c r="J3215" t="s">
        <v>21</v>
      </c>
      <c r="K3215" t="s">
        <v>22</v>
      </c>
      <c r="L3215">
        <v>4</v>
      </c>
      <c r="M3215">
        <v>27.67</v>
      </c>
      <c r="N3215">
        <v>756962</v>
      </c>
      <c r="O3215">
        <v>1</v>
      </c>
    </row>
    <row r="3216" spans="1:15">
      <c r="A3216" t="s">
        <v>3242</v>
      </c>
      <c r="B3216" t="s">
        <v>32</v>
      </c>
      <c r="C3216">
        <v>12</v>
      </c>
      <c r="D3216">
        <v>27072025</v>
      </c>
      <c r="E3216">
        <v>1</v>
      </c>
      <c r="F3216">
        <v>7</v>
      </c>
      <c r="G3216">
        <v>484</v>
      </c>
      <c r="H3216">
        <v>78210515</v>
      </c>
      <c r="I3216">
        <v>477864</v>
      </c>
      <c r="J3216" t="s">
        <v>21</v>
      </c>
      <c r="K3216" t="s">
        <v>22</v>
      </c>
      <c r="L3216">
        <v>5</v>
      </c>
      <c r="M3216">
        <v>56.19</v>
      </c>
      <c r="N3216">
        <v>466692</v>
      </c>
      <c r="O3216">
        <v>1</v>
      </c>
    </row>
    <row r="3217" spans="1:15">
      <c r="A3217" t="s">
        <v>3243</v>
      </c>
      <c r="B3217" t="s">
        <v>27</v>
      </c>
      <c r="C3217">
        <v>11</v>
      </c>
      <c r="D3217">
        <v>18098865</v>
      </c>
      <c r="E3217">
        <v>1</v>
      </c>
      <c r="F3217">
        <v>5</v>
      </c>
      <c r="G3217">
        <v>184</v>
      </c>
      <c r="H3217">
        <v>3213</v>
      </c>
      <c r="I3217">
        <v>753907</v>
      </c>
      <c r="J3217" t="s">
        <v>21</v>
      </c>
      <c r="K3217" t="s">
        <v>22</v>
      </c>
      <c r="L3217">
        <v>4</v>
      </c>
      <c r="M3217">
        <v>80.53</v>
      </c>
      <c r="N3217">
        <v>527879</v>
      </c>
      <c r="O3217">
        <v>1</v>
      </c>
    </row>
    <row r="3218" spans="1:15">
      <c r="A3218" t="s">
        <v>3244</v>
      </c>
      <c r="B3218" t="s">
        <v>24</v>
      </c>
      <c r="C3218">
        <v>0</v>
      </c>
      <c r="D3218">
        <v>37005662</v>
      </c>
      <c r="E3218">
        <v>3</v>
      </c>
      <c r="F3218">
        <v>23</v>
      </c>
      <c r="G3218">
        <v>963</v>
      </c>
      <c r="H3218">
        <v>28196001</v>
      </c>
      <c r="I3218">
        <v>607358</v>
      </c>
      <c r="J3218" t="s">
        <v>25</v>
      </c>
      <c r="K3218" t="s">
        <v>18</v>
      </c>
      <c r="L3218">
        <v>3</v>
      </c>
      <c r="M3218">
        <v>60.68</v>
      </c>
      <c r="N3218">
        <v>910196</v>
      </c>
      <c r="O3218">
        <v>1</v>
      </c>
    </row>
    <row r="3219" spans="1:15">
      <c r="A3219" t="s">
        <v>3245</v>
      </c>
      <c r="B3219" t="s">
        <v>29</v>
      </c>
      <c r="C3219">
        <v>2</v>
      </c>
      <c r="D3219">
        <v>29188206</v>
      </c>
      <c r="E3219">
        <v>3</v>
      </c>
      <c r="F3219">
        <v>29</v>
      </c>
      <c r="G3219">
        <v>790</v>
      </c>
      <c r="H3219">
        <v>37817833</v>
      </c>
      <c r="I3219">
        <v>242233</v>
      </c>
      <c r="J3219" t="s">
        <v>25</v>
      </c>
      <c r="K3219" t="s">
        <v>22</v>
      </c>
      <c r="L3219">
        <v>7</v>
      </c>
      <c r="M3219">
        <v>46.35</v>
      </c>
      <c r="N3219">
        <v>919283</v>
      </c>
      <c r="O3219">
        <v>1</v>
      </c>
    </row>
    <row r="3220" spans="1:15">
      <c r="A3220" t="s">
        <v>3246</v>
      </c>
      <c r="B3220" t="s">
        <v>20</v>
      </c>
      <c r="C3220">
        <v>6</v>
      </c>
      <c r="D3220">
        <v>19852887</v>
      </c>
      <c r="E3220">
        <v>3</v>
      </c>
      <c r="F3220">
        <v>6</v>
      </c>
      <c r="G3220">
        <v>642</v>
      </c>
      <c r="H3220">
        <v>72878087</v>
      </c>
      <c r="I3220">
        <v>480046</v>
      </c>
      <c r="J3220" t="s">
        <v>25</v>
      </c>
      <c r="K3220" t="s">
        <v>30</v>
      </c>
      <c r="L3220">
        <v>8</v>
      </c>
      <c r="M3220">
        <v>78.11</v>
      </c>
      <c r="N3220">
        <v>68500</v>
      </c>
      <c r="O3220">
        <v>1</v>
      </c>
    </row>
    <row r="3221" spans="1:15">
      <c r="A3221" t="s">
        <v>3247</v>
      </c>
      <c r="B3221" t="s">
        <v>32</v>
      </c>
      <c r="C3221">
        <v>5</v>
      </c>
      <c r="D3221">
        <v>16025442</v>
      </c>
      <c r="E3221">
        <v>4</v>
      </c>
      <c r="F3221">
        <v>17</v>
      </c>
      <c r="G3221">
        <v>897</v>
      </c>
      <c r="H3221">
        <v>48163931</v>
      </c>
      <c r="I3221">
        <v>396453</v>
      </c>
      <c r="J3221" t="s">
        <v>17</v>
      </c>
      <c r="K3221" t="s">
        <v>30</v>
      </c>
      <c r="L3221">
        <v>7</v>
      </c>
      <c r="M3221">
        <v>16.34</v>
      </c>
      <c r="N3221">
        <v>10312</v>
      </c>
      <c r="O3221">
        <v>1</v>
      </c>
    </row>
    <row r="3222" spans="1:15">
      <c r="A3222" t="s">
        <v>3248</v>
      </c>
      <c r="B3222" t="s">
        <v>16</v>
      </c>
      <c r="C3222">
        <v>13</v>
      </c>
      <c r="D3222">
        <v>32340625</v>
      </c>
      <c r="E3222">
        <v>3</v>
      </c>
      <c r="F3222">
        <v>8</v>
      </c>
      <c r="G3222">
        <v>721</v>
      </c>
      <c r="H3222">
        <v>44963882</v>
      </c>
      <c r="I3222">
        <v>280745</v>
      </c>
      <c r="J3222" t="s">
        <v>25</v>
      </c>
      <c r="K3222" t="s">
        <v>22</v>
      </c>
      <c r="L3222">
        <v>9</v>
      </c>
      <c r="M3222">
        <v>42.14</v>
      </c>
      <c r="N3222">
        <v>764661</v>
      </c>
      <c r="O3222">
        <v>1</v>
      </c>
    </row>
    <row r="3223" spans="1:15">
      <c r="A3223" t="s">
        <v>3249</v>
      </c>
      <c r="B3223" t="s">
        <v>38</v>
      </c>
      <c r="C3223">
        <v>11</v>
      </c>
      <c r="D3223">
        <v>21732699</v>
      </c>
      <c r="E3223">
        <v>3</v>
      </c>
      <c r="F3223">
        <v>29</v>
      </c>
      <c r="G3223">
        <v>49</v>
      </c>
      <c r="H3223">
        <v>1138957</v>
      </c>
      <c r="I3223">
        <v>288665</v>
      </c>
      <c r="J3223" t="s">
        <v>17</v>
      </c>
      <c r="K3223" t="s">
        <v>30</v>
      </c>
      <c r="L3223">
        <v>8</v>
      </c>
      <c r="M3223">
        <v>21.13</v>
      </c>
      <c r="N3223">
        <v>337244</v>
      </c>
      <c r="O3223">
        <v>1</v>
      </c>
    </row>
    <row r="3224" spans="1:15">
      <c r="A3224" t="s">
        <v>3250</v>
      </c>
      <c r="B3224" t="s">
        <v>16</v>
      </c>
      <c r="C3224">
        <v>12</v>
      </c>
      <c r="D3224">
        <v>15228326</v>
      </c>
      <c r="E3224">
        <v>3</v>
      </c>
      <c r="F3224">
        <v>20</v>
      </c>
      <c r="G3224">
        <v>677</v>
      </c>
      <c r="H3224">
        <v>48988136</v>
      </c>
      <c r="I3224">
        <v>764212</v>
      </c>
      <c r="J3224" t="s">
        <v>17</v>
      </c>
      <c r="K3224" t="s">
        <v>18</v>
      </c>
      <c r="L3224">
        <v>5</v>
      </c>
      <c r="M3224">
        <v>40.340000000000003</v>
      </c>
      <c r="N3224">
        <v>104669</v>
      </c>
      <c r="O3224">
        <v>1</v>
      </c>
    </row>
    <row r="3225" spans="1:15">
      <c r="A3225" t="s">
        <v>3251</v>
      </c>
      <c r="B3225" t="s">
        <v>20</v>
      </c>
      <c r="C3225">
        <v>6</v>
      </c>
      <c r="D3225">
        <v>17499106</v>
      </c>
      <c r="E3225">
        <v>1</v>
      </c>
      <c r="F3225">
        <v>25</v>
      </c>
      <c r="G3225">
        <v>100</v>
      </c>
      <c r="H3225">
        <v>67462471</v>
      </c>
      <c r="I3225">
        <v>863352</v>
      </c>
      <c r="J3225" t="s">
        <v>21</v>
      </c>
      <c r="K3225" t="s">
        <v>30</v>
      </c>
      <c r="L3225">
        <v>2</v>
      </c>
      <c r="M3225">
        <v>65.680000000000007</v>
      </c>
      <c r="N3225">
        <v>736365</v>
      </c>
      <c r="O3225">
        <v>1</v>
      </c>
    </row>
    <row r="3226" spans="1:15">
      <c r="A3226" t="s">
        <v>3252</v>
      </c>
      <c r="B3226" t="s">
        <v>24</v>
      </c>
      <c r="C3226">
        <v>13</v>
      </c>
      <c r="D3226">
        <v>8596244</v>
      </c>
      <c r="E3226">
        <v>3</v>
      </c>
      <c r="F3226">
        <v>7</v>
      </c>
      <c r="G3226">
        <v>752</v>
      </c>
      <c r="H3226">
        <v>16500156</v>
      </c>
      <c r="I3226">
        <v>898487</v>
      </c>
      <c r="J3226" t="s">
        <v>25</v>
      </c>
      <c r="K3226" t="s">
        <v>30</v>
      </c>
      <c r="L3226">
        <v>7</v>
      </c>
      <c r="M3226">
        <v>62.44</v>
      </c>
      <c r="N3226">
        <v>543517</v>
      </c>
      <c r="O3226">
        <v>1</v>
      </c>
    </row>
    <row r="3227" spans="1:15">
      <c r="A3227" t="s">
        <v>3253</v>
      </c>
      <c r="B3227" t="s">
        <v>27</v>
      </c>
      <c r="C3227">
        <v>1</v>
      </c>
      <c r="D3227">
        <v>33971938</v>
      </c>
      <c r="E3227">
        <v>1</v>
      </c>
      <c r="F3227">
        <v>2</v>
      </c>
      <c r="G3227">
        <v>344</v>
      </c>
      <c r="H3227">
        <v>23892570</v>
      </c>
      <c r="I3227">
        <v>74246</v>
      </c>
      <c r="J3227" t="s">
        <v>25</v>
      </c>
      <c r="K3227" t="s">
        <v>18</v>
      </c>
      <c r="L3227">
        <v>4</v>
      </c>
      <c r="M3227">
        <v>46.5</v>
      </c>
      <c r="N3227">
        <v>549724</v>
      </c>
      <c r="O3227">
        <v>1</v>
      </c>
    </row>
    <row r="3228" spans="1:15">
      <c r="A3228" t="s">
        <v>3254</v>
      </c>
      <c r="B3228" t="s">
        <v>32</v>
      </c>
      <c r="C3228">
        <v>0</v>
      </c>
      <c r="D3228">
        <v>26501672</v>
      </c>
      <c r="E3228">
        <v>4</v>
      </c>
      <c r="F3228">
        <v>6</v>
      </c>
      <c r="G3228">
        <v>854</v>
      </c>
      <c r="H3228">
        <v>79033803</v>
      </c>
      <c r="I3228">
        <v>772074</v>
      </c>
      <c r="J3228" t="s">
        <v>21</v>
      </c>
      <c r="K3228" t="s">
        <v>22</v>
      </c>
      <c r="L3228">
        <v>6</v>
      </c>
      <c r="M3228">
        <v>18.45</v>
      </c>
      <c r="N3228">
        <v>938944</v>
      </c>
      <c r="O3228">
        <v>1</v>
      </c>
    </row>
    <row r="3229" spans="1:15">
      <c r="A3229" t="s">
        <v>3255</v>
      </c>
      <c r="B3229" t="s">
        <v>29</v>
      </c>
      <c r="C3229">
        <v>7</v>
      </c>
      <c r="D3229">
        <v>34392535</v>
      </c>
      <c r="E3229">
        <v>3</v>
      </c>
      <c r="F3229">
        <v>5</v>
      </c>
      <c r="G3229">
        <v>785</v>
      </c>
      <c r="H3229">
        <v>46938832</v>
      </c>
      <c r="I3229">
        <v>334301</v>
      </c>
      <c r="J3229" t="s">
        <v>21</v>
      </c>
      <c r="K3229" t="s">
        <v>30</v>
      </c>
      <c r="L3229">
        <v>4</v>
      </c>
      <c r="M3229">
        <v>25.13</v>
      </c>
      <c r="N3229">
        <v>670586</v>
      </c>
      <c r="O3229">
        <v>1</v>
      </c>
    </row>
    <row r="3230" spans="1:15">
      <c r="A3230" t="s">
        <v>3256</v>
      </c>
      <c r="B3230" t="s">
        <v>32</v>
      </c>
      <c r="C3230">
        <v>9</v>
      </c>
      <c r="D3230">
        <v>49181075</v>
      </c>
      <c r="E3230">
        <v>4</v>
      </c>
      <c r="F3230">
        <v>1</v>
      </c>
      <c r="G3230">
        <v>90</v>
      </c>
      <c r="H3230">
        <v>62969340</v>
      </c>
      <c r="I3230">
        <v>806781</v>
      </c>
      <c r="J3230" t="s">
        <v>21</v>
      </c>
      <c r="K3230" t="s">
        <v>18</v>
      </c>
      <c r="L3230">
        <v>1</v>
      </c>
      <c r="M3230">
        <v>76.72</v>
      </c>
      <c r="N3230">
        <v>90139</v>
      </c>
      <c r="O3230">
        <v>1</v>
      </c>
    </row>
    <row r="3231" spans="1:15">
      <c r="A3231" t="s">
        <v>3257</v>
      </c>
      <c r="B3231" t="s">
        <v>27</v>
      </c>
      <c r="C3231">
        <v>10</v>
      </c>
      <c r="D3231">
        <v>4169042</v>
      </c>
      <c r="E3231">
        <v>3</v>
      </c>
      <c r="F3231">
        <v>0</v>
      </c>
      <c r="G3231">
        <v>987</v>
      </c>
      <c r="H3231">
        <v>86086104</v>
      </c>
      <c r="I3231">
        <v>523760</v>
      </c>
      <c r="J3231" t="s">
        <v>17</v>
      </c>
      <c r="K3231" t="s">
        <v>30</v>
      </c>
      <c r="L3231">
        <v>2</v>
      </c>
      <c r="M3231">
        <v>21.24</v>
      </c>
      <c r="N3231">
        <v>934422</v>
      </c>
      <c r="O3231">
        <v>1</v>
      </c>
    </row>
    <row r="3232" spans="1:15">
      <c r="A3232" t="s">
        <v>3258</v>
      </c>
      <c r="B3232" t="s">
        <v>29</v>
      </c>
      <c r="C3232">
        <v>1</v>
      </c>
      <c r="D3232">
        <v>10029033</v>
      </c>
      <c r="E3232">
        <v>2</v>
      </c>
      <c r="F3232">
        <v>1</v>
      </c>
      <c r="G3232">
        <v>194</v>
      </c>
      <c r="H3232">
        <v>6624927</v>
      </c>
      <c r="I3232">
        <v>437306</v>
      </c>
      <c r="J3232" t="s">
        <v>21</v>
      </c>
      <c r="K3232" t="s">
        <v>30</v>
      </c>
      <c r="L3232">
        <v>8</v>
      </c>
      <c r="M3232">
        <v>22.34</v>
      </c>
      <c r="N3232">
        <v>925822</v>
      </c>
      <c r="O3232">
        <v>1</v>
      </c>
    </row>
    <row r="3233" spans="1:15">
      <c r="A3233" t="s">
        <v>3259</v>
      </c>
      <c r="B3233" t="s">
        <v>32</v>
      </c>
      <c r="C3233">
        <v>12</v>
      </c>
      <c r="D3233">
        <v>28427555</v>
      </c>
      <c r="E3233">
        <v>1</v>
      </c>
      <c r="F3233">
        <v>16</v>
      </c>
      <c r="G3233">
        <v>338</v>
      </c>
      <c r="H3233">
        <v>50248830</v>
      </c>
      <c r="I3233">
        <v>115101</v>
      </c>
      <c r="J3233" t="s">
        <v>25</v>
      </c>
      <c r="K3233" t="s">
        <v>30</v>
      </c>
      <c r="L3233">
        <v>4</v>
      </c>
      <c r="M3233">
        <v>97.96</v>
      </c>
      <c r="N3233">
        <v>553202</v>
      </c>
      <c r="O3233">
        <v>1</v>
      </c>
    </row>
    <row r="3234" spans="1:15">
      <c r="A3234" t="s">
        <v>3260</v>
      </c>
      <c r="B3234" t="s">
        <v>32</v>
      </c>
      <c r="C3234">
        <v>13</v>
      </c>
      <c r="D3234">
        <v>28029836</v>
      </c>
      <c r="E3234">
        <v>1</v>
      </c>
      <c r="F3234">
        <v>21</v>
      </c>
      <c r="G3234">
        <v>704</v>
      </c>
      <c r="H3234">
        <v>58762376</v>
      </c>
      <c r="I3234">
        <v>162225</v>
      </c>
      <c r="J3234" t="s">
        <v>21</v>
      </c>
      <c r="K3234" t="s">
        <v>30</v>
      </c>
      <c r="L3234">
        <v>5</v>
      </c>
      <c r="M3234">
        <v>49.77</v>
      </c>
      <c r="N3234">
        <v>521557</v>
      </c>
      <c r="O3234">
        <v>1</v>
      </c>
    </row>
    <row r="3235" spans="1:15">
      <c r="A3235" t="s">
        <v>3261</v>
      </c>
      <c r="B3235" t="s">
        <v>27</v>
      </c>
      <c r="C3235">
        <v>11</v>
      </c>
      <c r="D3235">
        <v>32344265</v>
      </c>
      <c r="E3235">
        <v>2</v>
      </c>
      <c r="F3235">
        <v>18</v>
      </c>
      <c r="G3235">
        <v>385</v>
      </c>
      <c r="H3235">
        <v>14468926</v>
      </c>
      <c r="I3235">
        <v>813783</v>
      </c>
      <c r="J3235" t="s">
        <v>17</v>
      </c>
      <c r="K3235" t="s">
        <v>18</v>
      </c>
      <c r="L3235">
        <v>1</v>
      </c>
      <c r="M3235">
        <v>74.849999999999994</v>
      </c>
      <c r="N3235">
        <v>967688</v>
      </c>
      <c r="O3235">
        <v>1</v>
      </c>
    </row>
    <row r="3236" spans="1:15">
      <c r="A3236" t="s">
        <v>3262</v>
      </c>
      <c r="B3236" t="s">
        <v>24</v>
      </c>
      <c r="C3236">
        <v>11</v>
      </c>
      <c r="D3236">
        <v>9008603</v>
      </c>
      <c r="E3236">
        <v>1</v>
      </c>
      <c r="F3236">
        <v>8</v>
      </c>
      <c r="G3236">
        <v>495</v>
      </c>
      <c r="H3236">
        <v>96059772</v>
      </c>
      <c r="I3236">
        <v>900615</v>
      </c>
      <c r="J3236" t="s">
        <v>25</v>
      </c>
      <c r="K3236" t="s">
        <v>30</v>
      </c>
      <c r="L3236">
        <v>1</v>
      </c>
      <c r="M3236">
        <v>22.01</v>
      </c>
      <c r="N3236">
        <v>21314</v>
      </c>
      <c r="O3236">
        <v>1</v>
      </c>
    </row>
    <row r="3237" spans="1:15">
      <c r="A3237" t="s">
        <v>3263</v>
      </c>
      <c r="B3237" t="s">
        <v>32</v>
      </c>
      <c r="C3237">
        <v>10</v>
      </c>
      <c r="D3237">
        <v>26335482</v>
      </c>
      <c r="E3237">
        <v>2</v>
      </c>
      <c r="F3237">
        <v>15</v>
      </c>
      <c r="G3237">
        <v>764</v>
      </c>
      <c r="H3237">
        <v>85566532</v>
      </c>
      <c r="I3237">
        <v>551169</v>
      </c>
      <c r="J3237" t="s">
        <v>21</v>
      </c>
      <c r="K3237" t="s">
        <v>30</v>
      </c>
      <c r="L3237">
        <v>7</v>
      </c>
      <c r="M3237">
        <v>12.07</v>
      </c>
      <c r="N3237">
        <v>314964</v>
      </c>
      <c r="O3237">
        <v>1</v>
      </c>
    </row>
    <row r="3238" spans="1:15">
      <c r="A3238" t="s">
        <v>3264</v>
      </c>
      <c r="B3238" t="s">
        <v>20</v>
      </c>
      <c r="C3238">
        <v>8</v>
      </c>
      <c r="D3238">
        <v>307764</v>
      </c>
      <c r="E3238">
        <v>2</v>
      </c>
      <c r="F3238">
        <v>14</v>
      </c>
      <c r="G3238">
        <v>29</v>
      </c>
      <c r="H3238">
        <v>19209123</v>
      </c>
      <c r="I3238">
        <v>837458</v>
      </c>
      <c r="J3238" t="s">
        <v>21</v>
      </c>
      <c r="K3238" t="s">
        <v>30</v>
      </c>
      <c r="L3238">
        <v>1</v>
      </c>
      <c r="M3238">
        <v>27.24</v>
      </c>
      <c r="N3238">
        <v>783926</v>
      </c>
      <c r="O3238">
        <v>1</v>
      </c>
    </row>
    <row r="3239" spans="1:15">
      <c r="A3239" t="s">
        <v>3265</v>
      </c>
      <c r="B3239" t="s">
        <v>20</v>
      </c>
      <c r="C3239">
        <v>4</v>
      </c>
      <c r="D3239">
        <v>40474170</v>
      </c>
      <c r="E3239">
        <v>2</v>
      </c>
      <c r="F3239">
        <v>13</v>
      </c>
      <c r="G3239">
        <v>369</v>
      </c>
      <c r="H3239">
        <v>34784949</v>
      </c>
      <c r="I3239">
        <v>426289</v>
      </c>
      <c r="J3239" t="s">
        <v>21</v>
      </c>
      <c r="K3239" t="s">
        <v>30</v>
      </c>
      <c r="L3239">
        <v>8</v>
      </c>
      <c r="M3239">
        <v>29.13</v>
      </c>
      <c r="N3239">
        <v>997259</v>
      </c>
      <c r="O3239">
        <v>1</v>
      </c>
    </row>
    <row r="3240" spans="1:15">
      <c r="A3240" t="s">
        <v>3266</v>
      </c>
      <c r="B3240" t="s">
        <v>29</v>
      </c>
      <c r="C3240">
        <v>2</v>
      </c>
      <c r="D3240">
        <v>14234309</v>
      </c>
      <c r="E3240">
        <v>1</v>
      </c>
      <c r="F3240">
        <v>26</v>
      </c>
      <c r="G3240">
        <v>258</v>
      </c>
      <c r="H3240">
        <v>4431405</v>
      </c>
      <c r="I3240">
        <v>23638</v>
      </c>
      <c r="J3240" t="s">
        <v>17</v>
      </c>
      <c r="K3240" t="s">
        <v>18</v>
      </c>
      <c r="L3240">
        <v>9</v>
      </c>
      <c r="M3240">
        <v>19.059999999999999</v>
      </c>
      <c r="N3240">
        <v>144508</v>
      </c>
      <c r="O3240">
        <v>1</v>
      </c>
    </row>
    <row r="3241" spans="1:15">
      <c r="A3241" t="s">
        <v>3267</v>
      </c>
      <c r="B3241" t="s">
        <v>24</v>
      </c>
      <c r="C3241">
        <v>4</v>
      </c>
      <c r="D3241">
        <v>23269139</v>
      </c>
      <c r="E3241">
        <v>4</v>
      </c>
      <c r="F3241">
        <v>27</v>
      </c>
      <c r="G3241">
        <v>313</v>
      </c>
      <c r="H3241">
        <v>38103165</v>
      </c>
      <c r="I3241">
        <v>805769</v>
      </c>
      <c r="J3241" t="s">
        <v>17</v>
      </c>
      <c r="K3241" t="s">
        <v>22</v>
      </c>
      <c r="L3241">
        <v>2</v>
      </c>
      <c r="M3241">
        <v>78.680000000000007</v>
      </c>
      <c r="N3241">
        <v>473624</v>
      </c>
      <c r="O3241">
        <v>1</v>
      </c>
    </row>
    <row r="3242" spans="1:15">
      <c r="A3242" t="s">
        <v>3268</v>
      </c>
      <c r="B3242" t="s">
        <v>29</v>
      </c>
      <c r="C3242">
        <v>0</v>
      </c>
      <c r="D3242">
        <v>26537168</v>
      </c>
      <c r="E3242">
        <v>2</v>
      </c>
      <c r="F3242">
        <v>23</v>
      </c>
      <c r="G3242">
        <v>173</v>
      </c>
      <c r="H3242">
        <v>92541567</v>
      </c>
      <c r="I3242">
        <v>184567</v>
      </c>
      <c r="J3242" t="s">
        <v>25</v>
      </c>
      <c r="K3242" t="s">
        <v>30</v>
      </c>
      <c r="L3242">
        <v>1</v>
      </c>
      <c r="M3242">
        <v>45.67</v>
      </c>
      <c r="N3242">
        <v>836996</v>
      </c>
      <c r="O3242">
        <v>1</v>
      </c>
    </row>
    <row r="3243" spans="1:15">
      <c r="A3243" t="s">
        <v>3269</v>
      </c>
      <c r="B3243" t="s">
        <v>32</v>
      </c>
      <c r="C3243">
        <v>14</v>
      </c>
      <c r="D3243">
        <v>36132968</v>
      </c>
      <c r="E3243">
        <v>4</v>
      </c>
      <c r="F3243">
        <v>7</v>
      </c>
      <c r="G3243">
        <v>19</v>
      </c>
      <c r="H3243">
        <v>58015908</v>
      </c>
      <c r="I3243">
        <v>708997</v>
      </c>
      <c r="J3243" t="s">
        <v>21</v>
      </c>
      <c r="K3243" t="s">
        <v>18</v>
      </c>
      <c r="L3243">
        <v>1</v>
      </c>
      <c r="M3243">
        <v>51.26</v>
      </c>
      <c r="N3243">
        <v>232217</v>
      </c>
      <c r="O3243">
        <v>1</v>
      </c>
    </row>
    <row r="3244" spans="1:15">
      <c r="A3244" t="s">
        <v>3270</v>
      </c>
      <c r="B3244" t="s">
        <v>24</v>
      </c>
      <c r="C3244">
        <v>10</v>
      </c>
      <c r="D3244">
        <v>41644456</v>
      </c>
      <c r="E3244">
        <v>3</v>
      </c>
      <c r="F3244">
        <v>24</v>
      </c>
      <c r="G3244">
        <v>807</v>
      </c>
      <c r="H3244">
        <v>20283698</v>
      </c>
      <c r="I3244">
        <v>961696</v>
      </c>
      <c r="J3244" t="s">
        <v>17</v>
      </c>
      <c r="K3244" t="s">
        <v>18</v>
      </c>
      <c r="L3244">
        <v>3</v>
      </c>
      <c r="M3244">
        <v>34.67</v>
      </c>
      <c r="N3244">
        <v>256293</v>
      </c>
      <c r="O3244">
        <v>1</v>
      </c>
    </row>
    <row r="3245" spans="1:15">
      <c r="A3245" t="s">
        <v>3271</v>
      </c>
      <c r="B3245" t="s">
        <v>29</v>
      </c>
      <c r="C3245">
        <v>11</v>
      </c>
      <c r="D3245">
        <v>42219010</v>
      </c>
      <c r="E3245">
        <v>2</v>
      </c>
      <c r="F3245">
        <v>10</v>
      </c>
      <c r="G3245">
        <v>335</v>
      </c>
      <c r="H3245">
        <v>30776582</v>
      </c>
      <c r="I3245">
        <v>185804</v>
      </c>
      <c r="J3245" t="s">
        <v>25</v>
      </c>
      <c r="K3245" t="s">
        <v>18</v>
      </c>
      <c r="L3245">
        <v>9</v>
      </c>
      <c r="M3245">
        <v>70.63</v>
      </c>
      <c r="N3245">
        <v>941075</v>
      </c>
      <c r="O3245">
        <v>1</v>
      </c>
    </row>
    <row r="3246" spans="1:15">
      <c r="A3246" t="s">
        <v>3272</v>
      </c>
      <c r="B3246" t="s">
        <v>27</v>
      </c>
      <c r="C3246">
        <v>14</v>
      </c>
      <c r="D3246">
        <v>42475915</v>
      </c>
      <c r="E3246">
        <v>2</v>
      </c>
      <c r="F3246">
        <v>19</v>
      </c>
      <c r="G3246">
        <v>2</v>
      </c>
      <c r="H3246">
        <v>31541318</v>
      </c>
      <c r="I3246">
        <v>522201</v>
      </c>
      <c r="J3246" t="s">
        <v>17</v>
      </c>
      <c r="K3246" t="s">
        <v>18</v>
      </c>
      <c r="L3246">
        <v>1</v>
      </c>
      <c r="M3246">
        <v>78.3</v>
      </c>
      <c r="N3246">
        <v>278184</v>
      </c>
      <c r="O3246">
        <v>1</v>
      </c>
    </row>
    <row r="3247" spans="1:15">
      <c r="A3247" t="s">
        <v>3273</v>
      </c>
      <c r="B3247" t="s">
        <v>38</v>
      </c>
      <c r="C3247">
        <v>12</v>
      </c>
      <c r="D3247">
        <v>34837937</v>
      </c>
      <c r="E3247">
        <v>4</v>
      </c>
      <c r="F3247">
        <v>10</v>
      </c>
      <c r="G3247">
        <v>735</v>
      </c>
      <c r="H3247">
        <v>75389031</v>
      </c>
      <c r="I3247">
        <v>202086</v>
      </c>
      <c r="J3247" t="s">
        <v>25</v>
      </c>
      <c r="K3247" t="s">
        <v>30</v>
      </c>
      <c r="L3247">
        <v>1</v>
      </c>
      <c r="M3247">
        <v>66.319999999999993</v>
      </c>
      <c r="N3247">
        <v>848044</v>
      </c>
      <c r="O3247">
        <v>1</v>
      </c>
    </row>
    <row r="3248" spans="1:15">
      <c r="A3248" t="s">
        <v>3274</v>
      </c>
      <c r="B3248" t="s">
        <v>27</v>
      </c>
      <c r="C3248">
        <v>13</v>
      </c>
      <c r="D3248">
        <v>49490963</v>
      </c>
      <c r="E3248">
        <v>4</v>
      </c>
      <c r="F3248">
        <v>1</v>
      </c>
      <c r="G3248">
        <v>118</v>
      </c>
      <c r="H3248">
        <v>1706081</v>
      </c>
      <c r="I3248">
        <v>105187</v>
      </c>
      <c r="J3248" t="s">
        <v>17</v>
      </c>
      <c r="K3248" t="s">
        <v>22</v>
      </c>
      <c r="L3248">
        <v>1</v>
      </c>
      <c r="M3248">
        <v>94.23</v>
      </c>
      <c r="N3248">
        <v>91253</v>
      </c>
      <c r="O3248">
        <v>1</v>
      </c>
    </row>
    <row r="3249" spans="1:15">
      <c r="A3249" t="s">
        <v>3275</v>
      </c>
      <c r="B3249" t="s">
        <v>29</v>
      </c>
      <c r="C3249">
        <v>6</v>
      </c>
      <c r="D3249">
        <v>15226780</v>
      </c>
      <c r="E3249">
        <v>4</v>
      </c>
      <c r="F3249">
        <v>8</v>
      </c>
      <c r="G3249">
        <v>195</v>
      </c>
      <c r="H3249">
        <v>44522163</v>
      </c>
      <c r="I3249">
        <v>206488</v>
      </c>
      <c r="J3249" t="s">
        <v>21</v>
      </c>
      <c r="K3249" t="s">
        <v>18</v>
      </c>
      <c r="L3249">
        <v>1</v>
      </c>
      <c r="M3249">
        <v>56.92</v>
      </c>
      <c r="N3249">
        <v>958387</v>
      </c>
      <c r="O3249">
        <v>1</v>
      </c>
    </row>
    <row r="3250" spans="1:15">
      <c r="A3250" t="s">
        <v>3276</v>
      </c>
      <c r="B3250" t="s">
        <v>32</v>
      </c>
      <c r="C3250">
        <v>2</v>
      </c>
      <c r="D3250">
        <v>37090078</v>
      </c>
      <c r="E3250">
        <v>3</v>
      </c>
      <c r="F3250">
        <v>19</v>
      </c>
      <c r="G3250">
        <v>103</v>
      </c>
      <c r="H3250">
        <v>89724749</v>
      </c>
      <c r="I3250">
        <v>345433</v>
      </c>
      <c r="J3250" t="s">
        <v>17</v>
      </c>
      <c r="K3250" t="s">
        <v>18</v>
      </c>
      <c r="L3250">
        <v>4</v>
      </c>
      <c r="M3250">
        <v>70.25</v>
      </c>
      <c r="N3250">
        <v>616796</v>
      </c>
      <c r="O3250">
        <v>1</v>
      </c>
    </row>
    <row r="3251" spans="1:15">
      <c r="A3251" t="s">
        <v>3277</v>
      </c>
      <c r="B3251" t="s">
        <v>32</v>
      </c>
      <c r="C3251">
        <v>5</v>
      </c>
      <c r="D3251">
        <v>14586416</v>
      </c>
      <c r="E3251">
        <v>4</v>
      </c>
      <c r="F3251">
        <v>24</v>
      </c>
      <c r="G3251">
        <v>640</v>
      </c>
      <c r="H3251">
        <v>6822673</v>
      </c>
      <c r="I3251">
        <v>158739</v>
      </c>
      <c r="J3251" t="s">
        <v>21</v>
      </c>
      <c r="K3251" t="s">
        <v>30</v>
      </c>
      <c r="L3251">
        <v>9</v>
      </c>
      <c r="M3251">
        <v>50.89</v>
      </c>
      <c r="N3251">
        <v>523728</v>
      </c>
      <c r="O3251">
        <v>1</v>
      </c>
    </row>
    <row r="3252" spans="1:15">
      <c r="A3252" t="s">
        <v>3278</v>
      </c>
      <c r="B3252" t="s">
        <v>20</v>
      </c>
      <c r="C3252">
        <v>5</v>
      </c>
      <c r="D3252">
        <v>36677212</v>
      </c>
      <c r="E3252">
        <v>3</v>
      </c>
      <c r="F3252">
        <v>1</v>
      </c>
      <c r="G3252">
        <v>477</v>
      </c>
      <c r="H3252">
        <v>86252591</v>
      </c>
      <c r="I3252">
        <v>788222</v>
      </c>
      <c r="J3252" t="s">
        <v>21</v>
      </c>
      <c r="K3252" t="s">
        <v>18</v>
      </c>
      <c r="L3252">
        <v>5</v>
      </c>
      <c r="M3252">
        <v>81.239999999999995</v>
      </c>
      <c r="N3252">
        <v>377261</v>
      </c>
      <c r="O3252">
        <v>1</v>
      </c>
    </row>
    <row r="3253" spans="1:15">
      <c r="A3253" t="s">
        <v>3279</v>
      </c>
      <c r="B3253" t="s">
        <v>29</v>
      </c>
      <c r="C3253">
        <v>5</v>
      </c>
      <c r="D3253">
        <v>38316827</v>
      </c>
      <c r="E3253">
        <v>4</v>
      </c>
      <c r="F3253">
        <v>18</v>
      </c>
      <c r="G3253">
        <v>995</v>
      </c>
      <c r="H3253">
        <v>11361181</v>
      </c>
      <c r="I3253">
        <v>718051</v>
      </c>
      <c r="J3253" t="s">
        <v>25</v>
      </c>
      <c r="K3253" t="s">
        <v>18</v>
      </c>
      <c r="L3253">
        <v>7</v>
      </c>
      <c r="M3253">
        <v>89.58</v>
      </c>
      <c r="N3253">
        <v>328087</v>
      </c>
      <c r="O3253">
        <v>1</v>
      </c>
    </row>
    <row r="3254" spans="1:15">
      <c r="A3254" t="s">
        <v>3280</v>
      </c>
      <c r="B3254" t="s">
        <v>16</v>
      </c>
      <c r="C3254">
        <v>0</v>
      </c>
      <c r="D3254">
        <v>20250903</v>
      </c>
      <c r="E3254">
        <v>3</v>
      </c>
      <c r="F3254">
        <v>22</v>
      </c>
      <c r="G3254">
        <v>214</v>
      </c>
      <c r="H3254">
        <v>74537045</v>
      </c>
      <c r="I3254">
        <v>231726</v>
      </c>
      <c r="J3254" t="s">
        <v>25</v>
      </c>
      <c r="K3254" t="s">
        <v>30</v>
      </c>
      <c r="L3254">
        <v>2</v>
      </c>
      <c r="M3254">
        <v>17.63</v>
      </c>
      <c r="N3254">
        <v>973886</v>
      </c>
      <c r="O3254">
        <v>1</v>
      </c>
    </row>
    <row r="3255" spans="1:15">
      <c r="A3255" t="s">
        <v>3281</v>
      </c>
      <c r="B3255" t="s">
        <v>38</v>
      </c>
      <c r="C3255">
        <v>6</v>
      </c>
      <c r="D3255">
        <v>1077640</v>
      </c>
      <c r="E3255">
        <v>4</v>
      </c>
      <c r="F3255">
        <v>14</v>
      </c>
      <c r="G3255">
        <v>491</v>
      </c>
      <c r="H3255">
        <v>81126583</v>
      </c>
      <c r="I3255">
        <v>314915</v>
      </c>
      <c r="J3255" t="s">
        <v>17</v>
      </c>
      <c r="K3255" t="s">
        <v>18</v>
      </c>
      <c r="L3255">
        <v>3</v>
      </c>
      <c r="M3255">
        <v>61.11</v>
      </c>
      <c r="N3255">
        <v>860914</v>
      </c>
      <c r="O3255">
        <v>1</v>
      </c>
    </row>
    <row r="3256" spans="1:15">
      <c r="A3256" t="s">
        <v>3282</v>
      </c>
      <c r="B3256" t="s">
        <v>20</v>
      </c>
      <c r="C3256">
        <v>4</v>
      </c>
      <c r="D3256">
        <v>36797885</v>
      </c>
      <c r="E3256">
        <v>3</v>
      </c>
      <c r="F3256">
        <v>26</v>
      </c>
      <c r="G3256">
        <v>581</v>
      </c>
      <c r="H3256">
        <v>57089998</v>
      </c>
      <c r="I3256">
        <v>870111</v>
      </c>
      <c r="J3256" t="s">
        <v>21</v>
      </c>
      <c r="K3256" t="s">
        <v>18</v>
      </c>
      <c r="L3256">
        <v>7</v>
      </c>
      <c r="M3256">
        <v>77.28</v>
      </c>
      <c r="N3256">
        <v>584911</v>
      </c>
      <c r="O3256">
        <v>1</v>
      </c>
    </row>
    <row r="3257" spans="1:15">
      <c r="A3257" t="s">
        <v>3283</v>
      </c>
      <c r="B3257" t="s">
        <v>27</v>
      </c>
      <c r="C3257">
        <v>5</v>
      </c>
      <c r="D3257">
        <v>12454460</v>
      </c>
      <c r="E3257">
        <v>2</v>
      </c>
      <c r="F3257">
        <v>7</v>
      </c>
      <c r="G3257">
        <v>734</v>
      </c>
      <c r="H3257">
        <v>44336738</v>
      </c>
      <c r="I3257">
        <v>511107</v>
      </c>
      <c r="J3257" t="s">
        <v>21</v>
      </c>
      <c r="K3257" t="s">
        <v>22</v>
      </c>
      <c r="L3257">
        <v>1</v>
      </c>
      <c r="M3257">
        <v>48.34</v>
      </c>
      <c r="N3257">
        <v>798555</v>
      </c>
      <c r="O3257">
        <v>1</v>
      </c>
    </row>
    <row r="3258" spans="1:15">
      <c r="A3258" t="s">
        <v>3284</v>
      </c>
      <c r="B3258" t="s">
        <v>32</v>
      </c>
      <c r="C3258">
        <v>3</v>
      </c>
      <c r="D3258">
        <v>32914772</v>
      </c>
      <c r="E3258">
        <v>2</v>
      </c>
      <c r="F3258">
        <v>14</v>
      </c>
      <c r="G3258">
        <v>288</v>
      </c>
      <c r="H3258">
        <v>53741030</v>
      </c>
      <c r="I3258">
        <v>706968</v>
      </c>
      <c r="J3258" t="s">
        <v>25</v>
      </c>
      <c r="K3258" t="s">
        <v>22</v>
      </c>
      <c r="L3258">
        <v>8</v>
      </c>
      <c r="M3258">
        <v>83.91</v>
      </c>
      <c r="N3258">
        <v>283002</v>
      </c>
      <c r="O3258">
        <v>1</v>
      </c>
    </row>
    <row r="3259" spans="1:15">
      <c r="A3259" t="s">
        <v>3285</v>
      </c>
      <c r="B3259" t="s">
        <v>16</v>
      </c>
      <c r="C3259">
        <v>12</v>
      </c>
      <c r="D3259">
        <v>12820294</v>
      </c>
      <c r="E3259">
        <v>4</v>
      </c>
      <c r="F3259">
        <v>9</v>
      </c>
      <c r="G3259">
        <v>824</v>
      </c>
      <c r="H3259">
        <v>72506441</v>
      </c>
      <c r="I3259">
        <v>980540</v>
      </c>
      <c r="J3259" t="s">
        <v>25</v>
      </c>
      <c r="K3259" t="s">
        <v>22</v>
      </c>
      <c r="L3259">
        <v>9</v>
      </c>
      <c r="M3259">
        <v>23.12</v>
      </c>
      <c r="N3259">
        <v>553719</v>
      </c>
      <c r="O3259">
        <v>1</v>
      </c>
    </row>
    <row r="3260" spans="1:15">
      <c r="A3260" t="s">
        <v>3286</v>
      </c>
      <c r="B3260" t="s">
        <v>20</v>
      </c>
      <c r="C3260">
        <v>0</v>
      </c>
      <c r="D3260">
        <v>6196251</v>
      </c>
      <c r="E3260">
        <v>3</v>
      </c>
      <c r="F3260">
        <v>18</v>
      </c>
      <c r="G3260">
        <v>294</v>
      </c>
      <c r="H3260">
        <v>96915609</v>
      </c>
      <c r="I3260">
        <v>522471</v>
      </c>
      <c r="J3260" t="s">
        <v>17</v>
      </c>
      <c r="K3260" t="s">
        <v>30</v>
      </c>
      <c r="L3260">
        <v>8</v>
      </c>
      <c r="M3260">
        <v>91.09</v>
      </c>
      <c r="N3260">
        <v>111363</v>
      </c>
      <c r="O3260">
        <v>1</v>
      </c>
    </row>
    <row r="3261" spans="1:15">
      <c r="A3261" t="s">
        <v>3287</v>
      </c>
      <c r="B3261" t="s">
        <v>24</v>
      </c>
      <c r="C3261">
        <v>10</v>
      </c>
      <c r="D3261">
        <v>36448221</v>
      </c>
      <c r="E3261">
        <v>4</v>
      </c>
      <c r="F3261">
        <v>18</v>
      </c>
      <c r="G3261">
        <v>734</v>
      </c>
      <c r="H3261">
        <v>62470987</v>
      </c>
      <c r="I3261">
        <v>418205</v>
      </c>
      <c r="J3261" t="s">
        <v>25</v>
      </c>
      <c r="K3261" t="s">
        <v>22</v>
      </c>
      <c r="L3261">
        <v>3</v>
      </c>
      <c r="M3261">
        <v>21.53</v>
      </c>
      <c r="N3261">
        <v>415597</v>
      </c>
      <c r="O3261">
        <v>1</v>
      </c>
    </row>
    <row r="3262" spans="1:15">
      <c r="A3262" t="s">
        <v>3288</v>
      </c>
      <c r="B3262" t="s">
        <v>20</v>
      </c>
      <c r="C3262">
        <v>10</v>
      </c>
      <c r="D3262">
        <v>13950574</v>
      </c>
      <c r="E3262">
        <v>4</v>
      </c>
      <c r="F3262">
        <v>26</v>
      </c>
      <c r="G3262">
        <v>496</v>
      </c>
      <c r="H3262">
        <v>77513679</v>
      </c>
      <c r="I3262">
        <v>472900</v>
      </c>
      <c r="J3262" t="s">
        <v>17</v>
      </c>
      <c r="K3262" t="s">
        <v>30</v>
      </c>
      <c r="L3262">
        <v>9</v>
      </c>
      <c r="M3262">
        <v>11.26</v>
      </c>
      <c r="N3262">
        <v>892032</v>
      </c>
      <c r="O3262">
        <v>1</v>
      </c>
    </row>
    <row r="3263" spans="1:15">
      <c r="A3263" t="s">
        <v>3289</v>
      </c>
      <c r="B3263" t="s">
        <v>27</v>
      </c>
      <c r="C3263">
        <v>9</v>
      </c>
      <c r="D3263">
        <v>37852233</v>
      </c>
      <c r="E3263">
        <v>2</v>
      </c>
      <c r="F3263">
        <v>20</v>
      </c>
      <c r="G3263">
        <v>94</v>
      </c>
      <c r="H3263">
        <v>7440536</v>
      </c>
      <c r="I3263">
        <v>829768</v>
      </c>
      <c r="J3263" t="s">
        <v>21</v>
      </c>
      <c r="K3263" t="s">
        <v>18</v>
      </c>
      <c r="L3263">
        <v>9</v>
      </c>
      <c r="M3263">
        <v>38.450000000000003</v>
      </c>
      <c r="N3263">
        <v>900396</v>
      </c>
      <c r="O3263">
        <v>1</v>
      </c>
    </row>
    <row r="3264" spans="1:15">
      <c r="A3264" t="s">
        <v>3290</v>
      </c>
      <c r="B3264" t="s">
        <v>24</v>
      </c>
      <c r="C3264">
        <v>5</v>
      </c>
      <c r="D3264">
        <v>18585852</v>
      </c>
      <c r="E3264">
        <v>3</v>
      </c>
      <c r="F3264">
        <v>16</v>
      </c>
      <c r="G3264">
        <v>532</v>
      </c>
      <c r="H3264">
        <v>96163262</v>
      </c>
      <c r="I3264">
        <v>634893</v>
      </c>
      <c r="J3264" t="s">
        <v>25</v>
      </c>
      <c r="K3264" t="s">
        <v>18</v>
      </c>
      <c r="L3264">
        <v>9</v>
      </c>
      <c r="M3264">
        <v>12.35</v>
      </c>
      <c r="N3264">
        <v>192360</v>
      </c>
      <c r="O3264">
        <v>1</v>
      </c>
    </row>
    <row r="3265" spans="1:15">
      <c r="A3265" t="s">
        <v>3291</v>
      </c>
      <c r="B3265" t="s">
        <v>16</v>
      </c>
      <c r="C3265">
        <v>13</v>
      </c>
      <c r="D3265">
        <v>13641689</v>
      </c>
      <c r="E3265">
        <v>4</v>
      </c>
      <c r="F3265">
        <v>27</v>
      </c>
      <c r="G3265">
        <v>390</v>
      </c>
      <c r="H3265">
        <v>71253208</v>
      </c>
      <c r="I3265">
        <v>110223</v>
      </c>
      <c r="J3265" t="s">
        <v>17</v>
      </c>
      <c r="K3265" t="s">
        <v>22</v>
      </c>
      <c r="L3265">
        <v>3</v>
      </c>
      <c r="M3265">
        <v>57.39</v>
      </c>
      <c r="N3265">
        <v>71926</v>
      </c>
      <c r="O3265">
        <v>1</v>
      </c>
    </row>
    <row r="3266" spans="1:15">
      <c r="A3266" t="s">
        <v>3292</v>
      </c>
      <c r="B3266" t="s">
        <v>38</v>
      </c>
      <c r="C3266">
        <v>7</v>
      </c>
      <c r="D3266">
        <v>26132099</v>
      </c>
      <c r="E3266">
        <v>3</v>
      </c>
      <c r="F3266">
        <v>9</v>
      </c>
      <c r="G3266">
        <v>421</v>
      </c>
      <c r="H3266">
        <v>86980358</v>
      </c>
      <c r="I3266">
        <v>794709</v>
      </c>
      <c r="J3266" t="s">
        <v>17</v>
      </c>
      <c r="K3266" t="s">
        <v>22</v>
      </c>
      <c r="L3266">
        <v>8</v>
      </c>
      <c r="M3266">
        <v>62.83</v>
      </c>
      <c r="N3266">
        <v>421451</v>
      </c>
      <c r="O3266">
        <v>1</v>
      </c>
    </row>
    <row r="3267" spans="1:15">
      <c r="A3267" t="s">
        <v>3293</v>
      </c>
      <c r="B3267" t="s">
        <v>20</v>
      </c>
      <c r="C3267">
        <v>11</v>
      </c>
      <c r="D3267">
        <v>35683200</v>
      </c>
      <c r="E3267">
        <v>4</v>
      </c>
      <c r="F3267">
        <v>29</v>
      </c>
      <c r="G3267">
        <v>578</v>
      </c>
      <c r="H3267">
        <v>22557304</v>
      </c>
      <c r="I3267">
        <v>937709</v>
      </c>
      <c r="J3267" t="s">
        <v>25</v>
      </c>
      <c r="K3267" t="s">
        <v>18</v>
      </c>
      <c r="L3267">
        <v>5</v>
      </c>
      <c r="M3267">
        <v>55.58</v>
      </c>
      <c r="N3267">
        <v>97257</v>
      </c>
      <c r="O3267">
        <v>1</v>
      </c>
    </row>
    <row r="3268" spans="1:15">
      <c r="A3268" t="s">
        <v>3294</v>
      </c>
      <c r="B3268" t="s">
        <v>20</v>
      </c>
      <c r="C3268">
        <v>9</v>
      </c>
      <c r="D3268">
        <v>45529298</v>
      </c>
      <c r="E3268">
        <v>2</v>
      </c>
      <c r="F3268">
        <v>21</v>
      </c>
      <c r="G3268">
        <v>120</v>
      </c>
      <c r="H3268">
        <v>14685151</v>
      </c>
      <c r="I3268">
        <v>163263</v>
      </c>
      <c r="J3268" t="s">
        <v>25</v>
      </c>
      <c r="K3268" t="s">
        <v>30</v>
      </c>
      <c r="L3268">
        <v>2</v>
      </c>
      <c r="M3268">
        <v>87.99</v>
      </c>
      <c r="N3268">
        <v>581673</v>
      </c>
      <c r="O3268">
        <v>1</v>
      </c>
    </row>
    <row r="3269" spans="1:15">
      <c r="A3269" t="s">
        <v>3295</v>
      </c>
      <c r="B3269" t="s">
        <v>32</v>
      </c>
      <c r="C3269">
        <v>10</v>
      </c>
      <c r="D3269">
        <v>18577691</v>
      </c>
      <c r="E3269">
        <v>3</v>
      </c>
      <c r="F3269">
        <v>0</v>
      </c>
      <c r="G3269">
        <v>345</v>
      </c>
      <c r="H3269">
        <v>28743241</v>
      </c>
      <c r="I3269">
        <v>953822</v>
      </c>
      <c r="J3269" t="s">
        <v>25</v>
      </c>
      <c r="K3269" t="s">
        <v>22</v>
      </c>
      <c r="L3269">
        <v>5</v>
      </c>
      <c r="M3269">
        <v>76.849999999999994</v>
      </c>
      <c r="N3269">
        <v>676958</v>
      </c>
      <c r="O3269">
        <v>1</v>
      </c>
    </row>
    <row r="3270" spans="1:15">
      <c r="A3270" t="s">
        <v>3296</v>
      </c>
      <c r="B3270" t="s">
        <v>16</v>
      </c>
      <c r="C3270">
        <v>5</v>
      </c>
      <c r="D3270">
        <v>41356992</v>
      </c>
      <c r="E3270">
        <v>2</v>
      </c>
      <c r="F3270">
        <v>19</v>
      </c>
      <c r="G3270">
        <v>308</v>
      </c>
      <c r="H3270">
        <v>74278224</v>
      </c>
      <c r="I3270">
        <v>187010</v>
      </c>
      <c r="J3270" t="s">
        <v>25</v>
      </c>
      <c r="K3270" t="s">
        <v>22</v>
      </c>
      <c r="L3270">
        <v>5</v>
      </c>
      <c r="M3270">
        <v>87.4</v>
      </c>
      <c r="N3270">
        <v>866657</v>
      </c>
      <c r="O3270">
        <v>1</v>
      </c>
    </row>
    <row r="3271" spans="1:15">
      <c r="A3271" t="s">
        <v>3297</v>
      </c>
      <c r="B3271" t="s">
        <v>20</v>
      </c>
      <c r="C3271">
        <v>10</v>
      </c>
      <c r="D3271">
        <v>21986637</v>
      </c>
      <c r="E3271">
        <v>1</v>
      </c>
      <c r="F3271">
        <v>23</v>
      </c>
      <c r="G3271">
        <v>725</v>
      </c>
      <c r="H3271">
        <v>92486893</v>
      </c>
      <c r="I3271">
        <v>468204</v>
      </c>
      <c r="J3271" t="s">
        <v>17</v>
      </c>
      <c r="K3271" t="s">
        <v>18</v>
      </c>
      <c r="L3271">
        <v>6</v>
      </c>
      <c r="M3271">
        <v>22.96</v>
      </c>
      <c r="N3271">
        <v>993489</v>
      </c>
      <c r="O3271">
        <v>1</v>
      </c>
    </row>
    <row r="3272" spans="1:15">
      <c r="A3272" t="s">
        <v>3298</v>
      </c>
      <c r="B3272" t="s">
        <v>20</v>
      </c>
      <c r="C3272">
        <v>4</v>
      </c>
      <c r="D3272">
        <v>2241786</v>
      </c>
      <c r="E3272">
        <v>3</v>
      </c>
      <c r="F3272">
        <v>4</v>
      </c>
      <c r="G3272">
        <v>433</v>
      </c>
      <c r="H3272">
        <v>34926539</v>
      </c>
      <c r="I3272">
        <v>176188</v>
      </c>
      <c r="J3272" t="s">
        <v>17</v>
      </c>
      <c r="K3272" t="s">
        <v>22</v>
      </c>
      <c r="L3272">
        <v>7</v>
      </c>
      <c r="M3272">
        <v>78.569999999999993</v>
      </c>
      <c r="N3272">
        <v>446340</v>
      </c>
      <c r="O3272">
        <v>1</v>
      </c>
    </row>
    <row r="3273" spans="1:15">
      <c r="A3273" t="s">
        <v>3299</v>
      </c>
      <c r="B3273" t="s">
        <v>24</v>
      </c>
      <c r="C3273">
        <v>2</v>
      </c>
      <c r="D3273">
        <v>30729443</v>
      </c>
      <c r="E3273">
        <v>2</v>
      </c>
      <c r="F3273">
        <v>29</v>
      </c>
      <c r="G3273">
        <v>365</v>
      </c>
      <c r="H3273">
        <v>73006878</v>
      </c>
      <c r="I3273">
        <v>549393</v>
      </c>
      <c r="J3273" t="s">
        <v>21</v>
      </c>
      <c r="K3273" t="s">
        <v>18</v>
      </c>
      <c r="L3273">
        <v>3</v>
      </c>
      <c r="M3273">
        <v>51.82</v>
      </c>
      <c r="N3273">
        <v>533410</v>
      </c>
      <c r="O3273">
        <v>1</v>
      </c>
    </row>
    <row r="3274" spans="1:15">
      <c r="A3274" t="s">
        <v>3300</v>
      </c>
      <c r="B3274" t="s">
        <v>38</v>
      </c>
      <c r="C3274">
        <v>2</v>
      </c>
      <c r="D3274">
        <v>1312026</v>
      </c>
      <c r="E3274">
        <v>4</v>
      </c>
      <c r="F3274">
        <v>14</v>
      </c>
      <c r="G3274">
        <v>925</v>
      </c>
      <c r="H3274">
        <v>37048438</v>
      </c>
      <c r="I3274">
        <v>12094</v>
      </c>
      <c r="J3274" t="s">
        <v>25</v>
      </c>
      <c r="K3274" t="s">
        <v>22</v>
      </c>
      <c r="L3274">
        <v>4</v>
      </c>
      <c r="M3274">
        <v>44.5</v>
      </c>
      <c r="N3274">
        <v>899282</v>
      </c>
      <c r="O3274">
        <v>1</v>
      </c>
    </row>
    <row r="3275" spans="1:15">
      <c r="A3275" t="s">
        <v>3301</v>
      </c>
      <c r="B3275" t="s">
        <v>32</v>
      </c>
      <c r="C3275">
        <v>7</v>
      </c>
      <c r="D3275">
        <v>22102522</v>
      </c>
      <c r="E3275">
        <v>2</v>
      </c>
      <c r="F3275">
        <v>4</v>
      </c>
      <c r="G3275">
        <v>846</v>
      </c>
      <c r="H3275">
        <v>94806639</v>
      </c>
      <c r="I3275">
        <v>313655</v>
      </c>
      <c r="J3275" t="s">
        <v>17</v>
      </c>
      <c r="K3275" t="s">
        <v>30</v>
      </c>
      <c r="L3275">
        <v>5</v>
      </c>
      <c r="M3275">
        <v>12.81</v>
      </c>
      <c r="N3275">
        <v>939038</v>
      </c>
      <c r="O3275">
        <v>1</v>
      </c>
    </row>
    <row r="3276" spans="1:15">
      <c r="A3276" t="s">
        <v>3302</v>
      </c>
      <c r="B3276" t="s">
        <v>38</v>
      </c>
      <c r="C3276">
        <v>12</v>
      </c>
      <c r="D3276">
        <v>16169271</v>
      </c>
      <c r="E3276">
        <v>1</v>
      </c>
      <c r="F3276">
        <v>11</v>
      </c>
      <c r="G3276">
        <v>769</v>
      </c>
      <c r="H3276">
        <v>86649261</v>
      </c>
      <c r="I3276">
        <v>762662</v>
      </c>
      <c r="J3276" t="s">
        <v>21</v>
      </c>
      <c r="K3276" t="s">
        <v>18</v>
      </c>
      <c r="L3276">
        <v>6</v>
      </c>
      <c r="M3276">
        <v>63.14</v>
      </c>
      <c r="N3276">
        <v>751782</v>
      </c>
      <c r="O3276">
        <v>1</v>
      </c>
    </row>
    <row r="3277" spans="1:15">
      <c r="A3277" t="s">
        <v>3303</v>
      </c>
      <c r="B3277" t="s">
        <v>32</v>
      </c>
      <c r="C3277">
        <v>3</v>
      </c>
      <c r="D3277">
        <v>24165856</v>
      </c>
      <c r="E3277">
        <v>3</v>
      </c>
      <c r="F3277">
        <v>1</v>
      </c>
      <c r="G3277">
        <v>660</v>
      </c>
      <c r="H3277">
        <v>21258823</v>
      </c>
      <c r="I3277">
        <v>504162</v>
      </c>
      <c r="J3277" t="s">
        <v>25</v>
      </c>
      <c r="K3277" t="s">
        <v>30</v>
      </c>
      <c r="L3277">
        <v>8</v>
      </c>
      <c r="M3277">
        <v>98.87</v>
      </c>
      <c r="N3277">
        <v>622836</v>
      </c>
      <c r="O3277">
        <v>1</v>
      </c>
    </row>
    <row r="3278" spans="1:15">
      <c r="A3278" t="s">
        <v>3304</v>
      </c>
      <c r="B3278" t="s">
        <v>38</v>
      </c>
      <c r="C3278">
        <v>6</v>
      </c>
      <c r="D3278">
        <v>9887569</v>
      </c>
      <c r="E3278">
        <v>2</v>
      </c>
      <c r="F3278">
        <v>6</v>
      </c>
      <c r="G3278">
        <v>381</v>
      </c>
      <c r="H3278">
        <v>64446613</v>
      </c>
      <c r="I3278">
        <v>595647</v>
      </c>
      <c r="J3278" t="s">
        <v>17</v>
      </c>
      <c r="K3278" t="s">
        <v>30</v>
      </c>
      <c r="L3278">
        <v>3</v>
      </c>
      <c r="M3278">
        <v>88.37</v>
      </c>
      <c r="N3278">
        <v>813955</v>
      </c>
      <c r="O3278">
        <v>1</v>
      </c>
    </row>
    <row r="3279" spans="1:15">
      <c r="A3279" t="s">
        <v>3305</v>
      </c>
      <c r="B3279" t="s">
        <v>29</v>
      </c>
      <c r="C3279">
        <v>8</v>
      </c>
      <c r="D3279">
        <v>38064166</v>
      </c>
      <c r="E3279">
        <v>3</v>
      </c>
      <c r="F3279">
        <v>14</v>
      </c>
      <c r="G3279">
        <v>537</v>
      </c>
      <c r="H3279">
        <v>37841589</v>
      </c>
      <c r="I3279">
        <v>847629</v>
      </c>
      <c r="J3279" t="s">
        <v>25</v>
      </c>
      <c r="K3279" t="s">
        <v>18</v>
      </c>
      <c r="L3279">
        <v>2</v>
      </c>
      <c r="M3279">
        <v>76.459999999999994</v>
      </c>
      <c r="N3279">
        <v>701597</v>
      </c>
      <c r="O3279">
        <v>1</v>
      </c>
    </row>
    <row r="3280" spans="1:15">
      <c r="A3280" t="s">
        <v>3306</v>
      </c>
      <c r="B3280" t="s">
        <v>20</v>
      </c>
      <c r="C3280">
        <v>1</v>
      </c>
      <c r="D3280">
        <v>45675542</v>
      </c>
      <c r="E3280">
        <v>4</v>
      </c>
      <c r="F3280">
        <v>19</v>
      </c>
      <c r="G3280">
        <v>65</v>
      </c>
      <c r="H3280">
        <v>88378497</v>
      </c>
      <c r="I3280">
        <v>411540</v>
      </c>
      <c r="J3280" t="s">
        <v>17</v>
      </c>
      <c r="K3280" t="s">
        <v>18</v>
      </c>
      <c r="L3280">
        <v>5</v>
      </c>
      <c r="M3280">
        <v>46.93</v>
      </c>
      <c r="N3280">
        <v>500611</v>
      </c>
      <c r="O3280">
        <v>1</v>
      </c>
    </row>
    <row r="3281" spans="1:15">
      <c r="A3281" t="s">
        <v>3307</v>
      </c>
      <c r="B3281" t="s">
        <v>16</v>
      </c>
      <c r="C3281">
        <v>14</v>
      </c>
      <c r="D3281">
        <v>8683655</v>
      </c>
      <c r="E3281">
        <v>2</v>
      </c>
      <c r="F3281">
        <v>0</v>
      </c>
      <c r="G3281">
        <v>975</v>
      </c>
      <c r="H3281">
        <v>71532785</v>
      </c>
      <c r="I3281">
        <v>219682</v>
      </c>
      <c r="J3281" t="s">
        <v>17</v>
      </c>
      <c r="K3281" t="s">
        <v>22</v>
      </c>
      <c r="L3281">
        <v>6</v>
      </c>
      <c r="M3281">
        <v>64.06</v>
      </c>
      <c r="N3281">
        <v>496170</v>
      </c>
      <c r="O3281">
        <v>1</v>
      </c>
    </row>
    <row r="3282" spans="1:15">
      <c r="A3282" t="s">
        <v>3308</v>
      </c>
      <c r="B3282" t="s">
        <v>20</v>
      </c>
      <c r="C3282">
        <v>3</v>
      </c>
      <c r="D3282">
        <v>30806029</v>
      </c>
      <c r="E3282">
        <v>4</v>
      </c>
      <c r="F3282">
        <v>19</v>
      </c>
      <c r="G3282">
        <v>17</v>
      </c>
      <c r="H3282">
        <v>36479006</v>
      </c>
      <c r="I3282">
        <v>180755</v>
      </c>
      <c r="J3282" t="s">
        <v>21</v>
      </c>
      <c r="K3282" t="s">
        <v>22</v>
      </c>
      <c r="L3282">
        <v>8</v>
      </c>
      <c r="M3282">
        <v>59.77</v>
      </c>
      <c r="N3282">
        <v>279930</v>
      </c>
      <c r="O3282">
        <v>1</v>
      </c>
    </row>
    <row r="3283" spans="1:15">
      <c r="A3283" t="s">
        <v>3309</v>
      </c>
      <c r="B3283" t="s">
        <v>38</v>
      </c>
      <c r="C3283">
        <v>6</v>
      </c>
      <c r="D3283">
        <v>8189450</v>
      </c>
      <c r="E3283">
        <v>3</v>
      </c>
      <c r="F3283">
        <v>1</v>
      </c>
      <c r="G3283">
        <v>1</v>
      </c>
      <c r="H3283">
        <v>34214885</v>
      </c>
      <c r="I3283">
        <v>451104</v>
      </c>
      <c r="J3283" t="s">
        <v>21</v>
      </c>
      <c r="K3283" t="s">
        <v>18</v>
      </c>
      <c r="L3283">
        <v>1</v>
      </c>
      <c r="M3283">
        <v>33.43</v>
      </c>
      <c r="N3283">
        <v>67360</v>
      </c>
      <c r="O3283">
        <v>1</v>
      </c>
    </row>
    <row r="3284" spans="1:15">
      <c r="A3284" t="s">
        <v>3310</v>
      </c>
      <c r="B3284" t="s">
        <v>29</v>
      </c>
      <c r="C3284">
        <v>4</v>
      </c>
      <c r="D3284">
        <v>42323331</v>
      </c>
      <c r="E3284">
        <v>1</v>
      </c>
      <c r="F3284">
        <v>17</v>
      </c>
      <c r="G3284">
        <v>687</v>
      </c>
      <c r="H3284">
        <v>20628319</v>
      </c>
      <c r="I3284">
        <v>493547</v>
      </c>
      <c r="J3284" t="s">
        <v>21</v>
      </c>
      <c r="K3284" t="s">
        <v>30</v>
      </c>
      <c r="L3284">
        <v>8</v>
      </c>
      <c r="M3284">
        <v>52.23</v>
      </c>
      <c r="N3284">
        <v>526506</v>
      </c>
      <c r="O3284">
        <v>1</v>
      </c>
    </row>
    <row r="3285" spans="1:15">
      <c r="A3285" t="s">
        <v>3311</v>
      </c>
      <c r="B3285" t="s">
        <v>32</v>
      </c>
      <c r="C3285">
        <v>14</v>
      </c>
      <c r="D3285">
        <v>12313706</v>
      </c>
      <c r="E3285">
        <v>3</v>
      </c>
      <c r="F3285">
        <v>4</v>
      </c>
      <c r="G3285">
        <v>235</v>
      </c>
      <c r="H3285">
        <v>62577013</v>
      </c>
      <c r="I3285">
        <v>322295</v>
      </c>
      <c r="J3285" t="s">
        <v>25</v>
      </c>
      <c r="K3285" t="s">
        <v>30</v>
      </c>
      <c r="L3285">
        <v>3</v>
      </c>
      <c r="M3285">
        <v>65.010000000000005</v>
      </c>
      <c r="N3285">
        <v>737099</v>
      </c>
      <c r="O3285">
        <v>1</v>
      </c>
    </row>
    <row r="3286" spans="1:15">
      <c r="A3286" t="s">
        <v>3312</v>
      </c>
      <c r="B3286" t="s">
        <v>27</v>
      </c>
      <c r="C3286">
        <v>9</v>
      </c>
      <c r="D3286">
        <v>42043852</v>
      </c>
      <c r="E3286">
        <v>4</v>
      </c>
      <c r="F3286">
        <v>8</v>
      </c>
      <c r="G3286">
        <v>797</v>
      </c>
      <c r="H3286">
        <v>72855969</v>
      </c>
      <c r="I3286">
        <v>482322</v>
      </c>
      <c r="J3286" t="s">
        <v>17</v>
      </c>
      <c r="K3286" t="s">
        <v>18</v>
      </c>
      <c r="L3286">
        <v>8</v>
      </c>
      <c r="M3286">
        <v>82.65</v>
      </c>
      <c r="N3286">
        <v>608524</v>
      </c>
      <c r="O3286">
        <v>1</v>
      </c>
    </row>
    <row r="3287" spans="1:15">
      <c r="A3287" t="s">
        <v>3313</v>
      </c>
      <c r="B3287" t="s">
        <v>29</v>
      </c>
      <c r="C3287">
        <v>14</v>
      </c>
      <c r="D3287">
        <v>26166017</v>
      </c>
      <c r="E3287">
        <v>4</v>
      </c>
      <c r="F3287">
        <v>17</v>
      </c>
      <c r="G3287">
        <v>228</v>
      </c>
      <c r="H3287">
        <v>62927132</v>
      </c>
      <c r="I3287">
        <v>211131</v>
      </c>
      <c r="J3287" t="s">
        <v>17</v>
      </c>
      <c r="K3287" t="s">
        <v>22</v>
      </c>
      <c r="L3287">
        <v>3</v>
      </c>
      <c r="M3287">
        <v>1.91</v>
      </c>
      <c r="N3287">
        <v>932006</v>
      </c>
      <c r="O3287">
        <v>1</v>
      </c>
    </row>
    <row r="3288" spans="1:15">
      <c r="A3288" t="s">
        <v>3314</v>
      </c>
      <c r="B3288" t="s">
        <v>38</v>
      </c>
      <c r="C3288">
        <v>1</v>
      </c>
      <c r="D3288">
        <v>13838468</v>
      </c>
      <c r="E3288">
        <v>2</v>
      </c>
      <c r="F3288">
        <v>5</v>
      </c>
      <c r="G3288">
        <v>654</v>
      </c>
      <c r="H3288">
        <v>89842692</v>
      </c>
      <c r="I3288">
        <v>183359</v>
      </c>
      <c r="J3288" t="s">
        <v>21</v>
      </c>
      <c r="K3288" t="s">
        <v>30</v>
      </c>
      <c r="L3288">
        <v>2</v>
      </c>
      <c r="M3288">
        <v>74.8</v>
      </c>
      <c r="N3288">
        <v>696482</v>
      </c>
      <c r="O3288">
        <v>1</v>
      </c>
    </row>
    <row r="3289" spans="1:15">
      <c r="A3289" t="s">
        <v>3315</v>
      </c>
      <c r="B3289" t="s">
        <v>27</v>
      </c>
      <c r="C3289">
        <v>12</v>
      </c>
      <c r="D3289">
        <v>38545923</v>
      </c>
      <c r="E3289">
        <v>1</v>
      </c>
      <c r="F3289">
        <v>20</v>
      </c>
      <c r="G3289">
        <v>207</v>
      </c>
      <c r="H3289">
        <v>89895590</v>
      </c>
      <c r="I3289">
        <v>124664</v>
      </c>
      <c r="J3289" t="s">
        <v>25</v>
      </c>
      <c r="K3289" t="s">
        <v>30</v>
      </c>
      <c r="L3289">
        <v>8</v>
      </c>
      <c r="M3289">
        <v>97.7</v>
      </c>
      <c r="N3289">
        <v>897682</v>
      </c>
      <c r="O3289">
        <v>1</v>
      </c>
    </row>
    <row r="3290" spans="1:15">
      <c r="A3290" t="s">
        <v>3316</v>
      </c>
      <c r="B3290" t="s">
        <v>38</v>
      </c>
      <c r="C3290">
        <v>0</v>
      </c>
      <c r="D3290">
        <v>25512136</v>
      </c>
      <c r="E3290">
        <v>4</v>
      </c>
      <c r="F3290">
        <v>3</v>
      </c>
      <c r="G3290">
        <v>623</v>
      </c>
      <c r="H3290">
        <v>77199478</v>
      </c>
      <c r="I3290">
        <v>913336</v>
      </c>
      <c r="J3290" t="s">
        <v>21</v>
      </c>
      <c r="K3290" t="s">
        <v>30</v>
      </c>
      <c r="L3290">
        <v>5</v>
      </c>
      <c r="M3290">
        <v>60.92</v>
      </c>
      <c r="N3290">
        <v>702079</v>
      </c>
      <c r="O3290">
        <v>1</v>
      </c>
    </row>
    <row r="3291" spans="1:15">
      <c r="A3291" t="s">
        <v>3317</v>
      </c>
      <c r="B3291" t="s">
        <v>20</v>
      </c>
      <c r="C3291">
        <v>13</v>
      </c>
      <c r="D3291">
        <v>19257500</v>
      </c>
      <c r="E3291">
        <v>2</v>
      </c>
      <c r="F3291">
        <v>24</v>
      </c>
      <c r="G3291">
        <v>23</v>
      </c>
      <c r="H3291">
        <v>26991211</v>
      </c>
      <c r="I3291">
        <v>385567</v>
      </c>
      <c r="J3291" t="s">
        <v>21</v>
      </c>
      <c r="K3291" t="s">
        <v>22</v>
      </c>
      <c r="L3291">
        <v>3</v>
      </c>
      <c r="M3291">
        <v>61.06</v>
      </c>
      <c r="N3291">
        <v>469322</v>
      </c>
      <c r="O3291">
        <v>1</v>
      </c>
    </row>
    <row r="3292" spans="1:15">
      <c r="A3292" t="s">
        <v>3318</v>
      </c>
      <c r="B3292" t="s">
        <v>38</v>
      </c>
      <c r="C3292">
        <v>2</v>
      </c>
      <c r="D3292">
        <v>23635064</v>
      </c>
      <c r="E3292">
        <v>4</v>
      </c>
      <c r="F3292">
        <v>22</v>
      </c>
      <c r="G3292">
        <v>763</v>
      </c>
      <c r="H3292">
        <v>44013078</v>
      </c>
      <c r="I3292">
        <v>632427</v>
      </c>
      <c r="J3292" t="s">
        <v>17</v>
      </c>
      <c r="K3292" t="s">
        <v>18</v>
      </c>
      <c r="L3292">
        <v>7</v>
      </c>
      <c r="M3292">
        <v>78.040000000000006</v>
      </c>
      <c r="N3292">
        <v>968950</v>
      </c>
      <c r="O3292">
        <v>1</v>
      </c>
    </row>
    <row r="3293" spans="1:15">
      <c r="A3293" t="s">
        <v>3319</v>
      </c>
      <c r="B3293" t="s">
        <v>20</v>
      </c>
      <c r="C3293">
        <v>9</v>
      </c>
      <c r="D3293">
        <v>33568497</v>
      </c>
      <c r="E3293">
        <v>3</v>
      </c>
      <c r="F3293">
        <v>8</v>
      </c>
      <c r="G3293">
        <v>294</v>
      </c>
      <c r="H3293">
        <v>9091271</v>
      </c>
      <c r="I3293">
        <v>678109</v>
      </c>
      <c r="J3293" t="s">
        <v>25</v>
      </c>
      <c r="K3293" t="s">
        <v>30</v>
      </c>
      <c r="L3293">
        <v>7</v>
      </c>
      <c r="M3293">
        <v>34.770000000000003</v>
      </c>
      <c r="N3293">
        <v>152311</v>
      </c>
      <c r="O3293">
        <v>1</v>
      </c>
    </row>
    <row r="3294" spans="1:15">
      <c r="A3294" t="s">
        <v>3320</v>
      </c>
      <c r="B3294" t="s">
        <v>20</v>
      </c>
      <c r="C3294">
        <v>13</v>
      </c>
      <c r="D3294">
        <v>3214773</v>
      </c>
      <c r="E3294">
        <v>3</v>
      </c>
      <c r="F3294">
        <v>29</v>
      </c>
      <c r="G3294">
        <v>629</v>
      </c>
      <c r="H3294">
        <v>63811236</v>
      </c>
      <c r="I3294">
        <v>174251</v>
      </c>
      <c r="J3294" t="s">
        <v>25</v>
      </c>
      <c r="K3294" t="s">
        <v>18</v>
      </c>
      <c r="L3294">
        <v>6</v>
      </c>
      <c r="M3294">
        <v>32.619999999999997</v>
      </c>
      <c r="N3294">
        <v>882929</v>
      </c>
      <c r="O3294">
        <v>1</v>
      </c>
    </row>
    <row r="3295" spans="1:15">
      <c r="A3295" t="s">
        <v>3321</v>
      </c>
      <c r="B3295" t="s">
        <v>29</v>
      </c>
      <c r="C3295">
        <v>0</v>
      </c>
      <c r="D3295">
        <v>49034594</v>
      </c>
      <c r="E3295">
        <v>2</v>
      </c>
      <c r="F3295">
        <v>26</v>
      </c>
      <c r="G3295">
        <v>104</v>
      </c>
      <c r="H3295">
        <v>68612302</v>
      </c>
      <c r="I3295">
        <v>129985</v>
      </c>
      <c r="J3295" t="s">
        <v>25</v>
      </c>
      <c r="K3295" t="s">
        <v>22</v>
      </c>
      <c r="L3295">
        <v>7</v>
      </c>
      <c r="M3295">
        <v>16.559999999999999</v>
      </c>
      <c r="N3295">
        <v>929322</v>
      </c>
      <c r="O3295">
        <v>1</v>
      </c>
    </row>
    <row r="3296" spans="1:15">
      <c r="A3296" t="s">
        <v>3322</v>
      </c>
      <c r="B3296" t="s">
        <v>38</v>
      </c>
      <c r="C3296">
        <v>1</v>
      </c>
      <c r="D3296">
        <v>22560095</v>
      </c>
      <c r="E3296">
        <v>4</v>
      </c>
      <c r="F3296">
        <v>12</v>
      </c>
      <c r="G3296">
        <v>569</v>
      </c>
      <c r="H3296">
        <v>46730200</v>
      </c>
      <c r="I3296">
        <v>395159</v>
      </c>
      <c r="J3296" t="s">
        <v>25</v>
      </c>
      <c r="K3296" t="s">
        <v>30</v>
      </c>
      <c r="L3296">
        <v>8</v>
      </c>
      <c r="M3296">
        <v>29.35</v>
      </c>
      <c r="N3296">
        <v>274208</v>
      </c>
      <c r="O3296">
        <v>1</v>
      </c>
    </row>
    <row r="3297" spans="1:15">
      <c r="A3297" t="s">
        <v>3323</v>
      </c>
      <c r="B3297" t="s">
        <v>16</v>
      </c>
      <c r="C3297">
        <v>11</v>
      </c>
      <c r="D3297">
        <v>19311556</v>
      </c>
      <c r="E3297">
        <v>3</v>
      </c>
      <c r="F3297">
        <v>29</v>
      </c>
      <c r="G3297">
        <v>347</v>
      </c>
      <c r="H3297">
        <v>48680651</v>
      </c>
      <c r="I3297">
        <v>743976</v>
      </c>
      <c r="J3297" t="s">
        <v>21</v>
      </c>
      <c r="K3297" t="s">
        <v>18</v>
      </c>
      <c r="L3297">
        <v>2</v>
      </c>
      <c r="M3297">
        <v>79.16</v>
      </c>
      <c r="N3297">
        <v>531351</v>
      </c>
      <c r="O3297">
        <v>1</v>
      </c>
    </row>
    <row r="3298" spans="1:15">
      <c r="A3298" t="s">
        <v>3324</v>
      </c>
      <c r="B3298" t="s">
        <v>24</v>
      </c>
      <c r="C3298">
        <v>9</v>
      </c>
      <c r="D3298">
        <v>35628878</v>
      </c>
      <c r="E3298">
        <v>3</v>
      </c>
      <c r="F3298">
        <v>14</v>
      </c>
      <c r="G3298">
        <v>25</v>
      </c>
      <c r="H3298">
        <v>52120686</v>
      </c>
      <c r="I3298">
        <v>109191</v>
      </c>
      <c r="J3298" t="s">
        <v>21</v>
      </c>
      <c r="K3298" t="s">
        <v>18</v>
      </c>
      <c r="L3298">
        <v>7</v>
      </c>
      <c r="M3298">
        <v>62.66</v>
      </c>
      <c r="N3298">
        <v>380193</v>
      </c>
      <c r="O3298">
        <v>1</v>
      </c>
    </row>
    <row r="3299" spans="1:15">
      <c r="A3299" t="s">
        <v>3325</v>
      </c>
      <c r="B3299" t="s">
        <v>27</v>
      </c>
      <c r="C3299">
        <v>7</v>
      </c>
      <c r="D3299">
        <v>30278431</v>
      </c>
      <c r="E3299">
        <v>2</v>
      </c>
      <c r="F3299">
        <v>12</v>
      </c>
      <c r="G3299">
        <v>234</v>
      </c>
      <c r="H3299">
        <v>7566223</v>
      </c>
      <c r="I3299">
        <v>236643</v>
      </c>
      <c r="J3299" t="s">
        <v>25</v>
      </c>
      <c r="K3299" t="s">
        <v>30</v>
      </c>
      <c r="L3299">
        <v>9</v>
      </c>
      <c r="M3299">
        <v>94.8</v>
      </c>
      <c r="N3299">
        <v>769341</v>
      </c>
      <c r="O3299">
        <v>1</v>
      </c>
    </row>
    <row r="3300" spans="1:15">
      <c r="A3300" t="s">
        <v>3326</v>
      </c>
      <c r="B3300" t="s">
        <v>27</v>
      </c>
      <c r="C3300">
        <v>2</v>
      </c>
      <c r="D3300">
        <v>44790369</v>
      </c>
      <c r="E3300">
        <v>3</v>
      </c>
      <c r="F3300">
        <v>29</v>
      </c>
      <c r="G3300">
        <v>460</v>
      </c>
      <c r="H3300">
        <v>89502343</v>
      </c>
      <c r="I3300">
        <v>167260</v>
      </c>
      <c r="J3300" t="s">
        <v>25</v>
      </c>
      <c r="K3300" t="s">
        <v>30</v>
      </c>
      <c r="L3300">
        <v>2</v>
      </c>
      <c r="M3300">
        <v>34.28</v>
      </c>
      <c r="N3300">
        <v>934820</v>
      </c>
      <c r="O3300">
        <v>1</v>
      </c>
    </row>
    <row r="3301" spans="1:15">
      <c r="A3301" t="s">
        <v>3327</v>
      </c>
      <c r="B3301" t="s">
        <v>32</v>
      </c>
      <c r="C3301">
        <v>2</v>
      </c>
      <c r="D3301">
        <v>41810315</v>
      </c>
      <c r="E3301">
        <v>1</v>
      </c>
      <c r="F3301">
        <v>6</v>
      </c>
      <c r="G3301">
        <v>23</v>
      </c>
      <c r="H3301">
        <v>39744872</v>
      </c>
      <c r="I3301">
        <v>843476</v>
      </c>
      <c r="J3301" t="s">
        <v>21</v>
      </c>
      <c r="K3301" t="s">
        <v>18</v>
      </c>
      <c r="L3301">
        <v>8</v>
      </c>
      <c r="M3301">
        <v>10.68</v>
      </c>
      <c r="N3301">
        <v>817867</v>
      </c>
      <c r="O3301">
        <v>1</v>
      </c>
    </row>
    <row r="3302" spans="1:15">
      <c r="A3302" t="s">
        <v>3328</v>
      </c>
      <c r="B3302" t="s">
        <v>38</v>
      </c>
      <c r="C3302">
        <v>6</v>
      </c>
      <c r="D3302">
        <v>36944934</v>
      </c>
      <c r="E3302">
        <v>1</v>
      </c>
      <c r="F3302">
        <v>23</v>
      </c>
      <c r="G3302">
        <v>36</v>
      </c>
      <c r="H3302">
        <v>42247912</v>
      </c>
      <c r="I3302">
        <v>977660</v>
      </c>
      <c r="J3302" t="s">
        <v>21</v>
      </c>
      <c r="K3302" t="s">
        <v>22</v>
      </c>
      <c r="L3302">
        <v>2</v>
      </c>
      <c r="M3302">
        <v>59.74</v>
      </c>
      <c r="N3302">
        <v>559793</v>
      </c>
      <c r="O3302">
        <v>1</v>
      </c>
    </row>
    <row r="3303" spans="1:15">
      <c r="A3303" t="s">
        <v>3329</v>
      </c>
      <c r="B3303" t="s">
        <v>29</v>
      </c>
      <c r="C3303">
        <v>5</v>
      </c>
      <c r="D3303">
        <v>44626150</v>
      </c>
      <c r="E3303">
        <v>1</v>
      </c>
      <c r="F3303">
        <v>18</v>
      </c>
      <c r="G3303">
        <v>818</v>
      </c>
      <c r="H3303">
        <v>83704544</v>
      </c>
      <c r="I3303">
        <v>264847</v>
      </c>
      <c r="J3303" t="s">
        <v>25</v>
      </c>
      <c r="K3303" t="s">
        <v>30</v>
      </c>
      <c r="L3303">
        <v>9</v>
      </c>
      <c r="M3303">
        <v>15.32</v>
      </c>
      <c r="N3303">
        <v>215778</v>
      </c>
      <c r="O3303">
        <v>1</v>
      </c>
    </row>
    <row r="3304" spans="1:15">
      <c r="A3304" t="s">
        <v>3330</v>
      </c>
      <c r="B3304" t="s">
        <v>20</v>
      </c>
      <c r="C3304">
        <v>8</v>
      </c>
      <c r="D3304">
        <v>10097975</v>
      </c>
      <c r="E3304">
        <v>4</v>
      </c>
      <c r="F3304">
        <v>22</v>
      </c>
      <c r="G3304">
        <v>274</v>
      </c>
      <c r="H3304">
        <v>15673864</v>
      </c>
      <c r="I3304">
        <v>557020</v>
      </c>
      <c r="J3304" t="s">
        <v>25</v>
      </c>
      <c r="K3304" t="s">
        <v>18</v>
      </c>
      <c r="L3304">
        <v>6</v>
      </c>
      <c r="M3304">
        <v>31.6</v>
      </c>
      <c r="N3304">
        <v>660430</v>
      </c>
      <c r="O3304">
        <v>1</v>
      </c>
    </row>
    <row r="3305" spans="1:15">
      <c r="A3305" t="s">
        <v>3331</v>
      </c>
      <c r="B3305" t="s">
        <v>29</v>
      </c>
      <c r="C3305">
        <v>14</v>
      </c>
      <c r="D3305">
        <v>6225461</v>
      </c>
      <c r="E3305">
        <v>4</v>
      </c>
      <c r="F3305">
        <v>19</v>
      </c>
      <c r="G3305">
        <v>402</v>
      </c>
      <c r="H3305">
        <v>99947030</v>
      </c>
      <c r="I3305">
        <v>798823</v>
      </c>
      <c r="J3305" t="s">
        <v>21</v>
      </c>
      <c r="K3305" t="s">
        <v>22</v>
      </c>
      <c r="L3305">
        <v>1</v>
      </c>
      <c r="M3305">
        <v>29.11</v>
      </c>
      <c r="N3305">
        <v>752193</v>
      </c>
      <c r="O3305">
        <v>1</v>
      </c>
    </row>
    <row r="3306" spans="1:15">
      <c r="A3306" t="s">
        <v>3332</v>
      </c>
      <c r="B3306" t="s">
        <v>24</v>
      </c>
      <c r="C3306">
        <v>4</v>
      </c>
      <c r="D3306">
        <v>13809713</v>
      </c>
      <c r="E3306">
        <v>3</v>
      </c>
      <c r="F3306">
        <v>8</v>
      </c>
      <c r="G3306">
        <v>55</v>
      </c>
      <c r="H3306">
        <v>67497902</v>
      </c>
      <c r="I3306">
        <v>850576</v>
      </c>
      <c r="J3306" t="s">
        <v>21</v>
      </c>
      <c r="K3306" t="s">
        <v>30</v>
      </c>
      <c r="L3306">
        <v>5</v>
      </c>
      <c r="M3306">
        <v>57.76</v>
      </c>
      <c r="N3306">
        <v>897854</v>
      </c>
      <c r="O3306">
        <v>1</v>
      </c>
    </row>
    <row r="3307" spans="1:15">
      <c r="A3307" t="s">
        <v>3333</v>
      </c>
      <c r="B3307" t="s">
        <v>24</v>
      </c>
      <c r="C3307">
        <v>13</v>
      </c>
      <c r="D3307">
        <v>11571697</v>
      </c>
      <c r="E3307">
        <v>4</v>
      </c>
      <c r="F3307">
        <v>14</v>
      </c>
      <c r="G3307">
        <v>831</v>
      </c>
      <c r="H3307">
        <v>55436558</v>
      </c>
      <c r="I3307">
        <v>829233</v>
      </c>
      <c r="J3307" t="s">
        <v>25</v>
      </c>
      <c r="K3307" t="s">
        <v>18</v>
      </c>
      <c r="L3307">
        <v>5</v>
      </c>
      <c r="M3307">
        <v>11.47</v>
      </c>
      <c r="N3307">
        <v>167407</v>
      </c>
      <c r="O3307">
        <v>1</v>
      </c>
    </row>
    <row r="3308" spans="1:15">
      <c r="A3308" t="s">
        <v>3334</v>
      </c>
      <c r="B3308" t="s">
        <v>16</v>
      </c>
      <c r="C3308">
        <v>13</v>
      </c>
      <c r="D3308">
        <v>47714960</v>
      </c>
      <c r="E3308">
        <v>2</v>
      </c>
      <c r="F3308">
        <v>4</v>
      </c>
      <c r="G3308">
        <v>719</v>
      </c>
      <c r="H3308">
        <v>8850000</v>
      </c>
      <c r="I3308">
        <v>996564</v>
      </c>
      <c r="J3308" t="s">
        <v>25</v>
      </c>
      <c r="K3308" t="s">
        <v>30</v>
      </c>
      <c r="L3308">
        <v>1</v>
      </c>
      <c r="M3308">
        <v>64.78</v>
      </c>
      <c r="N3308">
        <v>751505</v>
      </c>
      <c r="O3308">
        <v>1</v>
      </c>
    </row>
    <row r="3309" spans="1:15">
      <c r="A3309" t="s">
        <v>3335</v>
      </c>
      <c r="B3309" t="s">
        <v>27</v>
      </c>
      <c r="C3309">
        <v>3</v>
      </c>
      <c r="D3309">
        <v>2832031</v>
      </c>
      <c r="E3309">
        <v>3</v>
      </c>
      <c r="F3309">
        <v>3</v>
      </c>
      <c r="G3309">
        <v>884</v>
      </c>
      <c r="H3309">
        <v>96000277</v>
      </c>
      <c r="I3309">
        <v>864958</v>
      </c>
      <c r="J3309" t="s">
        <v>21</v>
      </c>
      <c r="K3309" t="s">
        <v>22</v>
      </c>
      <c r="L3309">
        <v>4</v>
      </c>
      <c r="M3309">
        <v>9.4600000000000009</v>
      </c>
      <c r="N3309">
        <v>412152</v>
      </c>
      <c r="O3309">
        <v>1</v>
      </c>
    </row>
    <row r="3310" spans="1:15">
      <c r="A3310" t="s">
        <v>3336</v>
      </c>
      <c r="B3310" t="s">
        <v>20</v>
      </c>
      <c r="C3310">
        <v>1</v>
      </c>
      <c r="D3310">
        <v>36445230</v>
      </c>
      <c r="E3310">
        <v>3</v>
      </c>
      <c r="F3310">
        <v>29</v>
      </c>
      <c r="G3310">
        <v>840</v>
      </c>
      <c r="H3310">
        <v>45857492</v>
      </c>
      <c r="I3310">
        <v>177394</v>
      </c>
      <c r="J3310" t="s">
        <v>17</v>
      </c>
      <c r="K3310" t="s">
        <v>22</v>
      </c>
      <c r="L3310">
        <v>2</v>
      </c>
      <c r="M3310">
        <v>98.02</v>
      </c>
      <c r="N3310">
        <v>485352</v>
      </c>
      <c r="O3310">
        <v>1</v>
      </c>
    </row>
    <row r="3311" spans="1:15">
      <c r="A3311" t="s">
        <v>3337</v>
      </c>
      <c r="B3311" t="s">
        <v>20</v>
      </c>
      <c r="C3311">
        <v>9</v>
      </c>
      <c r="D3311">
        <v>2329400</v>
      </c>
      <c r="E3311">
        <v>4</v>
      </c>
      <c r="F3311">
        <v>1</v>
      </c>
      <c r="G3311">
        <v>217</v>
      </c>
      <c r="H3311">
        <v>33205812</v>
      </c>
      <c r="I3311">
        <v>606908</v>
      </c>
      <c r="J3311" t="s">
        <v>25</v>
      </c>
      <c r="K3311" t="s">
        <v>18</v>
      </c>
      <c r="L3311">
        <v>9</v>
      </c>
      <c r="M3311">
        <v>80.37</v>
      </c>
      <c r="N3311">
        <v>276023</v>
      </c>
      <c r="O3311">
        <v>1</v>
      </c>
    </row>
    <row r="3312" spans="1:15">
      <c r="A3312" t="s">
        <v>3338</v>
      </c>
      <c r="B3312" t="s">
        <v>29</v>
      </c>
      <c r="C3312">
        <v>0</v>
      </c>
      <c r="D3312">
        <v>968816</v>
      </c>
      <c r="E3312">
        <v>3</v>
      </c>
      <c r="F3312">
        <v>6</v>
      </c>
      <c r="G3312">
        <v>757</v>
      </c>
      <c r="H3312">
        <v>60145052</v>
      </c>
      <c r="I3312">
        <v>681608</v>
      </c>
      <c r="J3312" t="s">
        <v>25</v>
      </c>
      <c r="K3312" t="s">
        <v>22</v>
      </c>
      <c r="L3312">
        <v>4</v>
      </c>
      <c r="M3312">
        <v>73.11</v>
      </c>
      <c r="N3312">
        <v>313403</v>
      </c>
      <c r="O3312">
        <v>1</v>
      </c>
    </row>
    <row r="3313" spans="1:15">
      <c r="A3313" t="s">
        <v>3339</v>
      </c>
      <c r="B3313" t="s">
        <v>32</v>
      </c>
      <c r="C3313">
        <v>7</v>
      </c>
      <c r="D3313">
        <v>24152852</v>
      </c>
      <c r="E3313">
        <v>2</v>
      </c>
      <c r="F3313">
        <v>14</v>
      </c>
      <c r="G3313">
        <v>617</v>
      </c>
      <c r="H3313">
        <v>70601920</v>
      </c>
      <c r="I3313">
        <v>794679</v>
      </c>
      <c r="J3313" t="s">
        <v>17</v>
      </c>
      <c r="K3313" t="s">
        <v>30</v>
      </c>
      <c r="L3313">
        <v>9</v>
      </c>
      <c r="M3313">
        <v>49.83</v>
      </c>
      <c r="N3313">
        <v>24145</v>
      </c>
      <c r="O3313">
        <v>1</v>
      </c>
    </row>
    <row r="3314" spans="1:15">
      <c r="A3314" t="s">
        <v>3340</v>
      </c>
      <c r="B3314" t="s">
        <v>27</v>
      </c>
      <c r="C3314">
        <v>3</v>
      </c>
      <c r="D3314">
        <v>29547852</v>
      </c>
      <c r="E3314">
        <v>1</v>
      </c>
      <c r="F3314">
        <v>11</v>
      </c>
      <c r="G3314">
        <v>582</v>
      </c>
      <c r="H3314">
        <v>67532206</v>
      </c>
      <c r="I3314">
        <v>468247</v>
      </c>
      <c r="J3314" t="s">
        <v>17</v>
      </c>
      <c r="K3314" t="s">
        <v>22</v>
      </c>
      <c r="L3314">
        <v>4</v>
      </c>
      <c r="M3314">
        <v>72.040000000000006</v>
      </c>
      <c r="N3314">
        <v>91453</v>
      </c>
      <c r="O3314">
        <v>1</v>
      </c>
    </row>
    <row r="3315" spans="1:15">
      <c r="A3315" t="s">
        <v>3341</v>
      </c>
      <c r="B3315" t="s">
        <v>20</v>
      </c>
      <c r="C3315">
        <v>11</v>
      </c>
      <c r="D3315">
        <v>49439271</v>
      </c>
      <c r="E3315">
        <v>4</v>
      </c>
      <c r="F3315">
        <v>29</v>
      </c>
      <c r="G3315">
        <v>402</v>
      </c>
      <c r="H3315">
        <v>60978918</v>
      </c>
      <c r="I3315">
        <v>222482</v>
      </c>
      <c r="J3315" t="s">
        <v>25</v>
      </c>
      <c r="K3315" t="s">
        <v>30</v>
      </c>
      <c r="L3315">
        <v>4</v>
      </c>
      <c r="M3315">
        <v>39.119999999999997</v>
      </c>
      <c r="N3315">
        <v>918095</v>
      </c>
      <c r="O3315">
        <v>1</v>
      </c>
    </row>
    <row r="3316" spans="1:15">
      <c r="A3316" t="s">
        <v>3342</v>
      </c>
      <c r="B3316" t="s">
        <v>27</v>
      </c>
      <c r="C3316">
        <v>8</v>
      </c>
      <c r="D3316">
        <v>40646891</v>
      </c>
      <c r="E3316">
        <v>3</v>
      </c>
      <c r="F3316">
        <v>25</v>
      </c>
      <c r="G3316">
        <v>956</v>
      </c>
      <c r="H3316">
        <v>37628769</v>
      </c>
      <c r="I3316">
        <v>691226</v>
      </c>
      <c r="J3316" t="s">
        <v>17</v>
      </c>
      <c r="K3316" t="s">
        <v>18</v>
      </c>
      <c r="L3316">
        <v>8</v>
      </c>
      <c r="M3316">
        <v>30.97</v>
      </c>
      <c r="N3316">
        <v>757707</v>
      </c>
      <c r="O3316">
        <v>1</v>
      </c>
    </row>
    <row r="3317" spans="1:15">
      <c r="A3317" t="s">
        <v>3343</v>
      </c>
      <c r="B3317" t="s">
        <v>27</v>
      </c>
      <c r="C3317">
        <v>7</v>
      </c>
      <c r="D3317">
        <v>41409259</v>
      </c>
      <c r="E3317">
        <v>3</v>
      </c>
      <c r="F3317">
        <v>24</v>
      </c>
      <c r="G3317">
        <v>805</v>
      </c>
      <c r="H3317">
        <v>37242427</v>
      </c>
      <c r="I3317">
        <v>743917</v>
      </c>
      <c r="J3317" t="s">
        <v>21</v>
      </c>
      <c r="K3317" t="s">
        <v>30</v>
      </c>
      <c r="L3317">
        <v>2</v>
      </c>
      <c r="M3317">
        <v>32.729999999999997</v>
      </c>
      <c r="N3317">
        <v>210928</v>
      </c>
      <c r="O3317">
        <v>1</v>
      </c>
    </row>
    <row r="3318" spans="1:15">
      <c r="A3318" t="s">
        <v>3344</v>
      </c>
      <c r="B3318" t="s">
        <v>24</v>
      </c>
      <c r="C3318">
        <v>11</v>
      </c>
      <c r="D3318">
        <v>23117251</v>
      </c>
      <c r="E3318">
        <v>1</v>
      </c>
      <c r="F3318">
        <v>5</v>
      </c>
      <c r="G3318">
        <v>389</v>
      </c>
      <c r="H3318">
        <v>7665671</v>
      </c>
      <c r="I3318">
        <v>549801</v>
      </c>
      <c r="J3318" t="s">
        <v>25</v>
      </c>
      <c r="K3318" t="s">
        <v>18</v>
      </c>
      <c r="L3318">
        <v>2</v>
      </c>
      <c r="M3318">
        <v>94.5</v>
      </c>
      <c r="N3318">
        <v>238548</v>
      </c>
      <c r="O3318">
        <v>1</v>
      </c>
    </row>
    <row r="3319" spans="1:15">
      <c r="A3319" t="s">
        <v>3345</v>
      </c>
      <c r="B3319" t="s">
        <v>24</v>
      </c>
      <c r="C3319">
        <v>12</v>
      </c>
      <c r="D3319">
        <v>22767470</v>
      </c>
      <c r="E3319">
        <v>3</v>
      </c>
      <c r="F3319">
        <v>6</v>
      </c>
      <c r="G3319">
        <v>444</v>
      </c>
      <c r="H3319">
        <v>24507064</v>
      </c>
      <c r="I3319">
        <v>995365</v>
      </c>
      <c r="J3319" t="s">
        <v>25</v>
      </c>
      <c r="K3319" t="s">
        <v>18</v>
      </c>
      <c r="L3319">
        <v>4</v>
      </c>
      <c r="M3319">
        <v>83.94</v>
      </c>
      <c r="N3319">
        <v>709074</v>
      </c>
      <c r="O3319">
        <v>1</v>
      </c>
    </row>
    <row r="3320" spans="1:15">
      <c r="A3320" t="s">
        <v>3346</v>
      </c>
      <c r="B3320" t="s">
        <v>32</v>
      </c>
      <c r="C3320">
        <v>6</v>
      </c>
      <c r="D3320">
        <v>46501802</v>
      </c>
      <c r="E3320">
        <v>4</v>
      </c>
      <c r="F3320">
        <v>9</v>
      </c>
      <c r="G3320">
        <v>796</v>
      </c>
      <c r="H3320">
        <v>60822141</v>
      </c>
      <c r="I3320">
        <v>880484</v>
      </c>
      <c r="J3320" t="s">
        <v>17</v>
      </c>
      <c r="K3320" t="s">
        <v>22</v>
      </c>
      <c r="L3320">
        <v>6</v>
      </c>
      <c r="M3320">
        <v>35.99</v>
      </c>
      <c r="N3320">
        <v>699221</v>
      </c>
      <c r="O3320">
        <v>1</v>
      </c>
    </row>
    <row r="3321" spans="1:15">
      <c r="A3321" t="s">
        <v>3347</v>
      </c>
      <c r="B3321" t="s">
        <v>20</v>
      </c>
      <c r="C3321">
        <v>14</v>
      </c>
      <c r="D3321">
        <v>34345799</v>
      </c>
      <c r="E3321">
        <v>3</v>
      </c>
      <c r="F3321">
        <v>2</v>
      </c>
      <c r="G3321">
        <v>513</v>
      </c>
      <c r="H3321">
        <v>99584596</v>
      </c>
      <c r="I3321">
        <v>237466</v>
      </c>
      <c r="J3321" t="s">
        <v>21</v>
      </c>
      <c r="K3321" t="s">
        <v>30</v>
      </c>
      <c r="L3321">
        <v>6</v>
      </c>
      <c r="M3321">
        <v>54.2</v>
      </c>
      <c r="N3321">
        <v>369163</v>
      </c>
      <c r="O3321">
        <v>1</v>
      </c>
    </row>
    <row r="3322" spans="1:15">
      <c r="A3322" t="s">
        <v>3348</v>
      </c>
      <c r="B3322" t="s">
        <v>20</v>
      </c>
      <c r="C3322">
        <v>11</v>
      </c>
      <c r="D3322">
        <v>2155774</v>
      </c>
      <c r="E3322">
        <v>3</v>
      </c>
      <c r="F3322">
        <v>18</v>
      </c>
      <c r="G3322">
        <v>852</v>
      </c>
      <c r="H3322">
        <v>1084140</v>
      </c>
      <c r="I3322">
        <v>301474</v>
      </c>
      <c r="J3322" t="s">
        <v>21</v>
      </c>
      <c r="K3322" t="s">
        <v>18</v>
      </c>
      <c r="L3322">
        <v>3</v>
      </c>
      <c r="M3322">
        <v>11.62</v>
      </c>
      <c r="N3322">
        <v>103824</v>
      </c>
      <c r="O3322">
        <v>1</v>
      </c>
    </row>
    <row r="3323" spans="1:15">
      <c r="A3323" t="s">
        <v>3349</v>
      </c>
      <c r="B3323" t="s">
        <v>20</v>
      </c>
      <c r="C3323">
        <v>1</v>
      </c>
      <c r="D3323">
        <v>5967886</v>
      </c>
      <c r="E3323">
        <v>4</v>
      </c>
      <c r="F3323">
        <v>21</v>
      </c>
      <c r="G3323">
        <v>982</v>
      </c>
      <c r="H3323">
        <v>46717396</v>
      </c>
      <c r="I3323">
        <v>875500</v>
      </c>
      <c r="J3323" t="s">
        <v>21</v>
      </c>
      <c r="K3323" t="s">
        <v>30</v>
      </c>
      <c r="L3323">
        <v>5</v>
      </c>
      <c r="M3323">
        <v>79.59</v>
      </c>
      <c r="N3323">
        <v>809484</v>
      </c>
      <c r="O3323">
        <v>1</v>
      </c>
    </row>
    <row r="3324" spans="1:15">
      <c r="A3324" t="s">
        <v>3350</v>
      </c>
      <c r="B3324" t="s">
        <v>38</v>
      </c>
      <c r="C3324">
        <v>14</v>
      </c>
      <c r="D3324">
        <v>40881892</v>
      </c>
      <c r="E3324">
        <v>3</v>
      </c>
      <c r="F3324">
        <v>9</v>
      </c>
      <c r="G3324">
        <v>202</v>
      </c>
      <c r="H3324">
        <v>70522922</v>
      </c>
      <c r="I3324">
        <v>499329</v>
      </c>
      <c r="J3324" t="s">
        <v>21</v>
      </c>
      <c r="K3324" t="s">
        <v>18</v>
      </c>
      <c r="L3324">
        <v>9</v>
      </c>
      <c r="M3324">
        <v>15.15</v>
      </c>
      <c r="N3324">
        <v>719921</v>
      </c>
      <c r="O3324">
        <v>1</v>
      </c>
    </row>
    <row r="3325" spans="1:15">
      <c r="A3325" t="s">
        <v>3351</v>
      </c>
      <c r="B3325" t="s">
        <v>24</v>
      </c>
      <c r="C3325">
        <v>0</v>
      </c>
      <c r="D3325">
        <v>10509959</v>
      </c>
      <c r="E3325">
        <v>3</v>
      </c>
      <c r="F3325">
        <v>28</v>
      </c>
      <c r="G3325">
        <v>152</v>
      </c>
      <c r="H3325">
        <v>1855127</v>
      </c>
      <c r="I3325">
        <v>822783</v>
      </c>
      <c r="J3325" t="s">
        <v>17</v>
      </c>
      <c r="K3325" t="s">
        <v>18</v>
      </c>
      <c r="L3325">
        <v>3</v>
      </c>
      <c r="M3325">
        <v>43.17</v>
      </c>
      <c r="N3325">
        <v>964653</v>
      </c>
      <c r="O3325">
        <v>1</v>
      </c>
    </row>
    <row r="3326" spans="1:15">
      <c r="A3326" t="s">
        <v>3352</v>
      </c>
      <c r="B3326" t="s">
        <v>20</v>
      </c>
      <c r="C3326">
        <v>14</v>
      </c>
      <c r="D3326">
        <v>11623931</v>
      </c>
      <c r="E3326">
        <v>3</v>
      </c>
      <c r="F3326">
        <v>24</v>
      </c>
      <c r="G3326">
        <v>960</v>
      </c>
      <c r="H3326">
        <v>18829447</v>
      </c>
      <c r="I3326">
        <v>13412</v>
      </c>
      <c r="J3326" t="s">
        <v>21</v>
      </c>
      <c r="K3326" t="s">
        <v>30</v>
      </c>
      <c r="L3326">
        <v>2</v>
      </c>
      <c r="M3326">
        <v>80.38</v>
      </c>
      <c r="N3326">
        <v>35113</v>
      </c>
      <c r="O3326">
        <v>1</v>
      </c>
    </row>
    <row r="3327" spans="1:15">
      <c r="A3327" t="s">
        <v>3353</v>
      </c>
      <c r="B3327" t="s">
        <v>32</v>
      </c>
      <c r="C3327">
        <v>1</v>
      </c>
      <c r="D3327">
        <v>28350164</v>
      </c>
      <c r="E3327">
        <v>1</v>
      </c>
      <c r="F3327">
        <v>7</v>
      </c>
      <c r="G3327">
        <v>708</v>
      </c>
      <c r="H3327">
        <v>6109798</v>
      </c>
      <c r="I3327">
        <v>192002</v>
      </c>
      <c r="J3327" t="s">
        <v>17</v>
      </c>
      <c r="K3327" t="s">
        <v>22</v>
      </c>
      <c r="L3327">
        <v>1</v>
      </c>
      <c r="M3327">
        <v>71.52</v>
      </c>
      <c r="N3327">
        <v>575621</v>
      </c>
      <c r="O3327">
        <v>1</v>
      </c>
    </row>
    <row r="3328" spans="1:15">
      <c r="A3328" t="s">
        <v>3354</v>
      </c>
      <c r="B3328" t="s">
        <v>38</v>
      </c>
      <c r="C3328">
        <v>6</v>
      </c>
      <c r="D3328">
        <v>36042945</v>
      </c>
      <c r="E3328">
        <v>4</v>
      </c>
      <c r="F3328">
        <v>19</v>
      </c>
      <c r="G3328">
        <v>152</v>
      </c>
      <c r="H3328">
        <v>32133040</v>
      </c>
      <c r="I3328">
        <v>904210</v>
      </c>
      <c r="J3328" t="s">
        <v>17</v>
      </c>
      <c r="K3328" t="s">
        <v>30</v>
      </c>
      <c r="L3328">
        <v>3</v>
      </c>
      <c r="M3328">
        <v>35.99</v>
      </c>
      <c r="N3328">
        <v>570898</v>
      </c>
      <c r="O3328">
        <v>1</v>
      </c>
    </row>
    <row r="3329" spans="1:15">
      <c r="A3329" t="s">
        <v>3355</v>
      </c>
      <c r="B3329" t="s">
        <v>24</v>
      </c>
      <c r="C3329">
        <v>11</v>
      </c>
      <c r="D3329">
        <v>14700729</v>
      </c>
      <c r="E3329">
        <v>3</v>
      </c>
      <c r="F3329">
        <v>5</v>
      </c>
      <c r="G3329">
        <v>752</v>
      </c>
      <c r="H3329">
        <v>99393404</v>
      </c>
      <c r="I3329">
        <v>926478</v>
      </c>
      <c r="J3329" t="s">
        <v>17</v>
      </c>
      <c r="K3329" t="s">
        <v>30</v>
      </c>
      <c r="L3329">
        <v>9</v>
      </c>
      <c r="M3329">
        <v>7.4</v>
      </c>
      <c r="N3329">
        <v>513337</v>
      </c>
      <c r="O3329">
        <v>1</v>
      </c>
    </row>
    <row r="3330" spans="1:15">
      <c r="A3330" t="s">
        <v>3356</v>
      </c>
      <c r="B3330" t="s">
        <v>29</v>
      </c>
      <c r="C3330">
        <v>8</v>
      </c>
      <c r="D3330">
        <v>48116456</v>
      </c>
      <c r="E3330">
        <v>4</v>
      </c>
      <c r="F3330">
        <v>22</v>
      </c>
      <c r="G3330">
        <v>310</v>
      </c>
      <c r="H3330">
        <v>82718488</v>
      </c>
      <c r="I3330">
        <v>43045</v>
      </c>
      <c r="J3330" t="s">
        <v>21</v>
      </c>
      <c r="K3330" t="s">
        <v>22</v>
      </c>
      <c r="L3330">
        <v>7</v>
      </c>
      <c r="M3330">
        <v>20.420000000000002</v>
      </c>
      <c r="N3330">
        <v>765418</v>
      </c>
      <c r="O3330">
        <v>1</v>
      </c>
    </row>
    <row r="3331" spans="1:15">
      <c r="A3331" t="s">
        <v>3357</v>
      </c>
      <c r="B3331" t="s">
        <v>32</v>
      </c>
      <c r="C3331">
        <v>3</v>
      </c>
      <c r="D3331">
        <v>42114950</v>
      </c>
      <c r="E3331">
        <v>4</v>
      </c>
      <c r="F3331">
        <v>27</v>
      </c>
      <c r="G3331">
        <v>732</v>
      </c>
      <c r="H3331">
        <v>59490672</v>
      </c>
      <c r="I3331">
        <v>811133</v>
      </c>
      <c r="J3331" t="s">
        <v>25</v>
      </c>
      <c r="K3331" t="s">
        <v>22</v>
      </c>
      <c r="L3331">
        <v>9</v>
      </c>
      <c r="M3331">
        <v>41.3</v>
      </c>
      <c r="N3331">
        <v>675242</v>
      </c>
      <c r="O3331">
        <v>1</v>
      </c>
    </row>
    <row r="3332" spans="1:15">
      <c r="A3332" t="s">
        <v>3358</v>
      </c>
      <c r="B3332" t="s">
        <v>32</v>
      </c>
      <c r="C3332">
        <v>1</v>
      </c>
      <c r="D3332">
        <v>19641753</v>
      </c>
      <c r="E3332">
        <v>4</v>
      </c>
      <c r="F3332">
        <v>8</v>
      </c>
      <c r="G3332">
        <v>858</v>
      </c>
      <c r="H3332">
        <v>92893444</v>
      </c>
      <c r="I3332">
        <v>636637</v>
      </c>
      <c r="J3332" t="s">
        <v>21</v>
      </c>
      <c r="K3332" t="s">
        <v>30</v>
      </c>
      <c r="L3332">
        <v>9</v>
      </c>
      <c r="M3332">
        <v>23.78</v>
      </c>
      <c r="N3332">
        <v>563351</v>
      </c>
      <c r="O3332">
        <v>1</v>
      </c>
    </row>
    <row r="3333" spans="1:15">
      <c r="A3333" t="s">
        <v>3359</v>
      </c>
      <c r="B3333" t="s">
        <v>32</v>
      </c>
      <c r="C3333">
        <v>7</v>
      </c>
      <c r="D3333">
        <v>19086828</v>
      </c>
      <c r="E3333">
        <v>1</v>
      </c>
      <c r="F3333">
        <v>10</v>
      </c>
      <c r="G3333">
        <v>847</v>
      </c>
      <c r="H3333">
        <v>38147075</v>
      </c>
      <c r="I3333">
        <v>934136</v>
      </c>
      <c r="J3333" t="s">
        <v>17</v>
      </c>
      <c r="K3333" t="s">
        <v>22</v>
      </c>
      <c r="L3333">
        <v>7</v>
      </c>
      <c r="M3333">
        <v>32.090000000000003</v>
      </c>
      <c r="N3333">
        <v>601547</v>
      </c>
      <c r="O3333">
        <v>1</v>
      </c>
    </row>
    <row r="3334" spans="1:15">
      <c r="A3334" t="s">
        <v>3360</v>
      </c>
      <c r="B3334" t="s">
        <v>32</v>
      </c>
      <c r="C3334">
        <v>11</v>
      </c>
      <c r="D3334">
        <v>19346585</v>
      </c>
      <c r="E3334">
        <v>3</v>
      </c>
      <c r="F3334">
        <v>22</v>
      </c>
      <c r="G3334">
        <v>317</v>
      </c>
      <c r="H3334">
        <v>96326628</v>
      </c>
      <c r="I3334">
        <v>503636</v>
      </c>
      <c r="J3334" t="s">
        <v>21</v>
      </c>
      <c r="K3334" t="s">
        <v>18</v>
      </c>
      <c r="L3334">
        <v>6</v>
      </c>
      <c r="M3334">
        <v>85.89</v>
      </c>
      <c r="N3334">
        <v>573736</v>
      </c>
      <c r="O3334">
        <v>1</v>
      </c>
    </row>
    <row r="3335" spans="1:15">
      <c r="A3335" t="s">
        <v>3361</v>
      </c>
      <c r="B3335" t="s">
        <v>32</v>
      </c>
      <c r="C3335">
        <v>11</v>
      </c>
      <c r="D3335">
        <v>45760336</v>
      </c>
      <c r="E3335">
        <v>1</v>
      </c>
      <c r="F3335">
        <v>21</v>
      </c>
      <c r="G3335">
        <v>767</v>
      </c>
      <c r="H3335">
        <v>80380796</v>
      </c>
      <c r="I3335">
        <v>61619</v>
      </c>
      <c r="J3335" t="s">
        <v>25</v>
      </c>
      <c r="K3335" t="s">
        <v>22</v>
      </c>
      <c r="L3335">
        <v>2</v>
      </c>
      <c r="M3335">
        <v>71.430000000000007</v>
      </c>
      <c r="N3335">
        <v>80213</v>
      </c>
      <c r="O3335">
        <v>1</v>
      </c>
    </row>
    <row r="3336" spans="1:15">
      <c r="A3336" t="s">
        <v>3362</v>
      </c>
      <c r="B3336" t="s">
        <v>24</v>
      </c>
      <c r="C3336">
        <v>1</v>
      </c>
      <c r="D3336">
        <v>49414450</v>
      </c>
      <c r="E3336">
        <v>2</v>
      </c>
      <c r="F3336">
        <v>15</v>
      </c>
      <c r="G3336">
        <v>372</v>
      </c>
      <c r="H3336">
        <v>37201723</v>
      </c>
      <c r="I3336">
        <v>383179</v>
      </c>
      <c r="J3336" t="s">
        <v>21</v>
      </c>
      <c r="K3336" t="s">
        <v>30</v>
      </c>
      <c r="L3336">
        <v>4</v>
      </c>
      <c r="M3336">
        <v>78.760000000000005</v>
      </c>
      <c r="N3336">
        <v>324553</v>
      </c>
      <c r="O3336">
        <v>1</v>
      </c>
    </row>
    <row r="3337" spans="1:15">
      <c r="A3337" t="s">
        <v>3363</v>
      </c>
      <c r="B3337" t="s">
        <v>16</v>
      </c>
      <c r="C3337">
        <v>4</v>
      </c>
      <c r="D3337">
        <v>13436715</v>
      </c>
      <c r="E3337">
        <v>1</v>
      </c>
      <c r="F3337">
        <v>10</v>
      </c>
      <c r="G3337">
        <v>839</v>
      </c>
      <c r="H3337">
        <v>48015164</v>
      </c>
      <c r="I3337">
        <v>778357</v>
      </c>
      <c r="J3337" t="s">
        <v>21</v>
      </c>
      <c r="K3337" t="s">
        <v>30</v>
      </c>
      <c r="L3337">
        <v>1</v>
      </c>
      <c r="M3337">
        <v>98.18</v>
      </c>
      <c r="N3337">
        <v>225159</v>
      </c>
      <c r="O3337">
        <v>1</v>
      </c>
    </row>
    <row r="3338" spans="1:15">
      <c r="A3338" t="s">
        <v>3364</v>
      </c>
      <c r="B3338" t="s">
        <v>27</v>
      </c>
      <c r="C3338">
        <v>0</v>
      </c>
      <c r="D3338">
        <v>17727597</v>
      </c>
      <c r="E3338">
        <v>1</v>
      </c>
      <c r="F3338">
        <v>19</v>
      </c>
      <c r="G3338">
        <v>417</v>
      </c>
      <c r="H3338">
        <v>54445585</v>
      </c>
      <c r="I3338">
        <v>543468</v>
      </c>
      <c r="J3338" t="s">
        <v>17</v>
      </c>
      <c r="K3338" t="s">
        <v>18</v>
      </c>
      <c r="L3338">
        <v>5</v>
      </c>
      <c r="M3338">
        <v>26.38</v>
      </c>
      <c r="N3338">
        <v>572018</v>
      </c>
      <c r="O3338">
        <v>1</v>
      </c>
    </row>
    <row r="3339" spans="1:15">
      <c r="A3339" t="s">
        <v>3365</v>
      </c>
      <c r="B3339" t="s">
        <v>32</v>
      </c>
      <c r="C3339">
        <v>3</v>
      </c>
      <c r="D3339">
        <v>17950121</v>
      </c>
      <c r="E3339">
        <v>2</v>
      </c>
      <c r="F3339">
        <v>23</v>
      </c>
      <c r="G3339">
        <v>902</v>
      </c>
      <c r="H3339">
        <v>44964730</v>
      </c>
      <c r="I3339">
        <v>676980</v>
      </c>
      <c r="J3339" t="s">
        <v>21</v>
      </c>
      <c r="K3339" t="s">
        <v>22</v>
      </c>
      <c r="L3339">
        <v>1</v>
      </c>
      <c r="M3339">
        <v>37.03</v>
      </c>
      <c r="N3339">
        <v>390627</v>
      </c>
      <c r="O3339">
        <v>1</v>
      </c>
    </row>
    <row r="3340" spans="1:15">
      <c r="A3340" t="s">
        <v>3366</v>
      </c>
      <c r="B3340" t="s">
        <v>16</v>
      </c>
      <c r="C3340">
        <v>10</v>
      </c>
      <c r="D3340">
        <v>43831270</v>
      </c>
      <c r="E3340">
        <v>3</v>
      </c>
      <c r="F3340">
        <v>29</v>
      </c>
      <c r="G3340">
        <v>605</v>
      </c>
      <c r="H3340">
        <v>37248834</v>
      </c>
      <c r="I3340">
        <v>48078</v>
      </c>
      <c r="J3340" t="s">
        <v>25</v>
      </c>
      <c r="K3340" t="s">
        <v>18</v>
      </c>
      <c r="L3340">
        <v>4</v>
      </c>
      <c r="M3340">
        <v>47.56</v>
      </c>
      <c r="N3340">
        <v>130643</v>
      </c>
      <c r="O3340">
        <v>1</v>
      </c>
    </row>
    <row r="3341" spans="1:15">
      <c r="A3341" t="s">
        <v>3367</v>
      </c>
      <c r="B3341" t="s">
        <v>16</v>
      </c>
      <c r="C3341">
        <v>1</v>
      </c>
      <c r="D3341">
        <v>14946143</v>
      </c>
      <c r="E3341">
        <v>4</v>
      </c>
      <c r="F3341">
        <v>15</v>
      </c>
      <c r="G3341">
        <v>750</v>
      </c>
      <c r="H3341">
        <v>43789903</v>
      </c>
      <c r="I3341">
        <v>834817</v>
      </c>
      <c r="J3341" t="s">
        <v>25</v>
      </c>
      <c r="K3341" t="s">
        <v>30</v>
      </c>
      <c r="L3341">
        <v>4</v>
      </c>
      <c r="M3341">
        <v>75.91</v>
      </c>
      <c r="N3341">
        <v>730406</v>
      </c>
      <c r="O3341">
        <v>1</v>
      </c>
    </row>
    <row r="3342" spans="1:15">
      <c r="A3342" t="s">
        <v>3368</v>
      </c>
      <c r="B3342" t="s">
        <v>27</v>
      </c>
      <c r="C3342">
        <v>10</v>
      </c>
      <c r="D3342">
        <v>32958957</v>
      </c>
      <c r="E3342">
        <v>1</v>
      </c>
      <c r="F3342">
        <v>16</v>
      </c>
      <c r="G3342">
        <v>881</v>
      </c>
      <c r="H3342">
        <v>70633985</v>
      </c>
      <c r="I3342">
        <v>595385</v>
      </c>
      <c r="J3342" t="s">
        <v>17</v>
      </c>
      <c r="K3342" t="s">
        <v>30</v>
      </c>
      <c r="L3342">
        <v>3</v>
      </c>
      <c r="M3342">
        <v>99.68</v>
      </c>
      <c r="N3342">
        <v>809086</v>
      </c>
      <c r="O3342">
        <v>1</v>
      </c>
    </row>
    <row r="3343" spans="1:15">
      <c r="A3343" t="s">
        <v>3369</v>
      </c>
      <c r="B3343" t="s">
        <v>38</v>
      </c>
      <c r="C3343">
        <v>3</v>
      </c>
      <c r="D3343">
        <v>21805360</v>
      </c>
      <c r="E3343">
        <v>2</v>
      </c>
      <c r="F3343">
        <v>0</v>
      </c>
      <c r="G3343">
        <v>432</v>
      </c>
      <c r="H3343">
        <v>75815658</v>
      </c>
      <c r="I3343">
        <v>724257</v>
      </c>
      <c r="J3343" t="s">
        <v>25</v>
      </c>
      <c r="K3343" t="s">
        <v>30</v>
      </c>
      <c r="L3343">
        <v>4</v>
      </c>
      <c r="M3343">
        <v>82.31</v>
      </c>
      <c r="N3343">
        <v>44183</v>
      </c>
      <c r="O3343">
        <v>1</v>
      </c>
    </row>
    <row r="3344" spans="1:15">
      <c r="A3344" t="s">
        <v>3370</v>
      </c>
      <c r="B3344" t="s">
        <v>24</v>
      </c>
      <c r="C3344">
        <v>6</v>
      </c>
      <c r="D3344">
        <v>23407038</v>
      </c>
      <c r="E3344">
        <v>1</v>
      </c>
      <c r="F3344">
        <v>7</v>
      </c>
      <c r="G3344">
        <v>299</v>
      </c>
      <c r="H3344">
        <v>80394521</v>
      </c>
      <c r="I3344">
        <v>538377</v>
      </c>
      <c r="J3344" t="s">
        <v>25</v>
      </c>
      <c r="K3344" t="s">
        <v>30</v>
      </c>
      <c r="L3344">
        <v>6</v>
      </c>
      <c r="M3344">
        <v>15.59</v>
      </c>
      <c r="N3344">
        <v>332720</v>
      </c>
      <c r="O3344">
        <v>1</v>
      </c>
    </row>
    <row r="3345" spans="1:15">
      <c r="A3345" t="s">
        <v>3371</v>
      </c>
      <c r="B3345" t="s">
        <v>38</v>
      </c>
      <c r="C3345">
        <v>14</v>
      </c>
      <c r="D3345">
        <v>10514744</v>
      </c>
      <c r="E3345">
        <v>4</v>
      </c>
      <c r="F3345">
        <v>11</v>
      </c>
      <c r="G3345">
        <v>474</v>
      </c>
      <c r="H3345">
        <v>44651527</v>
      </c>
      <c r="I3345">
        <v>867614</v>
      </c>
      <c r="J3345" t="s">
        <v>21</v>
      </c>
      <c r="K3345" t="s">
        <v>18</v>
      </c>
      <c r="L3345">
        <v>1</v>
      </c>
      <c r="M3345">
        <v>48.82</v>
      </c>
      <c r="N3345">
        <v>41485</v>
      </c>
      <c r="O3345">
        <v>1</v>
      </c>
    </row>
    <row r="3346" spans="1:15">
      <c r="A3346" t="s">
        <v>3372</v>
      </c>
      <c r="B3346" t="s">
        <v>20</v>
      </c>
      <c r="C3346">
        <v>3</v>
      </c>
      <c r="D3346">
        <v>9552120</v>
      </c>
      <c r="E3346">
        <v>3</v>
      </c>
      <c r="F3346">
        <v>15</v>
      </c>
      <c r="G3346">
        <v>929</v>
      </c>
      <c r="H3346">
        <v>93578079</v>
      </c>
      <c r="I3346">
        <v>545462</v>
      </c>
      <c r="J3346" t="s">
        <v>25</v>
      </c>
      <c r="K3346" t="s">
        <v>22</v>
      </c>
      <c r="L3346">
        <v>7</v>
      </c>
      <c r="M3346">
        <v>4.49</v>
      </c>
      <c r="N3346">
        <v>262919</v>
      </c>
      <c r="O3346">
        <v>1</v>
      </c>
    </row>
    <row r="3347" spans="1:15">
      <c r="A3347" t="s">
        <v>3373</v>
      </c>
      <c r="B3347" t="s">
        <v>32</v>
      </c>
      <c r="C3347">
        <v>7</v>
      </c>
      <c r="D3347">
        <v>30362707</v>
      </c>
      <c r="E3347">
        <v>2</v>
      </c>
      <c r="F3347">
        <v>28</v>
      </c>
      <c r="G3347">
        <v>478</v>
      </c>
      <c r="H3347">
        <v>28053920</v>
      </c>
      <c r="I3347">
        <v>467389</v>
      </c>
      <c r="J3347" t="s">
        <v>21</v>
      </c>
      <c r="K3347" t="s">
        <v>30</v>
      </c>
      <c r="L3347">
        <v>9</v>
      </c>
      <c r="M3347">
        <v>53.49</v>
      </c>
      <c r="N3347">
        <v>932875</v>
      </c>
      <c r="O3347">
        <v>1</v>
      </c>
    </row>
    <row r="3348" spans="1:15">
      <c r="A3348" t="s">
        <v>3374</v>
      </c>
      <c r="B3348" t="s">
        <v>16</v>
      </c>
      <c r="C3348">
        <v>3</v>
      </c>
      <c r="D3348">
        <v>5191015</v>
      </c>
      <c r="E3348">
        <v>1</v>
      </c>
      <c r="F3348">
        <v>17</v>
      </c>
      <c r="G3348">
        <v>278</v>
      </c>
      <c r="H3348">
        <v>27247304</v>
      </c>
      <c r="I3348">
        <v>647457</v>
      </c>
      <c r="J3348" t="s">
        <v>25</v>
      </c>
      <c r="K3348" t="s">
        <v>22</v>
      </c>
      <c r="L3348">
        <v>6</v>
      </c>
      <c r="M3348">
        <v>68.48</v>
      </c>
      <c r="N3348">
        <v>269988</v>
      </c>
      <c r="O3348">
        <v>1</v>
      </c>
    </row>
    <row r="3349" spans="1:15">
      <c r="A3349" t="s">
        <v>3375</v>
      </c>
      <c r="B3349" t="s">
        <v>32</v>
      </c>
      <c r="C3349">
        <v>0</v>
      </c>
      <c r="D3349">
        <v>10897792</v>
      </c>
      <c r="E3349">
        <v>1</v>
      </c>
      <c r="F3349">
        <v>15</v>
      </c>
      <c r="G3349">
        <v>611</v>
      </c>
      <c r="H3349">
        <v>84505448</v>
      </c>
      <c r="I3349">
        <v>284775</v>
      </c>
      <c r="J3349" t="s">
        <v>25</v>
      </c>
      <c r="K3349" t="s">
        <v>18</v>
      </c>
      <c r="L3349">
        <v>2</v>
      </c>
      <c r="M3349">
        <v>23.74</v>
      </c>
      <c r="N3349">
        <v>652701</v>
      </c>
      <c r="O3349">
        <v>1</v>
      </c>
    </row>
    <row r="3350" spans="1:15">
      <c r="A3350" t="s">
        <v>3376</v>
      </c>
      <c r="B3350" t="s">
        <v>20</v>
      </c>
      <c r="C3350">
        <v>1</v>
      </c>
      <c r="D3350">
        <v>46618087</v>
      </c>
      <c r="E3350">
        <v>4</v>
      </c>
      <c r="F3350">
        <v>13</v>
      </c>
      <c r="G3350">
        <v>863</v>
      </c>
      <c r="H3350">
        <v>98102572</v>
      </c>
      <c r="I3350">
        <v>391980</v>
      </c>
      <c r="J3350" t="s">
        <v>17</v>
      </c>
      <c r="K3350" t="s">
        <v>30</v>
      </c>
      <c r="L3350">
        <v>4</v>
      </c>
      <c r="M3350">
        <v>59.01</v>
      </c>
      <c r="N3350">
        <v>849039</v>
      </c>
      <c r="O3350">
        <v>1</v>
      </c>
    </row>
    <row r="3351" spans="1:15">
      <c r="A3351" t="s">
        <v>3377</v>
      </c>
      <c r="B3351" t="s">
        <v>20</v>
      </c>
      <c r="C3351">
        <v>9</v>
      </c>
      <c r="D3351">
        <v>20788206</v>
      </c>
      <c r="E3351">
        <v>4</v>
      </c>
      <c r="F3351">
        <v>19</v>
      </c>
      <c r="G3351">
        <v>156</v>
      </c>
      <c r="H3351">
        <v>36010072</v>
      </c>
      <c r="I3351">
        <v>148670</v>
      </c>
      <c r="J3351" t="s">
        <v>21</v>
      </c>
      <c r="K3351" t="s">
        <v>30</v>
      </c>
      <c r="L3351">
        <v>2</v>
      </c>
      <c r="M3351">
        <v>64.48</v>
      </c>
      <c r="N3351">
        <v>477652</v>
      </c>
      <c r="O3351">
        <v>1</v>
      </c>
    </row>
    <row r="3352" spans="1:15">
      <c r="A3352" t="s">
        <v>3378</v>
      </c>
      <c r="B3352" t="s">
        <v>29</v>
      </c>
      <c r="C3352">
        <v>13</v>
      </c>
      <c r="D3352">
        <v>44144495</v>
      </c>
      <c r="E3352">
        <v>3</v>
      </c>
      <c r="F3352">
        <v>23</v>
      </c>
      <c r="G3352">
        <v>695</v>
      </c>
      <c r="H3352">
        <v>31304295</v>
      </c>
      <c r="I3352">
        <v>178764</v>
      </c>
      <c r="J3352" t="s">
        <v>21</v>
      </c>
      <c r="K3352" t="s">
        <v>18</v>
      </c>
      <c r="L3352">
        <v>3</v>
      </c>
      <c r="M3352">
        <v>0.95</v>
      </c>
      <c r="N3352">
        <v>193287</v>
      </c>
      <c r="O3352">
        <v>1</v>
      </c>
    </row>
    <row r="3353" spans="1:15">
      <c r="A3353" t="s">
        <v>3379</v>
      </c>
      <c r="B3353" t="s">
        <v>32</v>
      </c>
      <c r="C3353">
        <v>14</v>
      </c>
      <c r="D3353">
        <v>44915097</v>
      </c>
      <c r="E3353">
        <v>4</v>
      </c>
      <c r="F3353">
        <v>0</v>
      </c>
      <c r="G3353">
        <v>732</v>
      </c>
      <c r="H3353">
        <v>21796161</v>
      </c>
      <c r="I3353">
        <v>813915</v>
      </c>
      <c r="J3353" t="s">
        <v>25</v>
      </c>
      <c r="K3353" t="s">
        <v>22</v>
      </c>
      <c r="L3353">
        <v>1</v>
      </c>
      <c r="M3353">
        <v>61.17</v>
      </c>
      <c r="N3353">
        <v>533002</v>
      </c>
      <c r="O3353">
        <v>1</v>
      </c>
    </row>
    <row r="3354" spans="1:15">
      <c r="A3354" t="s">
        <v>3380</v>
      </c>
      <c r="B3354" t="s">
        <v>29</v>
      </c>
      <c r="C3354">
        <v>3</v>
      </c>
      <c r="D3354">
        <v>15729186</v>
      </c>
      <c r="E3354">
        <v>3</v>
      </c>
      <c r="F3354">
        <v>14</v>
      </c>
      <c r="G3354">
        <v>482</v>
      </c>
      <c r="H3354">
        <v>49477139</v>
      </c>
      <c r="I3354">
        <v>719844</v>
      </c>
      <c r="J3354" t="s">
        <v>25</v>
      </c>
      <c r="K3354" t="s">
        <v>30</v>
      </c>
      <c r="L3354">
        <v>6</v>
      </c>
      <c r="M3354">
        <v>96.89</v>
      </c>
      <c r="N3354">
        <v>637936</v>
      </c>
      <c r="O3354">
        <v>1</v>
      </c>
    </row>
    <row r="3355" spans="1:15">
      <c r="A3355" t="s">
        <v>3381</v>
      </c>
      <c r="B3355" t="s">
        <v>27</v>
      </c>
      <c r="C3355">
        <v>2</v>
      </c>
      <c r="D3355">
        <v>17189012</v>
      </c>
      <c r="E3355">
        <v>1</v>
      </c>
      <c r="F3355">
        <v>21</v>
      </c>
      <c r="G3355">
        <v>999</v>
      </c>
      <c r="H3355">
        <v>39297199</v>
      </c>
      <c r="I3355">
        <v>565966</v>
      </c>
      <c r="J3355" t="s">
        <v>21</v>
      </c>
      <c r="K3355" t="s">
        <v>30</v>
      </c>
      <c r="L3355">
        <v>5</v>
      </c>
      <c r="M3355">
        <v>86.39</v>
      </c>
      <c r="N3355">
        <v>176705</v>
      </c>
      <c r="O3355">
        <v>1</v>
      </c>
    </row>
    <row r="3356" spans="1:15">
      <c r="A3356" t="s">
        <v>3382</v>
      </c>
      <c r="B3356" t="s">
        <v>24</v>
      </c>
      <c r="C3356">
        <v>9</v>
      </c>
      <c r="D3356">
        <v>18305606</v>
      </c>
      <c r="E3356">
        <v>3</v>
      </c>
      <c r="F3356">
        <v>13</v>
      </c>
      <c r="G3356">
        <v>721</v>
      </c>
      <c r="H3356">
        <v>30512946</v>
      </c>
      <c r="I3356">
        <v>610851</v>
      </c>
      <c r="J3356" t="s">
        <v>21</v>
      </c>
      <c r="K3356" t="s">
        <v>22</v>
      </c>
      <c r="L3356">
        <v>5</v>
      </c>
      <c r="M3356">
        <v>19.559999999999999</v>
      </c>
      <c r="N3356">
        <v>638651</v>
      </c>
      <c r="O3356">
        <v>1</v>
      </c>
    </row>
    <row r="3357" spans="1:15">
      <c r="A3357" t="s">
        <v>3383</v>
      </c>
      <c r="B3357" t="s">
        <v>20</v>
      </c>
      <c r="C3357">
        <v>13</v>
      </c>
      <c r="D3357">
        <v>45472324</v>
      </c>
      <c r="E3357">
        <v>3</v>
      </c>
      <c r="F3357">
        <v>6</v>
      </c>
      <c r="G3357">
        <v>979</v>
      </c>
      <c r="H3357">
        <v>1382210</v>
      </c>
      <c r="I3357">
        <v>884551</v>
      </c>
      <c r="J3357" t="s">
        <v>21</v>
      </c>
      <c r="K3357" t="s">
        <v>30</v>
      </c>
      <c r="L3357">
        <v>2</v>
      </c>
      <c r="M3357">
        <v>41.29</v>
      </c>
      <c r="N3357">
        <v>118353</v>
      </c>
      <c r="O3357">
        <v>1</v>
      </c>
    </row>
    <row r="3358" spans="1:15">
      <c r="A3358" t="s">
        <v>3384</v>
      </c>
      <c r="B3358" t="s">
        <v>24</v>
      </c>
      <c r="C3358">
        <v>13</v>
      </c>
      <c r="D3358">
        <v>33589089</v>
      </c>
      <c r="E3358">
        <v>1</v>
      </c>
      <c r="F3358">
        <v>27</v>
      </c>
      <c r="G3358">
        <v>652</v>
      </c>
      <c r="H3358">
        <v>31611574</v>
      </c>
      <c r="I3358">
        <v>669213</v>
      </c>
      <c r="J3358" t="s">
        <v>25</v>
      </c>
      <c r="K3358" t="s">
        <v>22</v>
      </c>
      <c r="L3358">
        <v>7</v>
      </c>
      <c r="M3358">
        <v>57.76</v>
      </c>
      <c r="N3358">
        <v>387696</v>
      </c>
      <c r="O3358">
        <v>1</v>
      </c>
    </row>
    <row r="3359" spans="1:15">
      <c r="A3359" t="s">
        <v>3385</v>
      </c>
      <c r="B3359" t="s">
        <v>38</v>
      </c>
      <c r="C3359">
        <v>12</v>
      </c>
      <c r="D3359">
        <v>41934671</v>
      </c>
      <c r="E3359">
        <v>2</v>
      </c>
      <c r="F3359">
        <v>5</v>
      </c>
      <c r="G3359">
        <v>949</v>
      </c>
      <c r="H3359">
        <v>70888216</v>
      </c>
      <c r="I3359">
        <v>902066</v>
      </c>
      <c r="J3359" t="s">
        <v>25</v>
      </c>
      <c r="K3359" t="s">
        <v>22</v>
      </c>
      <c r="L3359">
        <v>5</v>
      </c>
      <c r="M3359">
        <v>1.18</v>
      </c>
      <c r="N3359">
        <v>920873</v>
      </c>
      <c r="O3359">
        <v>1</v>
      </c>
    </row>
    <row r="3360" spans="1:15">
      <c r="A3360" t="s">
        <v>3386</v>
      </c>
      <c r="B3360" t="s">
        <v>27</v>
      </c>
      <c r="C3360">
        <v>6</v>
      </c>
      <c r="D3360">
        <v>27464894</v>
      </c>
      <c r="E3360">
        <v>4</v>
      </c>
      <c r="F3360">
        <v>21</v>
      </c>
      <c r="G3360">
        <v>320</v>
      </c>
      <c r="H3360">
        <v>46157347</v>
      </c>
      <c r="I3360">
        <v>187660</v>
      </c>
      <c r="J3360" t="s">
        <v>21</v>
      </c>
      <c r="K3360" t="s">
        <v>22</v>
      </c>
      <c r="L3360">
        <v>6</v>
      </c>
      <c r="M3360">
        <v>60.9</v>
      </c>
      <c r="N3360">
        <v>808771</v>
      </c>
      <c r="O3360">
        <v>1</v>
      </c>
    </row>
    <row r="3361" spans="1:15">
      <c r="A3361" t="s">
        <v>3387</v>
      </c>
      <c r="B3361" t="s">
        <v>29</v>
      </c>
      <c r="C3361">
        <v>4</v>
      </c>
      <c r="D3361">
        <v>10741279</v>
      </c>
      <c r="E3361">
        <v>1</v>
      </c>
      <c r="F3361">
        <v>2</v>
      </c>
      <c r="G3361">
        <v>43</v>
      </c>
      <c r="H3361">
        <v>63969314</v>
      </c>
      <c r="I3361">
        <v>744139</v>
      </c>
      <c r="J3361" t="s">
        <v>21</v>
      </c>
      <c r="K3361" t="s">
        <v>18</v>
      </c>
      <c r="L3361">
        <v>2</v>
      </c>
      <c r="M3361">
        <v>51.29</v>
      </c>
      <c r="N3361">
        <v>20380</v>
      </c>
      <c r="O3361">
        <v>1</v>
      </c>
    </row>
    <row r="3362" spans="1:15">
      <c r="A3362" t="s">
        <v>3388</v>
      </c>
      <c r="B3362" t="s">
        <v>32</v>
      </c>
      <c r="C3362">
        <v>2</v>
      </c>
      <c r="D3362">
        <v>15291155</v>
      </c>
      <c r="E3362">
        <v>1</v>
      </c>
      <c r="F3362">
        <v>5</v>
      </c>
      <c r="G3362">
        <v>602</v>
      </c>
      <c r="H3362">
        <v>45730414</v>
      </c>
      <c r="I3362">
        <v>101653</v>
      </c>
      <c r="J3362" t="s">
        <v>25</v>
      </c>
      <c r="K3362" t="s">
        <v>18</v>
      </c>
      <c r="L3362">
        <v>7</v>
      </c>
      <c r="M3362">
        <v>87.86</v>
      </c>
      <c r="N3362">
        <v>381073</v>
      </c>
      <c r="O3362">
        <v>1</v>
      </c>
    </row>
    <row r="3363" spans="1:15">
      <c r="A3363" t="s">
        <v>3389</v>
      </c>
      <c r="B3363" t="s">
        <v>27</v>
      </c>
      <c r="C3363">
        <v>5</v>
      </c>
      <c r="D3363">
        <v>18641306</v>
      </c>
      <c r="E3363">
        <v>1</v>
      </c>
      <c r="F3363">
        <v>8</v>
      </c>
      <c r="G3363">
        <v>38</v>
      </c>
      <c r="H3363">
        <v>44501194</v>
      </c>
      <c r="I3363">
        <v>348088</v>
      </c>
      <c r="J3363" t="s">
        <v>17</v>
      </c>
      <c r="K3363" t="s">
        <v>30</v>
      </c>
      <c r="L3363">
        <v>3</v>
      </c>
      <c r="M3363">
        <v>3.51</v>
      </c>
      <c r="N3363">
        <v>506986</v>
      </c>
      <c r="O3363">
        <v>1</v>
      </c>
    </row>
    <row r="3364" spans="1:15">
      <c r="A3364" t="s">
        <v>3390</v>
      </c>
      <c r="B3364" t="s">
        <v>29</v>
      </c>
      <c r="C3364">
        <v>11</v>
      </c>
      <c r="D3364">
        <v>32625670</v>
      </c>
      <c r="E3364">
        <v>4</v>
      </c>
      <c r="F3364">
        <v>4</v>
      </c>
      <c r="G3364">
        <v>476</v>
      </c>
      <c r="H3364">
        <v>82982168</v>
      </c>
      <c r="I3364">
        <v>92676</v>
      </c>
      <c r="J3364" t="s">
        <v>25</v>
      </c>
      <c r="K3364" t="s">
        <v>30</v>
      </c>
      <c r="L3364">
        <v>8</v>
      </c>
      <c r="M3364">
        <v>17.559999999999999</v>
      </c>
      <c r="N3364">
        <v>885384</v>
      </c>
      <c r="O3364">
        <v>1</v>
      </c>
    </row>
    <row r="3365" spans="1:15">
      <c r="A3365" t="s">
        <v>3391</v>
      </c>
      <c r="B3365" t="s">
        <v>20</v>
      </c>
      <c r="C3365">
        <v>14</v>
      </c>
      <c r="D3365">
        <v>15513949</v>
      </c>
      <c r="E3365">
        <v>4</v>
      </c>
      <c r="F3365">
        <v>17</v>
      </c>
      <c r="G3365">
        <v>743</v>
      </c>
      <c r="H3365">
        <v>93628950</v>
      </c>
      <c r="I3365">
        <v>156044</v>
      </c>
      <c r="J3365" t="s">
        <v>17</v>
      </c>
      <c r="K3365" t="s">
        <v>22</v>
      </c>
      <c r="L3365">
        <v>9</v>
      </c>
      <c r="M3365">
        <v>67.2</v>
      </c>
      <c r="N3365">
        <v>425974</v>
      </c>
      <c r="O3365">
        <v>1</v>
      </c>
    </row>
    <row r="3366" spans="1:15">
      <c r="A3366" t="s">
        <v>3392</v>
      </c>
      <c r="B3366" t="s">
        <v>32</v>
      </c>
      <c r="C3366">
        <v>2</v>
      </c>
      <c r="D3366">
        <v>38743110</v>
      </c>
      <c r="E3366">
        <v>4</v>
      </c>
      <c r="F3366">
        <v>4</v>
      </c>
      <c r="G3366">
        <v>314</v>
      </c>
      <c r="H3366">
        <v>6002381</v>
      </c>
      <c r="I3366">
        <v>405346</v>
      </c>
      <c r="J3366" t="s">
        <v>25</v>
      </c>
      <c r="K3366" t="s">
        <v>22</v>
      </c>
      <c r="L3366">
        <v>2</v>
      </c>
      <c r="M3366">
        <v>20.69</v>
      </c>
      <c r="N3366">
        <v>572672</v>
      </c>
      <c r="O3366">
        <v>1</v>
      </c>
    </row>
    <row r="3367" spans="1:15">
      <c r="A3367" t="s">
        <v>3393</v>
      </c>
      <c r="B3367" t="s">
        <v>24</v>
      </c>
      <c r="C3367">
        <v>12</v>
      </c>
      <c r="D3367">
        <v>36669554</v>
      </c>
      <c r="E3367">
        <v>4</v>
      </c>
      <c r="F3367">
        <v>23</v>
      </c>
      <c r="G3367">
        <v>12</v>
      </c>
      <c r="H3367">
        <v>67056052</v>
      </c>
      <c r="I3367">
        <v>319422</v>
      </c>
      <c r="J3367" t="s">
        <v>17</v>
      </c>
      <c r="K3367" t="s">
        <v>18</v>
      </c>
      <c r="L3367">
        <v>2</v>
      </c>
      <c r="M3367">
        <v>19.170000000000002</v>
      </c>
      <c r="N3367">
        <v>292542</v>
      </c>
      <c r="O3367">
        <v>1</v>
      </c>
    </row>
    <row r="3368" spans="1:15">
      <c r="A3368" t="s">
        <v>3394</v>
      </c>
      <c r="B3368" t="s">
        <v>16</v>
      </c>
      <c r="C3368">
        <v>8</v>
      </c>
      <c r="D3368">
        <v>44585735</v>
      </c>
      <c r="E3368">
        <v>4</v>
      </c>
      <c r="F3368">
        <v>6</v>
      </c>
      <c r="G3368">
        <v>592</v>
      </c>
      <c r="H3368">
        <v>10740609</v>
      </c>
      <c r="I3368">
        <v>284205</v>
      </c>
      <c r="J3368" t="s">
        <v>17</v>
      </c>
      <c r="K3368" t="s">
        <v>18</v>
      </c>
      <c r="L3368">
        <v>4</v>
      </c>
      <c r="M3368">
        <v>27.66</v>
      </c>
      <c r="N3368">
        <v>825608</v>
      </c>
      <c r="O3368">
        <v>1</v>
      </c>
    </row>
    <row r="3369" spans="1:15">
      <c r="A3369" t="s">
        <v>3395</v>
      </c>
      <c r="B3369" t="s">
        <v>20</v>
      </c>
      <c r="C3369">
        <v>13</v>
      </c>
      <c r="D3369">
        <v>4076741</v>
      </c>
      <c r="E3369">
        <v>3</v>
      </c>
      <c r="F3369">
        <v>7</v>
      </c>
      <c r="G3369">
        <v>431</v>
      </c>
      <c r="H3369">
        <v>78719169</v>
      </c>
      <c r="I3369">
        <v>16704</v>
      </c>
      <c r="J3369" t="s">
        <v>17</v>
      </c>
      <c r="K3369" t="s">
        <v>22</v>
      </c>
      <c r="L3369">
        <v>4</v>
      </c>
      <c r="M3369">
        <v>33.71</v>
      </c>
      <c r="N3369">
        <v>230533</v>
      </c>
      <c r="O3369">
        <v>1</v>
      </c>
    </row>
    <row r="3370" spans="1:15">
      <c r="A3370" t="s">
        <v>3396</v>
      </c>
      <c r="B3370" t="s">
        <v>32</v>
      </c>
      <c r="C3370">
        <v>0</v>
      </c>
      <c r="D3370">
        <v>34587093</v>
      </c>
      <c r="E3370">
        <v>4</v>
      </c>
      <c r="F3370">
        <v>7</v>
      </c>
      <c r="G3370">
        <v>313</v>
      </c>
      <c r="H3370">
        <v>51476468</v>
      </c>
      <c r="I3370">
        <v>460901</v>
      </c>
      <c r="J3370" t="s">
        <v>17</v>
      </c>
      <c r="K3370" t="s">
        <v>18</v>
      </c>
      <c r="L3370">
        <v>8</v>
      </c>
      <c r="M3370">
        <v>10.5</v>
      </c>
      <c r="N3370">
        <v>502855</v>
      </c>
      <c r="O3370">
        <v>1</v>
      </c>
    </row>
    <row r="3371" spans="1:15">
      <c r="A3371" t="s">
        <v>3397</v>
      </c>
      <c r="B3371" t="s">
        <v>16</v>
      </c>
      <c r="C3371">
        <v>10</v>
      </c>
      <c r="D3371">
        <v>5207587</v>
      </c>
      <c r="E3371">
        <v>4</v>
      </c>
      <c r="F3371">
        <v>1</v>
      </c>
      <c r="G3371">
        <v>808</v>
      </c>
      <c r="H3371">
        <v>72453991</v>
      </c>
      <c r="I3371">
        <v>153723</v>
      </c>
      <c r="J3371" t="s">
        <v>17</v>
      </c>
      <c r="K3371" t="s">
        <v>22</v>
      </c>
      <c r="L3371">
        <v>5</v>
      </c>
      <c r="M3371">
        <v>37.54</v>
      </c>
      <c r="N3371">
        <v>794070</v>
      </c>
      <c r="O3371">
        <v>1</v>
      </c>
    </row>
    <row r="3372" spans="1:15">
      <c r="A3372" t="s">
        <v>3398</v>
      </c>
      <c r="B3372" t="s">
        <v>32</v>
      </c>
      <c r="C3372">
        <v>4</v>
      </c>
      <c r="D3372">
        <v>29285442</v>
      </c>
      <c r="E3372">
        <v>3</v>
      </c>
      <c r="F3372">
        <v>25</v>
      </c>
      <c r="G3372">
        <v>644</v>
      </c>
      <c r="H3372">
        <v>34085702</v>
      </c>
      <c r="I3372">
        <v>816556</v>
      </c>
      <c r="J3372" t="s">
        <v>17</v>
      </c>
      <c r="K3372" t="s">
        <v>22</v>
      </c>
      <c r="L3372">
        <v>4</v>
      </c>
      <c r="M3372">
        <v>37.15</v>
      </c>
      <c r="N3372">
        <v>730600</v>
      </c>
      <c r="O3372">
        <v>1</v>
      </c>
    </row>
    <row r="3373" spans="1:15">
      <c r="A3373" t="s">
        <v>3399</v>
      </c>
      <c r="B3373" t="s">
        <v>24</v>
      </c>
      <c r="C3373">
        <v>3</v>
      </c>
      <c r="D3373">
        <v>14601212</v>
      </c>
      <c r="E3373">
        <v>3</v>
      </c>
      <c r="F3373">
        <v>8</v>
      </c>
      <c r="G3373">
        <v>697</v>
      </c>
      <c r="H3373">
        <v>53845884</v>
      </c>
      <c r="I3373">
        <v>992695</v>
      </c>
      <c r="J3373" t="s">
        <v>21</v>
      </c>
      <c r="K3373" t="s">
        <v>30</v>
      </c>
      <c r="L3373">
        <v>5</v>
      </c>
      <c r="M3373">
        <v>46.85</v>
      </c>
      <c r="N3373">
        <v>913231</v>
      </c>
      <c r="O3373">
        <v>1</v>
      </c>
    </row>
    <row r="3374" spans="1:15">
      <c r="A3374" t="s">
        <v>3400</v>
      </c>
      <c r="B3374" t="s">
        <v>16</v>
      </c>
      <c r="C3374">
        <v>7</v>
      </c>
      <c r="D3374">
        <v>23018915</v>
      </c>
      <c r="E3374">
        <v>3</v>
      </c>
      <c r="F3374">
        <v>15</v>
      </c>
      <c r="G3374">
        <v>611</v>
      </c>
      <c r="H3374">
        <v>20573150</v>
      </c>
      <c r="I3374">
        <v>662220</v>
      </c>
      <c r="J3374" t="s">
        <v>21</v>
      </c>
      <c r="K3374" t="s">
        <v>18</v>
      </c>
      <c r="L3374">
        <v>7</v>
      </c>
      <c r="M3374">
        <v>29.99</v>
      </c>
      <c r="N3374">
        <v>288471</v>
      </c>
      <c r="O3374">
        <v>1</v>
      </c>
    </row>
    <row r="3375" spans="1:15">
      <c r="A3375" t="s">
        <v>3401</v>
      </c>
      <c r="B3375" t="s">
        <v>38</v>
      </c>
      <c r="C3375">
        <v>5</v>
      </c>
      <c r="D3375">
        <v>29670063</v>
      </c>
      <c r="E3375">
        <v>2</v>
      </c>
      <c r="F3375">
        <v>19</v>
      </c>
      <c r="G3375">
        <v>128</v>
      </c>
      <c r="H3375">
        <v>88923431</v>
      </c>
      <c r="I3375">
        <v>369743</v>
      </c>
      <c r="J3375" t="s">
        <v>21</v>
      </c>
      <c r="K3375" t="s">
        <v>30</v>
      </c>
      <c r="L3375">
        <v>2</v>
      </c>
      <c r="M3375">
        <v>22.14</v>
      </c>
      <c r="N3375">
        <v>305160</v>
      </c>
      <c r="O3375">
        <v>1</v>
      </c>
    </row>
    <row r="3376" spans="1:15">
      <c r="A3376" t="s">
        <v>3402</v>
      </c>
      <c r="B3376" t="s">
        <v>20</v>
      </c>
      <c r="C3376">
        <v>5</v>
      </c>
      <c r="D3376">
        <v>36787324</v>
      </c>
      <c r="E3376">
        <v>4</v>
      </c>
      <c r="F3376">
        <v>9</v>
      </c>
      <c r="G3376">
        <v>375</v>
      </c>
      <c r="H3376">
        <v>96998421</v>
      </c>
      <c r="I3376">
        <v>935324</v>
      </c>
      <c r="J3376" t="s">
        <v>25</v>
      </c>
      <c r="K3376" t="s">
        <v>30</v>
      </c>
      <c r="L3376">
        <v>8</v>
      </c>
      <c r="M3376">
        <v>35.25</v>
      </c>
      <c r="N3376">
        <v>199194</v>
      </c>
      <c r="O3376">
        <v>1</v>
      </c>
    </row>
    <row r="3377" spans="1:15">
      <c r="A3377" t="s">
        <v>3403</v>
      </c>
      <c r="B3377" t="s">
        <v>20</v>
      </c>
      <c r="C3377">
        <v>13</v>
      </c>
      <c r="D3377">
        <v>7664835</v>
      </c>
      <c r="E3377">
        <v>2</v>
      </c>
      <c r="F3377">
        <v>24</v>
      </c>
      <c r="G3377">
        <v>326</v>
      </c>
      <c r="H3377">
        <v>18104373</v>
      </c>
      <c r="I3377">
        <v>339858</v>
      </c>
      <c r="J3377" t="s">
        <v>21</v>
      </c>
      <c r="K3377" t="s">
        <v>30</v>
      </c>
      <c r="L3377">
        <v>6</v>
      </c>
      <c r="M3377">
        <v>93.12</v>
      </c>
      <c r="N3377">
        <v>245079</v>
      </c>
      <c r="O3377">
        <v>1</v>
      </c>
    </row>
    <row r="3378" spans="1:15">
      <c r="A3378" t="s">
        <v>3404</v>
      </c>
      <c r="B3378" t="s">
        <v>27</v>
      </c>
      <c r="C3378">
        <v>8</v>
      </c>
      <c r="D3378">
        <v>6755360</v>
      </c>
      <c r="E3378">
        <v>1</v>
      </c>
      <c r="F3378">
        <v>13</v>
      </c>
      <c r="G3378">
        <v>959</v>
      </c>
      <c r="H3378">
        <v>81354204</v>
      </c>
      <c r="I3378">
        <v>909279</v>
      </c>
      <c r="J3378" t="s">
        <v>17</v>
      </c>
      <c r="K3378" t="s">
        <v>22</v>
      </c>
      <c r="L3378">
        <v>5</v>
      </c>
      <c r="M3378">
        <v>43.34</v>
      </c>
      <c r="N3378">
        <v>924113</v>
      </c>
      <c r="O3378">
        <v>1</v>
      </c>
    </row>
    <row r="3379" spans="1:15">
      <c r="A3379" t="s">
        <v>3405</v>
      </c>
      <c r="B3379" t="s">
        <v>20</v>
      </c>
      <c r="C3379">
        <v>4</v>
      </c>
      <c r="D3379">
        <v>29509893</v>
      </c>
      <c r="E3379">
        <v>2</v>
      </c>
      <c r="F3379">
        <v>16</v>
      </c>
      <c r="G3379">
        <v>515</v>
      </c>
      <c r="H3379">
        <v>54801530</v>
      </c>
      <c r="I3379">
        <v>367113</v>
      </c>
      <c r="J3379" t="s">
        <v>17</v>
      </c>
      <c r="K3379" t="s">
        <v>18</v>
      </c>
      <c r="L3379">
        <v>1</v>
      </c>
      <c r="M3379">
        <v>55.25</v>
      </c>
      <c r="N3379">
        <v>213679</v>
      </c>
      <c r="O3379">
        <v>1</v>
      </c>
    </row>
    <row r="3380" spans="1:15">
      <c r="A3380" t="s">
        <v>3406</v>
      </c>
      <c r="B3380" t="s">
        <v>38</v>
      </c>
      <c r="C3380">
        <v>14</v>
      </c>
      <c r="D3380">
        <v>19966754</v>
      </c>
      <c r="E3380">
        <v>2</v>
      </c>
      <c r="F3380">
        <v>7</v>
      </c>
      <c r="G3380">
        <v>226</v>
      </c>
      <c r="H3380">
        <v>65469239</v>
      </c>
      <c r="I3380">
        <v>819445</v>
      </c>
      <c r="J3380" t="s">
        <v>17</v>
      </c>
      <c r="K3380" t="s">
        <v>22</v>
      </c>
      <c r="L3380">
        <v>2</v>
      </c>
      <c r="M3380">
        <v>39.409999999999997</v>
      </c>
      <c r="N3380">
        <v>268362</v>
      </c>
      <c r="O3380">
        <v>1</v>
      </c>
    </row>
    <row r="3381" spans="1:15">
      <c r="A3381" t="s">
        <v>3407</v>
      </c>
      <c r="B3381" t="s">
        <v>16</v>
      </c>
      <c r="C3381">
        <v>4</v>
      </c>
      <c r="D3381">
        <v>13322658</v>
      </c>
      <c r="E3381">
        <v>2</v>
      </c>
      <c r="F3381">
        <v>19</v>
      </c>
      <c r="G3381">
        <v>368</v>
      </c>
      <c r="H3381">
        <v>35707673</v>
      </c>
      <c r="I3381">
        <v>924723</v>
      </c>
      <c r="J3381" t="s">
        <v>25</v>
      </c>
      <c r="K3381" t="s">
        <v>18</v>
      </c>
      <c r="L3381">
        <v>3</v>
      </c>
      <c r="M3381">
        <v>94.26</v>
      </c>
      <c r="N3381">
        <v>217835</v>
      </c>
      <c r="O3381">
        <v>1</v>
      </c>
    </row>
    <row r="3382" spans="1:15">
      <c r="A3382" t="s">
        <v>3408</v>
      </c>
      <c r="B3382" t="s">
        <v>27</v>
      </c>
      <c r="C3382">
        <v>11</v>
      </c>
      <c r="D3382">
        <v>31043227</v>
      </c>
      <c r="E3382">
        <v>3</v>
      </c>
      <c r="F3382">
        <v>11</v>
      </c>
      <c r="G3382">
        <v>386</v>
      </c>
      <c r="H3382">
        <v>21137153</v>
      </c>
      <c r="I3382">
        <v>89137</v>
      </c>
      <c r="J3382" t="s">
        <v>21</v>
      </c>
      <c r="K3382" t="s">
        <v>18</v>
      </c>
      <c r="L3382">
        <v>1</v>
      </c>
      <c r="M3382">
        <v>70.58</v>
      </c>
      <c r="N3382">
        <v>311890</v>
      </c>
      <c r="O3382">
        <v>1</v>
      </c>
    </row>
    <row r="3383" spans="1:15">
      <c r="A3383" t="s">
        <v>3409</v>
      </c>
      <c r="B3383" t="s">
        <v>32</v>
      </c>
      <c r="C3383">
        <v>13</v>
      </c>
      <c r="D3383">
        <v>17251800</v>
      </c>
      <c r="E3383">
        <v>2</v>
      </c>
      <c r="F3383">
        <v>19</v>
      </c>
      <c r="G3383">
        <v>23</v>
      </c>
      <c r="H3383">
        <v>47744757</v>
      </c>
      <c r="I3383">
        <v>579852</v>
      </c>
      <c r="J3383" t="s">
        <v>17</v>
      </c>
      <c r="K3383" t="s">
        <v>30</v>
      </c>
      <c r="L3383">
        <v>8</v>
      </c>
      <c r="M3383">
        <v>67.91</v>
      </c>
      <c r="N3383">
        <v>272654</v>
      </c>
      <c r="O3383">
        <v>1</v>
      </c>
    </row>
    <row r="3384" spans="1:15">
      <c r="A3384" t="s">
        <v>3410</v>
      </c>
      <c r="B3384" t="s">
        <v>29</v>
      </c>
      <c r="C3384">
        <v>14</v>
      </c>
      <c r="D3384">
        <v>7784861</v>
      </c>
      <c r="E3384">
        <v>4</v>
      </c>
      <c r="F3384">
        <v>10</v>
      </c>
      <c r="G3384">
        <v>148</v>
      </c>
      <c r="H3384">
        <v>9607152</v>
      </c>
      <c r="I3384">
        <v>851715</v>
      </c>
      <c r="J3384" t="s">
        <v>25</v>
      </c>
      <c r="K3384" t="s">
        <v>30</v>
      </c>
      <c r="L3384">
        <v>9</v>
      </c>
      <c r="M3384">
        <v>77.87</v>
      </c>
      <c r="N3384">
        <v>262877</v>
      </c>
      <c r="O3384">
        <v>1</v>
      </c>
    </row>
    <row r="3385" spans="1:15">
      <c r="A3385" t="s">
        <v>3411</v>
      </c>
      <c r="B3385" t="s">
        <v>20</v>
      </c>
      <c r="C3385">
        <v>2</v>
      </c>
      <c r="D3385">
        <v>13959809</v>
      </c>
      <c r="E3385">
        <v>3</v>
      </c>
      <c r="F3385">
        <v>1</v>
      </c>
      <c r="G3385">
        <v>397</v>
      </c>
      <c r="H3385">
        <v>16522723</v>
      </c>
      <c r="I3385">
        <v>436021</v>
      </c>
      <c r="J3385" t="s">
        <v>17</v>
      </c>
      <c r="K3385" t="s">
        <v>22</v>
      </c>
      <c r="L3385">
        <v>2</v>
      </c>
      <c r="M3385">
        <v>97.31</v>
      </c>
      <c r="N3385">
        <v>519821</v>
      </c>
      <c r="O3385">
        <v>1</v>
      </c>
    </row>
    <row r="3386" spans="1:15">
      <c r="A3386" t="s">
        <v>3412</v>
      </c>
      <c r="B3386" t="s">
        <v>32</v>
      </c>
      <c r="C3386">
        <v>13</v>
      </c>
      <c r="D3386">
        <v>28611533</v>
      </c>
      <c r="E3386">
        <v>4</v>
      </c>
      <c r="F3386">
        <v>6</v>
      </c>
      <c r="G3386">
        <v>338</v>
      </c>
      <c r="H3386">
        <v>89887879</v>
      </c>
      <c r="I3386">
        <v>785125</v>
      </c>
      <c r="J3386" t="s">
        <v>17</v>
      </c>
      <c r="K3386" t="s">
        <v>22</v>
      </c>
      <c r="L3386">
        <v>8</v>
      </c>
      <c r="M3386">
        <v>95.1</v>
      </c>
      <c r="N3386">
        <v>738008</v>
      </c>
      <c r="O3386">
        <v>1</v>
      </c>
    </row>
    <row r="3387" spans="1:15">
      <c r="A3387" t="s">
        <v>3413</v>
      </c>
      <c r="B3387" t="s">
        <v>16</v>
      </c>
      <c r="C3387">
        <v>11</v>
      </c>
      <c r="D3387">
        <v>49131145</v>
      </c>
      <c r="E3387">
        <v>4</v>
      </c>
      <c r="F3387">
        <v>1</v>
      </c>
      <c r="G3387">
        <v>120</v>
      </c>
      <c r="H3387">
        <v>18978429</v>
      </c>
      <c r="I3387">
        <v>915660</v>
      </c>
      <c r="J3387" t="s">
        <v>21</v>
      </c>
      <c r="K3387" t="s">
        <v>18</v>
      </c>
      <c r="L3387">
        <v>2</v>
      </c>
      <c r="M3387">
        <v>24.71</v>
      </c>
      <c r="N3387">
        <v>70456</v>
      </c>
      <c r="O3387">
        <v>1</v>
      </c>
    </row>
    <row r="3388" spans="1:15">
      <c r="A3388" t="s">
        <v>3414</v>
      </c>
      <c r="B3388" t="s">
        <v>29</v>
      </c>
      <c r="C3388">
        <v>2</v>
      </c>
      <c r="D3388">
        <v>11798859</v>
      </c>
      <c r="E3388">
        <v>3</v>
      </c>
      <c r="F3388">
        <v>29</v>
      </c>
      <c r="G3388">
        <v>454</v>
      </c>
      <c r="H3388">
        <v>72135854</v>
      </c>
      <c r="I3388">
        <v>9495</v>
      </c>
      <c r="J3388" t="s">
        <v>17</v>
      </c>
      <c r="K3388" t="s">
        <v>18</v>
      </c>
      <c r="L3388">
        <v>9</v>
      </c>
      <c r="M3388">
        <v>22.54</v>
      </c>
      <c r="N3388">
        <v>156586</v>
      </c>
      <c r="O3388">
        <v>1</v>
      </c>
    </row>
    <row r="3389" spans="1:15">
      <c r="A3389" t="s">
        <v>3415</v>
      </c>
      <c r="B3389" t="s">
        <v>16</v>
      </c>
      <c r="C3389">
        <v>0</v>
      </c>
      <c r="D3389">
        <v>8663132</v>
      </c>
      <c r="E3389">
        <v>4</v>
      </c>
      <c r="F3389">
        <v>27</v>
      </c>
      <c r="G3389">
        <v>242</v>
      </c>
      <c r="H3389">
        <v>51454149</v>
      </c>
      <c r="I3389">
        <v>390045</v>
      </c>
      <c r="J3389" t="s">
        <v>17</v>
      </c>
      <c r="K3389" t="s">
        <v>30</v>
      </c>
      <c r="L3389">
        <v>8</v>
      </c>
      <c r="M3389">
        <v>18.510000000000002</v>
      </c>
      <c r="N3389">
        <v>912354</v>
      </c>
      <c r="O3389">
        <v>1</v>
      </c>
    </row>
    <row r="3390" spans="1:15">
      <c r="A3390" t="s">
        <v>3416</v>
      </c>
      <c r="B3390" t="s">
        <v>38</v>
      </c>
      <c r="C3390">
        <v>3</v>
      </c>
      <c r="D3390">
        <v>9891687</v>
      </c>
      <c r="E3390">
        <v>2</v>
      </c>
      <c r="F3390">
        <v>4</v>
      </c>
      <c r="G3390">
        <v>541</v>
      </c>
      <c r="H3390">
        <v>37970955</v>
      </c>
      <c r="I3390">
        <v>843189</v>
      </c>
      <c r="J3390" t="s">
        <v>25</v>
      </c>
      <c r="K3390" t="s">
        <v>18</v>
      </c>
      <c r="L3390">
        <v>8</v>
      </c>
      <c r="M3390">
        <v>7.81</v>
      </c>
      <c r="N3390">
        <v>705730</v>
      </c>
      <c r="O3390">
        <v>1</v>
      </c>
    </row>
    <row r="3391" spans="1:15">
      <c r="A3391" t="s">
        <v>3417</v>
      </c>
      <c r="B3391" t="s">
        <v>16</v>
      </c>
      <c r="C3391">
        <v>9</v>
      </c>
      <c r="D3391">
        <v>8194538</v>
      </c>
      <c r="E3391">
        <v>4</v>
      </c>
      <c r="F3391">
        <v>10</v>
      </c>
      <c r="G3391">
        <v>357</v>
      </c>
      <c r="H3391">
        <v>12091569</v>
      </c>
      <c r="I3391">
        <v>701200</v>
      </c>
      <c r="J3391" t="s">
        <v>25</v>
      </c>
      <c r="K3391" t="s">
        <v>22</v>
      </c>
      <c r="L3391">
        <v>2</v>
      </c>
      <c r="M3391">
        <v>48.04</v>
      </c>
      <c r="N3391">
        <v>520535</v>
      </c>
      <c r="O3391">
        <v>1</v>
      </c>
    </row>
    <row r="3392" spans="1:15">
      <c r="A3392" t="s">
        <v>3418</v>
      </c>
      <c r="B3392" t="s">
        <v>29</v>
      </c>
      <c r="C3392">
        <v>4</v>
      </c>
      <c r="D3392">
        <v>6780048</v>
      </c>
      <c r="E3392">
        <v>2</v>
      </c>
      <c r="F3392">
        <v>21</v>
      </c>
      <c r="G3392">
        <v>276</v>
      </c>
      <c r="H3392">
        <v>82623827</v>
      </c>
      <c r="I3392">
        <v>759752</v>
      </c>
      <c r="J3392" t="s">
        <v>21</v>
      </c>
      <c r="K3392" t="s">
        <v>30</v>
      </c>
      <c r="L3392">
        <v>7</v>
      </c>
      <c r="M3392">
        <v>95.72</v>
      </c>
      <c r="N3392">
        <v>759939</v>
      </c>
      <c r="O3392">
        <v>1</v>
      </c>
    </row>
    <row r="3393" spans="1:15">
      <c r="A3393" t="s">
        <v>3419</v>
      </c>
      <c r="B3393" t="s">
        <v>16</v>
      </c>
      <c r="C3393">
        <v>8</v>
      </c>
      <c r="D3393">
        <v>26255441</v>
      </c>
      <c r="E3393">
        <v>2</v>
      </c>
      <c r="F3393">
        <v>1</v>
      </c>
      <c r="G3393">
        <v>183</v>
      </c>
      <c r="H3393">
        <v>13893400</v>
      </c>
      <c r="I3393">
        <v>673891</v>
      </c>
      <c r="J3393" t="s">
        <v>21</v>
      </c>
      <c r="K3393" t="s">
        <v>22</v>
      </c>
      <c r="L3393">
        <v>9</v>
      </c>
      <c r="M3393">
        <v>54.42</v>
      </c>
      <c r="N3393">
        <v>430161</v>
      </c>
      <c r="O3393">
        <v>1</v>
      </c>
    </row>
    <row r="3394" spans="1:15">
      <c r="A3394" t="s">
        <v>3420</v>
      </c>
      <c r="B3394" t="s">
        <v>24</v>
      </c>
      <c r="C3394">
        <v>0</v>
      </c>
      <c r="D3394">
        <v>8738715</v>
      </c>
      <c r="E3394">
        <v>4</v>
      </c>
      <c r="F3394">
        <v>6</v>
      </c>
      <c r="G3394">
        <v>550</v>
      </c>
      <c r="H3394">
        <v>14975025</v>
      </c>
      <c r="I3394">
        <v>102946</v>
      </c>
      <c r="J3394" t="s">
        <v>17</v>
      </c>
      <c r="K3394" t="s">
        <v>18</v>
      </c>
      <c r="L3394">
        <v>5</v>
      </c>
      <c r="M3394">
        <v>10.6</v>
      </c>
      <c r="N3394">
        <v>411030</v>
      </c>
      <c r="O3394">
        <v>1</v>
      </c>
    </row>
    <row r="3395" spans="1:15">
      <c r="A3395" t="s">
        <v>3421</v>
      </c>
      <c r="B3395" t="s">
        <v>24</v>
      </c>
      <c r="C3395">
        <v>12</v>
      </c>
      <c r="D3395">
        <v>16229921</v>
      </c>
      <c r="E3395">
        <v>2</v>
      </c>
      <c r="F3395">
        <v>15</v>
      </c>
      <c r="G3395">
        <v>535</v>
      </c>
      <c r="H3395">
        <v>20808932</v>
      </c>
      <c r="I3395">
        <v>993825</v>
      </c>
      <c r="J3395" t="s">
        <v>21</v>
      </c>
      <c r="K3395" t="s">
        <v>22</v>
      </c>
      <c r="L3395">
        <v>8</v>
      </c>
      <c r="M3395">
        <v>90.38</v>
      </c>
      <c r="N3395">
        <v>636464</v>
      </c>
      <c r="O3395">
        <v>1</v>
      </c>
    </row>
    <row r="3396" spans="1:15">
      <c r="A3396" t="s">
        <v>3422</v>
      </c>
      <c r="B3396" t="s">
        <v>27</v>
      </c>
      <c r="C3396">
        <v>12</v>
      </c>
      <c r="D3396">
        <v>14465944</v>
      </c>
      <c r="E3396">
        <v>3</v>
      </c>
      <c r="F3396">
        <v>11</v>
      </c>
      <c r="G3396">
        <v>418</v>
      </c>
      <c r="H3396">
        <v>99832377</v>
      </c>
      <c r="I3396">
        <v>147377</v>
      </c>
      <c r="J3396" t="s">
        <v>21</v>
      </c>
      <c r="K3396" t="s">
        <v>30</v>
      </c>
      <c r="L3396">
        <v>4</v>
      </c>
      <c r="M3396">
        <v>59.99</v>
      </c>
      <c r="N3396">
        <v>827437</v>
      </c>
      <c r="O3396">
        <v>1</v>
      </c>
    </row>
    <row r="3397" spans="1:15">
      <c r="A3397" t="s">
        <v>3423</v>
      </c>
      <c r="B3397" t="s">
        <v>16</v>
      </c>
      <c r="C3397">
        <v>9</v>
      </c>
      <c r="D3397">
        <v>21915952</v>
      </c>
      <c r="E3397">
        <v>3</v>
      </c>
      <c r="F3397">
        <v>13</v>
      </c>
      <c r="G3397">
        <v>918</v>
      </c>
      <c r="H3397">
        <v>33501501</v>
      </c>
      <c r="I3397">
        <v>354765</v>
      </c>
      <c r="J3397" t="s">
        <v>17</v>
      </c>
      <c r="K3397" t="s">
        <v>30</v>
      </c>
      <c r="L3397">
        <v>7</v>
      </c>
      <c r="M3397">
        <v>9.65</v>
      </c>
      <c r="N3397">
        <v>347447</v>
      </c>
      <c r="O3397">
        <v>1</v>
      </c>
    </row>
    <row r="3398" spans="1:15">
      <c r="A3398" t="s">
        <v>3424</v>
      </c>
      <c r="B3398" t="s">
        <v>20</v>
      </c>
      <c r="C3398">
        <v>6</v>
      </c>
      <c r="D3398">
        <v>49802223</v>
      </c>
      <c r="E3398">
        <v>4</v>
      </c>
      <c r="F3398">
        <v>19</v>
      </c>
      <c r="G3398">
        <v>584</v>
      </c>
      <c r="H3398">
        <v>63183533</v>
      </c>
      <c r="I3398">
        <v>310815</v>
      </c>
      <c r="J3398" t="s">
        <v>21</v>
      </c>
      <c r="K3398" t="s">
        <v>22</v>
      </c>
      <c r="L3398">
        <v>2</v>
      </c>
      <c r="M3398">
        <v>34.28</v>
      </c>
      <c r="N3398">
        <v>295342</v>
      </c>
      <c r="O3398">
        <v>1</v>
      </c>
    </row>
    <row r="3399" spans="1:15">
      <c r="A3399" t="s">
        <v>3425</v>
      </c>
      <c r="B3399" t="s">
        <v>29</v>
      </c>
      <c r="C3399">
        <v>2</v>
      </c>
      <c r="D3399">
        <v>15573908</v>
      </c>
      <c r="E3399">
        <v>4</v>
      </c>
      <c r="F3399">
        <v>4</v>
      </c>
      <c r="G3399">
        <v>539</v>
      </c>
      <c r="H3399">
        <v>16529721</v>
      </c>
      <c r="I3399">
        <v>432089</v>
      </c>
      <c r="J3399" t="s">
        <v>17</v>
      </c>
      <c r="K3399" t="s">
        <v>18</v>
      </c>
      <c r="L3399">
        <v>2</v>
      </c>
      <c r="M3399">
        <v>6.4</v>
      </c>
      <c r="N3399">
        <v>381080</v>
      </c>
      <c r="O3399">
        <v>1</v>
      </c>
    </row>
    <row r="3400" spans="1:15">
      <c r="A3400" t="s">
        <v>3426</v>
      </c>
      <c r="B3400" t="s">
        <v>32</v>
      </c>
      <c r="C3400">
        <v>1</v>
      </c>
      <c r="D3400">
        <v>5548590</v>
      </c>
      <c r="E3400">
        <v>2</v>
      </c>
      <c r="F3400">
        <v>23</v>
      </c>
      <c r="G3400">
        <v>901</v>
      </c>
      <c r="H3400">
        <v>67634620</v>
      </c>
      <c r="I3400">
        <v>431724</v>
      </c>
      <c r="J3400" t="s">
        <v>17</v>
      </c>
      <c r="K3400" t="s">
        <v>30</v>
      </c>
      <c r="L3400">
        <v>9</v>
      </c>
      <c r="M3400">
        <v>33.51</v>
      </c>
      <c r="N3400">
        <v>804899</v>
      </c>
      <c r="O3400">
        <v>1</v>
      </c>
    </row>
    <row r="3401" spans="1:15">
      <c r="A3401" t="s">
        <v>3427</v>
      </c>
      <c r="B3401" t="s">
        <v>24</v>
      </c>
      <c r="C3401">
        <v>1</v>
      </c>
      <c r="D3401">
        <v>18885177</v>
      </c>
      <c r="E3401">
        <v>3</v>
      </c>
      <c r="F3401">
        <v>1</v>
      </c>
      <c r="G3401">
        <v>608</v>
      </c>
      <c r="H3401">
        <v>29211421</v>
      </c>
      <c r="I3401">
        <v>866472</v>
      </c>
      <c r="J3401" t="s">
        <v>21</v>
      </c>
      <c r="K3401" t="s">
        <v>30</v>
      </c>
      <c r="L3401">
        <v>8</v>
      </c>
      <c r="M3401">
        <v>23.4</v>
      </c>
      <c r="N3401">
        <v>636888</v>
      </c>
      <c r="O3401">
        <v>1</v>
      </c>
    </row>
    <row r="3402" spans="1:15">
      <c r="A3402" t="s">
        <v>3428</v>
      </c>
      <c r="B3402" t="s">
        <v>24</v>
      </c>
      <c r="C3402">
        <v>5</v>
      </c>
      <c r="D3402">
        <v>15611212</v>
      </c>
      <c r="E3402">
        <v>1</v>
      </c>
      <c r="F3402">
        <v>16</v>
      </c>
      <c r="G3402">
        <v>340</v>
      </c>
      <c r="H3402">
        <v>26893510</v>
      </c>
      <c r="I3402">
        <v>768963</v>
      </c>
      <c r="J3402" t="s">
        <v>25</v>
      </c>
      <c r="K3402" t="s">
        <v>22</v>
      </c>
      <c r="L3402">
        <v>1</v>
      </c>
      <c r="M3402">
        <v>82.13</v>
      </c>
      <c r="N3402">
        <v>723201</v>
      </c>
      <c r="O3402">
        <v>1</v>
      </c>
    </row>
    <row r="3403" spans="1:15">
      <c r="A3403" t="s">
        <v>3429</v>
      </c>
      <c r="B3403" t="s">
        <v>24</v>
      </c>
      <c r="C3403">
        <v>0</v>
      </c>
      <c r="D3403">
        <v>4206946</v>
      </c>
      <c r="E3403">
        <v>1</v>
      </c>
      <c r="F3403">
        <v>10</v>
      </c>
      <c r="G3403">
        <v>866</v>
      </c>
      <c r="H3403">
        <v>30773972</v>
      </c>
      <c r="I3403">
        <v>671818</v>
      </c>
      <c r="J3403" t="s">
        <v>25</v>
      </c>
      <c r="K3403" t="s">
        <v>30</v>
      </c>
      <c r="L3403">
        <v>3</v>
      </c>
      <c r="M3403">
        <v>46.89</v>
      </c>
      <c r="N3403">
        <v>996858</v>
      </c>
      <c r="O3403">
        <v>1</v>
      </c>
    </row>
    <row r="3404" spans="1:15">
      <c r="A3404" t="s">
        <v>3430</v>
      </c>
      <c r="B3404" t="s">
        <v>32</v>
      </c>
      <c r="C3404">
        <v>5</v>
      </c>
      <c r="D3404">
        <v>49441279</v>
      </c>
      <c r="E3404">
        <v>1</v>
      </c>
      <c r="F3404">
        <v>18</v>
      </c>
      <c r="G3404">
        <v>740</v>
      </c>
      <c r="H3404">
        <v>33077717</v>
      </c>
      <c r="I3404">
        <v>364116</v>
      </c>
      <c r="J3404" t="s">
        <v>21</v>
      </c>
      <c r="K3404" t="s">
        <v>30</v>
      </c>
      <c r="L3404">
        <v>8</v>
      </c>
      <c r="M3404">
        <v>67.67</v>
      </c>
      <c r="N3404">
        <v>254170</v>
      </c>
      <c r="O3404">
        <v>1</v>
      </c>
    </row>
    <row r="3405" spans="1:15">
      <c r="A3405" t="s">
        <v>3431</v>
      </c>
      <c r="B3405" t="s">
        <v>29</v>
      </c>
      <c r="C3405">
        <v>4</v>
      </c>
      <c r="D3405">
        <v>40382028</v>
      </c>
      <c r="E3405">
        <v>2</v>
      </c>
      <c r="F3405">
        <v>11</v>
      </c>
      <c r="G3405">
        <v>943</v>
      </c>
      <c r="H3405">
        <v>93937086</v>
      </c>
      <c r="I3405">
        <v>921347</v>
      </c>
      <c r="J3405" t="s">
        <v>17</v>
      </c>
      <c r="K3405" t="s">
        <v>30</v>
      </c>
      <c r="L3405">
        <v>5</v>
      </c>
      <c r="M3405">
        <v>32.97</v>
      </c>
      <c r="N3405">
        <v>640995</v>
      </c>
      <c r="O3405">
        <v>1</v>
      </c>
    </row>
    <row r="3406" spans="1:15">
      <c r="A3406" t="s">
        <v>3432</v>
      </c>
      <c r="B3406" t="s">
        <v>24</v>
      </c>
      <c r="C3406">
        <v>14</v>
      </c>
      <c r="D3406">
        <v>18535052</v>
      </c>
      <c r="E3406">
        <v>2</v>
      </c>
      <c r="F3406">
        <v>29</v>
      </c>
      <c r="G3406">
        <v>466</v>
      </c>
      <c r="H3406">
        <v>82594642</v>
      </c>
      <c r="I3406">
        <v>715133</v>
      </c>
      <c r="J3406" t="s">
        <v>21</v>
      </c>
      <c r="K3406" t="s">
        <v>22</v>
      </c>
      <c r="L3406">
        <v>6</v>
      </c>
      <c r="M3406">
        <v>9.18</v>
      </c>
      <c r="N3406">
        <v>391551</v>
      </c>
      <c r="O3406">
        <v>1</v>
      </c>
    </row>
    <row r="3407" spans="1:15">
      <c r="A3407" t="s">
        <v>3433</v>
      </c>
      <c r="B3407" t="s">
        <v>32</v>
      </c>
      <c r="C3407">
        <v>14</v>
      </c>
      <c r="D3407">
        <v>44097333</v>
      </c>
      <c r="E3407">
        <v>4</v>
      </c>
      <c r="F3407">
        <v>18</v>
      </c>
      <c r="G3407">
        <v>56</v>
      </c>
      <c r="H3407">
        <v>38811819</v>
      </c>
      <c r="I3407">
        <v>312352</v>
      </c>
      <c r="J3407" t="s">
        <v>25</v>
      </c>
      <c r="K3407" t="s">
        <v>18</v>
      </c>
      <c r="L3407">
        <v>1</v>
      </c>
      <c r="M3407">
        <v>52.37</v>
      </c>
      <c r="N3407">
        <v>994818</v>
      </c>
      <c r="O3407">
        <v>1</v>
      </c>
    </row>
    <row r="3408" spans="1:15">
      <c r="A3408" t="s">
        <v>3434</v>
      </c>
      <c r="B3408" t="s">
        <v>29</v>
      </c>
      <c r="C3408">
        <v>0</v>
      </c>
      <c r="D3408">
        <v>12975776</v>
      </c>
      <c r="E3408">
        <v>4</v>
      </c>
      <c r="F3408">
        <v>22</v>
      </c>
      <c r="G3408">
        <v>11</v>
      </c>
      <c r="H3408">
        <v>57221963</v>
      </c>
      <c r="I3408">
        <v>622871</v>
      </c>
      <c r="J3408" t="s">
        <v>17</v>
      </c>
      <c r="K3408" t="s">
        <v>22</v>
      </c>
      <c r="L3408">
        <v>8</v>
      </c>
      <c r="M3408">
        <v>60.93</v>
      </c>
      <c r="N3408">
        <v>368809</v>
      </c>
      <c r="O3408">
        <v>1</v>
      </c>
    </row>
    <row r="3409" spans="1:15">
      <c r="A3409" t="s">
        <v>3435</v>
      </c>
      <c r="B3409" t="s">
        <v>29</v>
      </c>
      <c r="C3409">
        <v>12</v>
      </c>
      <c r="D3409">
        <v>40983640</v>
      </c>
      <c r="E3409">
        <v>4</v>
      </c>
      <c r="F3409">
        <v>1</v>
      </c>
      <c r="G3409">
        <v>253</v>
      </c>
      <c r="H3409">
        <v>6979437</v>
      </c>
      <c r="I3409">
        <v>256719</v>
      </c>
      <c r="J3409" t="s">
        <v>25</v>
      </c>
      <c r="K3409" t="s">
        <v>30</v>
      </c>
      <c r="L3409">
        <v>7</v>
      </c>
      <c r="M3409">
        <v>31.8</v>
      </c>
      <c r="N3409">
        <v>199917</v>
      </c>
      <c r="O3409">
        <v>1</v>
      </c>
    </row>
    <row r="3410" spans="1:15">
      <c r="A3410" t="s">
        <v>3436</v>
      </c>
      <c r="B3410" t="s">
        <v>27</v>
      </c>
      <c r="C3410">
        <v>1</v>
      </c>
      <c r="D3410">
        <v>38995270</v>
      </c>
      <c r="E3410">
        <v>1</v>
      </c>
      <c r="F3410">
        <v>26</v>
      </c>
      <c r="G3410">
        <v>975</v>
      </c>
      <c r="H3410">
        <v>10350322</v>
      </c>
      <c r="I3410">
        <v>997525</v>
      </c>
      <c r="J3410" t="s">
        <v>25</v>
      </c>
      <c r="K3410" t="s">
        <v>22</v>
      </c>
      <c r="L3410">
        <v>1</v>
      </c>
      <c r="M3410">
        <v>88.85</v>
      </c>
      <c r="N3410">
        <v>855956</v>
      </c>
      <c r="O3410">
        <v>1</v>
      </c>
    </row>
    <row r="3411" spans="1:15">
      <c r="A3411" t="s">
        <v>3437</v>
      </c>
      <c r="B3411" t="s">
        <v>32</v>
      </c>
      <c r="C3411">
        <v>1</v>
      </c>
      <c r="D3411">
        <v>37153105</v>
      </c>
      <c r="E3411">
        <v>1</v>
      </c>
      <c r="F3411">
        <v>19</v>
      </c>
      <c r="G3411">
        <v>730</v>
      </c>
      <c r="H3411">
        <v>79547716</v>
      </c>
      <c r="I3411">
        <v>908308</v>
      </c>
      <c r="J3411" t="s">
        <v>21</v>
      </c>
      <c r="K3411" t="s">
        <v>18</v>
      </c>
      <c r="L3411">
        <v>1</v>
      </c>
      <c r="M3411">
        <v>32.01</v>
      </c>
      <c r="N3411">
        <v>556016</v>
      </c>
      <c r="O3411">
        <v>1</v>
      </c>
    </row>
    <row r="3412" spans="1:15">
      <c r="A3412" t="s">
        <v>3438</v>
      </c>
      <c r="B3412" t="s">
        <v>20</v>
      </c>
      <c r="C3412">
        <v>9</v>
      </c>
      <c r="D3412">
        <v>20409923</v>
      </c>
      <c r="E3412">
        <v>4</v>
      </c>
      <c r="F3412">
        <v>15</v>
      </c>
      <c r="G3412">
        <v>767</v>
      </c>
      <c r="H3412">
        <v>65595214</v>
      </c>
      <c r="I3412">
        <v>565895</v>
      </c>
      <c r="J3412" t="s">
        <v>21</v>
      </c>
      <c r="K3412" t="s">
        <v>18</v>
      </c>
      <c r="L3412">
        <v>7</v>
      </c>
      <c r="M3412">
        <v>31.81</v>
      </c>
      <c r="N3412">
        <v>968856</v>
      </c>
      <c r="O3412">
        <v>1</v>
      </c>
    </row>
    <row r="3413" spans="1:15">
      <c r="A3413" t="s">
        <v>3439</v>
      </c>
      <c r="B3413" t="s">
        <v>24</v>
      </c>
      <c r="C3413">
        <v>11</v>
      </c>
      <c r="D3413">
        <v>32106304</v>
      </c>
      <c r="E3413">
        <v>4</v>
      </c>
      <c r="F3413">
        <v>8</v>
      </c>
      <c r="G3413">
        <v>518</v>
      </c>
      <c r="H3413">
        <v>63206301</v>
      </c>
      <c r="I3413">
        <v>416534</v>
      </c>
      <c r="J3413" t="s">
        <v>21</v>
      </c>
      <c r="K3413" t="s">
        <v>22</v>
      </c>
      <c r="L3413">
        <v>8</v>
      </c>
      <c r="M3413">
        <v>2.13</v>
      </c>
      <c r="N3413">
        <v>315000</v>
      </c>
      <c r="O3413">
        <v>1</v>
      </c>
    </row>
    <row r="3414" spans="1:15">
      <c r="A3414" t="s">
        <v>3440</v>
      </c>
      <c r="B3414" t="s">
        <v>20</v>
      </c>
      <c r="C3414">
        <v>8</v>
      </c>
      <c r="D3414">
        <v>47422966</v>
      </c>
      <c r="E3414">
        <v>3</v>
      </c>
      <c r="F3414">
        <v>21</v>
      </c>
      <c r="G3414">
        <v>817</v>
      </c>
      <c r="H3414">
        <v>53954677</v>
      </c>
      <c r="I3414">
        <v>987035</v>
      </c>
      <c r="J3414" t="s">
        <v>17</v>
      </c>
      <c r="K3414" t="s">
        <v>18</v>
      </c>
      <c r="L3414">
        <v>5</v>
      </c>
      <c r="M3414">
        <v>7.65</v>
      </c>
      <c r="N3414">
        <v>43873</v>
      </c>
      <c r="O3414">
        <v>1</v>
      </c>
    </row>
    <row r="3415" spans="1:15">
      <c r="A3415" t="s">
        <v>3441</v>
      </c>
      <c r="B3415" t="s">
        <v>20</v>
      </c>
      <c r="C3415">
        <v>12</v>
      </c>
      <c r="D3415">
        <v>23765108</v>
      </c>
      <c r="E3415">
        <v>4</v>
      </c>
      <c r="F3415">
        <v>14</v>
      </c>
      <c r="G3415">
        <v>820</v>
      </c>
      <c r="H3415">
        <v>57543014</v>
      </c>
      <c r="I3415">
        <v>474584</v>
      </c>
      <c r="J3415" t="s">
        <v>21</v>
      </c>
      <c r="K3415" t="s">
        <v>22</v>
      </c>
      <c r="L3415">
        <v>1</v>
      </c>
      <c r="M3415">
        <v>93.14</v>
      </c>
      <c r="N3415">
        <v>622930</v>
      </c>
      <c r="O3415">
        <v>1</v>
      </c>
    </row>
    <row r="3416" spans="1:15">
      <c r="A3416" t="s">
        <v>3442</v>
      </c>
      <c r="B3416" t="s">
        <v>16</v>
      </c>
      <c r="C3416">
        <v>6</v>
      </c>
      <c r="D3416">
        <v>2181622</v>
      </c>
      <c r="E3416">
        <v>3</v>
      </c>
      <c r="F3416">
        <v>3</v>
      </c>
      <c r="G3416">
        <v>63</v>
      </c>
      <c r="H3416">
        <v>65305329</v>
      </c>
      <c r="I3416">
        <v>821150</v>
      </c>
      <c r="J3416" t="s">
        <v>25</v>
      </c>
      <c r="K3416" t="s">
        <v>22</v>
      </c>
      <c r="L3416">
        <v>7</v>
      </c>
      <c r="M3416">
        <v>15.41</v>
      </c>
      <c r="N3416">
        <v>499642</v>
      </c>
      <c r="O3416">
        <v>1</v>
      </c>
    </row>
    <row r="3417" spans="1:15">
      <c r="A3417" t="s">
        <v>3443</v>
      </c>
      <c r="B3417" t="s">
        <v>29</v>
      </c>
      <c r="C3417">
        <v>4</v>
      </c>
      <c r="D3417">
        <v>26772299</v>
      </c>
      <c r="E3417">
        <v>4</v>
      </c>
      <c r="F3417">
        <v>20</v>
      </c>
      <c r="G3417">
        <v>825</v>
      </c>
      <c r="H3417">
        <v>28019092</v>
      </c>
      <c r="I3417">
        <v>278974</v>
      </c>
      <c r="J3417" t="s">
        <v>25</v>
      </c>
      <c r="K3417" t="s">
        <v>22</v>
      </c>
      <c r="L3417">
        <v>3</v>
      </c>
      <c r="M3417">
        <v>84.27</v>
      </c>
      <c r="N3417">
        <v>939750</v>
      </c>
      <c r="O3417">
        <v>1</v>
      </c>
    </row>
    <row r="3418" spans="1:15">
      <c r="A3418" t="s">
        <v>3444</v>
      </c>
      <c r="B3418" t="s">
        <v>16</v>
      </c>
      <c r="C3418">
        <v>13</v>
      </c>
      <c r="D3418">
        <v>3700950</v>
      </c>
      <c r="E3418">
        <v>4</v>
      </c>
      <c r="F3418">
        <v>22</v>
      </c>
      <c r="G3418">
        <v>534</v>
      </c>
      <c r="H3418">
        <v>5047347</v>
      </c>
      <c r="I3418">
        <v>968165</v>
      </c>
      <c r="J3418" t="s">
        <v>25</v>
      </c>
      <c r="K3418" t="s">
        <v>30</v>
      </c>
      <c r="L3418">
        <v>4</v>
      </c>
      <c r="M3418">
        <v>24.18</v>
      </c>
      <c r="N3418">
        <v>913499</v>
      </c>
      <c r="O3418">
        <v>1</v>
      </c>
    </row>
    <row r="3419" spans="1:15">
      <c r="A3419" t="s">
        <v>3445</v>
      </c>
      <c r="B3419" t="s">
        <v>38</v>
      </c>
      <c r="C3419">
        <v>2</v>
      </c>
      <c r="D3419">
        <v>32072717</v>
      </c>
      <c r="E3419">
        <v>3</v>
      </c>
      <c r="F3419">
        <v>27</v>
      </c>
      <c r="G3419">
        <v>405</v>
      </c>
      <c r="H3419">
        <v>77908935</v>
      </c>
      <c r="I3419">
        <v>196046</v>
      </c>
      <c r="J3419" t="s">
        <v>17</v>
      </c>
      <c r="K3419" t="s">
        <v>22</v>
      </c>
      <c r="L3419">
        <v>2</v>
      </c>
      <c r="M3419">
        <v>32.909999999999997</v>
      </c>
      <c r="N3419">
        <v>751819</v>
      </c>
      <c r="O3419">
        <v>1</v>
      </c>
    </row>
    <row r="3420" spans="1:15">
      <c r="A3420" t="s">
        <v>3446</v>
      </c>
      <c r="B3420" t="s">
        <v>32</v>
      </c>
      <c r="C3420">
        <v>8</v>
      </c>
      <c r="D3420">
        <v>43553696</v>
      </c>
      <c r="E3420">
        <v>1</v>
      </c>
      <c r="F3420">
        <v>28</v>
      </c>
      <c r="G3420">
        <v>687</v>
      </c>
      <c r="H3420">
        <v>27458105</v>
      </c>
      <c r="I3420">
        <v>222564</v>
      </c>
      <c r="J3420" t="s">
        <v>25</v>
      </c>
      <c r="K3420" t="s">
        <v>18</v>
      </c>
      <c r="L3420">
        <v>3</v>
      </c>
      <c r="M3420">
        <v>23.44</v>
      </c>
      <c r="N3420">
        <v>129938</v>
      </c>
      <c r="O3420">
        <v>1</v>
      </c>
    </row>
    <row r="3421" spans="1:15">
      <c r="A3421" t="s">
        <v>3447</v>
      </c>
      <c r="B3421" t="s">
        <v>38</v>
      </c>
      <c r="C3421">
        <v>1</v>
      </c>
      <c r="D3421">
        <v>29915386</v>
      </c>
      <c r="E3421">
        <v>4</v>
      </c>
      <c r="F3421">
        <v>9</v>
      </c>
      <c r="G3421">
        <v>184</v>
      </c>
      <c r="H3421">
        <v>62983521</v>
      </c>
      <c r="I3421">
        <v>867659</v>
      </c>
      <c r="J3421" t="s">
        <v>17</v>
      </c>
      <c r="K3421" t="s">
        <v>30</v>
      </c>
      <c r="L3421">
        <v>9</v>
      </c>
      <c r="M3421">
        <v>64.66</v>
      </c>
      <c r="N3421">
        <v>43675</v>
      </c>
      <c r="O3421">
        <v>1</v>
      </c>
    </row>
    <row r="3422" spans="1:15">
      <c r="A3422" t="s">
        <v>3448</v>
      </c>
      <c r="B3422" t="s">
        <v>16</v>
      </c>
      <c r="C3422">
        <v>10</v>
      </c>
      <c r="D3422">
        <v>13125513</v>
      </c>
      <c r="E3422">
        <v>2</v>
      </c>
      <c r="F3422">
        <v>3</v>
      </c>
      <c r="G3422">
        <v>215</v>
      </c>
      <c r="H3422">
        <v>59682735</v>
      </c>
      <c r="I3422">
        <v>983333</v>
      </c>
      <c r="J3422" t="s">
        <v>17</v>
      </c>
      <c r="K3422" t="s">
        <v>30</v>
      </c>
      <c r="L3422">
        <v>8</v>
      </c>
      <c r="M3422">
        <v>46.76</v>
      </c>
      <c r="N3422">
        <v>881730</v>
      </c>
      <c r="O3422">
        <v>1</v>
      </c>
    </row>
    <row r="3423" spans="1:15">
      <c r="A3423" t="s">
        <v>3449</v>
      </c>
      <c r="B3423" t="s">
        <v>16</v>
      </c>
      <c r="C3423">
        <v>12</v>
      </c>
      <c r="D3423">
        <v>42279977</v>
      </c>
      <c r="E3423">
        <v>3</v>
      </c>
      <c r="F3423">
        <v>4</v>
      </c>
      <c r="G3423">
        <v>365</v>
      </c>
      <c r="H3423">
        <v>39445961</v>
      </c>
      <c r="I3423">
        <v>360410</v>
      </c>
      <c r="J3423" t="s">
        <v>25</v>
      </c>
      <c r="K3423" t="s">
        <v>22</v>
      </c>
      <c r="L3423">
        <v>6</v>
      </c>
      <c r="M3423">
        <v>0.95</v>
      </c>
      <c r="N3423">
        <v>259294</v>
      </c>
      <c r="O3423">
        <v>1</v>
      </c>
    </row>
    <row r="3424" spans="1:15">
      <c r="A3424" t="s">
        <v>3450</v>
      </c>
      <c r="B3424" t="s">
        <v>32</v>
      </c>
      <c r="C3424">
        <v>1</v>
      </c>
      <c r="D3424">
        <v>17481166</v>
      </c>
      <c r="E3424">
        <v>1</v>
      </c>
      <c r="F3424">
        <v>7</v>
      </c>
      <c r="G3424">
        <v>65</v>
      </c>
      <c r="H3424">
        <v>88656796</v>
      </c>
      <c r="I3424">
        <v>720709</v>
      </c>
      <c r="J3424" t="s">
        <v>21</v>
      </c>
      <c r="K3424" t="s">
        <v>18</v>
      </c>
      <c r="L3424">
        <v>6</v>
      </c>
      <c r="M3424">
        <v>13.58</v>
      </c>
      <c r="N3424">
        <v>72007</v>
      </c>
      <c r="O3424">
        <v>1</v>
      </c>
    </row>
    <row r="3425" spans="1:15">
      <c r="A3425" t="s">
        <v>3451</v>
      </c>
      <c r="B3425" t="s">
        <v>20</v>
      </c>
      <c r="C3425">
        <v>9</v>
      </c>
      <c r="D3425">
        <v>3971710</v>
      </c>
      <c r="E3425">
        <v>1</v>
      </c>
      <c r="F3425">
        <v>10</v>
      </c>
      <c r="G3425">
        <v>608</v>
      </c>
      <c r="H3425">
        <v>3544496</v>
      </c>
      <c r="I3425">
        <v>534107</v>
      </c>
      <c r="J3425" t="s">
        <v>25</v>
      </c>
      <c r="K3425" t="s">
        <v>30</v>
      </c>
      <c r="L3425">
        <v>3</v>
      </c>
      <c r="M3425">
        <v>29.96</v>
      </c>
      <c r="N3425">
        <v>828132</v>
      </c>
      <c r="O3425">
        <v>1</v>
      </c>
    </row>
    <row r="3426" spans="1:15">
      <c r="A3426" t="s">
        <v>3452</v>
      </c>
      <c r="B3426" t="s">
        <v>38</v>
      </c>
      <c r="C3426">
        <v>9</v>
      </c>
      <c r="D3426">
        <v>45312818</v>
      </c>
      <c r="E3426">
        <v>2</v>
      </c>
      <c r="F3426">
        <v>16</v>
      </c>
      <c r="G3426">
        <v>445</v>
      </c>
      <c r="H3426">
        <v>92885028</v>
      </c>
      <c r="I3426">
        <v>659823</v>
      </c>
      <c r="J3426" t="s">
        <v>17</v>
      </c>
      <c r="K3426" t="s">
        <v>22</v>
      </c>
      <c r="L3426">
        <v>7</v>
      </c>
      <c r="M3426">
        <v>74.959999999999994</v>
      </c>
      <c r="N3426">
        <v>517039</v>
      </c>
      <c r="O3426">
        <v>1</v>
      </c>
    </row>
    <row r="3427" spans="1:15">
      <c r="A3427" t="s">
        <v>3453</v>
      </c>
      <c r="B3427" t="s">
        <v>27</v>
      </c>
      <c r="C3427">
        <v>6</v>
      </c>
      <c r="D3427">
        <v>39598280</v>
      </c>
      <c r="E3427">
        <v>1</v>
      </c>
      <c r="F3427">
        <v>22</v>
      </c>
      <c r="G3427">
        <v>515</v>
      </c>
      <c r="H3427">
        <v>12584674</v>
      </c>
      <c r="I3427">
        <v>358679</v>
      </c>
      <c r="J3427" t="s">
        <v>17</v>
      </c>
      <c r="K3427" t="s">
        <v>18</v>
      </c>
      <c r="L3427">
        <v>6</v>
      </c>
      <c r="M3427">
        <v>18.53</v>
      </c>
      <c r="N3427">
        <v>179035</v>
      </c>
      <c r="O3427">
        <v>1</v>
      </c>
    </row>
    <row r="3428" spans="1:15">
      <c r="A3428" t="s">
        <v>3454</v>
      </c>
      <c r="B3428" t="s">
        <v>24</v>
      </c>
      <c r="C3428">
        <v>3</v>
      </c>
      <c r="D3428">
        <v>9767928</v>
      </c>
      <c r="E3428">
        <v>4</v>
      </c>
      <c r="F3428">
        <v>18</v>
      </c>
      <c r="G3428">
        <v>593</v>
      </c>
      <c r="H3428">
        <v>45384998</v>
      </c>
      <c r="I3428">
        <v>196687</v>
      </c>
      <c r="J3428" t="s">
        <v>17</v>
      </c>
      <c r="K3428" t="s">
        <v>18</v>
      </c>
      <c r="L3428">
        <v>2</v>
      </c>
      <c r="M3428">
        <v>92.87</v>
      </c>
      <c r="N3428">
        <v>806375</v>
      </c>
      <c r="O3428">
        <v>1</v>
      </c>
    </row>
    <row r="3429" spans="1:15">
      <c r="A3429" t="s">
        <v>3455</v>
      </c>
      <c r="B3429" t="s">
        <v>29</v>
      </c>
      <c r="C3429">
        <v>7</v>
      </c>
      <c r="D3429">
        <v>47583201</v>
      </c>
      <c r="E3429">
        <v>3</v>
      </c>
      <c r="F3429">
        <v>5</v>
      </c>
      <c r="G3429">
        <v>382</v>
      </c>
      <c r="H3429">
        <v>81009282</v>
      </c>
      <c r="I3429">
        <v>394757</v>
      </c>
      <c r="J3429" t="s">
        <v>17</v>
      </c>
      <c r="K3429" t="s">
        <v>30</v>
      </c>
      <c r="L3429">
        <v>3</v>
      </c>
      <c r="M3429">
        <v>12.01</v>
      </c>
      <c r="N3429">
        <v>273295</v>
      </c>
      <c r="O3429">
        <v>1</v>
      </c>
    </row>
    <row r="3430" spans="1:15">
      <c r="A3430" t="s">
        <v>3456</v>
      </c>
      <c r="B3430" t="s">
        <v>24</v>
      </c>
      <c r="C3430">
        <v>14</v>
      </c>
      <c r="D3430">
        <v>10282270</v>
      </c>
      <c r="E3430">
        <v>1</v>
      </c>
      <c r="F3430">
        <v>13</v>
      </c>
      <c r="G3430">
        <v>505</v>
      </c>
      <c r="H3430">
        <v>62570485</v>
      </c>
      <c r="I3430">
        <v>587336</v>
      </c>
      <c r="J3430" t="s">
        <v>25</v>
      </c>
      <c r="K3430" t="s">
        <v>18</v>
      </c>
      <c r="L3430">
        <v>5</v>
      </c>
      <c r="M3430">
        <v>26.49</v>
      </c>
      <c r="N3430">
        <v>721150</v>
      </c>
      <c r="O3430">
        <v>1</v>
      </c>
    </row>
    <row r="3431" spans="1:15">
      <c r="A3431" t="s">
        <v>3457</v>
      </c>
      <c r="B3431" t="s">
        <v>38</v>
      </c>
      <c r="C3431">
        <v>14</v>
      </c>
      <c r="D3431">
        <v>2597289</v>
      </c>
      <c r="E3431">
        <v>2</v>
      </c>
      <c r="F3431">
        <v>28</v>
      </c>
      <c r="G3431">
        <v>428</v>
      </c>
      <c r="H3431">
        <v>39852568</v>
      </c>
      <c r="I3431">
        <v>422395</v>
      </c>
      <c r="J3431" t="s">
        <v>25</v>
      </c>
      <c r="K3431" t="s">
        <v>30</v>
      </c>
      <c r="L3431">
        <v>7</v>
      </c>
      <c r="M3431">
        <v>81.040000000000006</v>
      </c>
      <c r="N3431">
        <v>594087</v>
      </c>
      <c r="O3431">
        <v>1</v>
      </c>
    </row>
    <row r="3432" spans="1:15">
      <c r="A3432" t="s">
        <v>3458</v>
      </c>
      <c r="B3432" t="s">
        <v>24</v>
      </c>
      <c r="C3432">
        <v>5</v>
      </c>
      <c r="D3432">
        <v>18255525</v>
      </c>
      <c r="E3432">
        <v>4</v>
      </c>
      <c r="F3432">
        <v>0</v>
      </c>
      <c r="G3432">
        <v>502</v>
      </c>
      <c r="H3432">
        <v>81230408</v>
      </c>
      <c r="I3432">
        <v>889475</v>
      </c>
      <c r="J3432" t="s">
        <v>25</v>
      </c>
      <c r="K3432" t="s">
        <v>18</v>
      </c>
      <c r="L3432">
        <v>3</v>
      </c>
      <c r="M3432">
        <v>63.3</v>
      </c>
      <c r="N3432">
        <v>833173</v>
      </c>
      <c r="O3432">
        <v>1</v>
      </c>
    </row>
    <row r="3433" spans="1:15">
      <c r="A3433" t="s">
        <v>3459</v>
      </c>
      <c r="B3433" t="s">
        <v>16</v>
      </c>
      <c r="C3433">
        <v>1</v>
      </c>
      <c r="D3433">
        <v>33411643</v>
      </c>
      <c r="E3433">
        <v>3</v>
      </c>
      <c r="F3433">
        <v>9</v>
      </c>
      <c r="G3433">
        <v>41</v>
      </c>
      <c r="H3433">
        <v>5623255</v>
      </c>
      <c r="I3433">
        <v>271875</v>
      </c>
      <c r="J3433" t="s">
        <v>17</v>
      </c>
      <c r="K3433" t="s">
        <v>18</v>
      </c>
      <c r="L3433">
        <v>6</v>
      </c>
      <c r="M3433">
        <v>24.67</v>
      </c>
      <c r="N3433">
        <v>188911</v>
      </c>
      <c r="O3433">
        <v>1</v>
      </c>
    </row>
    <row r="3434" spans="1:15">
      <c r="A3434" t="s">
        <v>3460</v>
      </c>
      <c r="B3434" t="s">
        <v>38</v>
      </c>
      <c r="C3434">
        <v>14</v>
      </c>
      <c r="D3434">
        <v>6705299</v>
      </c>
      <c r="E3434">
        <v>1</v>
      </c>
      <c r="F3434">
        <v>22</v>
      </c>
      <c r="G3434">
        <v>806</v>
      </c>
      <c r="H3434">
        <v>2339523</v>
      </c>
      <c r="I3434">
        <v>287222</v>
      </c>
      <c r="J3434" t="s">
        <v>25</v>
      </c>
      <c r="K3434" t="s">
        <v>22</v>
      </c>
      <c r="L3434">
        <v>2</v>
      </c>
      <c r="M3434">
        <v>30.45</v>
      </c>
      <c r="N3434">
        <v>882216</v>
      </c>
      <c r="O3434">
        <v>1</v>
      </c>
    </row>
    <row r="3435" spans="1:15">
      <c r="A3435" t="s">
        <v>3461</v>
      </c>
      <c r="B3435" t="s">
        <v>38</v>
      </c>
      <c r="C3435">
        <v>14</v>
      </c>
      <c r="D3435">
        <v>36793451</v>
      </c>
      <c r="E3435">
        <v>3</v>
      </c>
      <c r="F3435">
        <v>28</v>
      </c>
      <c r="G3435">
        <v>436</v>
      </c>
      <c r="H3435">
        <v>30372847</v>
      </c>
      <c r="I3435">
        <v>617167</v>
      </c>
      <c r="J3435" t="s">
        <v>21</v>
      </c>
      <c r="K3435" t="s">
        <v>18</v>
      </c>
      <c r="L3435">
        <v>3</v>
      </c>
      <c r="M3435">
        <v>78.510000000000005</v>
      </c>
      <c r="N3435">
        <v>252867</v>
      </c>
      <c r="O3435">
        <v>1</v>
      </c>
    </row>
    <row r="3436" spans="1:15">
      <c r="A3436" t="s">
        <v>3462</v>
      </c>
      <c r="B3436" t="s">
        <v>32</v>
      </c>
      <c r="C3436">
        <v>4</v>
      </c>
      <c r="D3436">
        <v>9641443</v>
      </c>
      <c r="E3436">
        <v>3</v>
      </c>
      <c r="F3436">
        <v>3</v>
      </c>
      <c r="G3436">
        <v>680</v>
      </c>
      <c r="H3436">
        <v>33512130</v>
      </c>
      <c r="I3436">
        <v>946324</v>
      </c>
      <c r="J3436" t="s">
        <v>25</v>
      </c>
      <c r="K3436" t="s">
        <v>22</v>
      </c>
      <c r="L3436">
        <v>2</v>
      </c>
      <c r="M3436">
        <v>36.08</v>
      </c>
      <c r="N3436">
        <v>120188</v>
      </c>
      <c r="O3436">
        <v>1</v>
      </c>
    </row>
    <row r="3437" spans="1:15">
      <c r="A3437" t="s">
        <v>3463</v>
      </c>
      <c r="B3437" t="s">
        <v>38</v>
      </c>
      <c r="C3437">
        <v>1</v>
      </c>
      <c r="D3437">
        <v>24478955</v>
      </c>
      <c r="E3437">
        <v>3</v>
      </c>
      <c r="F3437">
        <v>17</v>
      </c>
      <c r="G3437">
        <v>896</v>
      </c>
      <c r="H3437">
        <v>45421946</v>
      </c>
      <c r="I3437">
        <v>377506</v>
      </c>
      <c r="J3437" t="s">
        <v>25</v>
      </c>
      <c r="K3437" t="s">
        <v>18</v>
      </c>
      <c r="L3437">
        <v>8</v>
      </c>
      <c r="M3437">
        <v>12.57</v>
      </c>
      <c r="N3437">
        <v>512594</v>
      </c>
      <c r="O3437">
        <v>1</v>
      </c>
    </row>
    <row r="3438" spans="1:15">
      <c r="A3438" t="s">
        <v>3464</v>
      </c>
      <c r="B3438" t="s">
        <v>32</v>
      </c>
      <c r="C3438">
        <v>1</v>
      </c>
      <c r="D3438">
        <v>8873527</v>
      </c>
      <c r="E3438">
        <v>1</v>
      </c>
      <c r="F3438">
        <v>26</v>
      </c>
      <c r="G3438">
        <v>24</v>
      </c>
      <c r="H3438">
        <v>32287747</v>
      </c>
      <c r="I3438">
        <v>728764</v>
      </c>
      <c r="J3438" t="s">
        <v>17</v>
      </c>
      <c r="K3438" t="s">
        <v>18</v>
      </c>
      <c r="L3438">
        <v>3</v>
      </c>
      <c r="M3438">
        <v>68.59</v>
      </c>
      <c r="N3438">
        <v>796227</v>
      </c>
      <c r="O3438">
        <v>1</v>
      </c>
    </row>
    <row r="3439" spans="1:15">
      <c r="A3439" t="s">
        <v>3465</v>
      </c>
      <c r="B3439" t="s">
        <v>32</v>
      </c>
      <c r="C3439">
        <v>0</v>
      </c>
      <c r="D3439">
        <v>5787976</v>
      </c>
      <c r="E3439">
        <v>1</v>
      </c>
      <c r="F3439">
        <v>21</v>
      </c>
      <c r="G3439">
        <v>769</v>
      </c>
      <c r="H3439">
        <v>21245084</v>
      </c>
      <c r="I3439">
        <v>368985</v>
      </c>
      <c r="J3439" t="s">
        <v>25</v>
      </c>
      <c r="K3439" t="s">
        <v>30</v>
      </c>
      <c r="L3439">
        <v>9</v>
      </c>
      <c r="M3439">
        <v>42.02</v>
      </c>
      <c r="N3439">
        <v>914318</v>
      </c>
      <c r="O3439">
        <v>1</v>
      </c>
    </row>
    <row r="3440" spans="1:15">
      <c r="A3440" t="s">
        <v>3466</v>
      </c>
      <c r="B3440" t="s">
        <v>24</v>
      </c>
      <c r="C3440">
        <v>5</v>
      </c>
      <c r="D3440">
        <v>30863983</v>
      </c>
      <c r="E3440">
        <v>1</v>
      </c>
      <c r="F3440">
        <v>27</v>
      </c>
      <c r="G3440">
        <v>288</v>
      </c>
      <c r="H3440">
        <v>52466202</v>
      </c>
      <c r="I3440">
        <v>16569</v>
      </c>
      <c r="J3440" t="s">
        <v>17</v>
      </c>
      <c r="K3440" t="s">
        <v>30</v>
      </c>
      <c r="L3440">
        <v>2</v>
      </c>
      <c r="M3440">
        <v>83.27</v>
      </c>
      <c r="N3440">
        <v>533040</v>
      </c>
      <c r="O3440">
        <v>1</v>
      </c>
    </row>
    <row r="3441" spans="1:15">
      <c r="A3441" t="s">
        <v>3467</v>
      </c>
      <c r="B3441" t="s">
        <v>32</v>
      </c>
      <c r="C3441">
        <v>10</v>
      </c>
      <c r="D3441">
        <v>7845330</v>
      </c>
      <c r="E3441">
        <v>1</v>
      </c>
      <c r="F3441">
        <v>13</v>
      </c>
      <c r="G3441">
        <v>403</v>
      </c>
      <c r="H3441">
        <v>61659594</v>
      </c>
      <c r="I3441">
        <v>419211</v>
      </c>
      <c r="J3441" t="s">
        <v>21</v>
      </c>
      <c r="K3441" t="s">
        <v>30</v>
      </c>
      <c r="L3441">
        <v>5</v>
      </c>
      <c r="M3441">
        <v>51.99</v>
      </c>
      <c r="N3441">
        <v>249141</v>
      </c>
      <c r="O3441">
        <v>1</v>
      </c>
    </row>
    <row r="3442" spans="1:15">
      <c r="A3442" t="s">
        <v>3468</v>
      </c>
      <c r="B3442" t="s">
        <v>27</v>
      </c>
      <c r="C3442">
        <v>1</v>
      </c>
      <c r="D3442">
        <v>46973303</v>
      </c>
      <c r="E3442">
        <v>4</v>
      </c>
      <c r="F3442">
        <v>21</v>
      </c>
      <c r="G3442">
        <v>760</v>
      </c>
      <c r="H3442">
        <v>48883177</v>
      </c>
      <c r="I3442">
        <v>174661</v>
      </c>
      <c r="J3442" t="s">
        <v>21</v>
      </c>
      <c r="K3442" t="s">
        <v>22</v>
      </c>
      <c r="L3442">
        <v>2</v>
      </c>
      <c r="M3442">
        <v>49.94</v>
      </c>
      <c r="N3442">
        <v>174239</v>
      </c>
      <c r="O3442">
        <v>1</v>
      </c>
    </row>
    <row r="3443" spans="1:15">
      <c r="A3443" t="s">
        <v>3469</v>
      </c>
      <c r="B3443" t="s">
        <v>32</v>
      </c>
      <c r="C3443">
        <v>3</v>
      </c>
      <c r="D3443">
        <v>24519856</v>
      </c>
      <c r="E3443">
        <v>4</v>
      </c>
      <c r="F3443">
        <v>19</v>
      </c>
      <c r="G3443">
        <v>556</v>
      </c>
      <c r="H3443">
        <v>90692166</v>
      </c>
      <c r="I3443">
        <v>636695</v>
      </c>
      <c r="J3443" t="s">
        <v>17</v>
      </c>
      <c r="K3443" t="s">
        <v>22</v>
      </c>
      <c r="L3443">
        <v>4</v>
      </c>
      <c r="M3443">
        <v>53.32</v>
      </c>
      <c r="N3443">
        <v>103268</v>
      </c>
      <c r="O3443">
        <v>1</v>
      </c>
    </row>
    <row r="3444" spans="1:15">
      <c r="A3444" t="s">
        <v>3470</v>
      </c>
      <c r="B3444" t="s">
        <v>32</v>
      </c>
      <c r="C3444">
        <v>8</v>
      </c>
      <c r="D3444">
        <v>39384288</v>
      </c>
      <c r="E3444">
        <v>1</v>
      </c>
      <c r="F3444">
        <v>9</v>
      </c>
      <c r="G3444">
        <v>14</v>
      </c>
      <c r="H3444">
        <v>53338787</v>
      </c>
      <c r="I3444">
        <v>139697</v>
      </c>
      <c r="J3444" t="s">
        <v>25</v>
      </c>
      <c r="K3444" t="s">
        <v>18</v>
      </c>
      <c r="L3444">
        <v>5</v>
      </c>
      <c r="M3444">
        <v>73.78</v>
      </c>
      <c r="N3444">
        <v>892179</v>
      </c>
      <c r="O3444">
        <v>1</v>
      </c>
    </row>
    <row r="3445" spans="1:15">
      <c r="A3445" t="s">
        <v>3471</v>
      </c>
      <c r="B3445" t="s">
        <v>32</v>
      </c>
      <c r="C3445">
        <v>10</v>
      </c>
      <c r="D3445">
        <v>18469894</v>
      </c>
      <c r="E3445">
        <v>2</v>
      </c>
      <c r="F3445">
        <v>22</v>
      </c>
      <c r="G3445">
        <v>64</v>
      </c>
      <c r="H3445">
        <v>94136576</v>
      </c>
      <c r="I3445">
        <v>660615</v>
      </c>
      <c r="J3445" t="s">
        <v>21</v>
      </c>
      <c r="K3445" t="s">
        <v>30</v>
      </c>
      <c r="L3445">
        <v>7</v>
      </c>
      <c r="M3445">
        <v>52.31</v>
      </c>
      <c r="N3445">
        <v>803616</v>
      </c>
      <c r="O3445">
        <v>1</v>
      </c>
    </row>
    <row r="3446" spans="1:15">
      <c r="A3446" t="s">
        <v>3472</v>
      </c>
      <c r="B3446" t="s">
        <v>24</v>
      </c>
      <c r="C3446">
        <v>6</v>
      </c>
      <c r="D3446">
        <v>6415003</v>
      </c>
      <c r="E3446">
        <v>2</v>
      </c>
      <c r="F3446">
        <v>10</v>
      </c>
      <c r="G3446">
        <v>674</v>
      </c>
      <c r="H3446">
        <v>17991356</v>
      </c>
      <c r="I3446">
        <v>850363</v>
      </c>
      <c r="J3446" t="s">
        <v>17</v>
      </c>
      <c r="K3446" t="s">
        <v>22</v>
      </c>
      <c r="L3446">
        <v>3</v>
      </c>
      <c r="M3446">
        <v>97.88</v>
      </c>
      <c r="N3446">
        <v>185040</v>
      </c>
      <c r="O3446">
        <v>1</v>
      </c>
    </row>
    <row r="3447" spans="1:15">
      <c r="A3447" t="s">
        <v>3473</v>
      </c>
      <c r="B3447" t="s">
        <v>24</v>
      </c>
      <c r="C3447">
        <v>6</v>
      </c>
      <c r="D3447">
        <v>16871672</v>
      </c>
      <c r="E3447">
        <v>4</v>
      </c>
      <c r="F3447">
        <v>6</v>
      </c>
      <c r="G3447">
        <v>550</v>
      </c>
      <c r="H3447">
        <v>67678897</v>
      </c>
      <c r="I3447">
        <v>537752</v>
      </c>
      <c r="J3447" t="s">
        <v>17</v>
      </c>
      <c r="K3447" t="s">
        <v>30</v>
      </c>
      <c r="L3447">
        <v>7</v>
      </c>
      <c r="M3447">
        <v>30.64</v>
      </c>
      <c r="N3447">
        <v>592688</v>
      </c>
      <c r="O3447">
        <v>1</v>
      </c>
    </row>
    <row r="3448" spans="1:15">
      <c r="A3448" t="s">
        <v>3474</v>
      </c>
      <c r="B3448" t="s">
        <v>16</v>
      </c>
      <c r="C3448">
        <v>4</v>
      </c>
      <c r="D3448">
        <v>10758467</v>
      </c>
      <c r="E3448">
        <v>2</v>
      </c>
      <c r="F3448">
        <v>22</v>
      </c>
      <c r="G3448">
        <v>740</v>
      </c>
      <c r="H3448">
        <v>96273256</v>
      </c>
      <c r="I3448">
        <v>783039</v>
      </c>
      <c r="J3448" t="s">
        <v>25</v>
      </c>
      <c r="K3448" t="s">
        <v>30</v>
      </c>
      <c r="L3448">
        <v>5</v>
      </c>
      <c r="M3448">
        <v>52.17</v>
      </c>
      <c r="N3448">
        <v>834355</v>
      </c>
      <c r="O3448">
        <v>1</v>
      </c>
    </row>
    <row r="3449" spans="1:15">
      <c r="A3449" t="s">
        <v>3475</v>
      </c>
      <c r="B3449" t="s">
        <v>20</v>
      </c>
      <c r="C3449">
        <v>10</v>
      </c>
      <c r="D3449">
        <v>22541200</v>
      </c>
      <c r="E3449">
        <v>3</v>
      </c>
      <c r="F3449">
        <v>9</v>
      </c>
      <c r="G3449">
        <v>299</v>
      </c>
      <c r="H3449">
        <v>54113648</v>
      </c>
      <c r="I3449">
        <v>904198</v>
      </c>
      <c r="J3449" t="s">
        <v>21</v>
      </c>
      <c r="K3449" t="s">
        <v>18</v>
      </c>
      <c r="L3449">
        <v>6</v>
      </c>
      <c r="M3449">
        <v>83.74</v>
      </c>
      <c r="N3449">
        <v>247282</v>
      </c>
      <c r="O3449">
        <v>1</v>
      </c>
    </row>
    <row r="3450" spans="1:15">
      <c r="A3450" t="s">
        <v>3476</v>
      </c>
      <c r="B3450" t="s">
        <v>27</v>
      </c>
      <c r="C3450">
        <v>10</v>
      </c>
      <c r="D3450">
        <v>40075977</v>
      </c>
      <c r="E3450">
        <v>3</v>
      </c>
      <c r="F3450">
        <v>23</v>
      </c>
      <c r="G3450">
        <v>298</v>
      </c>
      <c r="H3450">
        <v>67218400</v>
      </c>
      <c r="I3450">
        <v>762048</v>
      </c>
      <c r="J3450" t="s">
        <v>25</v>
      </c>
      <c r="K3450" t="s">
        <v>22</v>
      </c>
      <c r="L3450">
        <v>5</v>
      </c>
      <c r="M3450">
        <v>18.95</v>
      </c>
      <c r="N3450">
        <v>701136</v>
      </c>
      <c r="O3450">
        <v>1</v>
      </c>
    </row>
    <row r="3451" spans="1:15">
      <c r="A3451" t="s">
        <v>3477</v>
      </c>
      <c r="B3451" t="s">
        <v>38</v>
      </c>
      <c r="C3451">
        <v>8</v>
      </c>
      <c r="D3451">
        <v>8395434</v>
      </c>
      <c r="E3451">
        <v>1</v>
      </c>
      <c r="F3451">
        <v>24</v>
      </c>
      <c r="G3451">
        <v>12</v>
      </c>
      <c r="H3451">
        <v>96074989</v>
      </c>
      <c r="I3451">
        <v>251516</v>
      </c>
      <c r="J3451" t="s">
        <v>21</v>
      </c>
      <c r="K3451" t="s">
        <v>30</v>
      </c>
      <c r="L3451">
        <v>2</v>
      </c>
      <c r="M3451">
        <v>20.48</v>
      </c>
      <c r="N3451">
        <v>437564</v>
      </c>
      <c r="O3451">
        <v>1</v>
      </c>
    </row>
    <row r="3452" spans="1:15">
      <c r="A3452" t="s">
        <v>3478</v>
      </c>
      <c r="B3452" t="s">
        <v>24</v>
      </c>
      <c r="C3452">
        <v>7</v>
      </c>
      <c r="D3452">
        <v>44056831</v>
      </c>
      <c r="E3452">
        <v>2</v>
      </c>
      <c r="F3452">
        <v>20</v>
      </c>
      <c r="G3452">
        <v>609</v>
      </c>
      <c r="H3452">
        <v>13198535</v>
      </c>
      <c r="I3452">
        <v>567675</v>
      </c>
      <c r="J3452" t="s">
        <v>25</v>
      </c>
      <c r="K3452" t="s">
        <v>22</v>
      </c>
      <c r="L3452">
        <v>4</v>
      </c>
      <c r="M3452">
        <v>29.52</v>
      </c>
      <c r="N3452">
        <v>236137</v>
      </c>
      <c r="O3452">
        <v>1</v>
      </c>
    </row>
    <row r="3453" spans="1:15">
      <c r="A3453" t="s">
        <v>3479</v>
      </c>
      <c r="B3453" t="s">
        <v>24</v>
      </c>
      <c r="C3453">
        <v>4</v>
      </c>
      <c r="D3453">
        <v>14399809</v>
      </c>
      <c r="E3453">
        <v>3</v>
      </c>
      <c r="F3453">
        <v>24</v>
      </c>
      <c r="G3453">
        <v>216</v>
      </c>
      <c r="H3453">
        <v>58969508</v>
      </c>
      <c r="I3453">
        <v>584960</v>
      </c>
      <c r="J3453" t="s">
        <v>21</v>
      </c>
      <c r="K3453" t="s">
        <v>22</v>
      </c>
      <c r="L3453">
        <v>4</v>
      </c>
      <c r="M3453">
        <v>37.31</v>
      </c>
      <c r="N3453">
        <v>981938</v>
      </c>
      <c r="O3453">
        <v>1</v>
      </c>
    </row>
    <row r="3454" spans="1:15">
      <c r="A3454" t="s">
        <v>3480</v>
      </c>
      <c r="B3454" t="s">
        <v>27</v>
      </c>
      <c r="C3454">
        <v>0</v>
      </c>
      <c r="D3454">
        <v>26392876</v>
      </c>
      <c r="E3454">
        <v>4</v>
      </c>
      <c r="F3454">
        <v>11</v>
      </c>
      <c r="G3454">
        <v>885</v>
      </c>
      <c r="H3454">
        <v>32830959</v>
      </c>
      <c r="I3454">
        <v>313714</v>
      </c>
      <c r="J3454" t="s">
        <v>25</v>
      </c>
      <c r="K3454" t="s">
        <v>30</v>
      </c>
      <c r="L3454">
        <v>6</v>
      </c>
      <c r="M3454">
        <v>55.58</v>
      </c>
      <c r="N3454">
        <v>51319</v>
      </c>
      <c r="O3454">
        <v>1</v>
      </c>
    </row>
    <row r="3455" spans="1:15">
      <c r="A3455" t="s">
        <v>3481</v>
      </c>
      <c r="B3455" t="s">
        <v>27</v>
      </c>
      <c r="C3455">
        <v>0</v>
      </c>
      <c r="D3455">
        <v>3776857</v>
      </c>
      <c r="E3455">
        <v>2</v>
      </c>
      <c r="F3455">
        <v>7</v>
      </c>
      <c r="G3455">
        <v>42</v>
      </c>
      <c r="H3455">
        <v>837997</v>
      </c>
      <c r="I3455">
        <v>469521</v>
      </c>
      <c r="J3455" t="s">
        <v>17</v>
      </c>
      <c r="K3455" t="s">
        <v>18</v>
      </c>
      <c r="L3455">
        <v>3</v>
      </c>
      <c r="M3455">
        <v>15.01</v>
      </c>
      <c r="N3455">
        <v>377790</v>
      </c>
      <c r="O3455">
        <v>1</v>
      </c>
    </row>
    <row r="3456" spans="1:15">
      <c r="A3456" t="s">
        <v>3482</v>
      </c>
      <c r="B3456" t="s">
        <v>20</v>
      </c>
      <c r="C3456">
        <v>3</v>
      </c>
      <c r="D3456">
        <v>38096866</v>
      </c>
      <c r="E3456">
        <v>2</v>
      </c>
      <c r="F3456">
        <v>18</v>
      </c>
      <c r="G3456">
        <v>484</v>
      </c>
      <c r="H3456">
        <v>57725628</v>
      </c>
      <c r="I3456">
        <v>167005</v>
      </c>
      <c r="J3456" t="s">
        <v>21</v>
      </c>
      <c r="K3456" t="s">
        <v>30</v>
      </c>
      <c r="L3456">
        <v>5</v>
      </c>
      <c r="M3456">
        <v>50.3</v>
      </c>
      <c r="N3456">
        <v>687808</v>
      </c>
      <c r="O3456">
        <v>1</v>
      </c>
    </row>
    <row r="3457" spans="1:15">
      <c r="A3457" t="s">
        <v>3483</v>
      </c>
      <c r="B3457" t="s">
        <v>38</v>
      </c>
      <c r="C3457">
        <v>7</v>
      </c>
      <c r="D3457">
        <v>18531306</v>
      </c>
      <c r="E3457">
        <v>2</v>
      </c>
      <c r="F3457">
        <v>12</v>
      </c>
      <c r="G3457">
        <v>16</v>
      </c>
      <c r="H3457">
        <v>46532355</v>
      </c>
      <c r="I3457">
        <v>15226</v>
      </c>
      <c r="J3457" t="s">
        <v>17</v>
      </c>
      <c r="K3457" t="s">
        <v>22</v>
      </c>
      <c r="L3457">
        <v>9</v>
      </c>
      <c r="M3457">
        <v>41.7</v>
      </c>
      <c r="N3457">
        <v>534334</v>
      </c>
      <c r="O3457">
        <v>1</v>
      </c>
    </row>
    <row r="3458" spans="1:15">
      <c r="A3458" t="s">
        <v>3484</v>
      </c>
      <c r="B3458" t="s">
        <v>27</v>
      </c>
      <c r="C3458">
        <v>1</v>
      </c>
      <c r="D3458">
        <v>40316749</v>
      </c>
      <c r="E3458">
        <v>2</v>
      </c>
      <c r="F3458">
        <v>8</v>
      </c>
      <c r="G3458">
        <v>941</v>
      </c>
      <c r="H3458">
        <v>10954754</v>
      </c>
      <c r="I3458">
        <v>37052</v>
      </c>
      <c r="J3458" t="s">
        <v>21</v>
      </c>
      <c r="K3458" t="s">
        <v>22</v>
      </c>
      <c r="L3458">
        <v>5</v>
      </c>
      <c r="M3458">
        <v>81.02</v>
      </c>
      <c r="N3458">
        <v>414814</v>
      </c>
      <c r="O3458">
        <v>1</v>
      </c>
    </row>
    <row r="3459" spans="1:15">
      <c r="A3459" t="s">
        <v>3485</v>
      </c>
      <c r="B3459" t="s">
        <v>32</v>
      </c>
      <c r="C3459">
        <v>8</v>
      </c>
      <c r="D3459">
        <v>49794868</v>
      </c>
      <c r="E3459">
        <v>4</v>
      </c>
      <c r="F3459">
        <v>17</v>
      </c>
      <c r="G3459">
        <v>521</v>
      </c>
      <c r="H3459">
        <v>61744797</v>
      </c>
      <c r="I3459">
        <v>612078</v>
      </c>
      <c r="J3459" t="s">
        <v>25</v>
      </c>
      <c r="K3459" t="s">
        <v>18</v>
      </c>
      <c r="L3459">
        <v>9</v>
      </c>
      <c r="M3459">
        <v>67.349999999999994</v>
      </c>
      <c r="N3459">
        <v>982313</v>
      </c>
      <c r="O3459">
        <v>1</v>
      </c>
    </row>
    <row r="3460" spans="1:15">
      <c r="A3460" t="s">
        <v>3486</v>
      </c>
      <c r="B3460" t="s">
        <v>38</v>
      </c>
      <c r="C3460">
        <v>2</v>
      </c>
      <c r="D3460">
        <v>47861317</v>
      </c>
      <c r="E3460">
        <v>4</v>
      </c>
      <c r="F3460">
        <v>16</v>
      </c>
      <c r="G3460">
        <v>597</v>
      </c>
      <c r="H3460">
        <v>95581405</v>
      </c>
      <c r="I3460">
        <v>529566</v>
      </c>
      <c r="J3460" t="s">
        <v>17</v>
      </c>
      <c r="K3460" t="s">
        <v>30</v>
      </c>
      <c r="L3460">
        <v>2</v>
      </c>
      <c r="M3460">
        <v>14.85</v>
      </c>
      <c r="N3460">
        <v>738372</v>
      </c>
      <c r="O3460">
        <v>1</v>
      </c>
    </row>
    <row r="3461" spans="1:15">
      <c r="A3461" t="s">
        <v>3487</v>
      </c>
      <c r="B3461" t="s">
        <v>20</v>
      </c>
      <c r="C3461">
        <v>4</v>
      </c>
      <c r="D3461">
        <v>22710297</v>
      </c>
      <c r="E3461">
        <v>3</v>
      </c>
      <c r="F3461">
        <v>22</v>
      </c>
      <c r="G3461">
        <v>163</v>
      </c>
      <c r="H3461">
        <v>38637959</v>
      </c>
      <c r="I3461">
        <v>208815</v>
      </c>
      <c r="J3461" t="s">
        <v>17</v>
      </c>
      <c r="K3461" t="s">
        <v>18</v>
      </c>
      <c r="L3461">
        <v>4</v>
      </c>
      <c r="M3461">
        <v>34.369999999999997</v>
      </c>
      <c r="N3461">
        <v>757619</v>
      </c>
      <c r="O3461">
        <v>1</v>
      </c>
    </row>
    <row r="3462" spans="1:15">
      <c r="A3462" t="s">
        <v>3488</v>
      </c>
      <c r="B3462" t="s">
        <v>24</v>
      </c>
      <c r="C3462">
        <v>1</v>
      </c>
      <c r="D3462">
        <v>11012227</v>
      </c>
      <c r="E3462">
        <v>3</v>
      </c>
      <c r="F3462">
        <v>27</v>
      </c>
      <c r="G3462">
        <v>21</v>
      </c>
      <c r="H3462">
        <v>37900974</v>
      </c>
      <c r="I3462">
        <v>800865</v>
      </c>
      <c r="J3462" t="s">
        <v>17</v>
      </c>
      <c r="K3462" t="s">
        <v>18</v>
      </c>
      <c r="L3462">
        <v>5</v>
      </c>
      <c r="M3462">
        <v>72.27</v>
      </c>
      <c r="N3462">
        <v>208102</v>
      </c>
      <c r="O3462">
        <v>1</v>
      </c>
    </row>
    <row r="3463" spans="1:15">
      <c r="A3463" t="s">
        <v>3489</v>
      </c>
      <c r="B3463" t="s">
        <v>27</v>
      </c>
      <c r="C3463">
        <v>14</v>
      </c>
      <c r="D3463">
        <v>27204211</v>
      </c>
      <c r="E3463">
        <v>2</v>
      </c>
      <c r="F3463">
        <v>11</v>
      </c>
      <c r="G3463">
        <v>969</v>
      </c>
      <c r="H3463">
        <v>63172768</v>
      </c>
      <c r="I3463">
        <v>432844</v>
      </c>
      <c r="J3463" t="s">
        <v>21</v>
      </c>
      <c r="K3463" t="s">
        <v>30</v>
      </c>
      <c r="L3463">
        <v>1</v>
      </c>
      <c r="M3463">
        <v>42.57</v>
      </c>
      <c r="N3463">
        <v>11339</v>
      </c>
      <c r="O3463">
        <v>1</v>
      </c>
    </row>
    <row r="3464" spans="1:15">
      <c r="A3464" t="s">
        <v>3490</v>
      </c>
      <c r="B3464" t="s">
        <v>16</v>
      </c>
      <c r="C3464">
        <v>0</v>
      </c>
      <c r="D3464">
        <v>34102696</v>
      </c>
      <c r="E3464">
        <v>2</v>
      </c>
      <c r="F3464">
        <v>14</v>
      </c>
      <c r="G3464">
        <v>901</v>
      </c>
      <c r="H3464">
        <v>91529128</v>
      </c>
      <c r="I3464">
        <v>126051</v>
      </c>
      <c r="J3464" t="s">
        <v>21</v>
      </c>
      <c r="K3464" t="s">
        <v>22</v>
      </c>
      <c r="L3464">
        <v>7</v>
      </c>
      <c r="M3464">
        <v>22.1</v>
      </c>
      <c r="N3464">
        <v>326024</v>
      </c>
      <c r="O3464">
        <v>1</v>
      </c>
    </row>
    <row r="3465" spans="1:15">
      <c r="A3465" t="s">
        <v>3491</v>
      </c>
      <c r="B3465" t="s">
        <v>24</v>
      </c>
      <c r="C3465">
        <v>3</v>
      </c>
      <c r="D3465">
        <v>43264856</v>
      </c>
      <c r="E3465">
        <v>2</v>
      </c>
      <c r="F3465">
        <v>23</v>
      </c>
      <c r="G3465">
        <v>603</v>
      </c>
      <c r="H3465">
        <v>9294762</v>
      </c>
      <c r="I3465">
        <v>341446</v>
      </c>
      <c r="J3465" t="s">
        <v>25</v>
      </c>
      <c r="K3465" t="s">
        <v>22</v>
      </c>
      <c r="L3465">
        <v>5</v>
      </c>
      <c r="M3465">
        <v>85.89</v>
      </c>
      <c r="N3465">
        <v>915695</v>
      </c>
      <c r="O3465">
        <v>1</v>
      </c>
    </row>
    <row r="3466" spans="1:15">
      <c r="A3466" t="s">
        <v>3492</v>
      </c>
      <c r="B3466" t="s">
        <v>29</v>
      </c>
      <c r="C3466">
        <v>14</v>
      </c>
      <c r="D3466">
        <v>26529622</v>
      </c>
      <c r="E3466">
        <v>3</v>
      </c>
      <c r="F3466">
        <v>7</v>
      </c>
      <c r="G3466">
        <v>589</v>
      </c>
      <c r="H3466">
        <v>34908074</v>
      </c>
      <c r="I3466">
        <v>359942</v>
      </c>
      <c r="J3466" t="s">
        <v>17</v>
      </c>
      <c r="K3466" t="s">
        <v>30</v>
      </c>
      <c r="L3466">
        <v>4</v>
      </c>
      <c r="M3466">
        <v>5.92</v>
      </c>
      <c r="N3466">
        <v>206462</v>
      </c>
      <c r="O3466">
        <v>1</v>
      </c>
    </row>
    <row r="3467" spans="1:15">
      <c r="A3467" t="s">
        <v>3493</v>
      </c>
      <c r="B3467" t="s">
        <v>29</v>
      </c>
      <c r="C3467">
        <v>14</v>
      </c>
      <c r="D3467">
        <v>24617419</v>
      </c>
      <c r="E3467">
        <v>1</v>
      </c>
      <c r="F3467">
        <v>22</v>
      </c>
      <c r="G3467">
        <v>611</v>
      </c>
      <c r="H3467">
        <v>88201273</v>
      </c>
      <c r="I3467">
        <v>968046</v>
      </c>
      <c r="J3467" t="s">
        <v>25</v>
      </c>
      <c r="K3467" t="s">
        <v>30</v>
      </c>
      <c r="L3467">
        <v>9</v>
      </c>
      <c r="M3467">
        <v>92.01</v>
      </c>
      <c r="N3467">
        <v>471225</v>
      </c>
      <c r="O3467">
        <v>1</v>
      </c>
    </row>
    <row r="3468" spans="1:15">
      <c r="A3468" t="s">
        <v>3494</v>
      </c>
      <c r="B3468" t="s">
        <v>32</v>
      </c>
      <c r="C3468">
        <v>1</v>
      </c>
      <c r="D3468">
        <v>6094129</v>
      </c>
      <c r="E3468">
        <v>2</v>
      </c>
      <c r="F3468">
        <v>5</v>
      </c>
      <c r="G3468">
        <v>16</v>
      </c>
      <c r="H3468">
        <v>52952098</v>
      </c>
      <c r="I3468">
        <v>630176</v>
      </c>
      <c r="J3468" t="s">
        <v>21</v>
      </c>
      <c r="K3468" t="s">
        <v>30</v>
      </c>
      <c r="L3468">
        <v>2</v>
      </c>
      <c r="M3468">
        <v>16.03</v>
      </c>
      <c r="N3468">
        <v>812736</v>
      </c>
      <c r="O3468">
        <v>1</v>
      </c>
    </row>
    <row r="3469" spans="1:15">
      <c r="A3469" t="s">
        <v>3495</v>
      </c>
      <c r="B3469" t="s">
        <v>29</v>
      </c>
      <c r="C3469">
        <v>9</v>
      </c>
      <c r="D3469">
        <v>27363842</v>
      </c>
      <c r="E3469">
        <v>1</v>
      </c>
      <c r="F3469">
        <v>5</v>
      </c>
      <c r="G3469">
        <v>147</v>
      </c>
      <c r="H3469">
        <v>74879265</v>
      </c>
      <c r="I3469">
        <v>77576</v>
      </c>
      <c r="J3469" t="s">
        <v>21</v>
      </c>
      <c r="K3469" t="s">
        <v>22</v>
      </c>
      <c r="L3469">
        <v>3</v>
      </c>
      <c r="M3469">
        <v>17.059999999999999</v>
      </c>
      <c r="N3469">
        <v>708512</v>
      </c>
      <c r="O3469">
        <v>1</v>
      </c>
    </row>
    <row r="3470" spans="1:15">
      <c r="A3470" t="s">
        <v>3496</v>
      </c>
      <c r="B3470" t="s">
        <v>38</v>
      </c>
      <c r="C3470">
        <v>12</v>
      </c>
      <c r="D3470">
        <v>14564962</v>
      </c>
      <c r="E3470">
        <v>2</v>
      </c>
      <c r="F3470">
        <v>20</v>
      </c>
      <c r="G3470">
        <v>169</v>
      </c>
      <c r="H3470">
        <v>4590151</v>
      </c>
      <c r="I3470">
        <v>495513</v>
      </c>
      <c r="J3470" t="s">
        <v>25</v>
      </c>
      <c r="K3470" t="s">
        <v>18</v>
      </c>
      <c r="L3470">
        <v>3</v>
      </c>
      <c r="M3470">
        <v>79.45</v>
      </c>
      <c r="N3470">
        <v>958842</v>
      </c>
      <c r="O3470">
        <v>1</v>
      </c>
    </row>
    <row r="3471" spans="1:15">
      <c r="A3471" t="s">
        <v>3497</v>
      </c>
      <c r="B3471" t="s">
        <v>29</v>
      </c>
      <c r="C3471">
        <v>13</v>
      </c>
      <c r="D3471">
        <v>36477088</v>
      </c>
      <c r="E3471">
        <v>2</v>
      </c>
      <c r="F3471">
        <v>22</v>
      </c>
      <c r="G3471">
        <v>236</v>
      </c>
      <c r="H3471">
        <v>15670585</v>
      </c>
      <c r="I3471">
        <v>712030</v>
      </c>
      <c r="J3471" t="s">
        <v>21</v>
      </c>
      <c r="K3471" t="s">
        <v>30</v>
      </c>
      <c r="L3471">
        <v>8</v>
      </c>
      <c r="M3471">
        <v>54.68</v>
      </c>
      <c r="N3471">
        <v>251261</v>
      </c>
      <c r="O3471">
        <v>1</v>
      </c>
    </row>
    <row r="3472" spans="1:15">
      <c r="A3472" t="s">
        <v>3498</v>
      </c>
      <c r="B3472" t="s">
        <v>32</v>
      </c>
      <c r="C3472">
        <v>13</v>
      </c>
      <c r="D3472">
        <v>7702001</v>
      </c>
      <c r="E3472">
        <v>2</v>
      </c>
      <c r="F3472">
        <v>8</v>
      </c>
      <c r="G3472">
        <v>364</v>
      </c>
      <c r="H3472">
        <v>91453247</v>
      </c>
      <c r="I3472">
        <v>161153</v>
      </c>
      <c r="J3472" t="s">
        <v>25</v>
      </c>
      <c r="K3472" t="s">
        <v>22</v>
      </c>
      <c r="L3472">
        <v>7</v>
      </c>
      <c r="M3472">
        <v>83.28</v>
      </c>
      <c r="N3472">
        <v>164038</v>
      </c>
      <c r="O3472">
        <v>1</v>
      </c>
    </row>
    <row r="3473" spans="1:15">
      <c r="A3473" t="s">
        <v>3499</v>
      </c>
      <c r="B3473" t="s">
        <v>16</v>
      </c>
      <c r="C3473">
        <v>7</v>
      </c>
      <c r="D3473">
        <v>48395783</v>
      </c>
      <c r="E3473">
        <v>4</v>
      </c>
      <c r="F3473">
        <v>10</v>
      </c>
      <c r="G3473">
        <v>984</v>
      </c>
      <c r="H3473">
        <v>64424274</v>
      </c>
      <c r="I3473">
        <v>608302</v>
      </c>
      <c r="J3473" t="s">
        <v>21</v>
      </c>
      <c r="K3473" t="s">
        <v>30</v>
      </c>
      <c r="L3473">
        <v>1</v>
      </c>
      <c r="M3473">
        <v>79.02</v>
      </c>
      <c r="N3473">
        <v>737442</v>
      </c>
      <c r="O3473">
        <v>1</v>
      </c>
    </row>
    <row r="3474" spans="1:15">
      <c r="A3474" t="s">
        <v>3500</v>
      </c>
      <c r="B3474" t="s">
        <v>20</v>
      </c>
      <c r="C3474">
        <v>12</v>
      </c>
      <c r="D3474">
        <v>3834648</v>
      </c>
      <c r="E3474">
        <v>3</v>
      </c>
      <c r="F3474">
        <v>24</v>
      </c>
      <c r="G3474">
        <v>28</v>
      </c>
      <c r="H3474">
        <v>38207335</v>
      </c>
      <c r="I3474">
        <v>680470</v>
      </c>
      <c r="J3474" t="s">
        <v>17</v>
      </c>
      <c r="K3474" t="s">
        <v>30</v>
      </c>
      <c r="L3474">
        <v>6</v>
      </c>
      <c r="M3474">
        <v>5.6</v>
      </c>
      <c r="N3474">
        <v>378314</v>
      </c>
      <c r="O3474">
        <v>1</v>
      </c>
    </row>
    <row r="3475" spans="1:15">
      <c r="A3475" t="s">
        <v>3501</v>
      </c>
      <c r="B3475" t="s">
        <v>32</v>
      </c>
      <c r="C3475">
        <v>12</v>
      </c>
      <c r="D3475">
        <v>43135925</v>
      </c>
      <c r="E3475">
        <v>3</v>
      </c>
      <c r="F3475">
        <v>3</v>
      </c>
      <c r="G3475">
        <v>807</v>
      </c>
      <c r="H3475">
        <v>55690104</v>
      </c>
      <c r="I3475">
        <v>213849</v>
      </c>
      <c r="J3475" t="s">
        <v>21</v>
      </c>
      <c r="K3475" t="s">
        <v>22</v>
      </c>
      <c r="L3475">
        <v>2</v>
      </c>
      <c r="M3475">
        <v>14.79</v>
      </c>
      <c r="N3475">
        <v>837168</v>
      </c>
      <c r="O3475">
        <v>1</v>
      </c>
    </row>
    <row r="3476" spans="1:15">
      <c r="A3476" t="s">
        <v>3502</v>
      </c>
      <c r="B3476" t="s">
        <v>27</v>
      </c>
      <c r="C3476">
        <v>4</v>
      </c>
      <c r="D3476">
        <v>30195754</v>
      </c>
      <c r="E3476">
        <v>2</v>
      </c>
      <c r="F3476">
        <v>4</v>
      </c>
      <c r="G3476">
        <v>281</v>
      </c>
      <c r="H3476">
        <v>36414729</v>
      </c>
      <c r="I3476">
        <v>604523</v>
      </c>
      <c r="J3476" t="s">
        <v>17</v>
      </c>
      <c r="K3476" t="s">
        <v>22</v>
      </c>
      <c r="L3476">
        <v>7</v>
      </c>
      <c r="M3476">
        <v>20</v>
      </c>
      <c r="N3476">
        <v>776763</v>
      </c>
      <c r="O3476">
        <v>1</v>
      </c>
    </row>
    <row r="3477" spans="1:15">
      <c r="A3477" t="s">
        <v>3503</v>
      </c>
      <c r="B3477" t="s">
        <v>27</v>
      </c>
      <c r="C3477">
        <v>5</v>
      </c>
      <c r="D3477">
        <v>11360820</v>
      </c>
      <c r="E3477">
        <v>4</v>
      </c>
      <c r="F3477">
        <v>19</v>
      </c>
      <c r="G3477">
        <v>170</v>
      </c>
      <c r="H3477">
        <v>71409937</v>
      </c>
      <c r="I3477">
        <v>739012</v>
      </c>
      <c r="J3477" t="s">
        <v>17</v>
      </c>
      <c r="K3477" t="s">
        <v>18</v>
      </c>
      <c r="L3477">
        <v>1</v>
      </c>
      <c r="M3477">
        <v>7.49</v>
      </c>
      <c r="N3477">
        <v>279371</v>
      </c>
      <c r="O3477">
        <v>1</v>
      </c>
    </row>
    <row r="3478" spans="1:15">
      <c r="A3478" t="s">
        <v>3504</v>
      </c>
      <c r="B3478" t="s">
        <v>24</v>
      </c>
      <c r="C3478">
        <v>14</v>
      </c>
      <c r="D3478">
        <v>41915300</v>
      </c>
      <c r="E3478">
        <v>4</v>
      </c>
      <c r="F3478">
        <v>24</v>
      </c>
      <c r="G3478">
        <v>601</v>
      </c>
      <c r="H3478">
        <v>50987847</v>
      </c>
      <c r="I3478">
        <v>929051</v>
      </c>
      <c r="J3478" t="s">
        <v>21</v>
      </c>
      <c r="K3478" t="s">
        <v>22</v>
      </c>
      <c r="L3478">
        <v>2</v>
      </c>
      <c r="M3478">
        <v>16.7</v>
      </c>
      <c r="N3478">
        <v>182528</v>
      </c>
      <c r="O3478">
        <v>1</v>
      </c>
    </row>
    <row r="3479" spans="1:15">
      <c r="A3479" t="s">
        <v>3505</v>
      </c>
      <c r="B3479" t="s">
        <v>16</v>
      </c>
      <c r="C3479">
        <v>0</v>
      </c>
      <c r="D3479">
        <v>9576642</v>
      </c>
      <c r="E3479">
        <v>2</v>
      </c>
      <c r="F3479">
        <v>17</v>
      </c>
      <c r="G3479">
        <v>972</v>
      </c>
      <c r="H3479">
        <v>39348934</v>
      </c>
      <c r="I3479">
        <v>11547</v>
      </c>
      <c r="J3479" t="s">
        <v>25</v>
      </c>
      <c r="K3479" t="s">
        <v>30</v>
      </c>
      <c r="L3479">
        <v>2</v>
      </c>
      <c r="M3479">
        <v>22.54</v>
      </c>
      <c r="N3479">
        <v>367052</v>
      </c>
      <c r="O3479">
        <v>1</v>
      </c>
    </row>
    <row r="3480" spans="1:15">
      <c r="A3480" t="s">
        <v>3506</v>
      </c>
      <c r="B3480" t="s">
        <v>38</v>
      </c>
      <c r="C3480">
        <v>2</v>
      </c>
      <c r="D3480">
        <v>35828005</v>
      </c>
      <c r="E3480">
        <v>3</v>
      </c>
      <c r="F3480">
        <v>24</v>
      </c>
      <c r="G3480">
        <v>300</v>
      </c>
      <c r="H3480">
        <v>29177337</v>
      </c>
      <c r="I3480">
        <v>538215</v>
      </c>
      <c r="J3480" t="s">
        <v>25</v>
      </c>
      <c r="K3480" t="s">
        <v>22</v>
      </c>
      <c r="L3480">
        <v>1</v>
      </c>
      <c r="M3480">
        <v>76.239999999999995</v>
      </c>
      <c r="N3480">
        <v>837678</v>
      </c>
      <c r="O3480">
        <v>1</v>
      </c>
    </row>
    <row r="3481" spans="1:15">
      <c r="A3481" t="s">
        <v>3507</v>
      </c>
      <c r="B3481" t="s">
        <v>29</v>
      </c>
      <c r="C3481">
        <v>10</v>
      </c>
      <c r="D3481">
        <v>22083838</v>
      </c>
      <c r="E3481">
        <v>1</v>
      </c>
      <c r="F3481">
        <v>3</v>
      </c>
      <c r="G3481">
        <v>661</v>
      </c>
      <c r="H3481">
        <v>65843746</v>
      </c>
      <c r="I3481">
        <v>975984</v>
      </c>
      <c r="J3481" t="s">
        <v>21</v>
      </c>
      <c r="K3481" t="s">
        <v>22</v>
      </c>
      <c r="L3481">
        <v>3</v>
      </c>
      <c r="M3481">
        <v>40.39</v>
      </c>
      <c r="N3481">
        <v>671313</v>
      </c>
      <c r="O3481">
        <v>1</v>
      </c>
    </row>
    <row r="3482" spans="1:15">
      <c r="A3482" t="s">
        <v>3508</v>
      </c>
      <c r="B3482" t="s">
        <v>20</v>
      </c>
      <c r="C3482">
        <v>6</v>
      </c>
      <c r="D3482">
        <v>35091605</v>
      </c>
      <c r="E3482">
        <v>3</v>
      </c>
      <c r="F3482">
        <v>8</v>
      </c>
      <c r="G3482">
        <v>945</v>
      </c>
      <c r="H3482">
        <v>35883151</v>
      </c>
      <c r="I3482">
        <v>803851</v>
      </c>
      <c r="J3482" t="s">
        <v>25</v>
      </c>
      <c r="K3482" t="s">
        <v>22</v>
      </c>
      <c r="L3482">
        <v>1</v>
      </c>
      <c r="M3482">
        <v>21.41</v>
      </c>
      <c r="N3482">
        <v>400229</v>
      </c>
      <c r="O3482">
        <v>1</v>
      </c>
    </row>
    <row r="3483" spans="1:15">
      <c r="A3483" t="s">
        <v>3509</v>
      </c>
      <c r="B3483" t="s">
        <v>20</v>
      </c>
      <c r="C3483">
        <v>6</v>
      </c>
      <c r="D3483">
        <v>32796043</v>
      </c>
      <c r="E3483">
        <v>3</v>
      </c>
      <c r="F3483">
        <v>0</v>
      </c>
      <c r="G3483">
        <v>540</v>
      </c>
      <c r="H3483">
        <v>14726663</v>
      </c>
      <c r="I3483">
        <v>545729</v>
      </c>
      <c r="J3483" t="s">
        <v>25</v>
      </c>
      <c r="K3483" t="s">
        <v>22</v>
      </c>
      <c r="L3483">
        <v>9</v>
      </c>
      <c r="M3483">
        <v>12.03</v>
      </c>
      <c r="N3483">
        <v>665485</v>
      </c>
      <c r="O3483">
        <v>1</v>
      </c>
    </row>
    <row r="3484" spans="1:15">
      <c r="A3484" t="s">
        <v>3510</v>
      </c>
      <c r="B3484" t="s">
        <v>16</v>
      </c>
      <c r="C3484">
        <v>8</v>
      </c>
      <c r="D3484">
        <v>41317450</v>
      </c>
      <c r="E3484">
        <v>3</v>
      </c>
      <c r="F3484">
        <v>25</v>
      </c>
      <c r="G3484">
        <v>564</v>
      </c>
      <c r="H3484">
        <v>1752249</v>
      </c>
      <c r="I3484">
        <v>520830</v>
      </c>
      <c r="J3484" t="s">
        <v>21</v>
      </c>
      <c r="K3484" t="s">
        <v>18</v>
      </c>
      <c r="L3484">
        <v>2</v>
      </c>
      <c r="M3484">
        <v>59.29</v>
      </c>
      <c r="N3484">
        <v>638527</v>
      </c>
      <c r="O3484">
        <v>1</v>
      </c>
    </row>
    <row r="3485" spans="1:15">
      <c r="A3485" t="s">
        <v>3511</v>
      </c>
      <c r="B3485" t="s">
        <v>32</v>
      </c>
      <c r="C3485">
        <v>6</v>
      </c>
      <c r="D3485">
        <v>7267610</v>
      </c>
      <c r="E3485">
        <v>4</v>
      </c>
      <c r="F3485">
        <v>12</v>
      </c>
      <c r="G3485">
        <v>920</v>
      </c>
      <c r="H3485">
        <v>81035307</v>
      </c>
      <c r="I3485">
        <v>271159</v>
      </c>
      <c r="J3485" t="s">
        <v>21</v>
      </c>
      <c r="K3485" t="s">
        <v>22</v>
      </c>
      <c r="L3485">
        <v>1</v>
      </c>
      <c r="M3485">
        <v>5.36</v>
      </c>
      <c r="N3485">
        <v>722965</v>
      </c>
      <c r="O3485">
        <v>1</v>
      </c>
    </row>
    <row r="3486" spans="1:15">
      <c r="A3486" t="s">
        <v>3512</v>
      </c>
      <c r="B3486" t="s">
        <v>38</v>
      </c>
      <c r="C3486">
        <v>5</v>
      </c>
      <c r="D3486">
        <v>14672655</v>
      </c>
      <c r="E3486">
        <v>4</v>
      </c>
      <c r="F3486">
        <v>3</v>
      </c>
      <c r="G3486">
        <v>656</v>
      </c>
      <c r="H3486">
        <v>80919514</v>
      </c>
      <c r="I3486">
        <v>690083</v>
      </c>
      <c r="J3486" t="s">
        <v>17</v>
      </c>
      <c r="K3486" t="s">
        <v>22</v>
      </c>
      <c r="L3486">
        <v>1</v>
      </c>
      <c r="M3486">
        <v>90.57</v>
      </c>
      <c r="N3486">
        <v>918663</v>
      </c>
      <c r="O3486">
        <v>1</v>
      </c>
    </row>
    <row r="3487" spans="1:15">
      <c r="A3487" t="s">
        <v>3513</v>
      </c>
      <c r="B3487" t="s">
        <v>27</v>
      </c>
      <c r="C3487">
        <v>10</v>
      </c>
      <c r="D3487">
        <v>29135636</v>
      </c>
      <c r="E3487">
        <v>3</v>
      </c>
      <c r="F3487">
        <v>13</v>
      </c>
      <c r="G3487">
        <v>585</v>
      </c>
      <c r="H3487">
        <v>5175042</v>
      </c>
      <c r="I3487">
        <v>445345</v>
      </c>
      <c r="J3487" t="s">
        <v>17</v>
      </c>
      <c r="K3487" t="s">
        <v>18</v>
      </c>
      <c r="L3487">
        <v>8</v>
      </c>
      <c r="M3487">
        <v>54.5</v>
      </c>
      <c r="N3487">
        <v>96811</v>
      </c>
      <c r="O3487">
        <v>1</v>
      </c>
    </row>
    <row r="3488" spans="1:15">
      <c r="A3488" t="s">
        <v>3514</v>
      </c>
      <c r="B3488" t="s">
        <v>29</v>
      </c>
      <c r="C3488">
        <v>4</v>
      </c>
      <c r="D3488">
        <v>15687606</v>
      </c>
      <c r="E3488">
        <v>3</v>
      </c>
      <c r="F3488">
        <v>13</v>
      </c>
      <c r="G3488">
        <v>388</v>
      </c>
      <c r="H3488">
        <v>88299229</v>
      </c>
      <c r="I3488">
        <v>912149</v>
      </c>
      <c r="J3488" t="s">
        <v>21</v>
      </c>
      <c r="K3488" t="s">
        <v>22</v>
      </c>
      <c r="L3488">
        <v>4</v>
      </c>
      <c r="M3488">
        <v>26.65</v>
      </c>
      <c r="N3488">
        <v>364071</v>
      </c>
      <c r="O3488">
        <v>1</v>
      </c>
    </row>
    <row r="3489" spans="1:15">
      <c r="A3489" t="s">
        <v>3515</v>
      </c>
      <c r="B3489" t="s">
        <v>38</v>
      </c>
      <c r="C3489">
        <v>14</v>
      </c>
      <c r="D3489">
        <v>31633656</v>
      </c>
      <c r="E3489">
        <v>4</v>
      </c>
      <c r="F3489">
        <v>20</v>
      </c>
      <c r="G3489">
        <v>627</v>
      </c>
      <c r="H3489">
        <v>46691124</v>
      </c>
      <c r="I3489">
        <v>566212</v>
      </c>
      <c r="J3489" t="s">
        <v>21</v>
      </c>
      <c r="K3489" t="s">
        <v>22</v>
      </c>
      <c r="L3489">
        <v>2</v>
      </c>
      <c r="M3489">
        <v>30.19</v>
      </c>
      <c r="N3489">
        <v>308686</v>
      </c>
      <c r="O3489">
        <v>1</v>
      </c>
    </row>
    <row r="3490" spans="1:15">
      <c r="A3490" t="s">
        <v>3516</v>
      </c>
      <c r="B3490" t="s">
        <v>24</v>
      </c>
      <c r="C3490">
        <v>2</v>
      </c>
      <c r="D3490">
        <v>47217130</v>
      </c>
      <c r="E3490">
        <v>1</v>
      </c>
      <c r="F3490">
        <v>16</v>
      </c>
      <c r="G3490">
        <v>973</v>
      </c>
      <c r="H3490">
        <v>7583913</v>
      </c>
      <c r="I3490">
        <v>117181</v>
      </c>
      <c r="J3490" t="s">
        <v>25</v>
      </c>
      <c r="K3490" t="s">
        <v>18</v>
      </c>
      <c r="L3490">
        <v>1</v>
      </c>
      <c r="M3490">
        <v>7.17</v>
      </c>
      <c r="N3490">
        <v>174989</v>
      </c>
      <c r="O3490">
        <v>1</v>
      </c>
    </row>
    <row r="3491" spans="1:15">
      <c r="A3491" t="s">
        <v>3517</v>
      </c>
      <c r="B3491" t="s">
        <v>38</v>
      </c>
      <c r="C3491">
        <v>5</v>
      </c>
      <c r="D3491">
        <v>17088694</v>
      </c>
      <c r="E3491">
        <v>4</v>
      </c>
      <c r="F3491">
        <v>15</v>
      </c>
      <c r="G3491">
        <v>437</v>
      </c>
      <c r="H3491">
        <v>25692942</v>
      </c>
      <c r="I3491">
        <v>585897</v>
      </c>
      <c r="J3491" t="s">
        <v>17</v>
      </c>
      <c r="K3491" t="s">
        <v>30</v>
      </c>
      <c r="L3491">
        <v>5</v>
      </c>
      <c r="M3491">
        <v>58.32</v>
      </c>
      <c r="N3491">
        <v>903344</v>
      </c>
      <c r="O3491">
        <v>1</v>
      </c>
    </row>
    <row r="3492" spans="1:15">
      <c r="A3492" t="s">
        <v>3518</v>
      </c>
      <c r="B3492" t="s">
        <v>20</v>
      </c>
      <c r="C3492">
        <v>0</v>
      </c>
      <c r="D3492">
        <v>40350683</v>
      </c>
      <c r="E3492">
        <v>2</v>
      </c>
      <c r="F3492">
        <v>18</v>
      </c>
      <c r="G3492">
        <v>752</v>
      </c>
      <c r="H3492">
        <v>42250312</v>
      </c>
      <c r="I3492">
        <v>768854</v>
      </c>
      <c r="J3492" t="s">
        <v>25</v>
      </c>
      <c r="K3492" t="s">
        <v>18</v>
      </c>
      <c r="L3492">
        <v>7</v>
      </c>
      <c r="M3492">
        <v>92.74</v>
      </c>
      <c r="N3492">
        <v>522513</v>
      </c>
      <c r="O3492">
        <v>1</v>
      </c>
    </row>
    <row r="3493" spans="1:15">
      <c r="A3493" t="s">
        <v>3519</v>
      </c>
      <c r="B3493" t="s">
        <v>16</v>
      </c>
      <c r="C3493">
        <v>7</v>
      </c>
      <c r="D3493">
        <v>19199442</v>
      </c>
      <c r="E3493">
        <v>3</v>
      </c>
      <c r="F3493">
        <v>27</v>
      </c>
      <c r="G3493">
        <v>980</v>
      </c>
      <c r="H3493">
        <v>51059491</v>
      </c>
      <c r="I3493">
        <v>486780</v>
      </c>
      <c r="J3493" t="s">
        <v>25</v>
      </c>
      <c r="K3493" t="s">
        <v>30</v>
      </c>
      <c r="L3493">
        <v>7</v>
      </c>
      <c r="M3493">
        <v>36.880000000000003</v>
      </c>
      <c r="N3493">
        <v>720140</v>
      </c>
      <c r="O3493">
        <v>1</v>
      </c>
    </row>
    <row r="3494" spans="1:15">
      <c r="A3494" t="s">
        <v>3520</v>
      </c>
      <c r="B3494" t="s">
        <v>38</v>
      </c>
      <c r="C3494">
        <v>10</v>
      </c>
      <c r="D3494">
        <v>936064</v>
      </c>
      <c r="E3494">
        <v>1</v>
      </c>
      <c r="F3494">
        <v>4</v>
      </c>
      <c r="G3494">
        <v>260</v>
      </c>
      <c r="H3494">
        <v>88064008</v>
      </c>
      <c r="I3494">
        <v>686799</v>
      </c>
      <c r="J3494" t="s">
        <v>21</v>
      </c>
      <c r="K3494" t="s">
        <v>22</v>
      </c>
      <c r="L3494">
        <v>6</v>
      </c>
      <c r="M3494">
        <v>42</v>
      </c>
      <c r="N3494">
        <v>377380</v>
      </c>
      <c r="O3494">
        <v>1</v>
      </c>
    </row>
    <row r="3495" spans="1:15">
      <c r="A3495" t="s">
        <v>3521</v>
      </c>
      <c r="B3495" t="s">
        <v>24</v>
      </c>
      <c r="C3495">
        <v>2</v>
      </c>
      <c r="D3495">
        <v>36450136</v>
      </c>
      <c r="E3495">
        <v>1</v>
      </c>
      <c r="F3495">
        <v>9</v>
      </c>
      <c r="G3495">
        <v>558</v>
      </c>
      <c r="H3495">
        <v>99390433</v>
      </c>
      <c r="I3495">
        <v>533277</v>
      </c>
      <c r="J3495" t="s">
        <v>21</v>
      </c>
      <c r="K3495" t="s">
        <v>30</v>
      </c>
      <c r="L3495">
        <v>3</v>
      </c>
      <c r="M3495">
        <v>84.51</v>
      </c>
      <c r="N3495">
        <v>9698</v>
      </c>
      <c r="O3495">
        <v>1</v>
      </c>
    </row>
    <row r="3496" spans="1:15">
      <c r="A3496" t="s">
        <v>3522</v>
      </c>
      <c r="B3496" t="s">
        <v>16</v>
      </c>
      <c r="C3496">
        <v>3</v>
      </c>
      <c r="D3496">
        <v>32076512</v>
      </c>
      <c r="E3496">
        <v>3</v>
      </c>
      <c r="F3496">
        <v>21</v>
      </c>
      <c r="G3496">
        <v>751</v>
      </c>
      <c r="H3496">
        <v>69149486</v>
      </c>
      <c r="I3496">
        <v>517223</v>
      </c>
      <c r="J3496" t="s">
        <v>21</v>
      </c>
      <c r="K3496" t="s">
        <v>18</v>
      </c>
      <c r="L3496">
        <v>3</v>
      </c>
      <c r="M3496">
        <v>74.13</v>
      </c>
      <c r="N3496">
        <v>518735</v>
      </c>
      <c r="O3496">
        <v>1</v>
      </c>
    </row>
    <row r="3497" spans="1:15">
      <c r="A3497" t="s">
        <v>3523</v>
      </c>
      <c r="B3497" t="s">
        <v>32</v>
      </c>
      <c r="C3497">
        <v>10</v>
      </c>
      <c r="D3497">
        <v>32345694</v>
      </c>
      <c r="E3497">
        <v>3</v>
      </c>
      <c r="F3497">
        <v>4</v>
      </c>
      <c r="G3497">
        <v>970</v>
      </c>
      <c r="H3497">
        <v>52385900</v>
      </c>
      <c r="I3497">
        <v>664534</v>
      </c>
      <c r="J3497" t="s">
        <v>21</v>
      </c>
      <c r="K3497" t="s">
        <v>22</v>
      </c>
      <c r="L3497">
        <v>6</v>
      </c>
      <c r="M3497">
        <v>99.07</v>
      </c>
      <c r="N3497">
        <v>573862</v>
      </c>
      <c r="O3497">
        <v>1</v>
      </c>
    </row>
    <row r="3498" spans="1:15">
      <c r="A3498" t="s">
        <v>3524</v>
      </c>
      <c r="B3498" t="s">
        <v>38</v>
      </c>
      <c r="C3498">
        <v>1</v>
      </c>
      <c r="D3498">
        <v>4463338</v>
      </c>
      <c r="E3498">
        <v>1</v>
      </c>
      <c r="F3498">
        <v>12</v>
      </c>
      <c r="G3498">
        <v>145</v>
      </c>
      <c r="H3498">
        <v>10334522</v>
      </c>
      <c r="I3498">
        <v>710182</v>
      </c>
      <c r="J3498" t="s">
        <v>17</v>
      </c>
      <c r="K3498" t="s">
        <v>30</v>
      </c>
      <c r="L3498">
        <v>9</v>
      </c>
      <c r="M3498">
        <v>33.19</v>
      </c>
      <c r="N3498">
        <v>842402</v>
      </c>
      <c r="O3498">
        <v>1</v>
      </c>
    </row>
    <row r="3499" spans="1:15">
      <c r="A3499" t="s">
        <v>3525</v>
      </c>
      <c r="B3499" t="s">
        <v>38</v>
      </c>
      <c r="C3499">
        <v>9</v>
      </c>
      <c r="D3499">
        <v>9996062</v>
      </c>
      <c r="E3499">
        <v>2</v>
      </c>
      <c r="F3499">
        <v>23</v>
      </c>
      <c r="G3499">
        <v>314</v>
      </c>
      <c r="H3499">
        <v>74523680</v>
      </c>
      <c r="I3499">
        <v>182652</v>
      </c>
      <c r="J3499" t="s">
        <v>21</v>
      </c>
      <c r="K3499" t="s">
        <v>18</v>
      </c>
      <c r="L3499">
        <v>7</v>
      </c>
      <c r="M3499">
        <v>28.09</v>
      </c>
      <c r="N3499">
        <v>82551</v>
      </c>
      <c r="O3499">
        <v>1</v>
      </c>
    </row>
    <row r="3500" spans="1:15">
      <c r="A3500" t="s">
        <v>3526</v>
      </c>
      <c r="B3500" t="s">
        <v>32</v>
      </c>
      <c r="C3500">
        <v>2</v>
      </c>
      <c r="D3500">
        <v>22300362</v>
      </c>
      <c r="E3500">
        <v>2</v>
      </c>
      <c r="F3500">
        <v>3</v>
      </c>
      <c r="G3500">
        <v>348</v>
      </c>
      <c r="H3500">
        <v>19246224</v>
      </c>
      <c r="I3500">
        <v>699005</v>
      </c>
      <c r="J3500" t="s">
        <v>17</v>
      </c>
      <c r="K3500" t="s">
        <v>30</v>
      </c>
      <c r="L3500">
        <v>1</v>
      </c>
      <c r="M3500">
        <v>0.41</v>
      </c>
      <c r="N3500">
        <v>857521</v>
      </c>
      <c r="O3500">
        <v>1</v>
      </c>
    </row>
    <row r="3501" spans="1:15">
      <c r="A3501" t="s">
        <v>3527</v>
      </c>
      <c r="B3501" t="s">
        <v>24</v>
      </c>
      <c r="C3501">
        <v>8</v>
      </c>
      <c r="D3501">
        <v>13344216</v>
      </c>
      <c r="E3501">
        <v>2</v>
      </c>
      <c r="F3501">
        <v>29</v>
      </c>
      <c r="G3501">
        <v>656</v>
      </c>
      <c r="H3501">
        <v>56738178</v>
      </c>
      <c r="I3501">
        <v>639219</v>
      </c>
      <c r="J3501" t="s">
        <v>21</v>
      </c>
      <c r="K3501" t="s">
        <v>22</v>
      </c>
      <c r="L3501">
        <v>5</v>
      </c>
      <c r="M3501">
        <v>9.9499999999999993</v>
      </c>
      <c r="N3501">
        <v>32639</v>
      </c>
      <c r="O3501">
        <v>1</v>
      </c>
    </row>
    <row r="3502" spans="1:15">
      <c r="A3502" t="s">
        <v>3528</v>
      </c>
      <c r="B3502" t="s">
        <v>24</v>
      </c>
      <c r="C3502">
        <v>12</v>
      </c>
      <c r="D3502">
        <v>14796255</v>
      </c>
      <c r="E3502">
        <v>2</v>
      </c>
      <c r="F3502">
        <v>20</v>
      </c>
      <c r="G3502">
        <v>882</v>
      </c>
      <c r="H3502">
        <v>52964636</v>
      </c>
      <c r="I3502">
        <v>859620</v>
      </c>
      <c r="J3502" t="s">
        <v>17</v>
      </c>
      <c r="K3502" t="s">
        <v>30</v>
      </c>
      <c r="L3502">
        <v>1</v>
      </c>
      <c r="M3502">
        <v>9.85</v>
      </c>
      <c r="N3502">
        <v>88772</v>
      </c>
      <c r="O3502">
        <v>1</v>
      </c>
    </row>
    <row r="3503" spans="1:15">
      <c r="A3503" t="s">
        <v>3529</v>
      </c>
      <c r="B3503" t="s">
        <v>29</v>
      </c>
      <c r="C3503">
        <v>7</v>
      </c>
      <c r="D3503">
        <v>32596143</v>
      </c>
      <c r="E3503">
        <v>1</v>
      </c>
      <c r="F3503">
        <v>23</v>
      </c>
      <c r="G3503">
        <v>641</v>
      </c>
      <c r="H3503">
        <v>49278194</v>
      </c>
      <c r="I3503">
        <v>76705</v>
      </c>
      <c r="J3503" t="s">
        <v>17</v>
      </c>
      <c r="K3503" t="s">
        <v>22</v>
      </c>
      <c r="L3503">
        <v>4</v>
      </c>
      <c r="M3503">
        <v>86.18</v>
      </c>
      <c r="N3503">
        <v>882654</v>
      </c>
      <c r="O3503">
        <v>1</v>
      </c>
    </row>
    <row r="3504" spans="1:15">
      <c r="A3504" t="s">
        <v>3530</v>
      </c>
      <c r="B3504" t="s">
        <v>32</v>
      </c>
      <c r="C3504">
        <v>4</v>
      </c>
      <c r="D3504">
        <v>15787127</v>
      </c>
      <c r="E3504">
        <v>3</v>
      </c>
      <c r="F3504">
        <v>18</v>
      </c>
      <c r="G3504">
        <v>435</v>
      </c>
      <c r="H3504">
        <v>83618682</v>
      </c>
      <c r="I3504">
        <v>988656</v>
      </c>
      <c r="J3504" t="s">
        <v>21</v>
      </c>
      <c r="K3504" t="s">
        <v>30</v>
      </c>
      <c r="L3504">
        <v>8</v>
      </c>
      <c r="M3504">
        <v>76.86</v>
      </c>
      <c r="N3504">
        <v>765106</v>
      </c>
      <c r="O3504">
        <v>1</v>
      </c>
    </row>
    <row r="3505" spans="1:15">
      <c r="A3505" t="s">
        <v>3531</v>
      </c>
      <c r="B3505" t="s">
        <v>27</v>
      </c>
      <c r="C3505">
        <v>6</v>
      </c>
      <c r="D3505">
        <v>35539708</v>
      </c>
      <c r="E3505">
        <v>3</v>
      </c>
      <c r="F3505">
        <v>18</v>
      </c>
      <c r="G3505">
        <v>814</v>
      </c>
      <c r="H3505">
        <v>86542514</v>
      </c>
      <c r="I3505">
        <v>456989</v>
      </c>
      <c r="J3505" t="s">
        <v>17</v>
      </c>
      <c r="K3505" t="s">
        <v>30</v>
      </c>
      <c r="L3505">
        <v>3</v>
      </c>
      <c r="M3505">
        <v>83.93</v>
      </c>
      <c r="N3505">
        <v>286224</v>
      </c>
      <c r="O3505">
        <v>1</v>
      </c>
    </row>
    <row r="3506" spans="1:15">
      <c r="A3506" t="s">
        <v>3532</v>
      </c>
      <c r="B3506" t="s">
        <v>27</v>
      </c>
      <c r="C3506">
        <v>8</v>
      </c>
      <c r="D3506">
        <v>26695959</v>
      </c>
      <c r="E3506">
        <v>3</v>
      </c>
      <c r="F3506">
        <v>1</v>
      </c>
      <c r="G3506">
        <v>420</v>
      </c>
      <c r="H3506">
        <v>25102542</v>
      </c>
      <c r="I3506">
        <v>348524</v>
      </c>
      <c r="J3506" t="s">
        <v>17</v>
      </c>
      <c r="K3506" t="s">
        <v>30</v>
      </c>
      <c r="L3506">
        <v>3</v>
      </c>
      <c r="M3506">
        <v>44.11</v>
      </c>
      <c r="N3506">
        <v>345720</v>
      </c>
      <c r="O3506">
        <v>1</v>
      </c>
    </row>
    <row r="3507" spans="1:15">
      <c r="A3507" t="s">
        <v>3533</v>
      </c>
      <c r="B3507" t="s">
        <v>20</v>
      </c>
      <c r="C3507">
        <v>10</v>
      </c>
      <c r="D3507">
        <v>20793064</v>
      </c>
      <c r="E3507">
        <v>2</v>
      </c>
      <c r="F3507">
        <v>26</v>
      </c>
      <c r="G3507">
        <v>380</v>
      </c>
      <c r="H3507">
        <v>51896552</v>
      </c>
      <c r="I3507">
        <v>403706</v>
      </c>
      <c r="J3507" t="s">
        <v>25</v>
      </c>
      <c r="K3507" t="s">
        <v>30</v>
      </c>
      <c r="L3507">
        <v>1</v>
      </c>
      <c r="M3507">
        <v>4.22</v>
      </c>
      <c r="N3507">
        <v>382191</v>
      </c>
      <c r="O3507">
        <v>1</v>
      </c>
    </row>
    <row r="3508" spans="1:15">
      <c r="A3508" t="s">
        <v>3534</v>
      </c>
      <c r="B3508" t="s">
        <v>38</v>
      </c>
      <c r="C3508">
        <v>1</v>
      </c>
      <c r="D3508">
        <v>24132010</v>
      </c>
      <c r="E3508">
        <v>3</v>
      </c>
      <c r="F3508">
        <v>11</v>
      </c>
      <c r="G3508">
        <v>837</v>
      </c>
      <c r="H3508">
        <v>46452867</v>
      </c>
      <c r="I3508">
        <v>453516</v>
      </c>
      <c r="J3508" t="s">
        <v>25</v>
      </c>
      <c r="K3508" t="s">
        <v>18</v>
      </c>
      <c r="L3508">
        <v>4</v>
      </c>
      <c r="M3508">
        <v>56.74</v>
      </c>
      <c r="N3508">
        <v>22629</v>
      </c>
      <c r="O3508">
        <v>1</v>
      </c>
    </row>
    <row r="3509" spans="1:15">
      <c r="A3509" t="s">
        <v>3535</v>
      </c>
      <c r="B3509" t="s">
        <v>16</v>
      </c>
      <c r="C3509">
        <v>10</v>
      </c>
      <c r="D3509">
        <v>45705914</v>
      </c>
      <c r="E3509">
        <v>2</v>
      </c>
      <c r="F3509">
        <v>19</v>
      </c>
      <c r="G3509">
        <v>555</v>
      </c>
      <c r="H3509">
        <v>57777329</v>
      </c>
      <c r="I3509">
        <v>358243</v>
      </c>
      <c r="J3509" t="s">
        <v>25</v>
      </c>
      <c r="K3509" t="s">
        <v>22</v>
      </c>
      <c r="L3509">
        <v>8</v>
      </c>
      <c r="M3509">
        <v>53.87</v>
      </c>
      <c r="N3509">
        <v>176376</v>
      </c>
      <c r="O3509">
        <v>1</v>
      </c>
    </row>
    <row r="3510" spans="1:15">
      <c r="A3510" t="s">
        <v>3536</v>
      </c>
      <c r="B3510" t="s">
        <v>29</v>
      </c>
      <c r="C3510">
        <v>2</v>
      </c>
      <c r="D3510">
        <v>49533940</v>
      </c>
      <c r="E3510">
        <v>4</v>
      </c>
      <c r="F3510">
        <v>9</v>
      </c>
      <c r="G3510">
        <v>985</v>
      </c>
      <c r="H3510">
        <v>63494887</v>
      </c>
      <c r="I3510">
        <v>943244</v>
      </c>
      <c r="J3510" t="s">
        <v>25</v>
      </c>
      <c r="K3510" t="s">
        <v>18</v>
      </c>
      <c r="L3510">
        <v>2</v>
      </c>
      <c r="M3510">
        <v>82.24</v>
      </c>
      <c r="N3510">
        <v>805537</v>
      </c>
      <c r="O3510">
        <v>1</v>
      </c>
    </row>
    <row r="3511" spans="1:15">
      <c r="A3511" t="s">
        <v>3537</v>
      </c>
      <c r="B3511" t="s">
        <v>38</v>
      </c>
      <c r="C3511">
        <v>8</v>
      </c>
      <c r="D3511">
        <v>42571254</v>
      </c>
      <c r="E3511">
        <v>1</v>
      </c>
      <c r="F3511">
        <v>3</v>
      </c>
      <c r="G3511">
        <v>732</v>
      </c>
      <c r="H3511">
        <v>3702689</v>
      </c>
      <c r="I3511">
        <v>283086</v>
      </c>
      <c r="J3511" t="s">
        <v>21</v>
      </c>
      <c r="K3511" t="s">
        <v>18</v>
      </c>
      <c r="L3511">
        <v>1</v>
      </c>
      <c r="M3511">
        <v>5.67</v>
      </c>
      <c r="N3511">
        <v>883524</v>
      </c>
      <c r="O3511">
        <v>1</v>
      </c>
    </row>
    <row r="3512" spans="1:15">
      <c r="A3512" t="s">
        <v>3538</v>
      </c>
      <c r="B3512" t="s">
        <v>38</v>
      </c>
      <c r="C3512">
        <v>2</v>
      </c>
      <c r="D3512">
        <v>31702152</v>
      </c>
      <c r="E3512">
        <v>2</v>
      </c>
      <c r="F3512">
        <v>26</v>
      </c>
      <c r="G3512">
        <v>692</v>
      </c>
      <c r="H3512">
        <v>93438142</v>
      </c>
      <c r="I3512">
        <v>732924</v>
      </c>
      <c r="J3512" t="s">
        <v>25</v>
      </c>
      <c r="K3512" t="s">
        <v>22</v>
      </c>
      <c r="L3512">
        <v>7</v>
      </c>
      <c r="M3512">
        <v>40.75</v>
      </c>
      <c r="N3512">
        <v>45127</v>
      </c>
      <c r="O3512">
        <v>1</v>
      </c>
    </row>
    <row r="3513" spans="1:15">
      <c r="A3513" t="s">
        <v>3539</v>
      </c>
      <c r="B3513" t="s">
        <v>32</v>
      </c>
      <c r="C3513">
        <v>8</v>
      </c>
      <c r="D3513">
        <v>41645982</v>
      </c>
      <c r="E3513">
        <v>4</v>
      </c>
      <c r="F3513">
        <v>27</v>
      </c>
      <c r="G3513">
        <v>604</v>
      </c>
      <c r="H3513">
        <v>23191912</v>
      </c>
      <c r="I3513">
        <v>114066</v>
      </c>
      <c r="J3513" t="s">
        <v>21</v>
      </c>
      <c r="K3513" t="s">
        <v>22</v>
      </c>
      <c r="L3513">
        <v>6</v>
      </c>
      <c r="M3513">
        <v>75.59</v>
      </c>
      <c r="N3513">
        <v>175470</v>
      </c>
      <c r="O3513">
        <v>1</v>
      </c>
    </row>
    <row r="3514" spans="1:15">
      <c r="A3514" t="s">
        <v>3540</v>
      </c>
      <c r="B3514" t="s">
        <v>24</v>
      </c>
      <c r="C3514">
        <v>1</v>
      </c>
      <c r="D3514">
        <v>40715912</v>
      </c>
      <c r="E3514">
        <v>4</v>
      </c>
      <c r="F3514">
        <v>27</v>
      </c>
      <c r="G3514">
        <v>100</v>
      </c>
      <c r="H3514">
        <v>80396016</v>
      </c>
      <c r="I3514">
        <v>819416</v>
      </c>
      <c r="J3514" t="s">
        <v>25</v>
      </c>
      <c r="K3514" t="s">
        <v>18</v>
      </c>
      <c r="L3514">
        <v>3</v>
      </c>
      <c r="M3514">
        <v>79.180000000000007</v>
      </c>
      <c r="N3514">
        <v>93501</v>
      </c>
      <c r="O3514">
        <v>1</v>
      </c>
    </row>
    <row r="3515" spans="1:15">
      <c r="A3515" t="s">
        <v>3541</v>
      </c>
      <c r="B3515" t="s">
        <v>20</v>
      </c>
      <c r="C3515">
        <v>2</v>
      </c>
      <c r="D3515">
        <v>43376888</v>
      </c>
      <c r="E3515">
        <v>2</v>
      </c>
      <c r="F3515">
        <v>4</v>
      </c>
      <c r="G3515">
        <v>566</v>
      </c>
      <c r="H3515">
        <v>46793559</v>
      </c>
      <c r="I3515">
        <v>222773</v>
      </c>
      <c r="J3515" t="s">
        <v>17</v>
      </c>
      <c r="K3515" t="s">
        <v>30</v>
      </c>
      <c r="L3515">
        <v>7</v>
      </c>
      <c r="M3515">
        <v>81.66</v>
      </c>
      <c r="N3515">
        <v>541744</v>
      </c>
      <c r="O3515">
        <v>1</v>
      </c>
    </row>
    <row r="3516" spans="1:15">
      <c r="A3516" t="s">
        <v>3542</v>
      </c>
      <c r="B3516" t="s">
        <v>27</v>
      </c>
      <c r="C3516">
        <v>5</v>
      </c>
      <c r="D3516">
        <v>10365868</v>
      </c>
      <c r="E3516">
        <v>3</v>
      </c>
      <c r="F3516">
        <v>13</v>
      </c>
      <c r="G3516">
        <v>252</v>
      </c>
      <c r="H3516">
        <v>83374529</v>
      </c>
      <c r="I3516">
        <v>213159</v>
      </c>
      <c r="J3516" t="s">
        <v>21</v>
      </c>
      <c r="K3516" t="s">
        <v>22</v>
      </c>
      <c r="L3516">
        <v>4</v>
      </c>
      <c r="M3516">
        <v>23.75</v>
      </c>
      <c r="N3516">
        <v>964676</v>
      </c>
      <c r="O3516">
        <v>1</v>
      </c>
    </row>
    <row r="3517" spans="1:15">
      <c r="A3517" t="s">
        <v>3543</v>
      </c>
      <c r="B3517" t="s">
        <v>20</v>
      </c>
      <c r="C3517">
        <v>11</v>
      </c>
      <c r="D3517">
        <v>43078894</v>
      </c>
      <c r="E3517">
        <v>4</v>
      </c>
      <c r="F3517">
        <v>24</v>
      </c>
      <c r="G3517">
        <v>310</v>
      </c>
      <c r="H3517">
        <v>66182937</v>
      </c>
      <c r="I3517">
        <v>142173</v>
      </c>
      <c r="J3517" t="s">
        <v>21</v>
      </c>
      <c r="K3517" t="s">
        <v>22</v>
      </c>
      <c r="L3517">
        <v>3</v>
      </c>
      <c r="M3517">
        <v>54.91</v>
      </c>
      <c r="N3517">
        <v>865644</v>
      </c>
      <c r="O3517">
        <v>1</v>
      </c>
    </row>
    <row r="3518" spans="1:15">
      <c r="A3518" t="s">
        <v>3544</v>
      </c>
      <c r="B3518" t="s">
        <v>32</v>
      </c>
      <c r="C3518">
        <v>13</v>
      </c>
      <c r="D3518">
        <v>39647371</v>
      </c>
      <c r="E3518">
        <v>1</v>
      </c>
      <c r="F3518">
        <v>23</v>
      </c>
      <c r="G3518">
        <v>446</v>
      </c>
      <c r="H3518">
        <v>2340235</v>
      </c>
      <c r="I3518">
        <v>270657</v>
      </c>
      <c r="J3518" t="s">
        <v>25</v>
      </c>
      <c r="K3518" t="s">
        <v>22</v>
      </c>
      <c r="L3518">
        <v>6</v>
      </c>
      <c r="M3518">
        <v>80</v>
      </c>
      <c r="N3518">
        <v>206531</v>
      </c>
      <c r="O3518">
        <v>1</v>
      </c>
    </row>
    <row r="3519" spans="1:15">
      <c r="A3519" t="s">
        <v>3545</v>
      </c>
      <c r="B3519" t="s">
        <v>32</v>
      </c>
      <c r="C3519">
        <v>1</v>
      </c>
      <c r="D3519">
        <v>800444</v>
      </c>
      <c r="E3519">
        <v>1</v>
      </c>
      <c r="F3519">
        <v>23</v>
      </c>
      <c r="G3519">
        <v>210</v>
      </c>
      <c r="H3519">
        <v>7175292</v>
      </c>
      <c r="I3519">
        <v>883297</v>
      </c>
      <c r="J3519" t="s">
        <v>17</v>
      </c>
      <c r="K3519" t="s">
        <v>30</v>
      </c>
      <c r="L3519">
        <v>4</v>
      </c>
      <c r="M3519">
        <v>10.119999999999999</v>
      </c>
      <c r="N3519">
        <v>632209</v>
      </c>
      <c r="O3519">
        <v>1</v>
      </c>
    </row>
    <row r="3520" spans="1:15">
      <c r="A3520" t="s">
        <v>3546</v>
      </c>
      <c r="B3520" t="s">
        <v>20</v>
      </c>
      <c r="C3520">
        <v>5</v>
      </c>
      <c r="D3520">
        <v>33278825</v>
      </c>
      <c r="E3520">
        <v>2</v>
      </c>
      <c r="F3520">
        <v>29</v>
      </c>
      <c r="G3520">
        <v>24</v>
      </c>
      <c r="H3520">
        <v>71332776</v>
      </c>
      <c r="I3520">
        <v>505520</v>
      </c>
      <c r="J3520" t="s">
        <v>25</v>
      </c>
      <c r="K3520" t="s">
        <v>30</v>
      </c>
      <c r="L3520">
        <v>1</v>
      </c>
      <c r="M3520">
        <v>68.739999999999995</v>
      </c>
      <c r="N3520">
        <v>809631</v>
      </c>
      <c r="O3520">
        <v>1</v>
      </c>
    </row>
    <row r="3521" spans="1:15">
      <c r="A3521" t="s">
        <v>3547</v>
      </c>
      <c r="B3521" t="s">
        <v>27</v>
      </c>
      <c r="C3521">
        <v>4</v>
      </c>
      <c r="D3521">
        <v>7690527</v>
      </c>
      <c r="E3521">
        <v>1</v>
      </c>
      <c r="F3521">
        <v>27</v>
      </c>
      <c r="G3521">
        <v>745</v>
      </c>
      <c r="H3521">
        <v>35838934</v>
      </c>
      <c r="I3521">
        <v>834573</v>
      </c>
      <c r="J3521" t="s">
        <v>25</v>
      </c>
      <c r="K3521" t="s">
        <v>22</v>
      </c>
      <c r="L3521">
        <v>3</v>
      </c>
      <c r="M3521">
        <v>25.75</v>
      </c>
      <c r="N3521">
        <v>44884</v>
      </c>
      <c r="O3521">
        <v>1</v>
      </c>
    </row>
    <row r="3522" spans="1:15">
      <c r="A3522" t="s">
        <v>3548</v>
      </c>
      <c r="B3522" t="s">
        <v>38</v>
      </c>
      <c r="C3522">
        <v>0</v>
      </c>
      <c r="D3522">
        <v>16321809</v>
      </c>
      <c r="E3522">
        <v>3</v>
      </c>
      <c r="F3522">
        <v>25</v>
      </c>
      <c r="G3522">
        <v>92</v>
      </c>
      <c r="H3522">
        <v>17161224</v>
      </c>
      <c r="I3522">
        <v>634679</v>
      </c>
      <c r="J3522" t="s">
        <v>17</v>
      </c>
      <c r="K3522" t="s">
        <v>22</v>
      </c>
      <c r="L3522">
        <v>4</v>
      </c>
      <c r="M3522">
        <v>33.26</v>
      </c>
      <c r="N3522">
        <v>745197</v>
      </c>
      <c r="O3522">
        <v>1</v>
      </c>
    </row>
    <row r="3523" spans="1:15">
      <c r="A3523" t="s">
        <v>3549</v>
      </c>
      <c r="B3523" t="s">
        <v>29</v>
      </c>
      <c r="C3523">
        <v>3</v>
      </c>
      <c r="D3523">
        <v>126571</v>
      </c>
      <c r="E3523">
        <v>1</v>
      </c>
      <c r="F3523">
        <v>5</v>
      </c>
      <c r="G3523">
        <v>559</v>
      </c>
      <c r="H3523">
        <v>25298225</v>
      </c>
      <c r="I3523">
        <v>687734</v>
      </c>
      <c r="J3523" t="s">
        <v>21</v>
      </c>
      <c r="K3523" t="s">
        <v>18</v>
      </c>
      <c r="L3523">
        <v>7</v>
      </c>
      <c r="M3523">
        <v>14.14</v>
      </c>
      <c r="N3523">
        <v>378204</v>
      </c>
      <c r="O3523">
        <v>1</v>
      </c>
    </row>
    <row r="3524" spans="1:15">
      <c r="A3524" t="s">
        <v>3550</v>
      </c>
      <c r="B3524" t="s">
        <v>38</v>
      </c>
      <c r="C3524">
        <v>9</v>
      </c>
      <c r="D3524">
        <v>17199915</v>
      </c>
      <c r="E3524">
        <v>1</v>
      </c>
      <c r="F3524">
        <v>3</v>
      </c>
      <c r="G3524">
        <v>895</v>
      </c>
      <c r="H3524">
        <v>78850594</v>
      </c>
      <c r="I3524">
        <v>318294</v>
      </c>
      <c r="J3524" t="s">
        <v>25</v>
      </c>
      <c r="K3524" t="s">
        <v>22</v>
      </c>
      <c r="L3524">
        <v>3</v>
      </c>
      <c r="M3524">
        <v>21.59</v>
      </c>
      <c r="N3524">
        <v>486687</v>
      </c>
      <c r="O3524">
        <v>1</v>
      </c>
    </row>
    <row r="3525" spans="1:15">
      <c r="A3525" t="s">
        <v>3551</v>
      </c>
      <c r="B3525" t="s">
        <v>20</v>
      </c>
      <c r="C3525">
        <v>5</v>
      </c>
      <c r="D3525">
        <v>19322375</v>
      </c>
      <c r="E3525">
        <v>2</v>
      </c>
      <c r="F3525">
        <v>4</v>
      </c>
      <c r="G3525">
        <v>556</v>
      </c>
      <c r="H3525">
        <v>33969883</v>
      </c>
      <c r="I3525">
        <v>579268</v>
      </c>
      <c r="J3525" t="s">
        <v>25</v>
      </c>
      <c r="K3525" t="s">
        <v>18</v>
      </c>
      <c r="L3525">
        <v>5</v>
      </c>
      <c r="M3525">
        <v>60.8</v>
      </c>
      <c r="N3525">
        <v>311208</v>
      </c>
      <c r="O3525">
        <v>1</v>
      </c>
    </row>
    <row r="3526" spans="1:15">
      <c r="A3526" t="s">
        <v>3552</v>
      </c>
      <c r="B3526" t="s">
        <v>20</v>
      </c>
      <c r="C3526">
        <v>11</v>
      </c>
      <c r="D3526">
        <v>19394623</v>
      </c>
      <c r="E3526">
        <v>4</v>
      </c>
      <c r="F3526">
        <v>21</v>
      </c>
      <c r="G3526">
        <v>712</v>
      </c>
      <c r="H3526">
        <v>95868218</v>
      </c>
      <c r="I3526">
        <v>347075</v>
      </c>
      <c r="J3526" t="s">
        <v>17</v>
      </c>
      <c r="K3526" t="s">
        <v>30</v>
      </c>
      <c r="L3526">
        <v>9</v>
      </c>
      <c r="M3526">
        <v>47.81</v>
      </c>
      <c r="N3526">
        <v>925800</v>
      </c>
      <c r="O3526">
        <v>1</v>
      </c>
    </row>
    <row r="3527" spans="1:15">
      <c r="A3527" t="s">
        <v>3553</v>
      </c>
      <c r="B3527" t="s">
        <v>32</v>
      </c>
      <c r="C3527">
        <v>1</v>
      </c>
      <c r="D3527">
        <v>14132797</v>
      </c>
      <c r="E3527">
        <v>4</v>
      </c>
      <c r="F3527">
        <v>4</v>
      </c>
      <c r="G3527">
        <v>843</v>
      </c>
      <c r="H3527">
        <v>74529249</v>
      </c>
      <c r="I3527">
        <v>935961</v>
      </c>
      <c r="J3527" t="s">
        <v>17</v>
      </c>
      <c r="K3527" t="s">
        <v>22</v>
      </c>
      <c r="L3527">
        <v>2</v>
      </c>
      <c r="M3527">
        <v>32.65</v>
      </c>
      <c r="N3527">
        <v>691229</v>
      </c>
      <c r="O3527">
        <v>1</v>
      </c>
    </row>
    <row r="3528" spans="1:15">
      <c r="A3528" t="s">
        <v>3554</v>
      </c>
      <c r="B3528" t="s">
        <v>29</v>
      </c>
      <c r="C3528">
        <v>8</v>
      </c>
      <c r="D3528">
        <v>26565773</v>
      </c>
      <c r="E3528">
        <v>3</v>
      </c>
      <c r="F3528">
        <v>27</v>
      </c>
      <c r="G3528">
        <v>686</v>
      </c>
      <c r="H3528">
        <v>18168408</v>
      </c>
      <c r="I3528">
        <v>750858</v>
      </c>
      <c r="J3528" t="s">
        <v>25</v>
      </c>
      <c r="K3528" t="s">
        <v>30</v>
      </c>
      <c r="L3528">
        <v>3</v>
      </c>
      <c r="M3528">
        <v>42.46</v>
      </c>
      <c r="N3528">
        <v>732443</v>
      </c>
      <c r="O3528">
        <v>1</v>
      </c>
    </row>
    <row r="3529" spans="1:15">
      <c r="A3529" t="s">
        <v>3555</v>
      </c>
      <c r="B3529" t="s">
        <v>16</v>
      </c>
      <c r="C3529">
        <v>6</v>
      </c>
      <c r="D3529">
        <v>8132481</v>
      </c>
      <c r="E3529">
        <v>4</v>
      </c>
      <c r="F3529">
        <v>5</v>
      </c>
      <c r="G3529">
        <v>313</v>
      </c>
      <c r="H3529">
        <v>14243010</v>
      </c>
      <c r="I3529">
        <v>789976</v>
      </c>
      <c r="J3529" t="s">
        <v>25</v>
      </c>
      <c r="K3529" t="s">
        <v>22</v>
      </c>
      <c r="L3529">
        <v>3</v>
      </c>
      <c r="M3529">
        <v>82.77</v>
      </c>
      <c r="N3529">
        <v>147675</v>
      </c>
      <c r="O3529">
        <v>1</v>
      </c>
    </row>
    <row r="3530" spans="1:15">
      <c r="A3530" t="s">
        <v>3556</v>
      </c>
      <c r="B3530" t="s">
        <v>24</v>
      </c>
      <c r="C3530">
        <v>14</v>
      </c>
      <c r="D3530">
        <v>28604618</v>
      </c>
      <c r="E3530">
        <v>4</v>
      </c>
      <c r="F3530">
        <v>14</v>
      </c>
      <c r="G3530">
        <v>620</v>
      </c>
      <c r="H3530">
        <v>86536530</v>
      </c>
      <c r="I3530">
        <v>995467</v>
      </c>
      <c r="J3530" t="s">
        <v>21</v>
      </c>
      <c r="K3530" t="s">
        <v>18</v>
      </c>
      <c r="L3530">
        <v>9</v>
      </c>
      <c r="M3530">
        <v>64.38</v>
      </c>
      <c r="N3530">
        <v>174257</v>
      </c>
      <c r="O3530">
        <v>1</v>
      </c>
    </row>
    <row r="3531" spans="1:15">
      <c r="A3531" t="s">
        <v>3557</v>
      </c>
      <c r="B3531" t="s">
        <v>24</v>
      </c>
      <c r="C3531">
        <v>10</v>
      </c>
      <c r="D3531">
        <v>24512032</v>
      </c>
      <c r="E3531">
        <v>2</v>
      </c>
      <c r="F3531">
        <v>6</v>
      </c>
      <c r="G3531">
        <v>157</v>
      </c>
      <c r="H3531">
        <v>53301893</v>
      </c>
      <c r="I3531">
        <v>495579</v>
      </c>
      <c r="J3531" t="s">
        <v>21</v>
      </c>
      <c r="K3531" t="s">
        <v>18</v>
      </c>
      <c r="L3531">
        <v>2</v>
      </c>
      <c r="M3531">
        <v>51.82</v>
      </c>
      <c r="N3531">
        <v>99614</v>
      </c>
      <c r="O3531">
        <v>1</v>
      </c>
    </row>
    <row r="3532" spans="1:15">
      <c r="A3532" t="s">
        <v>3558</v>
      </c>
      <c r="B3532" t="s">
        <v>24</v>
      </c>
      <c r="C3532">
        <v>9</v>
      </c>
      <c r="D3532">
        <v>23525162</v>
      </c>
      <c r="E3532">
        <v>4</v>
      </c>
      <c r="F3532">
        <v>1</v>
      </c>
      <c r="G3532">
        <v>53</v>
      </c>
      <c r="H3532">
        <v>42791751</v>
      </c>
      <c r="I3532">
        <v>725747</v>
      </c>
      <c r="J3532" t="s">
        <v>25</v>
      </c>
      <c r="K3532" t="s">
        <v>22</v>
      </c>
      <c r="L3532">
        <v>8</v>
      </c>
      <c r="M3532">
        <v>2.4900000000000002</v>
      </c>
      <c r="N3532">
        <v>80835</v>
      </c>
      <c r="O3532">
        <v>1</v>
      </c>
    </row>
    <row r="3533" spans="1:15">
      <c r="A3533" t="s">
        <v>3559</v>
      </c>
      <c r="B3533" t="s">
        <v>27</v>
      </c>
      <c r="C3533">
        <v>0</v>
      </c>
      <c r="D3533">
        <v>23096505</v>
      </c>
      <c r="E3533">
        <v>3</v>
      </c>
      <c r="F3533">
        <v>1</v>
      </c>
      <c r="G3533">
        <v>151</v>
      </c>
      <c r="H3533">
        <v>47738638</v>
      </c>
      <c r="I3533">
        <v>813698</v>
      </c>
      <c r="J3533" t="s">
        <v>25</v>
      </c>
      <c r="K3533" t="s">
        <v>30</v>
      </c>
      <c r="L3533">
        <v>2</v>
      </c>
      <c r="M3533">
        <v>58.08</v>
      </c>
      <c r="N3533">
        <v>890933</v>
      </c>
      <c r="O3533">
        <v>1</v>
      </c>
    </row>
    <row r="3534" spans="1:15">
      <c r="A3534" t="s">
        <v>3560</v>
      </c>
      <c r="B3534" t="s">
        <v>16</v>
      </c>
      <c r="C3534">
        <v>4</v>
      </c>
      <c r="D3534">
        <v>2359880</v>
      </c>
      <c r="E3534">
        <v>4</v>
      </c>
      <c r="F3534">
        <v>29</v>
      </c>
      <c r="G3534">
        <v>811</v>
      </c>
      <c r="H3534">
        <v>31675289</v>
      </c>
      <c r="I3534">
        <v>127020</v>
      </c>
      <c r="J3534" t="s">
        <v>17</v>
      </c>
      <c r="K3534" t="s">
        <v>30</v>
      </c>
      <c r="L3534">
        <v>5</v>
      </c>
      <c r="M3534">
        <v>14.81</v>
      </c>
      <c r="N3534">
        <v>255014</v>
      </c>
      <c r="O3534">
        <v>1</v>
      </c>
    </row>
    <row r="3535" spans="1:15">
      <c r="A3535" t="s">
        <v>3561</v>
      </c>
      <c r="B3535" t="s">
        <v>29</v>
      </c>
      <c r="C3535">
        <v>9</v>
      </c>
      <c r="D3535">
        <v>24303623</v>
      </c>
      <c r="E3535">
        <v>3</v>
      </c>
      <c r="F3535">
        <v>23</v>
      </c>
      <c r="G3535">
        <v>551</v>
      </c>
      <c r="H3535">
        <v>47729158</v>
      </c>
      <c r="I3535">
        <v>515749</v>
      </c>
      <c r="J3535" t="s">
        <v>17</v>
      </c>
      <c r="K3535" t="s">
        <v>22</v>
      </c>
      <c r="L3535">
        <v>8</v>
      </c>
      <c r="M3535">
        <v>62.02</v>
      </c>
      <c r="N3535">
        <v>577371</v>
      </c>
      <c r="O3535">
        <v>1</v>
      </c>
    </row>
    <row r="3536" spans="1:15">
      <c r="A3536" t="s">
        <v>3562</v>
      </c>
      <c r="B3536" t="s">
        <v>29</v>
      </c>
      <c r="C3536">
        <v>5</v>
      </c>
      <c r="D3536">
        <v>4678308</v>
      </c>
      <c r="E3536">
        <v>1</v>
      </c>
      <c r="F3536">
        <v>10</v>
      </c>
      <c r="G3536">
        <v>234</v>
      </c>
      <c r="H3536">
        <v>65653022</v>
      </c>
      <c r="I3536">
        <v>495125</v>
      </c>
      <c r="J3536" t="s">
        <v>25</v>
      </c>
      <c r="K3536" t="s">
        <v>18</v>
      </c>
      <c r="L3536">
        <v>9</v>
      </c>
      <c r="M3536">
        <v>38.99</v>
      </c>
      <c r="N3536">
        <v>469385</v>
      </c>
      <c r="O3536">
        <v>1</v>
      </c>
    </row>
    <row r="3537" spans="1:15">
      <c r="A3537" t="s">
        <v>3563</v>
      </c>
      <c r="B3537" t="s">
        <v>32</v>
      </c>
      <c r="C3537">
        <v>1</v>
      </c>
      <c r="D3537">
        <v>36797008</v>
      </c>
      <c r="E3537">
        <v>1</v>
      </c>
      <c r="F3537">
        <v>29</v>
      </c>
      <c r="G3537">
        <v>111</v>
      </c>
      <c r="H3537">
        <v>43756809</v>
      </c>
      <c r="I3537">
        <v>340875</v>
      </c>
      <c r="J3537" t="s">
        <v>21</v>
      </c>
      <c r="K3537" t="s">
        <v>30</v>
      </c>
      <c r="L3537">
        <v>5</v>
      </c>
      <c r="M3537">
        <v>42.11</v>
      </c>
      <c r="N3537">
        <v>247033</v>
      </c>
      <c r="O3537">
        <v>1</v>
      </c>
    </row>
    <row r="3538" spans="1:15">
      <c r="A3538" t="s">
        <v>3564</v>
      </c>
      <c r="B3538" t="s">
        <v>32</v>
      </c>
      <c r="C3538">
        <v>2</v>
      </c>
      <c r="D3538">
        <v>29681355</v>
      </c>
      <c r="E3538">
        <v>2</v>
      </c>
      <c r="F3538">
        <v>29</v>
      </c>
      <c r="G3538">
        <v>974</v>
      </c>
      <c r="H3538">
        <v>93904233</v>
      </c>
      <c r="I3538">
        <v>113165</v>
      </c>
      <c r="J3538" t="s">
        <v>25</v>
      </c>
      <c r="K3538" t="s">
        <v>30</v>
      </c>
      <c r="L3538">
        <v>7</v>
      </c>
      <c r="M3538">
        <v>70.23</v>
      </c>
      <c r="N3538">
        <v>129844</v>
      </c>
      <c r="O3538">
        <v>1</v>
      </c>
    </row>
    <row r="3539" spans="1:15">
      <c r="A3539" t="s">
        <v>3565</v>
      </c>
      <c r="B3539" t="s">
        <v>32</v>
      </c>
      <c r="C3539">
        <v>4</v>
      </c>
      <c r="D3539">
        <v>47421931</v>
      </c>
      <c r="E3539">
        <v>1</v>
      </c>
      <c r="F3539">
        <v>26</v>
      </c>
      <c r="G3539">
        <v>930</v>
      </c>
      <c r="H3539">
        <v>7661669</v>
      </c>
      <c r="I3539">
        <v>653409</v>
      </c>
      <c r="J3539" t="s">
        <v>21</v>
      </c>
      <c r="K3539" t="s">
        <v>22</v>
      </c>
      <c r="L3539">
        <v>5</v>
      </c>
      <c r="M3539">
        <v>73.989999999999995</v>
      </c>
      <c r="N3539">
        <v>837811</v>
      </c>
      <c r="O3539">
        <v>1</v>
      </c>
    </row>
    <row r="3540" spans="1:15">
      <c r="A3540" t="s">
        <v>3566</v>
      </c>
      <c r="B3540" t="s">
        <v>20</v>
      </c>
      <c r="C3540">
        <v>8</v>
      </c>
      <c r="D3540">
        <v>21282339</v>
      </c>
      <c r="E3540">
        <v>4</v>
      </c>
      <c r="F3540">
        <v>24</v>
      </c>
      <c r="G3540">
        <v>818</v>
      </c>
      <c r="H3540">
        <v>3446733</v>
      </c>
      <c r="I3540">
        <v>208681</v>
      </c>
      <c r="J3540" t="s">
        <v>21</v>
      </c>
      <c r="K3540" t="s">
        <v>30</v>
      </c>
      <c r="L3540">
        <v>9</v>
      </c>
      <c r="M3540">
        <v>74.61</v>
      </c>
      <c r="N3540">
        <v>977816</v>
      </c>
      <c r="O3540">
        <v>1</v>
      </c>
    </row>
    <row r="3541" spans="1:15">
      <c r="A3541" t="s">
        <v>3567</v>
      </c>
      <c r="B3541" t="s">
        <v>32</v>
      </c>
      <c r="C3541">
        <v>7</v>
      </c>
      <c r="D3541">
        <v>11982280</v>
      </c>
      <c r="E3541">
        <v>4</v>
      </c>
      <c r="F3541">
        <v>9</v>
      </c>
      <c r="G3541">
        <v>283</v>
      </c>
      <c r="H3541">
        <v>53910028</v>
      </c>
      <c r="I3541">
        <v>8595</v>
      </c>
      <c r="J3541" t="s">
        <v>21</v>
      </c>
      <c r="K3541" t="s">
        <v>22</v>
      </c>
      <c r="L3541">
        <v>2</v>
      </c>
      <c r="M3541">
        <v>39.5</v>
      </c>
      <c r="N3541">
        <v>255042</v>
      </c>
      <c r="O3541">
        <v>1</v>
      </c>
    </row>
    <row r="3542" spans="1:15">
      <c r="A3542" t="s">
        <v>3568</v>
      </c>
      <c r="B3542" t="s">
        <v>29</v>
      </c>
      <c r="C3542">
        <v>0</v>
      </c>
      <c r="D3542">
        <v>49007512</v>
      </c>
      <c r="E3542">
        <v>2</v>
      </c>
      <c r="F3542">
        <v>15</v>
      </c>
      <c r="G3542">
        <v>616</v>
      </c>
      <c r="H3542">
        <v>54454634</v>
      </c>
      <c r="I3542">
        <v>527181</v>
      </c>
      <c r="J3542" t="s">
        <v>17</v>
      </c>
      <c r="K3542" t="s">
        <v>18</v>
      </c>
      <c r="L3542">
        <v>2</v>
      </c>
      <c r="M3542">
        <v>51.75</v>
      </c>
      <c r="N3542">
        <v>441679</v>
      </c>
      <c r="O3542">
        <v>1</v>
      </c>
    </row>
    <row r="3543" spans="1:15">
      <c r="A3543" t="s">
        <v>3569</v>
      </c>
      <c r="B3543" t="s">
        <v>24</v>
      </c>
      <c r="C3543">
        <v>3</v>
      </c>
      <c r="D3543">
        <v>16831498</v>
      </c>
      <c r="E3543">
        <v>2</v>
      </c>
      <c r="F3543">
        <v>26</v>
      </c>
      <c r="G3543">
        <v>681</v>
      </c>
      <c r="H3543">
        <v>60149751</v>
      </c>
      <c r="I3543">
        <v>216041</v>
      </c>
      <c r="J3543" t="s">
        <v>25</v>
      </c>
      <c r="K3543" t="s">
        <v>30</v>
      </c>
      <c r="L3543">
        <v>8</v>
      </c>
      <c r="M3543">
        <v>74</v>
      </c>
      <c r="N3543">
        <v>56836</v>
      </c>
      <c r="O3543">
        <v>1</v>
      </c>
    </row>
    <row r="3544" spans="1:15">
      <c r="A3544" t="s">
        <v>3570</v>
      </c>
      <c r="B3544" t="s">
        <v>16</v>
      </c>
      <c r="C3544">
        <v>11</v>
      </c>
      <c r="D3544">
        <v>21025367</v>
      </c>
      <c r="E3544">
        <v>3</v>
      </c>
      <c r="F3544">
        <v>18</v>
      </c>
      <c r="G3544">
        <v>519</v>
      </c>
      <c r="H3544">
        <v>48155439</v>
      </c>
      <c r="I3544">
        <v>112726</v>
      </c>
      <c r="J3544" t="s">
        <v>17</v>
      </c>
      <c r="K3544" t="s">
        <v>22</v>
      </c>
      <c r="L3544">
        <v>2</v>
      </c>
      <c r="M3544">
        <v>25.18</v>
      </c>
      <c r="N3544">
        <v>537252</v>
      </c>
      <c r="O3544">
        <v>1</v>
      </c>
    </row>
    <row r="3545" spans="1:15">
      <c r="A3545" t="s">
        <v>3571</v>
      </c>
      <c r="B3545" t="s">
        <v>29</v>
      </c>
      <c r="C3545">
        <v>7</v>
      </c>
      <c r="D3545">
        <v>8105283</v>
      </c>
      <c r="E3545">
        <v>2</v>
      </c>
      <c r="F3545">
        <v>29</v>
      </c>
      <c r="G3545">
        <v>905</v>
      </c>
      <c r="H3545">
        <v>79388784</v>
      </c>
      <c r="I3545">
        <v>560190</v>
      </c>
      <c r="J3545" t="s">
        <v>17</v>
      </c>
      <c r="K3545" t="s">
        <v>22</v>
      </c>
      <c r="L3545">
        <v>1</v>
      </c>
      <c r="M3545">
        <v>86.52</v>
      </c>
      <c r="N3545">
        <v>280412</v>
      </c>
      <c r="O3545">
        <v>1</v>
      </c>
    </row>
    <row r="3546" spans="1:15">
      <c r="A3546" t="s">
        <v>3572</v>
      </c>
      <c r="B3546" t="s">
        <v>24</v>
      </c>
      <c r="C3546">
        <v>11</v>
      </c>
      <c r="D3546">
        <v>702177</v>
      </c>
      <c r="E3546">
        <v>1</v>
      </c>
      <c r="F3546">
        <v>18</v>
      </c>
      <c r="G3546">
        <v>18</v>
      </c>
      <c r="H3546">
        <v>34336784</v>
      </c>
      <c r="I3546">
        <v>185965</v>
      </c>
      <c r="J3546" t="s">
        <v>21</v>
      </c>
      <c r="K3546" t="s">
        <v>18</v>
      </c>
      <c r="L3546">
        <v>3</v>
      </c>
      <c r="M3546">
        <v>58.96</v>
      </c>
      <c r="N3546">
        <v>312334</v>
      </c>
      <c r="O3546">
        <v>1</v>
      </c>
    </row>
    <row r="3547" spans="1:15">
      <c r="A3547" t="s">
        <v>3573</v>
      </c>
      <c r="B3547" t="s">
        <v>32</v>
      </c>
      <c r="C3547">
        <v>10</v>
      </c>
      <c r="D3547">
        <v>5351159</v>
      </c>
      <c r="E3547">
        <v>1</v>
      </c>
      <c r="F3547">
        <v>15</v>
      </c>
      <c r="G3547">
        <v>637</v>
      </c>
      <c r="H3547">
        <v>92795052</v>
      </c>
      <c r="I3547">
        <v>458834</v>
      </c>
      <c r="J3547" t="s">
        <v>25</v>
      </c>
      <c r="K3547" t="s">
        <v>22</v>
      </c>
      <c r="L3547">
        <v>9</v>
      </c>
      <c r="M3547">
        <v>19.87</v>
      </c>
      <c r="N3547">
        <v>790648</v>
      </c>
      <c r="O3547">
        <v>1</v>
      </c>
    </row>
    <row r="3548" spans="1:15">
      <c r="A3548" t="s">
        <v>3574</v>
      </c>
      <c r="B3548" t="s">
        <v>38</v>
      </c>
      <c r="C3548">
        <v>8</v>
      </c>
      <c r="D3548">
        <v>27890646</v>
      </c>
      <c r="E3548">
        <v>3</v>
      </c>
      <c r="F3548">
        <v>6</v>
      </c>
      <c r="G3548">
        <v>467</v>
      </c>
      <c r="H3548">
        <v>11075299</v>
      </c>
      <c r="I3548">
        <v>244320</v>
      </c>
      <c r="J3548" t="s">
        <v>17</v>
      </c>
      <c r="K3548" t="s">
        <v>18</v>
      </c>
      <c r="L3548">
        <v>4</v>
      </c>
      <c r="M3548">
        <v>55.03</v>
      </c>
      <c r="N3548">
        <v>250592</v>
      </c>
      <c r="O3548">
        <v>1</v>
      </c>
    </row>
    <row r="3549" spans="1:15">
      <c r="A3549" t="s">
        <v>3575</v>
      </c>
      <c r="B3549" t="s">
        <v>27</v>
      </c>
      <c r="C3549">
        <v>2</v>
      </c>
      <c r="D3549">
        <v>40780012</v>
      </c>
      <c r="E3549">
        <v>1</v>
      </c>
      <c r="F3549">
        <v>6</v>
      </c>
      <c r="G3549">
        <v>977</v>
      </c>
      <c r="H3549">
        <v>59540616</v>
      </c>
      <c r="I3549">
        <v>465430</v>
      </c>
      <c r="J3549" t="s">
        <v>21</v>
      </c>
      <c r="K3549" t="s">
        <v>18</v>
      </c>
      <c r="L3549">
        <v>9</v>
      </c>
      <c r="M3549">
        <v>86.29</v>
      </c>
      <c r="N3549">
        <v>518238</v>
      </c>
      <c r="O3549">
        <v>1</v>
      </c>
    </row>
    <row r="3550" spans="1:15">
      <c r="A3550" t="s">
        <v>3576</v>
      </c>
      <c r="B3550" t="s">
        <v>32</v>
      </c>
      <c r="C3550">
        <v>7</v>
      </c>
      <c r="D3550">
        <v>24930718</v>
      </c>
      <c r="E3550">
        <v>3</v>
      </c>
      <c r="F3550">
        <v>18</v>
      </c>
      <c r="G3550">
        <v>161</v>
      </c>
      <c r="H3550">
        <v>57217920</v>
      </c>
      <c r="I3550">
        <v>415962</v>
      </c>
      <c r="J3550" t="s">
        <v>25</v>
      </c>
      <c r="K3550" t="s">
        <v>30</v>
      </c>
      <c r="L3550">
        <v>5</v>
      </c>
      <c r="M3550">
        <v>29.78</v>
      </c>
      <c r="N3550">
        <v>942662</v>
      </c>
      <c r="O3550">
        <v>1</v>
      </c>
    </row>
    <row r="3551" spans="1:15">
      <c r="A3551" t="s">
        <v>3577</v>
      </c>
      <c r="B3551" t="s">
        <v>20</v>
      </c>
      <c r="C3551">
        <v>12</v>
      </c>
      <c r="D3551">
        <v>23433525</v>
      </c>
      <c r="E3551">
        <v>4</v>
      </c>
      <c r="F3551">
        <v>3</v>
      </c>
      <c r="G3551">
        <v>197</v>
      </c>
      <c r="H3551">
        <v>97484187</v>
      </c>
      <c r="I3551">
        <v>364085</v>
      </c>
      <c r="J3551" t="s">
        <v>17</v>
      </c>
      <c r="K3551" t="s">
        <v>22</v>
      </c>
      <c r="L3551">
        <v>4</v>
      </c>
      <c r="M3551">
        <v>5.98</v>
      </c>
      <c r="N3551">
        <v>791728</v>
      </c>
      <c r="O3551">
        <v>1</v>
      </c>
    </row>
    <row r="3552" spans="1:15">
      <c r="A3552" t="s">
        <v>3578</v>
      </c>
      <c r="B3552" t="s">
        <v>20</v>
      </c>
      <c r="C3552">
        <v>10</v>
      </c>
      <c r="D3552">
        <v>49212171</v>
      </c>
      <c r="E3552">
        <v>3</v>
      </c>
      <c r="F3552">
        <v>23</v>
      </c>
      <c r="G3552">
        <v>656</v>
      </c>
      <c r="H3552">
        <v>91184562</v>
      </c>
      <c r="I3552">
        <v>133842</v>
      </c>
      <c r="J3552" t="s">
        <v>17</v>
      </c>
      <c r="K3552" t="s">
        <v>22</v>
      </c>
      <c r="L3552">
        <v>8</v>
      </c>
      <c r="M3552">
        <v>17.43</v>
      </c>
      <c r="N3552">
        <v>282478</v>
      </c>
      <c r="O3552">
        <v>1</v>
      </c>
    </row>
    <row r="3553" spans="1:15">
      <c r="A3553" t="s">
        <v>3579</v>
      </c>
      <c r="B3553" t="s">
        <v>38</v>
      </c>
      <c r="C3553">
        <v>10</v>
      </c>
      <c r="D3553">
        <v>30097141</v>
      </c>
      <c r="E3553">
        <v>3</v>
      </c>
      <c r="F3553">
        <v>8</v>
      </c>
      <c r="G3553">
        <v>789</v>
      </c>
      <c r="H3553">
        <v>37887658</v>
      </c>
      <c r="I3553">
        <v>6970</v>
      </c>
      <c r="J3553" t="s">
        <v>17</v>
      </c>
      <c r="K3553" t="s">
        <v>18</v>
      </c>
      <c r="L3553">
        <v>8</v>
      </c>
      <c r="M3553">
        <v>2.46</v>
      </c>
      <c r="N3553">
        <v>516604</v>
      </c>
      <c r="O3553">
        <v>1</v>
      </c>
    </row>
    <row r="3554" spans="1:15">
      <c r="A3554" t="s">
        <v>3580</v>
      </c>
      <c r="B3554" t="s">
        <v>32</v>
      </c>
      <c r="C3554">
        <v>9</v>
      </c>
      <c r="D3554">
        <v>4086351</v>
      </c>
      <c r="E3554">
        <v>3</v>
      </c>
      <c r="F3554">
        <v>1</v>
      </c>
      <c r="G3554">
        <v>329</v>
      </c>
      <c r="H3554">
        <v>1266791</v>
      </c>
      <c r="I3554">
        <v>126587</v>
      </c>
      <c r="J3554" t="s">
        <v>17</v>
      </c>
      <c r="K3554" t="s">
        <v>22</v>
      </c>
      <c r="L3554">
        <v>1</v>
      </c>
      <c r="M3554">
        <v>16.45</v>
      </c>
      <c r="N3554">
        <v>747480</v>
      </c>
      <c r="O3554">
        <v>1</v>
      </c>
    </row>
    <row r="3555" spans="1:15">
      <c r="A3555" t="s">
        <v>3581</v>
      </c>
      <c r="B3555" t="s">
        <v>16</v>
      </c>
      <c r="C3555">
        <v>3</v>
      </c>
      <c r="D3555">
        <v>7147343</v>
      </c>
      <c r="E3555">
        <v>3</v>
      </c>
      <c r="F3555">
        <v>18</v>
      </c>
      <c r="G3555">
        <v>431</v>
      </c>
      <c r="H3555">
        <v>24647504</v>
      </c>
      <c r="I3555">
        <v>585431</v>
      </c>
      <c r="J3555" t="s">
        <v>21</v>
      </c>
      <c r="K3555" t="s">
        <v>22</v>
      </c>
      <c r="L3555">
        <v>6</v>
      </c>
      <c r="M3555">
        <v>35.299999999999997</v>
      </c>
      <c r="N3555">
        <v>670642</v>
      </c>
      <c r="O3555">
        <v>1</v>
      </c>
    </row>
    <row r="3556" spans="1:15">
      <c r="A3556" t="s">
        <v>3582</v>
      </c>
      <c r="B3556" t="s">
        <v>16</v>
      </c>
      <c r="C3556">
        <v>2</v>
      </c>
      <c r="D3556">
        <v>49458565</v>
      </c>
      <c r="E3556">
        <v>1</v>
      </c>
      <c r="F3556">
        <v>14</v>
      </c>
      <c r="G3556">
        <v>908</v>
      </c>
      <c r="H3556">
        <v>81211540</v>
      </c>
      <c r="I3556">
        <v>957984</v>
      </c>
      <c r="J3556" t="s">
        <v>25</v>
      </c>
      <c r="K3556" t="s">
        <v>18</v>
      </c>
      <c r="L3556">
        <v>5</v>
      </c>
      <c r="M3556">
        <v>33.74</v>
      </c>
      <c r="N3556">
        <v>105540</v>
      </c>
      <c r="O3556">
        <v>1</v>
      </c>
    </row>
    <row r="3557" spans="1:15">
      <c r="A3557" t="s">
        <v>3583</v>
      </c>
      <c r="B3557" t="s">
        <v>24</v>
      </c>
      <c r="C3557">
        <v>13</v>
      </c>
      <c r="D3557">
        <v>29162912</v>
      </c>
      <c r="E3557">
        <v>2</v>
      </c>
      <c r="F3557">
        <v>19</v>
      </c>
      <c r="G3557">
        <v>979</v>
      </c>
      <c r="H3557">
        <v>86774553</v>
      </c>
      <c r="I3557">
        <v>195331</v>
      </c>
      <c r="J3557" t="s">
        <v>25</v>
      </c>
      <c r="K3557" t="s">
        <v>22</v>
      </c>
      <c r="L3557">
        <v>8</v>
      </c>
      <c r="M3557">
        <v>96.46</v>
      </c>
      <c r="N3557">
        <v>927633</v>
      </c>
      <c r="O3557">
        <v>1</v>
      </c>
    </row>
    <row r="3558" spans="1:15">
      <c r="A3558" t="s">
        <v>3584</v>
      </c>
      <c r="B3558" t="s">
        <v>27</v>
      </c>
      <c r="C3558">
        <v>1</v>
      </c>
      <c r="D3558">
        <v>646222</v>
      </c>
      <c r="E3558">
        <v>4</v>
      </c>
      <c r="F3558">
        <v>18</v>
      </c>
      <c r="G3558">
        <v>748</v>
      </c>
      <c r="H3558">
        <v>58508737</v>
      </c>
      <c r="I3558">
        <v>640575</v>
      </c>
      <c r="J3558" t="s">
        <v>21</v>
      </c>
      <c r="K3558" t="s">
        <v>18</v>
      </c>
      <c r="L3558">
        <v>8</v>
      </c>
      <c r="M3558">
        <v>16.920000000000002</v>
      </c>
      <c r="N3558">
        <v>807332</v>
      </c>
      <c r="O3558">
        <v>1</v>
      </c>
    </row>
    <row r="3559" spans="1:15">
      <c r="A3559" t="s">
        <v>3585</v>
      </c>
      <c r="B3559" t="s">
        <v>20</v>
      </c>
      <c r="C3559">
        <v>1</v>
      </c>
      <c r="D3559">
        <v>8785763</v>
      </c>
      <c r="E3559">
        <v>3</v>
      </c>
      <c r="F3559">
        <v>13</v>
      </c>
      <c r="G3559">
        <v>763</v>
      </c>
      <c r="H3559">
        <v>6849830</v>
      </c>
      <c r="I3559">
        <v>170813</v>
      </c>
      <c r="J3559" t="s">
        <v>25</v>
      </c>
      <c r="K3559" t="s">
        <v>22</v>
      </c>
      <c r="L3559">
        <v>8</v>
      </c>
      <c r="M3559">
        <v>95.94</v>
      </c>
      <c r="N3559">
        <v>433090</v>
      </c>
      <c r="O3559">
        <v>1</v>
      </c>
    </row>
    <row r="3560" spans="1:15">
      <c r="A3560" t="s">
        <v>3586</v>
      </c>
      <c r="B3560" t="s">
        <v>32</v>
      </c>
      <c r="C3560">
        <v>8</v>
      </c>
      <c r="D3560">
        <v>31133800</v>
      </c>
      <c r="E3560">
        <v>3</v>
      </c>
      <c r="F3560">
        <v>12</v>
      </c>
      <c r="G3560">
        <v>614</v>
      </c>
      <c r="H3560">
        <v>59965302</v>
      </c>
      <c r="I3560">
        <v>215736</v>
      </c>
      <c r="J3560" t="s">
        <v>17</v>
      </c>
      <c r="K3560" t="s">
        <v>18</v>
      </c>
      <c r="L3560">
        <v>8</v>
      </c>
      <c r="M3560">
        <v>27.44</v>
      </c>
      <c r="N3560">
        <v>361102</v>
      </c>
      <c r="O3560">
        <v>1</v>
      </c>
    </row>
    <row r="3561" spans="1:15">
      <c r="A3561" t="s">
        <v>3587</v>
      </c>
      <c r="B3561" t="s">
        <v>38</v>
      </c>
      <c r="C3561">
        <v>12</v>
      </c>
      <c r="D3561">
        <v>40202157</v>
      </c>
      <c r="E3561">
        <v>4</v>
      </c>
      <c r="F3561">
        <v>18</v>
      </c>
      <c r="G3561">
        <v>427</v>
      </c>
      <c r="H3561">
        <v>97832867</v>
      </c>
      <c r="I3561">
        <v>406940</v>
      </c>
      <c r="J3561" t="s">
        <v>17</v>
      </c>
      <c r="K3561" t="s">
        <v>22</v>
      </c>
      <c r="L3561">
        <v>3</v>
      </c>
      <c r="M3561">
        <v>18.02</v>
      </c>
      <c r="N3561">
        <v>602312</v>
      </c>
      <c r="O3561">
        <v>1</v>
      </c>
    </row>
    <row r="3562" spans="1:15">
      <c r="A3562" t="s">
        <v>3588</v>
      </c>
      <c r="B3562" t="s">
        <v>29</v>
      </c>
      <c r="C3562">
        <v>11</v>
      </c>
      <c r="D3562">
        <v>35309639</v>
      </c>
      <c r="E3562">
        <v>4</v>
      </c>
      <c r="F3562">
        <v>27</v>
      </c>
      <c r="G3562">
        <v>898</v>
      </c>
      <c r="H3562">
        <v>51903622</v>
      </c>
      <c r="I3562">
        <v>541074</v>
      </c>
      <c r="J3562" t="s">
        <v>25</v>
      </c>
      <c r="K3562" t="s">
        <v>22</v>
      </c>
      <c r="L3562">
        <v>7</v>
      </c>
      <c r="M3562">
        <v>86.76</v>
      </c>
      <c r="N3562">
        <v>892717</v>
      </c>
      <c r="O3562">
        <v>1</v>
      </c>
    </row>
    <row r="3563" spans="1:15">
      <c r="A3563" t="s">
        <v>3589</v>
      </c>
      <c r="B3563" t="s">
        <v>32</v>
      </c>
      <c r="C3563">
        <v>12</v>
      </c>
      <c r="D3563">
        <v>6960927</v>
      </c>
      <c r="E3563">
        <v>3</v>
      </c>
      <c r="F3563">
        <v>7</v>
      </c>
      <c r="G3563">
        <v>894</v>
      </c>
      <c r="H3563">
        <v>6930484</v>
      </c>
      <c r="I3563">
        <v>817418</v>
      </c>
      <c r="J3563" t="s">
        <v>25</v>
      </c>
      <c r="K3563" t="s">
        <v>22</v>
      </c>
      <c r="L3563">
        <v>1</v>
      </c>
      <c r="M3563">
        <v>44.94</v>
      </c>
      <c r="N3563">
        <v>201422</v>
      </c>
      <c r="O3563">
        <v>1</v>
      </c>
    </row>
    <row r="3564" spans="1:15">
      <c r="A3564" t="s">
        <v>3590</v>
      </c>
      <c r="B3564" t="s">
        <v>29</v>
      </c>
      <c r="C3564">
        <v>3</v>
      </c>
      <c r="D3564">
        <v>17043116</v>
      </c>
      <c r="E3564">
        <v>4</v>
      </c>
      <c r="F3564">
        <v>23</v>
      </c>
      <c r="G3564">
        <v>699</v>
      </c>
      <c r="H3564">
        <v>91012117</v>
      </c>
      <c r="I3564">
        <v>601965</v>
      </c>
      <c r="J3564" t="s">
        <v>21</v>
      </c>
      <c r="K3564" t="s">
        <v>18</v>
      </c>
      <c r="L3564">
        <v>9</v>
      </c>
      <c r="M3564">
        <v>23.56</v>
      </c>
      <c r="N3564">
        <v>739627</v>
      </c>
      <c r="O3564">
        <v>1</v>
      </c>
    </row>
    <row r="3565" spans="1:15">
      <c r="A3565" t="s">
        <v>3591</v>
      </c>
      <c r="B3565" t="s">
        <v>32</v>
      </c>
      <c r="C3565">
        <v>7</v>
      </c>
      <c r="D3565">
        <v>37990152</v>
      </c>
      <c r="E3565">
        <v>4</v>
      </c>
      <c r="F3565">
        <v>22</v>
      </c>
      <c r="G3565">
        <v>885</v>
      </c>
      <c r="H3565">
        <v>75520510</v>
      </c>
      <c r="I3565">
        <v>179443</v>
      </c>
      <c r="J3565" t="s">
        <v>17</v>
      </c>
      <c r="K3565" t="s">
        <v>30</v>
      </c>
      <c r="L3565">
        <v>6</v>
      </c>
      <c r="M3565">
        <v>72.25</v>
      </c>
      <c r="N3565">
        <v>918308</v>
      </c>
      <c r="O3565">
        <v>1</v>
      </c>
    </row>
    <row r="3566" spans="1:15">
      <c r="A3566" t="s">
        <v>3592</v>
      </c>
      <c r="B3566" t="s">
        <v>27</v>
      </c>
      <c r="C3566">
        <v>6</v>
      </c>
      <c r="D3566">
        <v>23291522</v>
      </c>
      <c r="E3566">
        <v>1</v>
      </c>
      <c r="F3566">
        <v>26</v>
      </c>
      <c r="G3566">
        <v>721</v>
      </c>
      <c r="H3566">
        <v>4814863</v>
      </c>
      <c r="I3566">
        <v>435955</v>
      </c>
      <c r="J3566" t="s">
        <v>25</v>
      </c>
      <c r="K3566" t="s">
        <v>30</v>
      </c>
      <c r="L3566">
        <v>7</v>
      </c>
      <c r="M3566">
        <v>15.51</v>
      </c>
      <c r="N3566">
        <v>748145</v>
      </c>
      <c r="O3566">
        <v>1</v>
      </c>
    </row>
    <row r="3567" spans="1:15">
      <c r="A3567" t="s">
        <v>3593</v>
      </c>
      <c r="B3567" t="s">
        <v>24</v>
      </c>
      <c r="C3567">
        <v>5</v>
      </c>
      <c r="D3567">
        <v>34376197</v>
      </c>
      <c r="E3567">
        <v>1</v>
      </c>
      <c r="F3567">
        <v>20</v>
      </c>
      <c r="G3567">
        <v>788</v>
      </c>
      <c r="H3567">
        <v>21896391</v>
      </c>
      <c r="I3567">
        <v>577190</v>
      </c>
      <c r="J3567" t="s">
        <v>21</v>
      </c>
      <c r="K3567" t="s">
        <v>22</v>
      </c>
      <c r="L3567">
        <v>9</v>
      </c>
      <c r="M3567">
        <v>98.17</v>
      </c>
      <c r="N3567">
        <v>445762</v>
      </c>
      <c r="O3567">
        <v>1</v>
      </c>
    </row>
    <row r="3568" spans="1:15">
      <c r="A3568" t="s">
        <v>3594</v>
      </c>
      <c r="B3568" t="s">
        <v>32</v>
      </c>
      <c r="C3568">
        <v>11</v>
      </c>
      <c r="D3568">
        <v>30190619</v>
      </c>
      <c r="E3568">
        <v>3</v>
      </c>
      <c r="F3568">
        <v>4</v>
      </c>
      <c r="G3568">
        <v>674</v>
      </c>
      <c r="H3568">
        <v>89656370</v>
      </c>
      <c r="I3568">
        <v>703913</v>
      </c>
      <c r="J3568" t="s">
        <v>25</v>
      </c>
      <c r="K3568" t="s">
        <v>30</v>
      </c>
      <c r="L3568">
        <v>2</v>
      </c>
      <c r="M3568">
        <v>83.6</v>
      </c>
      <c r="N3568">
        <v>209314</v>
      </c>
      <c r="O3568">
        <v>1</v>
      </c>
    </row>
    <row r="3569" spans="1:15">
      <c r="A3569" t="s">
        <v>3595</v>
      </c>
      <c r="B3569" t="s">
        <v>29</v>
      </c>
      <c r="C3569">
        <v>13</v>
      </c>
      <c r="D3569">
        <v>21260136</v>
      </c>
      <c r="E3569">
        <v>1</v>
      </c>
      <c r="F3569">
        <v>13</v>
      </c>
      <c r="G3569">
        <v>929</v>
      </c>
      <c r="H3569">
        <v>34953143</v>
      </c>
      <c r="I3569">
        <v>31121</v>
      </c>
      <c r="J3569" t="s">
        <v>21</v>
      </c>
      <c r="K3569" t="s">
        <v>18</v>
      </c>
      <c r="L3569">
        <v>5</v>
      </c>
      <c r="M3569">
        <v>24.88</v>
      </c>
      <c r="N3569">
        <v>324680</v>
      </c>
      <c r="O3569">
        <v>1</v>
      </c>
    </row>
    <row r="3570" spans="1:15">
      <c r="A3570" t="s">
        <v>3596</v>
      </c>
      <c r="B3570" t="s">
        <v>27</v>
      </c>
      <c r="C3570">
        <v>12</v>
      </c>
      <c r="D3570">
        <v>18557472</v>
      </c>
      <c r="E3570">
        <v>3</v>
      </c>
      <c r="F3570">
        <v>12</v>
      </c>
      <c r="G3570">
        <v>702</v>
      </c>
      <c r="H3570">
        <v>54515561</v>
      </c>
      <c r="I3570">
        <v>855938</v>
      </c>
      <c r="J3570" t="s">
        <v>21</v>
      </c>
      <c r="K3570" t="s">
        <v>22</v>
      </c>
      <c r="L3570">
        <v>7</v>
      </c>
      <c r="M3570">
        <v>25.45</v>
      </c>
      <c r="N3570">
        <v>524253</v>
      </c>
      <c r="O3570">
        <v>1</v>
      </c>
    </row>
    <row r="3571" spans="1:15">
      <c r="A3571" t="s">
        <v>3597</v>
      </c>
      <c r="B3571" t="s">
        <v>20</v>
      </c>
      <c r="C3571">
        <v>9</v>
      </c>
      <c r="D3571">
        <v>22857932</v>
      </c>
      <c r="E3571">
        <v>1</v>
      </c>
      <c r="F3571">
        <v>11</v>
      </c>
      <c r="G3571">
        <v>220</v>
      </c>
      <c r="H3571">
        <v>91049023</v>
      </c>
      <c r="I3571">
        <v>991894</v>
      </c>
      <c r="J3571" t="s">
        <v>21</v>
      </c>
      <c r="K3571" t="s">
        <v>22</v>
      </c>
      <c r="L3571">
        <v>7</v>
      </c>
      <c r="M3571">
        <v>65.599999999999994</v>
      </c>
      <c r="N3571">
        <v>714740</v>
      </c>
      <c r="O3571">
        <v>1</v>
      </c>
    </row>
    <row r="3572" spans="1:15">
      <c r="A3572" t="s">
        <v>3598</v>
      </c>
      <c r="B3572" t="s">
        <v>16</v>
      </c>
      <c r="C3572">
        <v>9</v>
      </c>
      <c r="D3572">
        <v>12240762</v>
      </c>
      <c r="E3572">
        <v>3</v>
      </c>
      <c r="F3572">
        <v>0</v>
      </c>
      <c r="G3572">
        <v>955</v>
      </c>
      <c r="H3572">
        <v>21289743</v>
      </c>
      <c r="I3572">
        <v>76056</v>
      </c>
      <c r="J3572" t="s">
        <v>25</v>
      </c>
      <c r="K3572" t="s">
        <v>30</v>
      </c>
      <c r="L3572">
        <v>7</v>
      </c>
      <c r="M3572">
        <v>31.11</v>
      </c>
      <c r="N3572">
        <v>318570</v>
      </c>
      <c r="O3572">
        <v>1</v>
      </c>
    </row>
    <row r="3573" spans="1:15">
      <c r="A3573" t="s">
        <v>3599</v>
      </c>
      <c r="B3573" t="s">
        <v>29</v>
      </c>
      <c r="C3573">
        <v>8</v>
      </c>
      <c r="D3573">
        <v>8474680</v>
      </c>
      <c r="E3573">
        <v>1</v>
      </c>
      <c r="F3573">
        <v>18</v>
      </c>
      <c r="G3573">
        <v>438</v>
      </c>
      <c r="H3573">
        <v>49731586</v>
      </c>
      <c r="I3573">
        <v>146931</v>
      </c>
      <c r="J3573" t="s">
        <v>21</v>
      </c>
      <c r="K3573" t="s">
        <v>22</v>
      </c>
      <c r="L3573">
        <v>7</v>
      </c>
      <c r="M3573">
        <v>11.12</v>
      </c>
      <c r="N3573">
        <v>182317</v>
      </c>
      <c r="O3573">
        <v>1</v>
      </c>
    </row>
    <row r="3574" spans="1:15">
      <c r="A3574" t="s">
        <v>3600</v>
      </c>
      <c r="B3574" t="s">
        <v>38</v>
      </c>
      <c r="C3574">
        <v>2</v>
      </c>
      <c r="D3574">
        <v>29373511</v>
      </c>
      <c r="E3574">
        <v>1</v>
      </c>
      <c r="F3574">
        <v>21</v>
      </c>
      <c r="G3574">
        <v>210</v>
      </c>
      <c r="H3574">
        <v>99371012</v>
      </c>
      <c r="I3574">
        <v>710754</v>
      </c>
      <c r="J3574" t="s">
        <v>25</v>
      </c>
      <c r="K3574" t="s">
        <v>22</v>
      </c>
      <c r="L3574">
        <v>5</v>
      </c>
      <c r="M3574">
        <v>73.7</v>
      </c>
      <c r="N3574">
        <v>655487</v>
      </c>
      <c r="O3574">
        <v>1</v>
      </c>
    </row>
    <row r="3575" spans="1:15">
      <c r="A3575" t="s">
        <v>3601</v>
      </c>
      <c r="B3575" t="s">
        <v>32</v>
      </c>
      <c r="C3575">
        <v>7</v>
      </c>
      <c r="D3575">
        <v>22577452</v>
      </c>
      <c r="E3575">
        <v>2</v>
      </c>
      <c r="F3575">
        <v>28</v>
      </c>
      <c r="G3575">
        <v>627</v>
      </c>
      <c r="H3575">
        <v>76516267</v>
      </c>
      <c r="I3575">
        <v>167403</v>
      </c>
      <c r="J3575" t="s">
        <v>21</v>
      </c>
      <c r="K3575" t="s">
        <v>30</v>
      </c>
      <c r="L3575">
        <v>9</v>
      </c>
      <c r="M3575">
        <v>25.53</v>
      </c>
      <c r="N3575">
        <v>464971</v>
      </c>
      <c r="O3575">
        <v>1</v>
      </c>
    </row>
    <row r="3576" spans="1:15">
      <c r="A3576" t="s">
        <v>3602</v>
      </c>
      <c r="B3576" t="s">
        <v>24</v>
      </c>
      <c r="C3576">
        <v>9</v>
      </c>
      <c r="D3576">
        <v>42267037</v>
      </c>
      <c r="E3576">
        <v>2</v>
      </c>
      <c r="F3576">
        <v>22</v>
      </c>
      <c r="G3576">
        <v>183</v>
      </c>
      <c r="H3576">
        <v>72971662</v>
      </c>
      <c r="I3576">
        <v>208961</v>
      </c>
      <c r="J3576" t="s">
        <v>21</v>
      </c>
      <c r="K3576" t="s">
        <v>18</v>
      </c>
      <c r="L3576">
        <v>1</v>
      </c>
      <c r="M3576">
        <v>95.85</v>
      </c>
      <c r="N3576">
        <v>31881</v>
      </c>
      <c r="O3576">
        <v>1</v>
      </c>
    </row>
    <row r="3577" spans="1:15">
      <c r="A3577" t="s">
        <v>3603</v>
      </c>
      <c r="B3577" t="s">
        <v>29</v>
      </c>
      <c r="C3577">
        <v>10</v>
      </c>
      <c r="D3577">
        <v>28282598</v>
      </c>
      <c r="E3577">
        <v>3</v>
      </c>
      <c r="F3577">
        <v>14</v>
      </c>
      <c r="G3577">
        <v>101</v>
      </c>
      <c r="H3577">
        <v>67849509</v>
      </c>
      <c r="I3577">
        <v>787172</v>
      </c>
      <c r="J3577" t="s">
        <v>21</v>
      </c>
      <c r="K3577" t="s">
        <v>30</v>
      </c>
      <c r="L3577">
        <v>7</v>
      </c>
      <c r="M3577">
        <v>15.81</v>
      </c>
      <c r="N3577">
        <v>421180</v>
      </c>
      <c r="O3577">
        <v>1</v>
      </c>
    </row>
    <row r="3578" spans="1:15">
      <c r="A3578" t="s">
        <v>3604</v>
      </c>
      <c r="B3578" t="s">
        <v>16</v>
      </c>
      <c r="C3578">
        <v>12</v>
      </c>
      <c r="D3578">
        <v>6936563</v>
      </c>
      <c r="E3578">
        <v>3</v>
      </c>
      <c r="F3578">
        <v>28</v>
      </c>
      <c r="G3578">
        <v>553</v>
      </c>
      <c r="H3578">
        <v>17807739</v>
      </c>
      <c r="I3578">
        <v>222131</v>
      </c>
      <c r="J3578" t="s">
        <v>17</v>
      </c>
      <c r="K3578" t="s">
        <v>18</v>
      </c>
      <c r="L3578">
        <v>5</v>
      </c>
      <c r="M3578">
        <v>72.290000000000006</v>
      </c>
      <c r="N3578">
        <v>968154</v>
      </c>
      <c r="O3578">
        <v>1</v>
      </c>
    </row>
    <row r="3579" spans="1:15">
      <c r="A3579" t="s">
        <v>3605</v>
      </c>
      <c r="B3579" t="s">
        <v>32</v>
      </c>
      <c r="C3579">
        <v>13</v>
      </c>
      <c r="D3579">
        <v>2785451</v>
      </c>
      <c r="E3579">
        <v>4</v>
      </c>
      <c r="F3579">
        <v>18</v>
      </c>
      <c r="G3579">
        <v>825</v>
      </c>
      <c r="H3579">
        <v>77455592</v>
      </c>
      <c r="I3579">
        <v>695239</v>
      </c>
      <c r="J3579" t="s">
        <v>25</v>
      </c>
      <c r="K3579" t="s">
        <v>22</v>
      </c>
      <c r="L3579">
        <v>3</v>
      </c>
      <c r="M3579">
        <v>3.08</v>
      </c>
      <c r="N3579">
        <v>670161</v>
      </c>
      <c r="O3579">
        <v>1</v>
      </c>
    </row>
    <row r="3580" spans="1:15">
      <c r="A3580" t="s">
        <v>3606</v>
      </c>
      <c r="B3580" t="s">
        <v>38</v>
      </c>
      <c r="C3580">
        <v>7</v>
      </c>
      <c r="D3580">
        <v>34913539</v>
      </c>
      <c r="E3580">
        <v>3</v>
      </c>
      <c r="F3580">
        <v>28</v>
      </c>
      <c r="G3580">
        <v>262</v>
      </c>
      <c r="H3580">
        <v>60505329</v>
      </c>
      <c r="I3580">
        <v>63853</v>
      </c>
      <c r="J3580" t="s">
        <v>17</v>
      </c>
      <c r="K3580" t="s">
        <v>18</v>
      </c>
      <c r="L3580">
        <v>5</v>
      </c>
      <c r="M3580">
        <v>84.47</v>
      </c>
      <c r="N3580">
        <v>739466</v>
      </c>
      <c r="O3580">
        <v>1</v>
      </c>
    </row>
    <row r="3581" spans="1:15">
      <c r="A3581" t="s">
        <v>3607</v>
      </c>
      <c r="B3581" t="s">
        <v>29</v>
      </c>
      <c r="C3581">
        <v>8</v>
      </c>
      <c r="D3581">
        <v>18320388</v>
      </c>
      <c r="E3581">
        <v>1</v>
      </c>
      <c r="F3581">
        <v>22</v>
      </c>
      <c r="G3581">
        <v>967</v>
      </c>
      <c r="H3581">
        <v>58273620</v>
      </c>
      <c r="I3581">
        <v>657139</v>
      </c>
      <c r="J3581" t="s">
        <v>17</v>
      </c>
      <c r="K3581" t="s">
        <v>18</v>
      </c>
      <c r="L3581">
        <v>6</v>
      </c>
      <c r="M3581">
        <v>26.35</v>
      </c>
      <c r="N3581">
        <v>543669</v>
      </c>
      <c r="O3581">
        <v>1</v>
      </c>
    </row>
    <row r="3582" spans="1:15">
      <c r="A3582" t="s">
        <v>3608</v>
      </c>
      <c r="B3582" t="s">
        <v>38</v>
      </c>
      <c r="C3582">
        <v>8</v>
      </c>
      <c r="D3582">
        <v>26474616</v>
      </c>
      <c r="E3582">
        <v>1</v>
      </c>
      <c r="F3582">
        <v>7</v>
      </c>
      <c r="G3582">
        <v>156</v>
      </c>
      <c r="H3582">
        <v>22801454</v>
      </c>
      <c r="I3582">
        <v>161181</v>
      </c>
      <c r="J3582" t="s">
        <v>25</v>
      </c>
      <c r="K3582" t="s">
        <v>30</v>
      </c>
      <c r="L3582">
        <v>1</v>
      </c>
      <c r="M3582">
        <v>49.14</v>
      </c>
      <c r="N3582">
        <v>368973</v>
      </c>
      <c r="O3582">
        <v>1</v>
      </c>
    </row>
    <row r="3583" spans="1:15">
      <c r="A3583" t="s">
        <v>3609</v>
      </c>
      <c r="B3583" t="s">
        <v>29</v>
      </c>
      <c r="C3583">
        <v>3</v>
      </c>
      <c r="D3583">
        <v>13445919</v>
      </c>
      <c r="E3583">
        <v>1</v>
      </c>
      <c r="F3583">
        <v>26</v>
      </c>
      <c r="G3583">
        <v>201</v>
      </c>
      <c r="H3583">
        <v>50616554</v>
      </c>
      <c r="I3583">
        <v>894975</v>
      </c>
      <c r="J3583" t="s">
        <v>17</v>
      </c>
      <c r="K3583" t="s">
        <v>22</v>
      </c>
      <c r="L3583">
        <v>9</v>
      </c>
      <c r="M3583">
        <v>7.61</v>
      </c>
      <c r="N3583">
        <v>173368</v>
      </c>
      <c r="O3583">
        <v>1</v>
      </c>
    </row>
    <row r="3584" spans="1:15">
      <c r="A3584" t="s">
        <v>3610</v>
      </c>
      <c r="B3584" t="s">
        <v>20</v>
      </c>
      <c r="C3584">
        <v>4</v>
      </c>
      <c r="D3584">
        <v>44975197</v>
      </c>
      <c r="E3584">
        <v>1</v>
      </c>
      <c r="F3584">
        <v>6</v>
      </c>
      <c r="G3584">
        <v>25</v>
      </c>
      <c r="H3584">
        <v>1973680</v>
      </c>
      <c r="I3584">
        <v>973298</v>
      </c>
      <c r="J3584" t="s">
        <v>17</v>
      </c>
      <c r="K3584" t="s">
        <v>30</v>
      </c>
      <c r="L3584">
        <v>2</v>
      </c>
      <c r="M3584">
        <v>75.650000000000006</v>
      </c>
      <c r="N3584">
        <v>688464</v>
      </c>
      <c r="O3584">
        <v>1</v>
      </c>
    </row>
    <row r="3585" spans="1:15">
      <c r="A3585" t="s">
        <v>3611</v>
      </c>
      <c r="B3585" t="s">
        <v>20</v>
      </c>
      <c r="C3585">
        <v>2</v>
      </c>
      <c r="D3585">
        <v>4691204</v>
      </c>
      <c r="E3585">
        <v>2</v>
      </c>
      <c r="F3585">
        <v>22</v>
      </c>
      <c r="G3585">
        <v>886</v>
      </c>
      <c r="H3585">
        <v>61354423</v>
      </c>
      <c r="I3585">
        <v>626450</v>
      </c>
      <c r="J3585" t="s">
        <v>25</v>
      </c>
      <c r="K3585" t="s">
        <v>22</v>
      </c>
      <c r="L3585">
        <v>4</v>
      </c>
      <c r="M3585">
        <v>65</v>
      </c>
      <c r="N3585">
        <v>720910</v>
      </c>
      <c r="O3585">
        <v>1</v>
      </c>
    </row>
    <row r="3586" spans="1:15">
      <c r="A3586" t="s">
        <v>3612</v>
      </c>
      <c r="B3586" t="s">
        <v>20</v>
      </c>
      <c r="C3586">
        <v>1</v>
      </c>
      <c r="D3586">
        <v>49705517</v>
      </c>
      <c r="E3586">
        <v>2</v>
      </c>
      <c r="F3586">
        <v>23</v>
      </c>
      <c r="G3586">
        <v>185</v>
      </c>
      <c r="H3586">
        <v>95676951</v>
      </c>
      <c r="I3586">
        <v>92582</v>
      </c>
      <c r="J3586" t="s">
        <v>21</v>
      </c>
      <c r="K3586" t="s">
        <v>30</v>
      </c>
      <c r="L3586">
        <v>1</v>
      </c>
      <c r="M3586">
        <v>43.64</v>
      </c>
      <c r="N3586">
        <v>11592</v>
      </c>
      <c r="O3586">
        <v>1</v>
      </c>
    </row>
    <row r="3587" spans="1:15">
      <c r="A3587" t="s">
        <v>3613</v>
      </c>
      <c r="B3587" t="s">
        <v>32</v>
      </c>
      <c r="C3587">
        <v>11</v>
      </c>
      <c r="D3587">
        <v>6933042</v>
      </c>
      <c r="E3587">
        <v>1</v>
      </c>
      <c r="F3587">
        <v>2</v>
      </c>
      <c r="G3587">
        <v>619</v>
      </c>
      <c r="H3587">
        <v>43616139</v>
      </c>
      <c r="I3587">
        <v>883323</v>
      </c>
      <c r="J3587" t="s">
        <v>17</v>
      </c>
      <c r="K3587" t="s">
        <v>18</v>
      </c>
      <c r="L3587">
        <v>2</v>
      </c>
      <c r="M3587">
        <v>8.5</v>
      </c>
      <c r="N3587">
        <v>317741</v>
      </c>
      <c r="O3587">
        <v>1</v>
      </c>
    </row>
    <row r="3588" spans="1:15">
      <c r="A3588" t="s">
        <v>3614</v>
      </c>
      <c r="B3588" t="s">
        <v>27</v>
      </c>
      <c r="C3588">
        <v>14</v>
      </c>
      <c r="D3588">
        <v>7734746</v>
      </c>
      <c r="E3588">
        <v>3</v>
      </c>
      <c r="F3588">
        <v>0</v>
      </c>
      <c r="G3588">
        <v>936</v>
      </c>
      <c r="H3588">
        <v>5758245</v>
      </c>
      <c r="I3588">
        <v>933821</v>
      </c>
      <c r="J3588" t="s">
        <v>25</v>
      </c>
      <c r="K3588" t="s">
        <v>22</v>
      </c>
      <c r="L3588">
        <v>1</v>
      </c>
      <c r="M3588">
        <v>73.650000000000006</v>
      </c>
      <c r="N3588">
        <v>362194</v>
      </c>
      <c r="O3588">
        <v>1</v>
      </c>
    </row>
    <row r="3589" spans="1:15">
      <c r="A3589" t="s">
        <v>3615</v>
      </c>
      <c r="B3589" t="s">
        <v>24</v>
      </c>
      <c r="C3589">
        <v>2</v>
      </c>
      <c r="D3589">
        <v>8737130</v>
      </c>
      <c r="E3589">
        <v>1</v>
      </c>
      <c r="F3589">
        <v>23</v>
      </c>
      <c r="G3589">
        <v>826</v>
      </c>
      <c r="H3589">
        <v>70346220</v>
      </c>
      <c r="I3589">
        <v>216326</v>
      </c>
      <c r="J3589" t="s">
        <v>17</v>
      </c>
      <c r="K3589" t="s">
        <v>30</v>
      </c>
      <c r="L3589">
        <v>9</v>
      </c>
      <c r="M3589">
        <v>10.51</v>
      </c>
      <c r="N3589">
        <v>845885</v>
      </c>
      <c r="O3589">
        <v>1</v>
      </c>
    </row>
    <row r="3590" spans="1:15">
      <c r="A3590" t="s">
        <v>3616</v>
      </c>
      <c r="B3590" t="s">
        <v>38</v>
      </c>
      <c r="C3590">
        <v>9</v>
      </c>
      <c r="D3590">
        <v>25117667</v>
      </c>
      <c r="E3590">
        <v>4</v>
      </c>
      <c r="F3590">
        <v>24</v>
      </c>
      <c r="G3590">
        <v>931</v>
      </c>
      <c r="H3590">
        <v>73028542</v>
      </c>
      <c r="I3590">
        <v>192401</v>
      </c>
      <c r="J3590" t="s">
        <v>17</v>
      </c>
      <c r="K3590" t="s">
        <v>22</v>
      </c>
      <c r="L3590">
        <v>9</v>
      </c>
      <c r="M3590">
        <v>11.2</v>
      </c>
      <c r="N3590">
        <v>802623</v>
      </c>
      <c r="O3590">
        <v>1</v>
      </c>
    </row>
    <row r="3591" spans="1:15">
      <c r="A3591" t="s">
        <v>3617</v>
      </c>
      <c r="B3591" t="s">
        <v>32</v>
      </c>
      <c r="C3591">
        <v>0</v>
      </c>
      <c r="D3591">
        <v>33841710</v>
      </c>
      <c r="E3591">
        <v>3</v>
      </c>
      <c r="F3591">
        <v>18</v>
      </c>
      <c r="G3591">
        <v>574</v>
      </c>
      <c r="H3591">
        <v>47310962</v>
      </c>
      <c r="I3591">
        <v>702661</v>
      </c>
      <c r="J3591" t="s">
        <v>21</v>
      </c>
      <c r="K3591" t="s">
        <v>30</v>
      </c>
      <c r="L3591">
        <v>3</v>
      </c>
      <c r="M3591">
        <v>78.38</v>
      </c>
      <c r="N3591">
        <v>176495</v>
      </c>
      <c r="O3591">
        <v>1</v>
      </c>
    </row>
    <row r="3592" spans="1:15">
      <c r="A3592" t="s">
        <v>3618</v>
      </c>
      <c r="B3592" t="s">
        <v>38</v>
      </c>
      <c r="C3592">
        <v>3</v>
      </c>
      <c r="D3592">
        <v>12606150</v>
      </c>
      <c r="E3592">
        <v>2</v>
      </c>
      <c r="F3592">
        <v>25</v>
      </c>
      <c r="G3592">
        <v>224</v>
      </c>
      <c r="H3592">
        <v>68127102</v>
      </c>
      <c r="I3592">
        <v>376118</v>
      </c>
      <c r="J3592" t="s">
        <v>25</v>
      </c>
      <c r="K3592" t="s">
        <v>30</v>
      </c>
      <c r="L3592">
        <v>5</v>
      </c>
      <c r="M3592">
        <v>85.46</v>
      </c>
      <c r="N3592">
        <v>267504</v>
      </c>
      <c r="O3592">
        <v>1</v>
      </c>
    </row>
    <row r="3593" spans="1:15">
      <c r="A3593" t="s">
        <v>3619</v>
      </c>
      <c r="B3593" t="s">
        <v>24</v>
      </c>
      <c r="C3593">
        <v>6</v>
      </c>
      <c r="D3593">
        <v>32688234</v>
      </c>
      <c r="E3593">
        <v>3</v>
      </c>
      <c r="F3593">
        <v>17</v>
      </c>
      <c r="G3593">
        <v>60</v>
      </c>
      <c r="H3593">
        <v>47399917</v>
      </c>
      <c r="I3593">
        <v>604494</v>
      </c>
      <c r="J3593" t="s">
        <v>25</v>
      </c>
      <c r="K3593" t="s">
        <v>18</v>
      </c>
      <c r="L3593">
        <v>9</v>
      </c>
      <c r="M3593">
        <v>97.75</v>
      </c>
      <c r="N3593">
        <v>181082</v>
      </c>
      <c r="O3593">
        <v>1</v>
      </c>
    </row>
    <row r="3594" spans="1:15">
      <c r="A3594" t="s">
        <v>3620</v>
      </c>
      <c r="B3594" t="s">
        <v>27</v>
      </c>
      <c r="C3594">
        <v>9</v>
      </c>
      <c r="D3594">
        <v>19423836</v>
      </c>
      <c r="E3594">
        <v>2</v>
      </c>
      <c r="F3594">
        <v>18</v>
      </c>
      <c r="G3594">
        <v>518</v>
      </c>
      <c r="H3594">
        <v>90293989</v>
      </c>
      <c r="I3594">
        <v>926528</v>
      </c>
      <c r="J3594" t="s">
        <v>25</v>
      </c>
      <c r="K3594" t="s">
        <v>30</v>
      </c>
      <c r="L3594">
        <v>2</v>
      </c>
      <c r="M3594">
        <v>32.06</v>
      </c>
      <c r="N3594">
        <v>644263</v>
      </c>
      <c r="O3594">
        <v>1</v>
      </c>
    </row>
    <row r="3595" spans="1:15">
      <c r="A3595" t="s">
        <v>3621</v>
      </c>
      <c r="B3595" t="s">
        <v>27</v>
      </c>
      <c r="C3595">
        <v>2</v>
      </c>
      <c r="D3595">
        <v>29863201</v>
      </c>
      <c r="E3595">
        <v>1</v>
      </c>
      <c r="F3595">
        <v>18</v>
      </c>
      <c r="G3595">
        <v>46</v>
      </c>
      <c r="H3595">
        <v>97448078</v>
      </c>
      <c r="I3595">
        <v>581009</v>
      </c>
      <c r="J3595" t="s">
        <v>25</v>
      </c>
      <c r="K3595" t="s">
        <v>30</v>
      </c>
      <c r="L3595">
        <v>4</v>
      </c>
      <c r="M3595">
        <v>72.08</v>
      </c>
      <c r="N3595">
        <v>157673</v>
      </c>
      <c r="O3595">
        <v>1</v>
      </c>
    </row>
    <row r="3596" spans="1:15">
      <c r="A3596" t="s">
        <v>3622</v>
      </c>
      <c r="B3596" t="s">
        <v>32</v>
      </c>
      <c r="C3596">
        <v>10</v>
      </c>
      <c r="D3596">
        <v>5739969</v>
      </c>
      <c r="E3596">
        <v>2</v>
      </c>
      <c r="F3596">
        <v>14</v>
      </c>
      <c r="G3596">
        <v>812</v>
      </c>
      <c r="H3596">
        <v>46271937</v>
      </c>
      <c r="I3596">
        <v>644244</v>
      </c>
      <c r="J3596" t="s">
        <v>25</v>
      </c>
      <c r="K3596" t="s">
        <v>30</v>
      </c>
      <c r="L3596">
        <v>3</v>
      </c>
      <c r="M3596">
        <v>68.61</v>
      </c>
      <c r="N3596">
        <v>472548</v>
      </c>
      <c r="O3596">
        <v>1</v>
      </c>
    </row>
    <row r="3597" spans="1:15">
      <c r="A3597" t="s">
        <v>3623</v>
      </c>
      <c r="B3597" t="s">
        <v>32</v>
      </c>
      <c r="C3597">
        <v>1</v>
      </c>
      <c r="D3597">
        <v>20158969</v>
      </c>
      <c r="E3597">
        <v>3</v>
      </c>
      <c r="F3597">
        <v>27</v>
      </c>
      <c r="G3597">
        <v>94</v>
      </c>
      <c r="H3597">
        <v>65122595</v>
      </c>
      <c r="I3597">
        <v>239292</v>
      </c>
      <c r="J3597" t="s">
        <v>21</v>
      </c>
      <c r="K3597" t="s">
        <v>30</v>
      </c>
      <c r="L3597">
        <v>9</v>
      </c>
      <c r="M3597">
        <v>86.17</v>
      </c>
      <c r="N3597">
        <v>196282</v>
      </c>
      <c r="O3597">
        <v>1</v>
      </c>
    </row>
    <row r="3598" spans="1:15">
      <c r="A3598" t="s">
        <v>3624</v>
      </c>
      <c r="B3598" t="s">
        <v>38</v>
      </c>
      <c r="C3598">
        <v>1</v>
      </c>
      <c r="D3598">
        <v>41787047</v>
      </c>
      <c r="E3598">
        <v>1</v>
      </c>
      <c r="F3598">
        <v>27</v>
      </c>
      <c r="G3598">
        <v>155</v>
      </c>
      <c r="H3598">
        <v>69166595</v>
      </c>
      <c r="I3598">
        <v>339549</v>
      </c>
      <c r="J3598" t="s">
        <v>25</v>
      </c>
      <c r="K3598" t="s">
        <v>22</v>
      </c>
      <c r="L3598">
        <v>1</v>
      </c>
      <c r="M3598">
        <v>8.23</v>
      </c>
      <c r="N3598">
        <v>654627</v>
      </c>
      <c r="O3598">
        <v>1</v>
      </c>
    </row>
    <row r="3599" spans="1:15">
      <c r="A3599" t="s">
        <v>3625</v>
      </c>
      <c r="B3599" t="s">
        <v>32</v>
      </c>
      <c r="C3599">
        <v>6</v>
      </c>
      <c r="D3599">
        <v>5482021</v>
      </c>
      <c r="E3599">
        <v>4</v>
      </c>
      <c r="F3599">
        <v>25</v>
      </c>
      <c r="G3599">
        <v>766</v>
      </c>
      <c r="H3599">
        <v>80398011</v>
      </c>
      <c r="I3599">
        <v>206728</v>
      </c>
      <c r="J3599" t="s">
        <v>21</v>
      </c>
      <c r="K3599" t="s">
        <v>22</v>
      </c>
      <c r="L3599">
        <v>8</v>
      </c>
      <c r="M3599">
        <v>82.39</v>
      </c>
      <c r="N3599">
        <v>572714</v>
      </c>
      <c r="O3599">
        <v>1</v>
      </c>
    </row>
    <row r="3600" spans="1:15">
      <c r="A3600" t="s">
        <v>3626</v>
      </c>
      <c r="B3600" t="s">
        <v>38</v>
      </c>
      <c r="C3600">
        <v>10</v>
      </c>
      <c r="D3600">
        <v>33843788</v>
      </c>
      <c r="E3600">
        <v>2</v>
      </c>
      <c r="F3600">
        <v>14</v>
      </c>
      <c r="G3600">
        <v>475</v>
      </c>
      <c r="H3600">
        <v>64787922</v>
      </c>
      <c r="I3600">
        <v>797098</v>
      </c>
      <c r="J3600" t="s">
        <v>25</v>
      </c>
      <c r="K3600" t="s">
        <v>30</v>
      </c>
      <c r="L3600">
        <v>2</v>
      </c>
      <c r="M3600">
        <v>87.06</v>
      </c>
      <c r="N3600">
        <v>840050</v>
      </c>
      <c r="O3600">
        <v>1</v>
      </c>
    </row>
    <row r="3601" spans="1:15">
      <c r="A3601" t="s">
        <v>3627</v>
      </c>
      <c r="B3601" t="s">
        <v>20</v>
      </c>
      <c r="C3601">
        <v>0</v>
      </c>
      <c r="D3601">
        <v>29326107</v>
      </c>
      <c r="E3601">
        <v>2</v>
      </c>
      <c r="F3601">
        <v>21</v>
      </c>
      <c r="G3601">
        <v>210</v>
      </c>
      <c r="H3601">
        <v>24152000</v>
      </c>
      <c r="I3601">
        <v>666982</v>
      </c>
      <c r="J3601" t="s">
        <v>21</v>
      </c>
      <c r="K3601" t="s">
        <v>18</v>
      </c>
      <c r="L3601">
        <v>6</v>
      </c>
      <c r="M3601">
        <v>6.37</v>
      </c>
      <c r="N3601">
        <v>178881</v>
      </c>
      <c r="O3601">
        <v>1</v>
      </c>
    </row>
    <row r="3602" spans="1:15">
      <c r="A3602" t="s">
        <v>3628</v>
      </c>
      <c r="B3602" t="s">
        <v>29</v>
      </c>
      <c r="C3602">
        <v>12</v>
      </c>
      <c r="D3602">
        <v>28644515</v>
      </c>
      <c r="E3602">
        <v>1</v>
      </c>
      <c r="F3602">
        <v>8</v>
      </c>
      <c r="G3602">
        <v>614</v>
      </c>
      <c r="H3602">
        <v>67467199</v>
      </c>
      <c r="I3602">
        <v>184916</v>
      </c>
      <c r="J3602" t="s">
        <v>21</v>
      </c>
      <c r="K3602" t="s">
        <v>22</v>
      </c>
      <c r="L3602">
        <v>8</v>
      </c>
      <c r="M3602">
        <v>23.81</v>
      </c>
      <c r="N3602">
        <v>196458</v>
      </c>
      <c r="O3602">
        <v>1</v>
      </c>
    </row>
    <row r="3603" spans="1:15">
      <c r="A3603" t="s">
        <v>3629</v>
      </c>
      <c r="B3603" t="s">
        <v>20</v>
      </c>
      <c r="C3603">
        <v>5</v>
      </c>
      <c r="D3603">
        <v>49993132</v>
      </c>
      <c r="E3603">
        <v>3</v>
      </c>
      <c r="F3603">
        <v>21</v>
      </c>
      <c r="G3603">
        <v>696</v>
      </c>
      <c r="H3603">
        <v>67432003</v>
      </c>
      <c r="I3603">
        <v>515382</v>
      </c>
      <c r="J3603" t="s">
        <v>21</v>
      </c>
      <c r="K3603" t="s">
        <v>18</v>
      </c>
      <c r="L3603">
        <v>4</v>
      </c>
      <c r="M3603">
        <v>36.99</v>
      </c>
      <c r="N3603">
        <v>817144</v>
      </c>
      <c r="O3603">
        <v>1</v>
      </c>
    </row>
    <row r="3604" spans="1:15">
      <c r="A3604" t="s">
        <v>3630</v>
      </c>
      <c r="B3604" t="s">
        <v>32</v>
      </c>
      <c r="C3604">
        <v>3</v>
      </c>
      <c r="D3604">
        <v>12182582</v>
      </c>
      <c r="E3604">
        <v>4</v>
      </c>
      <c r="F3604">
        <v>23</v>
      </c>
      <c r="G3604">
        <v>82</v>
      </c>
      <c r="H3604">
        <v>25575974</v>
      </c>
      <c r="I3604">
        <v>707736</v>
      </c>
      <c r="J3604" t="s">
        <v>25</v>
      </c>
      <c r="K3604" t="s">
        <v>30</v>
      </c>
      <c r="L3604">
        <v>3</v>
      </c>
      <c r="M3604">
        <v>35.49</v>
      </c>
      <c r="N3604">
        <v>268048</v>
      </c>
      <c r="O3604">
        <v>1</v>
      </c>
    </row>
    <row r="3605" spans="1:15">
      <c r="A3605" t="s">
        <v>3631</v>
      </c>
      <c r="B3605" t="s">
        <v>16</v>
      </c>
      <c r="C3605">
        <v>11</v>
      </c>
      <c r="D3605">
        <v>20592765</v>
      </c>
      <c r="E3605">
        <v>3</v>
      </c>
      <c r="F3605">
        <v>11</v>
      </c>
      <c r="G3605">
        <v>74</v>
      </c>
      <c r="H3605">
        <v>47091621</v>
      </c>
      <c r="I3605">
        <v>432826</v>
      </c>
      <c r="J3605" t="s">
        <v>17</v>
      </c>
      <c r="K3605" t="s">
        <v>18</v>
      </c>
      <c r="L3605">
        <v>8</v>
      </c>
      <c r="M3605">
        <v>25.28</v>
      </c>
      <c r="N3605">
        <v>234834</v>
      </c>
      <c r="O3605">
        <v>1</v>
      </c>
    </row>
    <row r="3606" spans="1:15">
      <c r="A3606" t="s">
        <v>3632</v>
      </c>
      <c r="B3606" t="s">
        <v>27</v>
      </c>
      <c r="C3606">
        <v>14</v>
      </c>
      <c r="D3606">
        <v>38871764</v>
      </c>
      <c r="E3606">
        <v>1</v>
      </c>
      <c r="F3606">
        <v>22</v>
      </c>
      <c r="G3606">
        <v>65</v>
      </c>
      <c r="H3606">
        <v>17559922</v>
      </c>
      <c r="I3606">
        <v>936925</v>
      </c>
      <c r="J3606" t="s">
        <v>17</v>
      </c>
      <c r="K3606" t="s">
        <v>18</v>
      </c>
      <c r="L3606">
        <v>3</v>
      </c>
      <c r="M3606">
        <v>25.11</v>
      </c>
      <c r="N3606">
        <v>187355</v>
      </c>
      <c r="O3606">
        <v>1</v>
      </c>
    </row>
    <row r="3607" spans="1:15">
      <c r="A3607" t="s">
        <v>3633</v>
      </c>
      <c r="B3607" t="s">
        <v>29</v>
      </c>
      <c r="C3607">
        <v>7</v>
      </c>
      <c r="D3607">
        <v>32370534</v>
      </c>
      <c r="E3607">
        <v>3</v>
      </c>
      <c r="F3607">
        <v>16</v>
      </c>
      <c r="G3607">
        <v>39</v>
      </c>
      <c r="H3607">
        <v>329072</v>
      </c>
      <c r="I3607">
        <v>86792</v>
      </c>
      <c r="J3607" t="s">
        <v>21</v>
      </c>
      <c r="K3607" t="s">
        <v>22</v>
      </c>
      <c r="L3607">
        <v>2</v>
      </c>
      <c r="M3607">
        <v>2.4</v>
      </c>
      <c r="N3607">
        <v>902741</v>
      </c>
      <c r="O3607">
        <v>1</v>
      </c>
    </row>
    <row r="3608" spans="1:15">
      <c r="A3608" t="s">
        <v>3634</v>
      </c>
      <c r="B3608" t="s">
        <v>24</v>
      </c>
      <c r="C3608">
        <v>11</v>
      </c>
      <c r="D3608">
        <v>43349566</v>
      </c>
      <c r="E3608">
        <v>4</v>
      </c>
      <c r="F3608">
        <v>1</v>
      </c>
      <c r="G3608">
        <v>264</v>
      </c>
      <c r="H3608">
        <v>67490927</v>
      </c>
      <c r="I3608">
        <v>866027</v>
      </c>
      <c r="J3608" t="s">
        <v>17</v>
      </c>
      <c r="K3608" t="s">
        <v>30</v>
      </c>
      <c r="L3608">
        <v>4</v>
      </c>
      <c r="M3608">
        <v>63.46</v>
      </c>
      <c r="N3608">
        <v>972007</v>
      </c>
      <c r="O3608">
        <v>1</v>
      </c>
    </row>
    <row r="3609" spans="1:15">
      <c r="A3609" t="s">
        <v>3635</v>
      </c>
      <c r="B3609" t="s">
        <v>27</v>
      </c>
      <c r="C3609">
        <v>6</v>
      </c>
      <c r="D3609">
        <v>23120089</v>
      </c>
      <c r="E3609">
        <v>1</v>
      </c>
      <c r="F3609">
        <v>12</v>
      </c>
      <c r="G3609">
        <v>278</v>
      </c>
      <c r="H3609">
        <v>16567098</v>
      </c>
      <c r="I3609">
        <v>570360</v>
      </c>
      <c r="J3609" t="s">
        <v>17</v>
      </c>
      <c r="K3609" t="s">
        <v>22</v>
      </c>
      <c r="L3609">
        <v>8</v>
      </c>
      <c r="M3609">
        <v>48.41</v>
      </c>
      <c r="N3609">
        <v>650047</v>
      </c>
      <c r="O3609">
        <v>1</v>
      </c>
    </row>
    <row r="3610" spans="1:15">
      <c r="A3610" t="s">
        <v>3636</v>
      </c>
      <c r="B3610" t="s">
        <v>24</v>
      </c>
      <c r="C3610">
        <v>0</v>
      </c>
      <c r="D3610">
        <v>4754294</v>
      </c>
      <c r="E3610">
        <v>3</v>
      </c>
      <c r="F3610">
        <v>13</v>
      </c>
      <c r="G3610">
        <v>275</v>
      </c>
      <c r="H3610">
        <v>20141093</v>
      </c>
      <c r="I3610">
        <v>105761</v>
      </c>
      <c r="J3610" t="s">
        <v>21</v>
      </c>
      <c r="K3610" t="s">
        <v>30</v>
      </c>
      <c r="L3610">
        <v>8</v>
      </c>
      <c r="M3610">
        <v>38.96</v>
      </c>
      <c r="N3610">
        <v>530062</v>
      </c>
      <c r="O3610">
        <v>1</v>
      </c>
    </row>
    <row r="3611" spans="1:15">
      <c r="A3611" t="s">
        <v>3637</v>
      </c>
      <c r="B3611" t="s">
        <v>27</v>
      </c>
      <c r="C3611">
        <v>9</v>
      </c>
      <c r="D3611">
        <v>9299089</v>
      </c>
      <c r="E3611">
        <v>4</v>
      </c>
      <c r="F3611">
        <v>11</v>
      </c>
      <c r="G3611">
        <v>132</v>
      </c>
      <c r="H3611">
        <v>45644523</v>
      </c>
      <c r="I3611">
        <v>523397</v>
      </c>
      <c r="J3611" t="s">
        <v>25</v>
      </c>
      <c r="K3611" t="s">
        <v>30</v>
      </c>
      <c r="L3611">
        <v>3</v>
      </c>
      <c r="M3611">
        <v>36.520000000000003</v>
      </c>
      <c r="N3611">
        <v>280996</v>
      </c>
      <c r="O3611">
        <v>1</v>
      </c>
    </row>
    <row r="3612" spans="1:15">
      <c r="A3612" t="s">
        <v>3638</v>
      </c>
      <c r="B3612" t="s">
        <v>32</v>
      </c>
      <c r="C3612">
        <v>9</v>
      </c>
      <c r="D3612">
        <v>7215503</v>
      </c>
      <c r="E3612">
        <v>4</v>
      </c>
      <c r="F3612">
        <v>14</v>
      </c>
      <c r="G3612">
        <v>260</v>
      </c>
      <c r="H3612">
        <v>97297279</v>
      </c>
      <c r="I3612">
        <v>723769</v>
      </c>
      <c r="J3612" t="s">
        <v>17</v>
      </c>
      <c r="K3612" t="s">
        <v>22</v>
      </c>
      <c r="L3612">
        <v>5</v>
      </c>
      <c r="M3612">
        <v>52.46</v>
      </c>
      <c r="N3612">
        <v>973486</v>
      </c>
      <c r="O3612">
        <v>1</v>
      </c>
    </row>
    <row r="3613" spans="1:15">
      <c r="A3613" t="s">
        <v>3639</v>
      </c>
      <c r="B3613" t="s">
        <v>20</v>
      </c>
      <c r="C3613">
        <v>9</v>
      </c>
      <c r="D3613">
        <v>28646767</v>
      </c>
      <c r="E3613">
        <v>2</v>
      </c>
      <c r="F3613">
        <v>10</v>
      </c>
      <c r="G3613">
        <v>444</v>
      </c>
      <c r="H3613">
        <v>80823978</v>
      </c>
      <c r="I3613">
        <v>421563</v>
      </c>
      <c r="J3613" t="s">
        <v>17</v>
      </c>
      <c r="K3613" t="s">
        <v>18</v>
      </c>
      <c r="L3613">
        <v>7</v>
      </c>
      <c r="M3613">
        <v>26.95</v>
      </c>
      <c r="N3613">
        <v>636876</v>
      </c>
      <c r="O3613">
        <v>1</v>
      </c>
    </row>
    <row r="3614" spans="1:15">
      <c r="A3614" t="s">
        <v>3640</v>
      </c>
      <c r="B3614" t="s">
        <v>16</v>
      </c>
      <c r="C3614">
        <v>4</v>
      </c>
      <c r="D3614">
        <v>21611419</v>
      </c>
      <c r="E3614">
        <v>3</v>
      </c>
      <c r="F3614">
        <v>22</v>
      </c>
      <c r="G3614">
        <v>98</v>
      </c>
      <c r="H3614">
        <v>44322720</v>
      </c>
      <c r="I3614">
        <v>305590</v>
      </c>
      <c r="J3614" t="s">
        <v>21</v>
      </c>
      <c r="K3614" t="s">
        <v>22</v>
      </c>
      <c r="L3614">
        <v>8</v>
      </c>
      <c r="M3614">
        <v>17.25</v>
      </c>
      <c r="N3614">
        <v>547087</v>
      </c>
      <c r="O3614">
        <v>1</v>
      </c>
    </row>
    <row r="3615" spans="1:15">
      <c r="A3615" t="s">
        <v>3641</v>
      </c>
      <c r="B3615" t="s">
        <v>16</v>
      </c>
      <c r="C3615">
        <v>7</v>
      </c>
      <c r="D3615">
        <v>23270949</v>
      </c>
      <c r="E3615">
        <v>2</v>
      </c>
      <c r="F3615">
        <v>13</v>
      </c>
      <c r="G3615">
        <v>482</v>
      </c>
      <c r="H3615">
        <v>73543192</v>
      </c>
      <c r="I3615">
        <v>696909</v>
      </c>
      <c r="J3615" t="s">
        <v>21</v>
      </c>
      <c r="K3615" t="s">
        <v>22</v>
      </c>
      <c r="L3615">
        <v>8</v>
      </c>
      <c r="M3615">
        <v>42.04</v>
      </c>
      <c r="N3615">
        <v>684019</v>
      </c>
      <c r="O3615">
        <v>1</v>
      </c>
    </row>
    <row r="3616" spans="1:15">
      <c r="A3616" t="s">
        <v>3642</v>
      </c>
      <c r="B3616" t="s">
        <v>38</v>
      </c>
      <c r="C3616">
        <v>0</v>
      </c>
      <c r="D3616">
        <v>4065832</v>
      </c>
      <c r="E3616">
        <v>1</v>
      </c>
      <c r="F3616">
        <v>26</v>
      </c>
      <c r="G3616">
        <v>251</v>
      </c>
      <c r="H3616">
        <v>97877229</v>
      </c>
      <c r="I3616">
        <v>587874</v>
      </c>
      <c r="J3616" t="s">
        <v>17</v>
      </c>
      <c r="K3616" t="s">
        <v>30</v>
      </c>
      <c r="L3616">
        <v>8</v>
      </c>
      <c r="M3616">
        <v>30.86</v>
      </c>
      <c r="N3616">
        <v>943673</v>
      </c>
      <c r="O3616">
        <v>1</v>
      </c>
    </row>
    <row r="3617" spans="1:15">
      <c r="A3617" t="s">
        <v>3643</v>
      </c>
      <c r="B3617" t="s">
        <v>20</v>
      </c>
      <c r="C3617">
        <v>14</v>
      </c>
      <c r="D3617">
        <v>42826771</v>
      </c>
      <c r="E3617">
        <v>4</v>
      </c>
      <c r="F3617">
        <v>13</v>
      </c>
      <c r="G3617">
        <v>277</v>
      </c>
      <c r="H3617">
        <v>45101963</v>
      </c>
      <c r="I3617">
        <v>707285</v>
      </c>
      <c r="J3617" t="s">
        <v>25</v>
      </c>
      <c r="K3617" t="s">
        <v>22</v>
      </c>
      <c r="L3617">
        <v>9</v>
      </c>
      <c r="M3617">
        <v>59.73</v>
      </c>
      <c r="N3617">
        <v>649068</v>
      </c>
      <c r="O3617">
        <v>1</v>
      </c>
    </row>
    <row r="3618" spans="1:15">
      <c r="A3618" t="s">
        <v>3644</v>
      </c>
      <c r="B3618" t="s">
        <v>20</v>
      </c>
      <c r="C3618">
        <v>0</v>
      </c>
      <c r="D3618">
        <v>39322880</v>
      </c>
      <c r="E3618">
        <v>3</v>
      </c>
      <c r="F3618">
        <v>21</v>
      </c>
      <c r="G3618">
        <v>718</v>
      </c>
      <c r="H3618">
        <v>4827030</v>
      </c>
      <c r="I3618">
        <v>483482</v>
      </c>
      <c r="J3618" t="s">
        <v>17</v>
      </c>
      <c r="K3618" t="s">
        <v>22</v>
      </c>
      <c r="L3618">
        <v>6</v>
      </c>
      <c r="M3618">
        <v>79.75</v>
      </c>
      <c r="N3618">
        <v>873314</v>
      </c>
      <c r="O3618">
        <v>1</v>
      </c>
    </row>
    <row r="3619" spans="1:15">
      <c r="A3619" t="s">
        <v>3645</v>
      </c>
      <c r="B3619" t="s">
        <v>38</v>
      </c>
      <c r="C3619">
        <v>7</v>
      </c>
      <c r="D3619">
        <v>48541289</v>
      </c>
      <c r="E3619">
        <v>3</v>
      </c>
      <c r="F3619">
        <v>11</v>
      </c>
      <c r="G3619">
        <v>919</v>
      </c>
      <c r="H3619">
        <v>42309009</v>
      </c>
      <c r="I3619">
        <v>296078</v>
      </c>
      <c r="J3619" t="s">
        <v>17</v>
      </c>
      <c r="K3619" t="s">
        <v>18</v>
      </c>
      <c r="L3619">
        <v>3</v>
      </c>
      <c r="M3619">
        <v>41.67</v>
      </c>
      <c r="N3619">
        <v>364487</v>
      </c>
      <c r="O3619">
        <v>1</v>
      </c>
    </row>
    <row r="3620" spans="1:15">
      <c r="A3620" t="s">
        <v>3646</v>
      </c>
      <c r="B3620" t="s">
        <v>27</v>
      </c>
      <c r="C3620">
        <v>8</v>
      </c>
      <c r="D3620">
        <v>1325836</v>
      </c>
      <c r="E3620">
        <v>3</v>
      </c>
      <c r="F3620">
        <v>18</v>
      </c>
      <c r="G3620">
        <v>189</v>
      </c>
      <c r="H3620">
        <v>14480752</v>
      </c>
      <c r="I3620">
        <v>387028</v>
      </c>
      <c r="J3620" t="s">
        <v>25</v>
      </c>
      <c r="K3620" t="s">
        <v>22</v>
      </c>
      <c r="L3620">
        <v>3</v>
      </c>
      <c r="M3620">
        <v>70.47</v>
      </c>
      <c r="N3620">
        <v>162265</v>
      </c>
      <c r="O3620">
        <v>1</v>
      </c>
    </row>
    <row r="3621" spans="1:15">
      <c r="A3621" t="s">
        <v>3647</v>
      </c>
      <c r="B3621" t="s">
        <v>38</v>
      </c>
      <c r="C3621">
        <v>12</v>
      </c>
      <c r="D3621">
        <v>32814400</v>
      </c>
      <c r="E3621">
        <v>3</v>
      </c>
      <c r="F3621">
        <v>3</v>
      </c>
      <c r="G3621">
        <v>272</v>
      </c>
      <c r="H3621">
        <v>26961581</v>
      </c>
      <c r="I3621">
        <v>915696</v>
      </c>
      <c r="J3621" t="s">
        <v>25</v>
      </c>
      <c r="K3621" t="s">
        <v>30</v>
      </c>
      <c r="L3621">
        <v>1</v>
      </c>
      <c r="M3621">
        <v>76.48</v>
      </c>
      <c r="N3621">
        <v>785224</v>
      </c>
      <c r="O3621">
        <v>1</v>
      </c>
    </row>
    <row r="3622" spans="1:15">
      <c r="A3622" t="s">
        <v>3648</v>
      </c>
      <c r="B3622" t="s">
        <v>16</v>
      </c>
      <c r="C3622">
        <v>9</v>
      </c>
      <c r="D3622">
        <v>11859951</v>
      </c>
      <c r="E3622">
        <v>2</v>
      </c>
      <c r="F3622">
        <v>15</v>
      </c>
      <c r="G3622">
        <v>100</v>
      </c>
      <c r="H3622">
        <v>23040825</v>
      </c>
      <c r="I3622">
        <v>376207</v>
      </c>
      <c r="J3622" t="s">
        <v>21</v>
      </c>
      <c r="K3622" t="s">
        <v>18</v>
      </c>
      <c r="L3622">
        <v>6</v>
      </c>
      <c r="M3622">
        <v>10.96</v>
      </c>
      <c r="N3622">
        <v>823076</v>
      </c>
      <c r="O3622">
        <v>1</v>
      </c>
    </row>
    <row r="3623" spans="1:15">
      <c r="A3623" t="s">
        <v>3649</v>
      </c>
      <c r="B3623" t="s">
        <v>29</v>
      </c>
      <c r="C3623">
        <v>1</v>
      </c>
      <c r="D3623">
        <v>16180501</v>
      </c>
      <c r="E3623">
        <v>3</v>
      </c>
      <c r="F3623">
        <v>29</v>
      </c>
      <c r="G3623">
        <v>18</v>
      </c>
      <c r="H3623">
        <v>13234905</v>
      </c>
      <c r="I3623">
        <v>512827</v>
      </c>
      <c r="J3623" t="s">
        <v>25</v>
      </c>
      <c r="K3623" t="s">
        <v>22</v>
      </c>
      <c r="L3623">
        <v>1</v>
      </c>
      <c r="M3623">
        <v>85.89</v>
      </c>
      <c r="N3623">
        <v>186075</v>
      </c>
      <c r="O3623">
        <v>1</v>
      </c>
    </row>
    <row r="3624" spans="1:15">
      <c r="A3624" t="s">
        <v>3650</v>
      </c>
      <c r="B3624" t="s">
        <v>16</v>
      </c>
      <c r="C3624">
        <v>8</v>
      </c>
      <c r="D3624">
        <v>9708901</v>
      </c>
      <c r="E3624">
        <v>3</v>
      </c>
      <c r="F3624">
        <v>14</v>
      </c>
      <c r="G3624">
        <v>317</v>
      </c>
      <c r="H3624">
        <v>31332171</v>
      </c>
      <c r="I3624">
        <v>178363</v>
      </c>
      <c r="J3624" t="s">
        <v>25</v>
      </c>
      <c r="K3624" t="s">
        <v>22</v>
      </c>
      <c r="L3624">
        <v>4</v>
      </c>
      <c r="M3624">
        <v>18.14</v>
      </c>
      <c r="N3624">
        <v>330040</v>
      </c>
      <c r="O3624">
        <v>1</v>
      </c>
    </row>
    <row r="3625" spans="1:15">
      <c r="A3625" t="s">
        <v>3651</v>
      </c>
      <c r="B3625" t="s">
        <v>29</v>
      </c>
      <c r="C3625">
        <v>9</v>
      </c>
      <c r="D3625">
        <v>18581130</v>
      </c>
      <c r="E3625">
        <v>1</v>
      </c>
      <c r="F3625">
        <v>14</v>
      </c>
      <c r="G3625">
        <v>73</v>
      </c>
      <c r="H3625">
        <v>11010617</v>
      </c>
      <c r="I3625">
        <v>113077</v>
      </c>
      <c r="J3625" t="s">
        <v>25</v>
      </c>
      <c r="K3625" t="s">
        <v>22</v>
      </c>
      <c r="L3625">
        <v>1</v>
      </c>
      <c r="M3625">
        <v>8.2899999999999991</v>
      </c>
      <c r="N3625">
        <v>94711</v>
      </c>
      <c r="O3625">
        <v>1</v>
      </c>
    </row>
    <row r="3626" spans="1:15">
      <c r="A3626" t="s">
        <v>3652</v>
      </c>
      <c r="B3626" t="s">
        <v>24</v>
      </c>
      <c r="C3626">
        <v>2</v>
      </c>
      <c r="D3626">
        <v>25395227</v>
      </c>
      <c r="E3626">
        <v>3</v>
      </c>
      <c r="F3626">
        <v>3</v>
      </c>
      <c r="G3626">
        <v>23</v>
      </c>
      <c r="H3626">
        <v>81573336</v>
      </c>
      <c r="I3626">
        <v>732458</v>
      </c>
      <c r="J3626" t="s">
        <v>17</v>
      </c>
      <c r="K3626" t="s">
        <v>18</v>
      </c>
      <c r="L3626">
        <v>4</v>
      </c>
      <c r="M3626">
        <v>81.53</v>
      </c>
      <c r="N3626">
        <v>960308</v>
      </c>
      <c r="O3626">
        <v>1</v>
      </c>
    </row>
    <row r="3627" spans="1:15">
      <c r="A3627" t="s">
        <v>3653</v>
      </c>
      <c r="B3627" t="s">
        <v>20</v>
      </c>
      <c r="C3627">
        <v>2</v>
      </c>
      <c r="D3627">
        <v>11356214</v>
      </c>
      <c r="E3627">
        <v>2</v>
      </c>
      <c r="F3627">
        <v>14</v>
      </c>
      <c r="G3627">
        <v>274</v>
      </c>
      <c r="H3627">
        <v>59872372</v>
      </c>
      <c r="I3627">
        <v>158710</v>
      </c>
      <c r="J3627" t="s">
        <v>21</v>
      </c>
      <c r="K3627" t="s">
        <v>18</v>
      </c>
      <c r="L3627">
        <v>1</v>
      </c>
      <c r="M3627">
        <v>73.12</v>
      </c>
      <c r="N3627">
        <v>756463</v>
      </c>
      <c r="O3627">
        <v>1</v>
      </c>
    </row>
    <row r="3628" spans="1:15">
      <c r="A3628" t="s">
        <v>3654</v>
      </c>
      <c r="B3628" t="s">
        <v>16</v>
      </c>
      <c r="C3628">
        <v>11</v>
      </c>
      <c r="D3628">
        <v>2760621</v>
      </c>
      <c r="E3628">
        <v>4</v>
      </c>
      <c r="F3628">
        <v>16</v>
      </c>
      <c r="G3628">
        <v>423</v>
      </c>
      <c r="H3628">
        <v>41860873</v>
      </c>
      <c r="I3628">
        <v>270383</v>
      </c>
      <c r="J3628" t="s">
        <v>17</v>
      </c>
      <c r="K3628" t="s">
        <v>18</v>
      </c>
      <c r="L3628">
        <v>4</v>
      </c>
      <c r="M3628">
        <v>81.96</v>
      </c>
      <c r="N3628">
        <v>815208</v>
      </c>
      <c r="O3628">
        <v>1</v>
      </c>
    </row>
    <row r="3629" spans="1:15">
      <c r="A3629" t="s">
        <v>3655</v>
      </c>
      <c r="B3629" t="s">
        <v>38</v>
      </c>
      <c r="C3629">
        <v>6</v>
      </c>
      <c r="D3629">
        <v>9906794</v>
      </c>
      <c r="E3629">
        <v>3</v>
      </c>
      <c r="F3629">
        <v>11</v>
      </c>
      <c r="G3629">
        <v>282</v>
      </c>
      <c r="H3629">
        <v>24949342</v>
      </c>
      <c r="I3629">
        <v>640686</v>
      </c>
      <c r="J3629" t="s">
        <v>25</v>
      </c>
      <c r="K3629" t="s">
        <v>18</v>
      </c>
      <c r="L3629">
        <v>9</v>
      </c>
      <c r="M3629">
        <v>93.66</v>
      </c>
      <c r="N3629">
        <v>998998</v>
      </c>
      <c r="O3629">
        <v>1</v>
      </c>
    </row>
    <row r="3630" spans="1:15">
      <c r="A3630" t="s">
        <v>3656</v>
      </c>
      <c r="B3630" t="s">
        <v>16</v>
      </c>
      <c r="C3630">
        <v>13</v>
      </c>
      <c r="D3630">
        <v>13622224</v>
      </c>
      <c r="E3630">
        <v>3</v>
      </c>
      <c r="F3630">
        <v>3</v>
      </c>
      <c r="G3630">
        <v>297</v>
      </c>
      <c r="H3630">
        <v>86977829</v>
      </c>
      <c r="I3630">
        <v>990708</v>
      </c>
      <c r="J3630" t="s">
        <v>21</v>
      </c>
      <c r="K3630" t="s">
        <v>22</v>
      </c>
      <c r="L3630">
        <v>2</v>
      </c>
      <c r="M3630">
        <v>90.5</v>
      </c>
      <c r="N3630">
        <v>618413</v>
      </c>
      <c r="O3630">
        <v>1</v>
      </c>
    </row>
    <row r="3631" spans="1:15">
      <c r="A3631" t="s">
        <v>3657</v>
      </c>
      <c r="B3631" t="s">
        <v>29</v>
      </c>
      <c r="C3631">
        <v>5</v>
      </c>
      <c r="D3631">
        <v>27203968</v>
      </c>
      <c r="E3631">
        <v>2</v>
      </c>
      <c r="F3631">
        <v>2</v>
      </c>
      <c r="G3631">
        <v>440</v>
      </c>
      <c r="H3631">
        <v>18081561</v>
      </c>
      <c r="I3631">
        <v>994877</v>
      </c>
      <c r="J3631" t="s">
        <v>21</v>
      </c>
      <c r="K3631" t="s">
        <v>18</v>
      </c>
      <c r="L3631">
        <v>9</v>
      </c>
      <c r="M3631">
        <v>39.72</v>
      </c>
      <c r="N3631">
        <v>544006</v>
      </c>
      <c r="O3631">
        <v>1</v>
      </c>
    </row>
    <row r="3632" spans="1:15">
      <c r="A3632" t="s">
        <v>3658</v>
      </c>
      <c r="B3632" t="s">
        <v>38</v>
      </c>
      <c r="C3632">
        <v>11</v>
      </c>
      <c r="D3632">
        <v>28389758</v>
      </c>
      <c r="E3632">
        <v>4</v>
      </c>
      <c r="F3632">
        <v>1</v>
      </c>
      <c r="G3632">
        <v>666</v>
      </c>
      <c r="H3632">
        <v>83475979</v>
      </c>
      <c r="I3632">
        <v>376816</v>
      </c>
      <c r="J3632" t="s">
        <v>21</v>
      </c>
      <c r="K3632" t="s">
        <v>30</v>
      </c>
      <c r="L3632">
        <v>1</v>
      </c>
      <c r="M3632">
        <v>36.33</v>
      </c>
      <c r="N3632">
        <v>497083</v>
      </c>
      <c r="O3632">
        <v>1</v>
      </c>
    </row>
    <row r="3633" spans="1:15">
      <c r="A3633" t="s">
        <v>3659</v>
      </c>
      <c r="B3633" t="s">
        <v>32</v>
      </c>
      <c r="C3633">
        <v>0</v>
      </c>
      <c r="D3633">
        <v>42537916</v>
      </c>
      <c r="E3633">
        <v>3</v>
      </c>
      <c r="F3633">
        <v>2</v>
      </c>
      <c r="G3633">
        <v>787</v>
      </c>
      <c r="H3633">
        <v>21418462</v>
      </c>
      <c r="I3633">
        <v>764171</v>
      </c>
      <c r="J3633" t="s">
        <v>21</v>
      </c>
      <c r="K3633" t="s">
        <v>18</v>
      </c>
      <c r="L3633">
        <v>7</v>
      </c>
      <c r="M3633">
        <v>29.51</v>
      </c>
      <c r="N3633">
        <v>798130</v>
      </c>
      <c r="O3633">
        <v>1</v>
      </c>
    </row>
    <row r="3634" spans="1:15">
      <c r="A3634" t="s">
        <v>3660</v>
      </c>
      <c r="B3634" t="s">
        <v>29</v>
      </c>
      <c r="C3634">
        <v>4</v>
      </c>
      <c r="D3634">
        <v>46666204</v>
      </c>
      <c r="E3634">
        <v>1</v>
      </c>
      <c r="F3634">
        <v>25</v>
      </c>
      <c r="G3634">
        <v>193</v>
      </c>
      <c r="H3634">
        <v>4092788</v>
      </c>
      <c r="I3634">
        <v>538904</v>
      </c>
      <c r="J3634" t="s">
        <v>17</v>
      </c>
      <c r="K3634" t="s">
        <v>30</v>
      </c>
      <c r="L3634">
        <v>9</v>
      </c>
      <c r="M3634">
        <v>52.99</v>
      </c>
      <c r="N3634">
        <v>502354</v>
      </c>
      <c r="O3634">
        <v>1</v>
      </c>
    </row>
    <row r="3635" spans="1:15">
      <c r="A3635" t="s">
        <v>3661</v>
      </c>
      <c r="B3635" t="s">
        <v>27</v>
      </c>
      <c r="C3635">
        <v>0</v>
      </c>
      <c r="D3635">
        <v>15039487</v>
      </c>
      <c r="E3635">
        <v>3</v>
      </c>
      <c r="F3635">
        <v>10</v>
      </c>
      <c r="G3635">
        <v>356</v>
      </c>
      <c r="H3635">
        <v>30593</v>
      </c>
      <c r="I3635">
        <v>470594</v>
      </c>
      <c r="J3635" t="s">
        <v>25</v>
      </c>
      <c r="K3635" t="s">
        <v>18</v>
      </c>
      <c r="L3635">
        <v>2</v>
      </c>
      <c r="M3635">
        <v>23.99</v>
      </c>
      <c r="N3635">
        <v>356062</v>
      </c>
      <c r="O3635">
        <v>1</v>
      </c>
    </row>
    <row r="3636" spans="1:15">
      <c r="A3636" t="s">
        <v>3662</v>
      </c>
      <c r="B3636" t="s">
        <v>16</v>
      </c>
      <c r="C3636">
        <v>1</v>
      </c>
      <c r="D3636">
        <v>45277530</v>
      </c>
      <c r="E3636">
        <v>3</v>
      </c>
      <c r="F3636">
        <v>15</v>
      </c>
      <c r="G3636">
        <v>714</v>
      </c>
      <c r="H3636">
        <v>99706062</v>
      </c>
      <c r="I3636">
        <v>343355</v>
      </c>
      <c r="J3636" t="s">
        <v>21</v>
      </c>
      <c r="K3636" t="s">
        <v>18</v>
      </c>
      <c r="L3636">
        <v>4</v>
      </c>
      <c r="M3636">
        <v>32.89</v>
      </c>
      <c r="N3636">
        <v>382677</v>
      </c>
      <c r="O3636">
        <v>1</v>
      </c>
    </row>
    <row r="3637" spans="1:15">
      <c r="A3637" t="s">
        <v>3663</v>
      </c>
      <c r="B3637" t="s">
        <v>32</v>
      </c>
      <c r="C3637">
        <v>3</v>
      </c>
      <c r="D3637">
        <v>22786635</v>
      </c>
      <c r="E3637">
        <v>2</v>
      </c>
      <c r="F3637">
        <v>21</v>
      </c>
      <c r="G3637">
        <v>248</v>
      </c>
      <c r="H3637">
        <v>96995869</v>
      </c>
      <c r="I3637">
        <v>259214</v>
      </c>
      <c r="J3637" t="s">
        <v>17</v>
      </c>
      <c r="K3637" t="s">
        <v>22</v>
      </c>
      <c r="L3637">
        <v>5</v>
      </c>
      <c r="M3637">
        <v>1.57</v>
      </c>
      <c r="N3637">
        <v>65956</v>
      </c>
      <c r="O3637">
        <v>1</v>
      </c>
    </row>
    <row r="3638" spans="1:15">
      <c r="A3638" t="s">
        <v>3664</v>
      </c>
      <c r="B3638" t="s">
        <v>27</v>
      </c>
      <c r="C3638">
        <v>3</v>
      </c>
      <c r="D3638">
        <v>37040153</v>
      </c>
      <c r="E3638">
        <v>4</v>
      </c>
      <c r="F3638">
        <v>16</v>
      </c>
      <c r="G3638">
        <v>288</v>
      </c>
      <c r="H3638">
        <v>27169141</v>
      </c>
      <c r="I3638">
        <v>201738</v>
      </c>
      <c r="J3638" t="s">
        <v>21</v>
      </c>
      <c r="K3638" t="s">
        <v>22</v>
      </c>
      <c r="L3638">
        <v>5</v>
      </c>
      <c r="M3638">
        <v>87.32</v>
      </c>
      <c r="N3638">
        <v>315680</v>
      </c>
      <c r="O3638">
        <v>1</v>
      </c>
    </row>
    <row r="3639" spans="1:15">
      <c r="A3639" t="s">
        <v>3665</v>
      </c>
      <c r="B3639" t="s">
        <v>29</v>
      </c>
      <c r="C3639">
        <v>13</v>
      </c>
      <c r="D3639">
        <v>2237831</v>
      </c>
      <c r="E3639">
        <v>1</v>
      </c>
      <c r="F3639">
        <v>12</v>
      </c>
      <c r="G3639">
        <v>145</v>
      </c>
      <c r="H3639">
        <v>45858813</v>
      </c>
      <c r="I3639">
        <v>587164</v>
      </c>
      <c r="J3639" t="s">
        <v>21</v>
      </c>
      <c r="K3639" t="s">
        <v>18</v>
      </c>
      <c r="L3639">
        <v>8</v>
      </c>
      <c r="M3639">
        <v>39.020000000000003</v>
      </c>
      <c r="N3639">
        <v>820310</v>
      </c>
      <c r="O3639">
        <v>1</v>
      </c>
    </row>
    <row r="3640" spans="1:15">
      <c r="A3640" t="s">
        <v>3666</v>
      </c>
      <c r="B3640" t="s">
        <v>38</v>
      </c>
      <c r="C3640">
        <v>0</v>
      </c>
      <c r="D3640">
        <v>19701586</v>
      </c>
      <c r="E3640">
        <v>1</v>
      </c>
      <c r="F3640">
        <v>12</v>
      </c>
      <c r="G3640">
        <v>323</v>
      </c>
      <c r="H3640">
        <v>94552016</v>
      </c>
      <c r="I3640">
        <v>167555</v>
      </c>
      <c r="J3640" t="s">
        <v>21</v>
      </c>
      <c r="K3640" t="s">
        <v>30</v>
      </c>
      <c r="L3640">
        <v>4</v>
      </c>
      <c r="M3640">
        <v>39.51</v>
      </c>
      <c r="N3640">
        <v>867397</v>
      </c>
      <c r="O3640">
        <v>1</v>
      </c>
    </row>
    <row r="3641" spans="1:15">
      <c r="A3641" t="s">
        <v>3667</v>
      </c>
      <c r="B3641" t="s">
        <v>38</v>
      </c>
      <c r="C3641">
        <v>0</v>
      </c>
      <c r="D3641">
        <v>42800630</v>
      </c>
      <c r="E3641">
        <v>3</v>
      </c>
      <c r="F3641">
        <v>17</v>
      </c>
      <c r="G3641">
        <v>316</v>
      </c>
      <c r="H3641">
        <v>35273444</v>
      </c>
      <c r="I3641">
        <v>358222</v>
      </c>
      <c r="J3641" t="s">
        <v>21</v>
      </c>
      <c r="K3641" t="s">
        <v>30</v>
      </c>
      <c r="L3641">
        <v>6</v>
      </c>
      <c r="M3641">
        <v>78.489999999999995</v>
      </c>
      <c r="N3641">
        <v>371192</v>
      </c>
      <c r="O3641">
        <v>1</v>
      </c>
    </row>
    <row r="3642" spans="1:15">
      <c r="A3642" t="s">
        <v>3668</v>
      </c>
      <c r="B3642" t="s">
        <v>16</v>
      </c>
      <c r="C3642">
        <v>1</v>
      </c>
      <c r="D3642">
        <v>18677486</v>
      </c>
      <c r="E3642">
        <v>3</v>
      </c>
      <c r="F3642">
        <v>15</v>
      </c>
      <c r="G3642">
        <v>332</v>
      </c>
      <c r="H3642">
        <v>74368989</v>
      </c>
      <c r="I3642">
        <v>722592</v>
      </c>
      <c r="J3642" t="s">
        <v>25</v>
      </c>
      <c r="K3642" t="s">
        <v>30</v>
      </c>
      <c r="L3642">
        <v>7</v>
      </c>
      <c r="M3642">
        <v>19.010000000000002</v>
      </c>
      <c r="N3642">
        <v>530190</v>
      </c>
      <c r="O3642">
        <v>1</v>
      </c>
    </row>
    <row r="3643" spans="1:15">
      <c r="A3643" t="s">
        <v>3669</v>
      </c>
      <c r="B3643" t="s">
        <v>38</v>
      </c>
      <c r="C3643">
        <v>11</v>
      </c>
      <c r="D3643">
        <v>33790860</v>
      </c>
      <c r="E3643">
        <v>2</v>
      </c>
      <c r="F3643">
        <v>21</v>
      </c>
      <c r="G3643">
        <v>862</v>
      </c>
      <c r="H3643">
        <v>97627534</v>
      </c>
      <c r="I3643">
        <v>486721</v>
      </c>
      <c r="J3643" t="s">
        <v>25</v>
      </c>
      <c r="K3643" t="s">
        <v>22</v>
      </c>
      <c r="L3643">
        <v>2</v>
      </c>
      <c r="M3643">
        <v>25.78</v>
      </c>
      <c r="N3643">
        <v>795683</v>
      </c>
      <c r="O3643">
        <v>1</v>
      </c>
    </row>
    <row r="3644" spans="1:15">
      <c r="A3644" t="s">
        <v>3670</v>
      </c>
      <c r="B3644" t="s">
        <v>16</v>
      </c>
      <c r="C3644">
        <v>1</v>
      </c>
      <c r="D3644">
        <v>6289807</v>
      </c>
      <c r="E3644">
        <v>1</v>
      </c>
      <c r="F3644">
        <v>9</v>
      </c>
      <c r="G3644">
        <v>35</v>
      </c>
      <c r="H3644">
        <v>17649738</v>
      </c>
      <c r="I3644">
        <v>426475</v>
      </c>
      <c r="J3644" t="s">
        <v>21</v>
      </c>
      <c r="K3644" t="s">
        <v>30</v>
      </c>
      <c r="L3644">
        <v>6</v>
      </c>
      <c r="M3644">
        <v>14.17</v>
      </c>
      <c r="N3644">
        <v>939387</v>
      </c>
      <c r="O3644">
        <v>1</v>
      </c>
    </row>
    <row r="3645" spans="1:15">
      <c r="A3645" t="s">
        <v>3671</v>
      </c>
      <c r="B3645" t="s">
        <v>27</v>
      </c>
      <c r="C3645">
        <v>11</v>
      </c>
      <c r="D3645">
        <v>46380527</v>
      </c>
      <c r="E3645">
        <v>3</v>
      </c>
      <c r="F3645">
        <v>22</v>
      </c>
      <c r="G3645">
        <v>33</v>
      </c>
      <c r="H3645">
        <v>40438083</v>
      </c>
      <c r="I3645">
        <v>223274</v>
      </c>
      <c r="J3645" t="s">
        <v>21</v>
      </c>
      <c r="K3645" t="s">
        <v>22</v>
      </c>
      <c r="L3645">
        <v>1</v>
      </c>
      <c r="M3645">
        <v>17.989999999999998</v>
      </c>
      <c r="N3645">
        <v>483284</v>
      </c>
      <c r="O3645">
        <v>1</v>
      </c>
    </row>
    <row r="3646" spans="1:15">
      <c r="A3646" t="s">
        <v>3672</v>
      </c>
      <c r="B3646" t="s">
        <v>20</v>
      </c>
      <c r="C3646">
        <v>11</v>
      </c>
      <c r="D3646">
        <v>16429558</v>
      </c>
      <c r="E3646">
        <v>4</v>
      </c>
      <c r="F3646">
        <v>10</v>
      </c>
      <c r="G3646">
        <v>449</v>
      </c>
      <c r="H3646">
        <v>48582049</v>
      </c>
      <c r="I3646">
        <v>504748</v>
      </c>
      <c r="J3646" t="s">
        <v>17</v>
      </c>
      <c r="K3646" t="s">
        <v>18</v>
      </c>
      <c r="L3646">
        <v>7</v>
      </c>
      <c r="M3646">
        <v>33.18</v>
      </c>
      <c r="N3646">
        <v>984610</v>
      </c>
      <c r="O3646">
        <v>1</v>
      </c>
    </row>
    <row r="3647" spans="1:15">
      <c r="A3647" t="s">
        <v>3673</v>
      </c>
      <c r="B3647" t="s">
        <v>20</v>
      </c>
      <c r="C3647">
        <v>2</v>
      </c>
      <c r="D3647">
        <v>2266740</v>
      </c>
      <c r="E3647">
        <v>4</v>
      </c>
      <c r="F3647">
        <v>20</v>
      </c>
      <c r="G3647">
        <v>956</v>
      </c>
      <c r="H3647">
        <v>11237578</v>
      </c>
      <c r="I3647">
        <v>823301</v>
      </c>
      <c r="J3647" t="s">
        <v>17</v>
      </c>
      <c r="K3647" t="s">
        <v>22</v>
      </c>
      <c r="L3647">
        <v>1</v>
      </c>
      <c r="M3647">
        <v>34.619999999999997</v>
      </c>
      <c r="N3647">
        <v>263060</v>
      </c>
      <c r="O3647">
        <v>1</v>
      </c>
    </row>
    <row r="3648" spans="1:15">
      <c r="A3648" t="s">
        <v>3674</v>
      </c>
      <c r="B3648" t="s">
        <v>16</v>
      </c>
      <c r="C3648">
        <v>12</v>
      </c>
      <c r="D3648">
        <v>17060555</v>
      </c>
      <c r="E3648">
        <v>3</v>
      </c>
      <c r="F3648">
        <v>22</v>
      </c>
      <c r="G3648">
        <v>132</v>
      </c>
      <c r="H3648">
        <v>23067867</v>
      </c>
      <c r="I3648">
        <v>956800</v>
      </c>
      <c r="J3648" t="s">
        <v>25</v>
      </c>
      <c r="K3648" t="s">
        <v>18</v>
      </c>
      <c r="L3648">
        <v>5</v>
      </c>
      <c r="M3648">
        <v>1.92</v>
      </c>
      <c r="N3648">
        <v>147372</v>
      </c>
      <c r="O3648">
        <v>1</v>
      </c>
    </row>
    <row r="3649" spans="1:15">
      <c r="A3649" t="s">
        <v>3675</v>
      </c>
      <c r="B3649" t="s">
        <v>24</v>
      </c>
      <c r="C3649">
        <v>11</v>
      </c>
      <c r="D3649">
        <v>25345699</v>
      </c>
      <c r="E3649">
        <v>4</v>
      </c>
      <c r="F3649">
        <v>12</v>
      </c>
      <c r="G3649">
        <v>6</v>
      </c>
      <c r="H3649">
        <v>79965223</v>
      </c>
      <c r="I3649">
        <v>390803</v>
      </c>
      <c r="J3649" t="s">
        <v>21</v>
      </c>
      <c r="K3649" t="s">
        <v>30</v>
      </c>
      <c r="L3649">
        <v>4</v>
      </c>
      <c r="M3649">
        <v>20.07</v>
      </c>
      <c r="N3649">
        <v>75369</v>
      </c>
      <c r="O3649">
        <v>1</v>
      </c>
    </row>
    <row r="3650" spans="1:15">
      <c r="A3650" t="s">
        <v>3676</v>
      </c>
      <c r="B3650" t="s">
        <v>38</v>
      </c>
      <c r="C3650">
        <v>7</v>
      </c>
      <c r="D3650">
        <v>26594560</v>
      </c>
      <c r="E3650">
        <v>3</v>
      </c>
      <c r="F3650">
        <v>25</v>
      </c>
      <c r="G3650">
        <v>673</v>
      </c>
      <c r="H3650">
        <v>83518345</v>
      </c>
      <c r="I3650">
        <v>193344</v>
      </c>
      <c r="J3650" t="s">
        <v>17</v>
      </c>
      <c r="K3650" t="s">
        <v>30</v>
      </c>
      <c r="L3650">
        <v>1</v>
      </c>
      <c r="M3650">
        <v>10.54</v>
      </c>
      <c r="N3650">
        <v>52392</v>
      </c>
      <c r="O3650">
        <v>1</v>
      </c>
    </row>
    <row r="3651" spans="1:15">
      <c r="A3651" t="s">
        <v>3677</v>
      </c>
      <c r="B3651" t="s">
        <v>29</v>
      </c>
      <c r="C3651">
        <v>9</v>
      </c>
      <c r="D3651">
        <v>17028324</v>
      </c>
      <c r="E3651">
        <v>4</v>
      </c>
      <c r="F3651">
        <v>3</v>
      </c>
      <c r="G3651">
        <v>154</v>
      </c>
      <c r="H3651">
        <v>64257363</v>
      </c>
      <c r="I3651">
        <v>174708</v>
      </c>
      <c r="J3651" t="s">
        <v>17</v>
      </c>
      <c r="K3651" t="s">
        <v>22</v>
      </c>
      <c r="L3651">
        <v>9</v>
      </c>
      <c r="M3651">
        <v>44.42</v>
      </c>
      <c r="N3651">
        <v>943322</v>
      </c>
      <c r="O3651">
        <v>1</v>
      </c>
    </row>
    <row r="3652" spans="1:15">
      <c r="A3652" t="s">
        <v>3678</v>
      </c>
      <c r="B3652" t="s">
        <v>24</v>
      </c>
      <c r="C3652">
        <v>5</v>
      </c>
      <c r="D3652">
        <v>47483139</v>
      </c>
      <c r="E3652">
        <v>3</v>
      </c>
      <c r="F3652">
        <v>16</v>
      </c>
      <c r="G3652">
        <v>884</v>
      </c>
      <c r="H3652">
        <v>36585368</v>
      </c>
      <c r="I3652">
        <v>255987</v>
      </c>
      <c r="J3652" t="s">
        <v>25</v>
      </c>
      <c r="K3652" t="s">
        <v>30</v>
      </c>
      <c r="L3652">
        <v>5</v>
      </c>
      <c r="M3652">
        <v>47.66</v>
      </c>
      <c r="N3652">
        <v>378873</v>
      </c>
      <c r="O3652">
        <v>1</v>
      </c>
    </row>
    <row r="3653" spans="1:15">
      <c r="A3653" t="s">
        <v>3679</v>
      </c>
      <c r="B3653" t="s">
        <v>29</v>
      </c>
      <c r="C3653">
        <v>12</v>
      </c>
      <c r="D3653">
        <v>27626356</v>
      </c>
      <c r="E3653">
        <v>1</v>
      </c>
      <c r="F3653">
        <v>13</v>
      </c>
      <c r="G3653">
        <v>601</v>
      </c>
      <c r="H3653">
        <v>94812521</v>
      </c>
      <c r="I3653">
        <v>235703</v>
      </c>
      <c r="J3653" t="s">
        <v>25</v>
      </c>
      <c r="K3653" t="s">
        <v>18</v>
      </c>
      <c r="L3653">
        <v>3</v>
      </c>
      <c r="M3653">
        <v>42.83</v>
      </c>
      <c r="N3653">
        <v>977631</v>
      </c>
      <c r="O3653">
        <v>1</v>
      </c>
    </row>
    <row r="3654" spans="1:15">
      <c r="A3654" t="s">
        <v>3680</v>
      </c>
      <c r="B3654" t="s">
        <v>29</v>
      </c>
      <c r="C3654">
        <v>12</v>
      </c>
      <c r="D3654">
        <v>25658685</v>
      </c>
      <c r="E3654">
        <v>1</v>
      </c>
      <c r="F3654">
        <v>2</v>
      </c>
      <c r="G3654">
        <v>295</v>
      </c>
      <c r="H3654">
        <v>41551176</v>
      </c>
      <c r="I3654">
        <v>782806</v>
      </c>
      <c r="J3654" t="s">
        <v>17</v>
      </c>
      <c r="K3654" t="s">
        <v>18</v>
      </c>
      <c r="L3654">
        <v>9</v>
      </c>
      <c r="M3654">
        <v>98.76</v>
      </c>
      <c r="N3654">
        <v>125075</v>
      </c>
      <c r="O3654">
        <v>1</v>
      </c>
    </row>
    <row r="3655" spans="1:15">
      <c r="A3655" t="s">
        <v>3681</v>
      </c>
      <c r="B3655" t="s">
        <v>27</v>
      </c>
      <c r="C3655">
        <v>4</v>
      </c>
      <c r="D3655">
        <v>43451471</v>
      </c>
      <c r="E3655">
        <v>3</v>
      </c>
      <c r="F3655">
        <v>15</v>
      </c>
      <c r="G3655">
        <v>392</v>
      </c>
      <c r="H3655">
        <v>18536014</v>
      </c>
      <c r="I3655">
        <v>252212</v>
      </c>
      <c r="J3655" t="s">
        <v>17</v>
      </c>
      <c r="K3655" t="s">
        <v>22</v>
      </c>
      <c r="L3655">
        <v>5</v>
      </c>
      <c r="M3655">
        <v>58.85</v>
      </c>
      <c r="N3655">
        <v>978880</v>
      </c>
      <c r="O3655">
        <v>1</v>
      </c>
    </row>
    <row r="3656" spans="1:15">
      <c r="A3656" t="s">
        <v>3682</v>
      </c>
      <c r="B3656" t="s">
        <v>24</v>
      </c>
      <c r="C3656">
        <v>12</v>
      </c>
      <c r="D3656">
        <v>28828764</v>
      </c>
      <c r="E3656">
        <v>2</v>
      </c>
      <c r="F3656">
        <v>18</v>
      </c>
      <c r="G3656">
        <v>288</v>
      </c>
      <c r="H3656">
        <v>76216155</v>
      </c>
      <c r="I3656">
        <v>67911</v>
      </c>
      <c r="J3656" t="s">
        <v>21</v>
      </c>
      <c r="K3656" t="s">
        <v>18</v>
      </c>
      <c r="L3656">
        <v>2</v>
      </c>
      <c r="M3656">
        <v>99.81</v>
      </c>
      <c r="N3656">
        <v>681329</v>
      </c>
      <c r="O3656">
        <v>1</v>
      </c>
    </row>
    <row r="3657" spans="1:15">
      <c r="A3657" t="s">
        <v>3683</v>
      </c>
      <c r="B3657" t="s">
        <v>29</v>
      </c>
      <c r="C3657">
        <v>4</v>
      </c>
      <c r="D3657">
        <v>24054190</v>
      </c>
      <c r="E3657">
        <v>4</v>
      </c>
      <c r="F3657">
        <v>27</v>
      </c>
      <c r="G3657">
        <v>82</v>
      </c>
      <c r="H3657">
        <v>51936224</v>
      </c>
      <c r="I3657">
        <v>13570</v>
      </c>
      <c r="J3657" t="s">
        <v>21</v>
      </c>
      <c r="K3657" t="s">
        <v>18</v>
      </c>
      <c r="L3657">
        <v>1</v>
      </c>
      <c r="M3657">
        <v>66.12</v>
      </c>
      <c r="N3657">
        <v>888717</v>
      </c>
      <c r="O3657">
        <v>1</v>
      </c>
    </row>
    <row r="3658" spans="1:15">
      <c r="A3658" t="s">
        <v>3684</v>
      </c>
      <c r="B3658" t="s">
        <v>24</v>
      </c>
      <c r="C3658">
        <v>3</v>
      </c>
      <c r="D3658">
        <v>42321789</v>
      </c>
      <c r="E3658">
        <v>3</v>
      </c>
      <c r="F3658">
        <v>14</v>
      </c>
      <c r="G3658">
        <v>421</v>
      </c>
      <c r="H3658">
        <v>42291534</v>
      </c>
      <c r="I3658">
        <v>292064</v>
      </c>
      <c r="J3658" t="s">
        <v>25</v>
      </c>
      <c r="K3658" t="s">
        <v>30</v>
      </c>
      <c r="L3658">
        <v>4</v>
      </c>
      <c r="M3658">
        <v>43.29</v>
      </c>
      <c r="N3658">
        <v>68318</v>
      </c>
      <c r="O3658">
        <v>1</v>
      </c>
    </row>
    <row r="3659" spans="1:15">
      <c r="A3659" t="s">
        <v>3685</v>
      </c>
      <c r="B3659" t="s">
        <v>29</v>
      </c>
      <c r="C3659">
        <v>12</v>
      </c>
      <c r="D3659">
        <v>46865084</v>
      </c>
      <c r="E3659">
        <v>4</v>
      </c>
      <c r="F3659">
        <v>6</v>
      </c>
      <c r="G3659">
        <v>808</v>
      </c>
      <c r="H3659">
        <v>24370343</v>
      </c>
      <c r="I3659">
        <v>20461</v>
      </c>
      <c r="J3659" t="s">
        <v>17</v>
      </c>
      <c r="K3659" t="s">
        <v>22</v>
      </c>
      <c r="L3659">
        <v>7</v>
      </c>
      <c r="M3659">
        <v>16.91</v>
      </c>
      <c r="N3659">
        <v>158622</v>
      </c>
      <c r="O3659">
        <v>1</v>
      </c>
    </row>
    <row r="3660" spans="1:15">
      <c r="A3660" t="s">
        <v>3686</v>
      </c>
      <c r="B3660" t="s">
        <v>27</v>
      </c>
      <c r="C3660">
        <v>0</v>
      </c>
      <c r="D3660">
        <v>47684576</v>
      </c>
      <c r="E3660">
        <v>2</v>
      </c>
      <c r="F3660">
        <v>7</v>
      </c>
      <c r="G3660">
        <v>245</v>
      </c>
      <c r="H3660">
        <v>60043451</v>
      </c>
      <c r="I3660">
        <v>482496</v>
      </c>
      <c r="J3660" t="s">
        <v>25</v>
      </c>
      <c r="K3660" t="s">
        <v>18</v>
      </c>
      <c r="L3660">
        <v>3</v>
      </c>
      <c r="M3660">
        <v>24.38</v>
      </c>
      <c r="N3660">
        <v>566703</v>
      </c>
      <c r="O3660">
        <v>1</v>
      </c>
    </row>
    <row r="3661" spans="1:15">
      <c r="A3661" t="s">
        <v>3687</v>
      </c>
      <c r="B3661" t="s">
        <v>38</v>
      </c>
      <c r="C3661">
        <v>2</v>
      </c>
      <c r="D3661">
        <v>41003009</v>
      </c>
      <c r="E3661">
        <v>4</v>
      </c>
      <c r="F3661">
        <v>24</v>
      </c>
      <c r="G3661">
        <v>75</v>
      </c>
      <c r="H3661">
        <v>13345174</v>
      </c>
      <c r="I3661">
        <v>565395</v>
      </c>
      <c r="J3661" t="s">
        <v>21</v>
      </c>
      <c r="K3661" t="s">
        <v>18</v>
      </c>
      <c r="L3661">
        <v>6</v>
      </c>
      <c r="M3661">
        <v>38.909999999999997</v>
      </c>
      <c r="N3661">
        <v>842581</v>
      </c>
      <c r="O3661">
        <v>1</v>
      </c>
    </row>
    <row r="3662" spans="1:15">
      <c r="A3662" t="s">
        <v>3688</v>
      </c>
      <c r="B3662" t="s">
        <v>38</v>
      </c>
      <c r="C3662">
        <v>8</v>
      </c>
      <c r="D3662">
        <v>29942989</v>
      </c>
      <c r="E3662">
        <v>1</v>
      </c>
      <c r="F3662">
        <v>20</v>
      </c>
      <c r="G3662">
        <v>124</v>
      </c>
      <c r="H3662">
        <v>73193239</v>
      </c>
      <c r="I3662">
        <v>806319</v>
      </c>
      <c r="J3662" t="s">
        <v>21</v>
      </c>
      <c r="K3662" t="s">
        <v>30</v>
      </c>
      <c r="L3662">
        <v>5</v>
      </c>
      <c r="M3662">
        <v>79.569999999999993</v>
      </c>
      <c r="N3662">
        <v>873995</v>
      </c>
      <c r="O3662">
        <v>1</v>
      </c>
    </row>
    <row r="3663" spans="1:15">
      <c r="A3663" t="s">
        <v>3689</v>
      </c>
      <c r="B3663" t="s">
        <v>38</v>
      </c>
      <c r="C3663">
        <v>7</v>
      </c>
      <c r="D3663">
        <v>31807988</v>
      </c>
      <c r="E3663">
        <v>2</v>
      </c>
      <c r="F3663">
        <v>9</v>
      </c>
      <c r="G3663">
        <v>815</v>
      </c>
      <c r="H3663">
        <v>49853233</v>
      </c>
      <c r="I3663">
        <v>214715</v>
      </c>
      <c r="J3663" t="s">
        <v>21</v>
      </c>
      <c r="K3663" t="s">
        <v>18</v>
      </c>
      <c r="L3663">
        <v>4</v>
      </c>
      <c r="M3663">
        <v>39.5</v>
      </c>
      <c r="N3663">
        <v>950029</v>
      </c>
      <c r="O3663">
        <v>1</v>
      </c>
    </row>
    <row r="3664" spans="1:15">
      <c r="A3664" t="s">
        <v>3690</v>
      </c>
      <c r="B3664" t="s">
        <v>27</v>
      </c>
      <c r="C3664">
        <v>3</v>
      </c>
      <c r="D3664">
        <v>17083107</v>
      </c>
      <c r="E3664">
        <v>1</v>
      </c>
      <c r="F3664">
        <v>17</v>
      </c>
      <c r="G3664">
        <v>706</v>
      </c>
      <c r="H3664">
        <v>63952547</v>
      </c>
      <c r="I3664">
        <v>81397</v>
      </c>
      <c r="J3664" t="s">
        <v>17</v>
      </c>
      <c r="K3664" t="s">
        <v>22</v>
      </c>
      <c r="L3664">
        <v>6</v>
      </c>
      <c r="M3664">
        <v>75.64</v>
      </c>
      <c r="N3664">
        <v>872857</v>
      </c>
      <c r="O3664">
        <v>1</v>
      </c>
    </row>
    <row r="3665" spans="1:15">
      <c r="A3665" t="s">
        <v>3691</v>
      </c>
      <c r="B3665" t="s">
        <v>20</v>
      </c>
      <c r="C3665">
        <v>5</v>
      </c>
      <c r="D3665">
        <v>4898510</v>
      </c>
      <c r="E3665">
        <v>2</v>
      </c>
      <c r="F3665">
        <v>1</v>
      </c>
      <c r="G3665">
        <v>258</v>
      </c>
      <c r="H3665">
        <v>27356900</v>
      </c>
      <c r="I3665">
        <v>170017</v>
      </c>
      <c r="J3665" t="s">
        <v>17</v>
      </c>
      <c r="K3665" t="s">
        <v>22</v>
      </c>
      <c r="L3665">
        <v>2</v>
      </c>
      <c r="M3665">
        <v>87.6</v>
      </c>
      <c r="N3665">
        <v>359133</v>
      </c>
      <c r="O3665">
        <v>1</v>
      </c>
    </row>
    <row r="3666" spans="1:15">
      <c r="A3666" t="s">
        <v>3692</v>
      </c>
      <c r="B3666" t="s">
        <v>16</v>
      </c>
      <c r="C3666">
        <v>8</v>
      </c>
      <c r="D3666">
        <v>22861037</v>
      </c>
      <c r="E3666">
        <v>2</v>
      </c>
      <c r="F3666">
        <v>6</v>
      </c>
      <c r="G3666">
        <v>964</v>
      </c>
      <c r="H3666">
        <v>7095370</v>
      </c>
      <c r="I3666">
        <v>151487</v>
      </c>
      <c r="J3666" t="s">
        <v>21</v>
      </c>
      <c r="K3666" t="s">
        <v>18</v>
      </c>
      <c r="L3666">
        <v>2</v>
      </c>
      <c r="M3666">
        <v>34.409999999999997</v>
      </c>
      <c r="N3666">
        <v>666127</v>
      </c>
      <c r="O3666">
        <v>1</v>
      </c>
    </row>
    <row r="3667" spans="1:15">
      <c r="A3667" t="s">
        <v>3693</v>
      </c>
      <c r="B3667" t="s">
        <v>38</v>
      </c>
      <c r="C3667">
        <v>1</v>
      </c>
      <c r="D3667">
        <v>6011424</v>
      </c>
      <c r="E3667">
        <v>2</v>
      </c>
      <c r="F3667">
        <v>10</v>
      </c>
      <c r="G3667">
        <v>775</v>
      </c>
      <c r="H3667">
        <v>7858963</v>
      </c>
      <c r="I3667">
        <v>893525</v>
      </c>
      <c r="J3667" t="s">
        <v>25</v>
      </c>
      <c r="K3667" t="s">
        <v>30</v>
      </c>
      <c r="L3667">
        <v>7</v>
      </c>
      <c r="M3667">
        <v>24.26</v>
      </c>
      <c r="N3667">
        <v>322967</v>
      </c>
      <c r="O3667">
        <v>1</v>
      </c>
    </row>
    <row r="3668" spans="1:15">
      <c r="A3668" t="s">
        <v>3694</v>
      </c>
      <c r="B3668" t="s">
        <v>20</v>
      </c>
      <c r="C3668">
        <v>5</v>
      </c>
      <c r="D3668">
        <v>6366803</v>
      </c>
      <c r="E3668">
        <v>4</v>
      </c>
      <c r="F3668">
        <v>7</v>
      </c>
      <c r="G3668">
        <v>248</v>
      </c>
      <c r="H3668">
        <v>66986349</v>
      </c>
      <c r="I3668">
        <v>98551</v>
      </c>
      <c r="J3668" t="s">
        <v>25</v>
      </c>
      <c r="K3668" t="s">
        <v>18</v>
      </c>
      <c r="L3668">
        <v>8</v>
      </c>
      <c r="M3668">
        <v>20.190000000000001</v>
      </c>
      <c r="N3668">
        <v>249651</v>
      </c>
      <c r="O3668">
        <v>1</v>
      </c>
    </row>
    <row r="3669" spans="1:15">
      <c r="A3669" t="s">
        <v>3695</v>
      </c>
      <c r="B3669" t="s">
        <v>32</v>
      </c>
      <c r="C3669">
        <v>8</v>
      </c>
      <c r="D3669">
        <v>46060433</v>
      </c>
      <c r="E3669">
        <v>3</v>
      </c>
      <c r="F3669">
        <v>24</v>
      </c>
      <c r="G3669">
        <v>182</v>
      </c>
      <c r="H3669">
        <v>21525026</v>
      </c>
      <c r="I3669">
        <v>972912</v>
      </c>
      <c r="J3669" t="s">
        <v>25</v>
      </c>
      <c r="K3669" t="s">
        <v>22</v>
      </c>
      <c r="L3669">
        <v>3</v>
      </c>
      <c r="M3669">
        <v>57.23</v>
      </c>
      <c r="N3669">
        <v>843191</v>
      </c>
      <c r="O3669">
        <v>1</v>
      </c>
    </row>
    <row r="3670" spans="1:15">
      <c r="A3670" t="s">
        <v>3696</v>
      </c>
      <c r="B3670" t="s">
        <v>20</v>
      </c>
      <c r="C3670">
        <v>5</v>
      </c>
      <c r="D3670">
        <v>41444975</v>
      </c>
      <c r="E3670">
        <v>2</v>
      </c>
      <c r="F3670">
        <v>9</v>
      </c>
      <c r="G3670">
        <v>20</v>
      </c>
      <c r="H3670">
        <v>23915484</v>
      </c>
      <c r="I3670">
        <v>310508</v>
      </c>
      <c r="J3670" t="s">
        <v>17</v>
      </c>
      <c r="K3670" t="s">
        <v>30</v>
      </c>
      <c r="L3670">
        <v>8</v>
      </c>
      <c r="M3670">
        <v>69.760000000000005</v>
      </c>
      <c r="N3670">
        <v>453125</v>
      </c>
      <c r="O3670">
        <v>1</v>
      </c>
    </row>
    <row r="3671" spans="1:15">
      <c r="A3671" t="s">
        <v>3697</v>
      </c>
      <c r="B3671" t="s">
        <v>24</v>
      </c>
      <c r="C3671">
        <v>13</v>
      </c>
      <c r="D3671">
        <v>36908246</v>
      </c>
      <c r="E3671">
        <v>3</v>
      </c>
      <c r="F3671">
        <v>13</v>
      </c>
      <c r="G3671">
        <v>544</v>
      </c>
      <c r="H3671">
        <v>84569909</v>
      </c>
      <c r="I3671">
        <v>532687</v>
      </c>
      <c r="J3671" t="s">
        <v>21</v>
      </c>
      <c r="K3671" t="s">
        <v>18</v>
      </c>
      <c r="L3671">
        <v>8</v>
      </c>
      <c r="M3671">
        <v>98.5</v>
      </c>
      <c r="N3671">
        <v>805116</v>
      </c>
      <c r="O3671">
        <v>1</v>
      </c>
    </row>
    <row r="3672" spans="1:15">
      <c r="A3672" t="s">
        <v>3698</v>
      </c>
      <c r="B3672" t="s">
        <v>20</v>
      </c>
      <c r="C3672">
        <v>0</v>
      </c>
      <c r="D3672">
        <v>45318467</v>
      </c>
      <c r="E3672">
        <v>4</v>
      </c>
      <c r="F3672">
        <v>11</v>
      </c>
      <c r="G3672">
        <v>12</v>
      </c>
      <c r="H3672">
        <v>7320027</v>
      </c>
      <c r="I3672">
        <v>426491</v>
      </c>
      <c r="J3672" t="s">
        <v>25</v>
      </c>
      <c r="K3672" t="s">
        <v>22</v>
      </c>
      <c r="L3672">
        <v>6</v>
      </c>
      <c r="M3672">
        <v>56.86</v>
      </c>
      <c r="N3672">
        <v>939890</v>
      </c>
      <c r="O3672">
        <v>1</v>
      </c>
    </row>
    <row r="3673" spans="1:15">
      <c r="A3673" t="s">
        <v>3699</v>
      </c>
      <c r="B3673" t="s">
        <v>32</v>
      </c>
      <c r="C3673">
        <v>12</v>
      </c>
      <c r="D3673">
        <v>48306242</v>
      </c>
      <c r="E3673">
        <v>2</v>
      </c>
      <c r="F3673">
        <v>21</v>
      </c>
      <c r="G3673">
        <v>138</v>
      </c>
      <c r="H3673">
        <v>20534670</v>
      </c>
      <c r="I3673">
        <v>852801</v>
      </c>
      <c r="J3673" t="s">
        <v>17</v>
      </c>
      <c r="K3673" t="s">
        <v>22</v>
      </c>
      <c r="L3673">
        <v>4</v>
      </c>
      <c r="M3673">
        <v>52.66</v>
      </c>
      <c r="N3673">
        <v>67613</v>
      </c>
      <c r="O3673">
        <v>1</v>
      </c>
    </row>
    <row r="3674" spans="1:15">
      <c r="A3674" t="s">
        <v>3700</v>
      </c>
      <c r="B3674" t="s">
        <v>16</v>
      </c>
      <c r="C3674">
        <v>2</v>
      </c>
      <c r="D3674">
        <v>37666049</v>
      </c>
      <c r="E3674">
        <v>2</v>
      </c>
      <c r="F3674">
        <v>23</v>
      </c>
      <c r="G3674">
        <v>173</v>
      </c>
      <c r="H3674">
        <v>3774025</v>
      </c>
      <c r="I3674">
        <v>187815</v>
      </c>
      <c r="J3674" t="s">
        <v>25</v>
      </c>
      <c r="K3674" t="s">
        <v>18</v>
      </c>
      <c r="L3674">
        <v>8</v>
      </c>
      <c r="M3674">
        <v>65.599999999999994</v>
      </c>
      <c r="N3674">
        <v>51299</v>
      </c>
      <c r="O3674">
        <v>1</v>
      </c>
    </row>
    <row r="3675" spans="1:15">
      <c r="A3675" t="s">
        <v>3701</v>
      </c>
      <c r="B3675" t="s">
        <v>27</v>
      </c>
      <c r="C3675">
        <v>8</v>
      </c>
      <c r="D3675">
        <v>39074487</v>
      </c>
      <c r="E3675">
        <v>3</v>
      </c>
      <c r="F3675">
        <v>2</v>
      </c>
      <c r="G3675">
        <v>837</v>
      </c>
      <c r="H3675">
        <v>3268979</v>
      </c>
      <c r="I3675">
        <v>55186</v>
      </c>
      <c r="J3675" t="s">
        <v>25</v>
      </c>
      <c r="K3675" t="s">
        <v>18</v>
      </c>
      <c r="L3675">
        <v>5</v>
      </c>
      <c r="M3675">
        <v>95.81</v>
      </c>
      <c r="N3675">
        <v>280233</v>
      </c>
      <c r="O3675">
        <v>1</v>
      </c>
    </row>
    <row r="3676" spans="1:15">
      <c r="A3676" t="s">
        <v>3702</v>
      </c>
      <c r="B3676" t="s">
        <v>32</v>
      </c>
      <c r="C3676">
        <v>2</v>
      </c>
      <c r="D3676">
        <v>9761879</v>
      </c>
      <c r="E3676">
        <v>2</v>
      </c>
      <c r="F3676">
        <v>10</v>
      </c>
      <c r="G3676">
        <v>150</v>
      </c>
      <c r="H3676">
        <v>97082547</v>
      </c>
      <c r="I3676">
        <v>369872</v>
      </c>
      <c r="J3676" t="s">
        <v>21</v>
      </c>
      <c r="K3676" t="s">
        <v>18</v>
      </c>
      <c r="L3676">
        <v>3</v>
      </c>
      <c r="M3676">
        <v>69.11</v>
      </c>
      <c r="N3676">
        <v>851375</v>
      </c>
      <c r="O3676">
        <v>1</v>
      </c>
    </row>
    <row r="3677" spans="1:15">
      <c r="A3677" t="s">
        <v>3703</v>
      </c>
      <c r="B3677" t="s">
        <v>16</v>
      </c>
      <c r="C3677">
        <v>8</v>
      </c>
      <c r="D3677">
        <v>43219792</v>
      </c>
      <c r="E3677">
        <v>4</v>
      </c>
      <c r="F3677">
        <v>4</v>
      </c>
      <c r="G3677">
        <v>347</v>
      </c>
      <c r="H3677">
        <v>24958431</v>
      </c>
      <c r="I3677">
        <v>680937</v>
      </c>
      <c r="J3677" t="s">
        <v>25</v>
      </c>
      <c r="K3677" t="s">
        <v>18</v>
      </c>
      <c r="L3677">
        <v>7</v>
      </c>
      <c r="M3677">
        <v>38.159999999999997</v>
      </c>
      <c r="N3677">
        <v>394223</v>
      </c>
      <c r="O3677">
        <v>1</v>
      </c>
    </row>
    <row r="3678" spans="1:15">
      <c r="A3678" t="s">
        <v>3704</v>
      </c>
      <c r="B3678" t="s">
        <v>20</v>
      </c>
      <c r="C3678">
        <v>11</v>
      </c>
      <c r="D3678">
        <v>36826584</v>
      </c>
      <c r="E3678">
        <v>4</v>
      </c>
      <c r="F3678">
        <v>16</v>
      </c>
      <c r="G3678">
        <v>159</v>
      </c>
      <c r="H3678">
        <v>52231589</v>
      </c>
      <c r="I3678">
        <v>761063</v>
      </c>
      <c r="J3678" t="s">
        <v>25</v>
      </c>
      <c r="K3678" t="s">
        <v>18</v>
      </c>
      <c r="L3678">
        <v>1</v>
      </c>
      <c r="M3678">
        <v>11.84</v>
      </c>
      <c r="N3678">
        <v>267133</v>
      </c>
      <c r="O3678">
        <v>1</v>
      </c>
    </row>
    <row r="3679" spans="1:15">
      <c r="A3679" t="s">
        <v>3705</v>
      </c>
      <c r="B3679" t="s">
        <v>32</v>
      </c>
      <c r="C3679">
        <v>2</v>
      </c>
      <c r="D3679">
        <v>12788088</v>
      </c>
      <c r="E3679">
        <v>1</v>
      </c>
      <c r="F3679">
        <v>28</v>
      </c>
      <c r="G3679">
        <v>891</v>
      </c>
      <c r="H3679">
        <v>27125833</v>
      </c>
      <c r="I3679">
        <v>975179</v>
      </c>
      <c r="J3679" t="s">
        <v>21</v>
      </c>
      <c r="K3679" t="s">
        <v>30</v>
      </c>
      <c r="L3679">
        <v>3</v>
      </c>
      <c r="M3679">
        <v>83.09</v>
      </c>
      <c r="N3679">
        <v>799296</v>
      </c>
      <c r="O3679">
        <v>1</v>
      </c>
    </row>
    <row r="3680" spans="1:15">
      <c r="A3680" t="s">
        <v>3706</v>
      </c>
      <c r="B3680" t="s">
        <v>38</v>
      </c>
      <c r="C3680">
        <v>10</v>
      </c>
      <c r="D3680">
        <v>16947953</v>
      </c>
      <c r="E3680">
        <v>4</v>
      </c>
      <c r="F3680">
        <v>13</v>
      </c>
      <c r="G3680">
        <v>282</v>
      </c>
      <c r="H3680">
        <v>65164061</v>
      </c>
      <c r="I3680">
        <v>553425</v>
      </c>
      <c r="J3680" t="s">
        <v>21</v>
      </c>
      <c r="K3680" t="s">
        <v>22</v>
      </c>
      <c r="L3680">
        <v>3</v>
      </c>
      <c r="M3680">
        <v>8.89</v>
      </c>
      <c r="N3680">
        <v>915771</v>
      </c>
      <c r="O3680">
        <v>1</v>
      </c>
    </row>
    <row r="3681" spans="1:15">
      <c r="A3681" t="s">
        <v>3707</v>
      </c>
      <c r="B3681" t="s">
        <v>29</v>
      </c>
      <c r="C3681">
        <v>6</v>
      </c>
      <c r="D3681">
        <v>6535105</v>
      </c>
      <c r="E3681">
        <v>2</v>
      </c>
      <c r="F3681">
        <v>1</v>
      </c>
      <c r="G3681">
        <v>152</v>
      </c>
      <c r="H3681">
        <v>60217813</v>
      </c>
      <c r="I3681">
        <v>103823</v>
      </c>
      <c r="J3681" t="s">
        <v>25</v>
      </c>
      <c r="K3681" t="s">
        <v>18</v>
      </c>
      <c r="L3681">
        <v>4</v>
      </c>
      <c r="M3681">
        <v>67.510000000000005</v>
      </c>
      <c r="N3681">
        <v>940055</v>
      </c>
      <c r="O3681">
        <v>1</v>
      </c>
    </row>
    <row r="3682" spans="1:15">
      <c r="A3682" t="s">
        <v>3708</v>
      </c>
      <c r="B3682" t="s">
        <v>29</v>
      </c>
      <c r="C3682">
        <v>13</v>
      </c>
      <c r="D3682">
        <v>26662225</v>
      </c>
      <c r="E3682">
        <v>3</v>
      </c>
      <c r="F3682">
        <v>19</v>
      </c>
      <c r="G3682">
        <v>996</v>
      </c>
      <c r="H3682">
        <v>39968852</v>
      </c>
      <c r="I3682">
        <v>293534</v>
      </c>
      <c r="J3682" t="s">
        <v>25</v>
      </c>
      <c r="K3682" t="s">
        <v>22</v>
      </c>
      <c r="L3682">
        <v>6</v>
      </c>
      <c r="M3682">
        <v>2.2599999999999998</v>
      </c>
      <c r="N3682">
        <v>161627</v>
      </c>
      <c r="O3682">
        <v>1</v>
      </c>
    </row>
    <row r="3683" spans="1:15">
      <c r="A3683" t="s">
        <v>3709</v>
      </c>
      <c r="B3683" t="s">
        <v>24</v>
      </c>
      <c r="C3683">
        <v>11</v>
      </c>
      <c r="D3683">
        <v>46214111</v>
      </c>
      <c r="E3683">
        <v>4</v>
      </c>
      <c r="F3683">
        <v>23</v>
      </c>
      <c r="G3683">
        <v>219</v>
      </c>
      <c r="H3683">
        <v>95134774</v>
      </c>
      <c r="I3683">
        <v>807380</v>
      </c>
      <c r="J3683" t="s">
        <v>17</v>
      </c>
      <c r="K3683" t="s">
        <v>30</v>
      </c>
      <c r="L3683">
        <v>7</v>
      </c>
      <c r="M3683">
        <v>91.91</v>
      </c>
      <c r="N3683">
        <v>956145</v>
      </c>
      <c r="O3683">
        <v>1</v>
      </c>
    </row>
    <row r="3684" spans="1:15">
      <c r="A3684" t="s">
        <v>3710</v>
      </c>
      <c r="B3684" t="s">
        <v>38</v>
      </c>
      <c r="C3684">
        <v>2</v>
      </c>
      <c r="D3684">
        <v>14503055</v>
      </c>
      <c r="E3684">
        <v>4</v>
      </c>
      <c r="F3684">
        <v>10</v>
      </c>
      <c r="G3684">
        <v>41</v>
      </c>
      <c r="H3684">
        <v>47299161</v>
      </c>
      <c r="I3684">
        <v>70753</v>
      </c>
      <c r="J3684" t="s">
        <v>17</v>
      </c>
      <c r="K3684" t="s">
        <v>22</v>
      </c>
      <c r="L3684">
        <v>8</v>
      </c>
      <c r="M3684">
        <v>67.849999999999994</v>
      </c>
      <c r="N3684">
        <v>358972</v>
      </c>
      <c r="O3684">
        <v>1</v>
      </c>
    </row>
    <row r="3685" spans="1:15">
      <c r="A3685" t="s">
        <v>3711</v>
      </c>
      <c r="B3685" t="s">
        <v>16</v>
      </c>
      <c r="C3685">
        <v>6</v>
      </c>
      <c r="D3685">
        <v>34393836</v>
      </c>
      <c r="E3685">
        <v>4</v>
      </c>
      <c r="F3685">
        <v>21</v>
      </c>
      <c r="G3685">
        <v>809</v>
      </c>
      <c r="H3685">
        <v>70783876</v>
      </c>
      <c r="I3685">
        <v>465019</v>
      </c>
      <c r="J3685" t="s">
        <v>21</v>
      </c>
      <c r="K3685" t="s">
        <v>30</v>
      </c>
      <c r="L3685">
        <v>4</v>
      </c>
      <c r="M3685">
        <v>70.819999999999993</v>
      </c>
      <c r="N3685">
        <v>600851</v>
      </c>
      <c r="O3685">
        <v>1</v>
      </c>
    </row>
    <row r="3686" spans="1:15">
      <c r="A3686" t="s">
        <v>3712</v>
      </c>
      <c r="B3686" t="s">
        <v>38</v>
      </c>
      <c r="C3686">
        <v>4</v>
      </c>
      <c r="D3686">
        <v>29444901</v>
      </c>
      <c r="E3686">
        <v>1</v>
      </c>
      <c r="F3686">
        <v>2</v>
      </c>
      <c r="G3686">
        <v>836</v>
      </c>
      <c r="H3686">
        <v>5349727</v>
      </c>
      <c r="I3686">
        <v>793918</v>
      </c>
      <c r="J3686" t="s">
        <v>21</v>
      </c>
      <c r="K3686" t="s">
        <v>22</v>
      </c>
      <c r="L3686">
        <v>2</v>
      </c>
      <c r="M3686">
        <v>35.46</v>
      </c>
      <c r="N3686">
        <v>635157</v>
      </c>
      <c r="O3686">
        <v>1</v>
      </c>
    </row>
    <row r="3687" spans="1:15">
      <c r="A3687" t="s">
        <v>3713</v>
      </c>
      <c r="B3687" t="s">
        <v>20</v>
      </c>
      <c r="C3687">
        <v>11</v>
      </c>
      <c r="D3687">
        <v>46861274</v>
      </c>
      <c r="E3687">
        <v>2</v>
      </c>
      <c r="F3687">
        <v>19</v>
      </c>
      <c r="G3687">
        <v>562</v>
      </c>
      <c r="H3687">
        <v>7915110</v>
      </c>
      <c r="I3687">
        <v>383384</v>
      </c>
      <c r="J3687" t="s">
        <v>25</v>
      </c>
      <c r="K3687" t="s">
        <v>30</v>
      </c>
      <c r="L3687">
        <v>2</v>
      </c>
      <c r="M3687">
        <v>88.96</v>
      </c>
      <c r="N3687">
        <v>297581</v>
      </c>
      <c r="O3687">
        <v>1</v>
      </c>
    </row>
    <row r="3688" spans="1:15">
      <c r="A3688" t="s">
        <v>3714</v>
      </c>
      <c r="B3688" t="s">
        <v>16</v>
      </c>
      <c r="C3688">
        <v>2</v>
      </c>
      <c r="D3688">
        <v>39515379</v>
      </c>
      <c r="E3688">
        <v>2</v>
      </c>
      <c r="F3688">
        <v>5</v>
      </c>
      <c r="G3688">
        <v>471</v>
      </c>
      <c r="H3688">
        <v>33159590</v>
      </c>
      <c r="I3688">
        <v>557459</v>
      </c>
      <c r="J3688" t="s">
        <v>17</v>
      </c>
      <c r="K3688" t="s">
        <v>22</v>
      </c>
      <c r="L3688">
        <v>7</v>
      </c>
      <c r="M3688">
        <v>61.04</v>
      </c>
      <c r="N3688">
        <v>80128</v>
      </c>
      <c r="O3688">
        <v>1</v>
      </c>
    </row>
    <row r="3689" spans="1:15">
      <c r="A3689" t="s">
        <v>3715</v>
      </c>
      <c r="B3689" t="s">
        <v>38</v>
      </c>
      <c r="C3689">
        <v>5</v>
      </c>
      <c r="D3689">
        <v>30814212</v>
      </c>
      <c r="E3689">
        <v>3</v>
      </c>
      <c r="F3689">
        <v>10</v>
      </c>
      <c r="G3689">
        <v>933</v>
      </c>
      <c r="H3689">
        <v>4617627</v>
      </c>
      <c r="I3689">
        <v>234874</v>
      </c>
      <c r="J3689" t="s">
        <v>25</v>
      </c>
      <c r="K3689" t="s">
        <v>18</v>
      </c>
      <c r="L3689">
        <v>6</v>
      </c>
      <c r="M3689">
        <v>45.17</v>
      </c>
      <c r="N3689">
        <v>228398</v>
      </c>
      <c r="O3689">
        <v>1</v>
      </c>
    </row>
    <row r="3690" spans="1:15">
      <c r="A3690" t="s">
        <v>3716</v>
      </c>
      <c r="B3690" t="s">
        <v>32</v>
      </c>
      <c r="C3690">
        <v>14</v>
      </c>
      <c r="D3690">
        <v>31760245</v>
      </c>
      <c r="E3690">
        <v>1</v>
      </c>
      <c r="F3690">
        <v>11</v>
      </c>
      <c r="G3690">
        <v>764</v>
      </c>
      <c r="H3690">
        <v>31629888</v>
      </c>
      <c r="I3690">
        <v>279884</v>
      </c>
      <c r="J3690" t="s">
        <v>17</v>
      </c>
      <c r="K3690" t="s">
        <v>30</v>
      </c>
      <c r="L3690">
        <v>4</v>
      </c>
      <c r="M3690">
        <v>16.940000000000001</v>
      </c>
      <c r="N3690">
        <v>310596</v>
      </c>
      <c r="O3690">
        <v>1</v>
      </c>
    </row>
    <row r="3691" spans="1:15">
      <c r="A3691" t="s">
        <v>3717</v>
      </c>
      <c r="B3691" t="s">
        <v>32</v>
      </c>
      <c r="C3691">
        <v>0</v>
      </c>
      <c r="D3691">
        <v>12638084</v>
      </c>
      <c r="E3691">
        <v>3</v>
      </c>
      <c r="F3691">
        <v>19</v>
      </c>
      <c r="G3691">
        <v>37</v>
      </c>
      <c r="H3691">
        <v>96732056</v>
      </c>
      <c r="I3691">
        <v>324884</v>
      </c>
      <c r="J3691" t="s">
        <v>17</v>
      </c>
      <c r="K3691" t="s">
        <v>18</v>
      </c>
      <c r="L3691">
        <v>6</v>
      </c>
      <c r="M3691">
        <v>30.79</v>
      </c>
      <c r="N3691">
        <v>460277</v>
      </c>
      <c r="O3691">
        <v>1</v>
      </c>
    </row>
    <row r="3692" spans="1:15">
      <c r="A3692" t="s">
        <v>3718</v>
      </c>
      <c r="B3692" t="s">
        <v>20</v>
      </c>
      <c r="C3692">
        <v>13</v>
      </c>
      <c r="D3692">
        <v>47294638</v>
      </c>
      <c r="E3692">
        <v>2</v>
      </c>
      <c r="F3692">
        <v>0</v>
      </c>
      <c r="G3692">
        <v>505</v>
      </c>
      <c r="H3692">
        <v>46628276</v>
      </c>
      <c r="I3692">
        <v>922664</v>
      </c>
      <c r="J3692" t="s">
        <v>17</v>
      </c>
      <c r="K3692" t="s">
        <v>22</v>
      </c>
      <c r="L3692">
        <v>7</v>
      </c>
      <c r="M3692">
        <v>28.51</v>
      </c>
      <c r="N3692">
        <v>32139</v>
      </c>
      <c r="O3692">
        <v>1</v>
      </c>
    </row>
    <row r="3693" spans="1:15">
      <c r="A3693" t="s">
        <v>3719</v>
      </c>
      <c r="B3693" t="s">
        <v>16</v>
      </c>
      <c r="C3693">
        <v>8</v>
      </c>
      <c r="D3693">
        <v>45726645</v>
      </c>
      <c r="E3693">
        <v>4</v>
      </c>
      <c r="F3693">
        <v>19</v>
      </c>
      <c r="G3693">
        <v>884</v>
      </c>
      <c r="H3693">
        <v>99713632</v>
      </c>
      <c r="I3693">
        <v>774258</v>
      </c>
      <c r="J3693" t="s">
        <v>17</v>
      </c>
      <c r="K3693" t="s">
        <v>18</v>
      </c>
      <c r="L3693">
        <v>6</v>
      </c>
      <c r="M3693">
        <v>17.63</v>
      </c>
      <c r="N3693">
        <v>359122</v>
      </c>
      <c r="O3693">
        <v>1</v>
      </c>
    </row>
    <row r="3694" spans="1:15">
      <c r="A3694" t="s">
        <v>3720</v>
      </c>
      <c r="B3694" t="s">
        <v>32</v>
      </c>
      <c r="C3694">
        <v>11</v>
      </c>
      <c r="D3694">
        <v>46824600</v>
      </c>
      <c r="E3694">
        <v>3</v>
      </c>
      <c r="F3694">
        <v>6</v>
      </c>
      <c r="G3694">
        <v>778</v>
      </c>
      <c r="H3694">
        <v>6382613</v>
      </c>
      <c r="I3694">
        <v>616289</v>
      </c>
      <c r="J3694" t="s">
        <v>25</v>
      </c>
      <c r="K3694" t="s">
        <v>30</v>
      </c>
      <c r="L3694">
        <v>8</v>
      </c>
      <c r="M3694">
        <v>77.150000000000006</v>
      </c>
      <c r="N3694">
        <v>380747</v>
      </c>
      <c r="O3694">
        <v>1</v>
      </c>
    </row>
    <row r="3695" spans="1:15">
      <c r="A3695" t="s">
        <v>3721</v>
      </c>
      <c r="B3695" t="s">
        <v>24</v>
      </c>
      <c r="C3695">
        <v>14</v>
      </c>
      <c r="D3695">
        <v>4876755</v>
      </c>
      <c r="E3695">
        <v>1</v>
      </c>
      <c r="F3695">
        <v>26</v>
      </c>
      <c r="G3695">
        <v>57</v>
      </c>
      <c r="H3695">
        <v>69062576</v>
      </c>
      <c r="I3695">
        <v>465417</v>
      </c>
      <c r="J3695" t="s">
        <v>25</v>
      </c>
      <c r="K3695" t="s">
        <v>22</v>
      </c>
      <c r="L3695">
        <v>2</v>
      </c>
      <c r="M3695">
        <v>74.56</v>
      </c>
      <c r="N3695">
        <v>311926</v>
      </c>
      <c r="O3695">
        <v>1</v>
      </c>
    </row>
    <row r="3696" spans="1:15">
      <c r="A3696" t="s">
        <v>3722</v>
      </c>
      <c r="B3696" t="s">
        <v>29</v>
      </c>
      <c r="C3696">
        <v>6</v>
      </c>
      <c r="D3696">
        <v>19676745</v>
      </c>
      <c r="E3696">
        <v>4</v>
      </c>
      <c r="F3696">
        <v>19</v>
      </c>
      <c r="G3696">
        <v>52</v>
      </c>
      <c r="H3696">
        <v>13240162</v>
      </c>
      <c r="I3696">
        <v>488292</v>
      </c>
      <c r="J3696" t="s">
        <v>17</v>
      </c>
      <c r="K3696" t="s">
        <v>18</v>
      </c>
      <c r="L3696">
        <v>4</v>
      </c>
      <c r="M3696">
        <v>22.79</v>
      </c>
      <c r="N3696">
        <v>765482</v>
      </c>
      <c r="O3696">
        <v>1</v>
      </c>
    </row>
    <row r="3697" spans="1:15">
      <c r="A3697" t="s">
        <v>3723</v>
      </c>
      <c r="B3697" t="s">
        <v>24</v>
      </c>
      <c r="C3697">
        <v>4</v>
      </c>
      <c r="D3697">
        <v>31347197</v>
      </c>
      <c r="E3697">
        <v>3</v>
      </c>
      <c r="F3697">
        <v>26</v>
      </c>
      <c r="G3697">
        <v>716</v>
      </c>
      <c r="H3697">
        <v>25784350</v>
      </c>
      <c r="I3697">
        <v>854163</v>
      </c>
      <c r="J3697" t="s">
        <v>17</v>
      </c>
      <c r="K3697" t="s">
        <v>18</v>
      </c>
      <c r="L3697">
        <v>7</v>
      </c>
      <c r="M3697">
        <v>55.52</v>
      </c>
      <c r="N3697">
        <v>714012</v>
      </c>
      <c r="O3697">
        <v>1</v>
      </c>
    </row>
    <row r="3698" spans="1:15">
      <c r="A3698" t="s">
        <v>3724</v>
      </c>
      <c r="B3698" t="s">
        <v>24</v>
      </c>
      <c r="C3698">
        <v>6</v>
      </c>
      <c r="D3698">
        <v>21891945</v>
      </c>
      <c r="E3698">
        <v>1</v>
      </c>
      <c r="F3698">
        <v>13</v>
      </c>
      <c r="G3698">
        <v>237</v>
      </c>
      <c r="H3698">
        <v>24109648</v>
      </c>
      <c r="I3698">
        <v>808864</v>
      </c>
      <c r="J3698" t="s">
        <v>17</v>
      </c>
      <c r="K3698" t="s">
        <v>30</v>
      </c>
      <c r="L3698">
        <v>5</v>
      </c>
      <c r="M3698">
        <v>47.51</v>
      </c>
      <c r="N3698">
        <v>259342</v>
      </c>
      <c r="O3698">
        <v>1</v>
      </c>
    </row>
    <row r="3699" spans="1:15">
      <c r="A3699" t="s">
        <v>3725</v>
      </c>
      <c r="B3699" t="s">
        <v>38</v>
      </c>
      <c r="C3699">
        <v>11</v>
      </c>
      <c r="D3699">
        <v>19876888</v>
      </c>
      <c r="E3699">
        <v>2</v>
      </c>
      <c r="F3699">
        <v>16</v>
      </c>
      <c r="G3699">
        <v>528</v>
      </c>
      <c r="H3699">
        <v>58000131</v>
      </c>
      <c r="I3699">
        <v>788659</v>
      </c>
      <c r="J3699" t="s">
        <v>17</v>
      </c>
      <c r="K3699" t="s">
        <v>18</v>
      </c>
      <c r="L3699">
        <v>9</v>
      </c>
      <c r="M3699">
        <v>15.54</v>
      </c>
      <c r="N3699">
        <v>330313</v>
      </c>
      <c r="O3699">
        <v>1</v>
      </c>
    </row>
    <row r="3700" spans="1:15">
      <c r="A3700" t="s">
        <v>3726</v>
      </c>
      <c r="B3700" t="s">
        <v>32</v>
      </c>
      <c r="C3700">
        <v>10</v>
      </c>
      <c r="D3700">
        <v>46026376</v>
      </c>
      <c r="E3700">
        <v>2</v>
      </c>
      <c r="F3700">
        <v>28</v>
      </c>
      <c r="G3700">
        <v>111</v>
      </c>
      <c r="H3700">
        <v>30074756</v>
      </c>
      <c r="I3700">
        <v>267916</v>
      </c>
      <c r="J3700" t="s">
        <v>17</v>
      </c>
      <c r="K3700" t="s">
        <v>30</v>
      </c>
      <c r="L3700">
        <v>2</v>
      </c>
      <c r="M3700">
        <v>43.95</v>
      </c>
      <c r="N3700">
        <v>752534</v>
      </c>
      <c r="O3700">
        <v>1</v>
      </c>
    </row>
    <row r="3701" spans="1:15">
      <c r="A3701" t="s">
        <v>3727</v>
      </c>
      <c r="B3701" t="s">
        <v>16</v>
      </c>
      <c r="C3701">
        <v>9</v>
      </c>
      <c r="D3701">
        <v>43104651</v>
      </c>
      <c r="E3701">
        <v>1</v>
      </c>
      <c r="F3701">
        <v>8</v>
      </c>
      <c r="G3701">
        <v>297</v>
      </c>
      <c r="H3701">
        <v>55547044</v>
      </c>
      <c r="I3701">
        <v>717317</v>
      </c>
      <c r="J3701" t="s">
        <v>25</v>
      </c>
      <c r="K3701" t="s">
        <v>30</v>
      </c>
      <c r="L3701">
        <v>8</v>
      </c>
      <c r="M3701">
        <v>19.43</v>
      </c>
      <c r="N3701">
        <v>616632</v>
      </c>
      <c r="O3701">
        <v>1</v>
      </c>
    </row>
    <row r="3702" spans="1:15">
      <c r="A3702" t="s">
        <v>3728</v>
      </c>
      <c r="B3702" t="s">
        <v>20</v>
      </c>
      <c r="C3702">
        <v>8</v>
      </c>
      <c r="D3702">
        <v>26215316</v>
      </c>
      <c r="E3702">
        <v>2</v>
      </c>
      <c r="F3702">
        <v>14</v>
      </c>
      <c r="G3702">
        <v>798</v>
      </c>
      <c r="H3702">
        <v>42753003</v>
      </c>
      <c r="I3702">
        <v>876895</v>
      </c>
      <c r="J3702" t="s">
        <v>21</v>
      </c>
      <c r="K3702" t="s">
        <v>22</v>
      </c>
      <c r="L3702">
        <v>7</v>
      </c>
      <c r="M3702">
        <v>12.42</v>
      </c>
      <c r="N3702">
        <v>326769</v>
      </c>
      <c r="O3702">
        <v>1</v>
      </c>
    </row>
    <row r="3703" spans="1:15">
      <c r="A3703" t="s">
        <v>3729</v>
      </c>
      <c r="B3703" t="s">
        <v>27</v>
      </c>
      <c r="C3703">
        <v>2</v>
      </c>
      <c r="D3703">
        <v>33140622</v>
      </c>
      <c r="E3703">
        <v>1</v>
      </c>
      <c r="F3703">
        <v>6</v>
      </c>
      <c r="G3703">
        <v>556</v>
      </c>
      <c r="H3703">
        <v>84222871</v>
      </c>
      <c r="I3703">
        <v>482835</v>
      </c>
      <c r="J3703" t="s">
        <v>21</v>
      </c>
      <c r="K3703" t="s">
        <v>22</v>
      </c>
      <c r="L3703">
        <v>5</v>
      </c>
      <c r="M3703">
        <v>10.39</v>
      </c>
      <c r="N3703">
        <v>578189</v>
      </c>
      <c r="O3703">
        <v>1</v>
      </c>
    </row>
    <row r="3704" spans="1:15">
      <c r="A3704" t="s">
        <v>3730</v>
      </c>
      <c r="B3704" t="s">
        <v>38</v>
      </c>
      <c r="C3704">
        <v>3</v>
      </c>
      <c r="D3704">
        <v>38121911</v>
      </c>
      <c r="E3704">
        <v>1</v>
      </c>
      <c r="F3704">
        <v>20</v>
      </c>
      <c r="G3704">
        <v>788</v>
      </c>
      <c r="H3704">
        <v>84478136</v>
      </c>
      <c r="I3704">
        <v>446630</v>
      </c>
      <c r="J3704" t="s">
        <v>21</v>
      </c>
      <c r="K3704" t="s">
        <v>18</v>
      </c>
      <c r="L3704">
        <v>2</v>
      </c>
      <c r="M3704">
        <v>14.67</v>
      </c>
      <c r="N3704">
        <v>660294</v>
      </c>
      <c r="O3704">
        <v>1</v>
      </c>
    </row>
    <row r="3705" spans="1:15">
      <c r="A3705" t="s">
        <v>3731</v>
      </c>
      <c r="B3705" t="s">
        <v>16</v>
      </c>
      <c r="C3705">
        <v>14</v>
      </c>
      <c r="D3705">
        <v>7932643</v>
      </c>
      <c r="E3705">
        <v>1</v>
      </c>
      <c r="F3705">
        <v>1</v>
      </c>
      <c r="G3705">
        <v>961</v>
      </c>
      <c r="H3705">
        <v>95090401</v>
      </c>
      <c r="I3705">
        <v>417301</v>
      </c>
      <c r="J3705" t="s">
        <v>21</v>
      </c>
      <c r="K3705" t="s">
        <v>18</v>
      </c>
      <c r="L3705">
        <v>1</v>
      </c>
      <c r="M3705">
        <v>63.01</v>
      </c>
      <c r="N3705">
        <v>597203</v>
      </c>
      <c r="O3705">
        <v>1</v>
      </c>
    </row>
    <row r="3706" spans="1:15">
      <c r="A3706" t="s">
        <v>3732</v>
      </c>
      <c r="B3706" t="s">
        <v>38</v>
      </c>
      <c r="C3706">
        <v>10</v>
      </c>
      <c r="D3706">
        <v>16263833</v>
      </c>
      <c r="E3706">
        <v>1</v>
      </c>
      <c r="F3706">
        <v>13</v>
      </c>
      <c r="G3706">
        <v>867</v>
      </c>
      <c r="H3706">
        <v>79087499</v>
      </c>
      <c r="I3706">
        <v>917976</v>
      </c>
      <c r="J3706" t="s">
        <v>17</v>
      </c>
      <c r="K3706" t="s">
        <v>22</v>
      </c>
      <c r="L3706">
        <v>7</v>
      </c>
      <c r="M3706">
        <v>22.98</v>
      </c>
      <c r="N3706">
        <v>888695</v>
      </c>
      <c r="O3706">
        <v>1</v>
      </c>
    </row>
    <row r="3707" spans="1:15">
      <c r="A3707" t="s">
        <v>3733</v>
      </c>
      <c r="B3707" t="s">
        <v>20</v>
      </c>
      <c r="C3707">
        <v>7</v>
      </c>
      <c r="D3707">
        <v>27704377</v>
      </c>
      <c r="E3707">
        <v>1</v>
      </c>
      <c r="F3707">
        <v>5</v>
      </c>
      <c r="G3707">
        <v>194</v>
      </c>
      <c r="H3707">
        <v>76898270</v>
      </c>
      <c r="I3707">
        <v>117576</v>
      </c>
      <c r="J3707" t="s">
        <v>21</v>
      </c>
      <c r="K3707" t="s">
        <v>18</v>
      </c>
      <c r="L3707">
        <v>9</v>
      </c>
      <c r="M3707">
        <v>98.37</v>
      </c>
      <c r="N3707">
        <v>354676</v>
      </c>
      <c r="O3707">
        <v>1</v>
      </c>
    </row>
    <row r="3708" spans="1:15">
      <c r="A3708" t="s">
        <v>3734</v>
      </c>
      <c r="B3708" t="s">
        <v>20</v>
      </c>
      <c r="C3708">
        <v>1</v>
      </c>
      <c r="D3708">
        <v>12371042</v>
      </c>
      <c r="E3708">
        <v>3</v>
      </c>
      <c r="F3708">
        <v>26</v>
      </c>
      <c r="G3708">
        <v>626</v>
      </c>
      <c r="H3708">
        <v>81936151</v>
      </c>
      <c r="I3708">
        <v>817561</v>
      </c>
      <c r="J3708" t="s">
        <v>21</v>
      </c>
      <c r="K3708" t="s">
        <v>18</v>
      </c>
      <c r="L3708">
        <v>9</v>
      </c>
      <c r="M3708">
        <v>49.54</v>
      </c>
      <c r="N3708">
        <v>755068</v>
      </c>
      <c r="O3708">
        <v>1</v>
      </c>
    </row>
    <row r="3709" spans="1:15">
      <c r="A3709" t="s">
        <v>3735</v>
      </c>
      <c r="B3709" t="s">
        <v>20</v>
      </c>
      <c r="C3709">
        <v>5</v>
      </c>
      <c r="D3709">
        <v>47633540</v>
      </c>
      <c r="E3709">
        <v>1</v>
      </c>
      <c r="F3709">
        <v>8</v>
      </c>
      <c r="G3709">
        <v>670</v>
      </c>
      <c r="H3709">
        <v>22595539</v>
      </c>
      <c r="I3709">
        <v>647681</v>
      </c>
      <c r="J3709" t="s">
        <v>17</v>
      </c>
      <c r="K3709" t="s">
        <v>18</v>
      </c>
      <c r="L3709">
        <v>5</v>
      </c>
      <c r="M3709">
        <v>20.16</v>
      </c>
      <c r="N3709">
        <v>315802</v>
      </c>
      <c r="O3709">
        <v>1</v>
      </c>
    </row>
    <row r="3710" spans="1:15">
      <c r="A3710" t="s">
        <v>3736</v>
      </c>
      <c r="B3710" t="s">
        <v>20</v>
      </c>
      <c r="C3710">
        <v>10</v>
      </c>
      <c r="D3710">
        <v>26657333</v>
      </c>
      <c r="E3710">
        <v>1</v>
      </c>
      <c r="F3710">
        <v>0</v>
      </c>
      <c r="G3710">
        <v>804</v>
      </c>
      <c r="H3710">
        <v>24653285</v>
      </c>
      <c r="I3710">
        <v>73584</v>
      </c>
      <c r="J3710" t="s">
        <v>21</v>
      </c>
      <c r="K3710" t="s">
        <v>18</v>
      </c>
      <c r="L3710">
        <v>4</v>
      </c>
      <c r="M3710">
        <v>3.8</v>
      </c>
      <c r="N3710">
        <v>93892</v>
      </c>
      <c r="O3710">
        <v>1</v>
      </c>
    </row>
    <row r="3711" spans="1:15">
      <c r="A3711" t="s">
        <v>3737</v>
      </c>
      <c r="B3711" t="s">
        <v>20</v>
      </c>
      <c r="C3711">
        <v>5</v>
      </c>
      <c r="D3711">
        <v>44679220</v>
      </c>
      <c r="E3711">
        <v>4</v>
      </c>
      <c r="F3711">
        <v>4</v>
      </c>
      <c r="G3711">
        <v>29</v>
      </c>
      <c r="H3711">
        <v>76740755</v>
      </c>
      <c r="I3711">
        <v>831785</v>
      </c>
      <c r="J3711" t="s">
        <v>17</v>
      </c>
      <c r="K3711" t="s">
        <v>22</v>
      </c>
      <c r="L3711">
        <v>2</v>
      </c>
      <c r="M3711">
        <v>29.51</v>
      </c>
      <c r="N3711">
        <v>470231</v>
      </c>
      <c r="O3711">
        <v>1</v>
      </c>
    </row>
    <row r="3712" spans="1:15">
      <c r="A3712" t="s">
        <v>3738</v>
      </c>
      <c r="B3712" t="s">
        <v>27</v>
      </c>
      <c r="C3712">
        <v>1</v>
      </c>
      <c r="D3712">
        <v>23964019</v>
      </c>
      <c r="E3712">
        <v>1</v>
      </c>
      <c r="F3712">
        <v>29</v>
      </c>
      <c r="G3712">
        <v>882</v>
      </c>
      <c r="H3712">
        <v>20504817</v>
      </c>
      <c r="I3712">
        <v>802452</v>
      </c>
      <c r="J3712" t="s">
        <v>25</v>
      </c>
      <c r="K3712" t="s">
        <v>18</v>
      </c>
      <c r="L3712">
        <v>9</v>
      </c>
      <c r="M3712">
        <v>75.73</v>
      </c>
      <c r="N3712">
        <v>189667</v>
      </c>
      <c r="O3712">
        <v>1</v>
      </c>
    </row>
    <row r="3713" spans="1:15">
      <c r="A3713" t="s">
        <v>3739</v>
      </c>
      <c r="B3713" t="s">
        <v>27</v>
      </c>
      <c r="C3713">
        <v>7</v>
      </c>
      <c r="D3713">
        <v>33797074</v>
      </c>
      <c r="E3713">
        <v>2</v>
      </c>
      <c r="F3713">
        <v>14</v>
      </c>
      <c r="G3713">
        <v>718</v>
      </c>
      <c r="H3713">
        <v>6392968</v>
      </c>
      <c r="I3713">
        <v>527824</v>
      </c>
      <c r="J3713" t="s">
        <v>17</v>
      </c>
      <c r="K3713" t="s">
        <v>18</v>
      </c>
      <c r="L3713">
        <v>2</v>
      </c>
      <c r="M3713">
        <v>3.67</v>
      </c>
      <c r="N3713">
        <v>813361</v>
      </c>
      <c r="O3713">
        <v>1</v>
      </c>
    </row>
    <row r="3714" spans="1:15">
      <c r="A3714" t="s">
        <v>3740</v>
      </c>
      <c r="B3714" t="s">
        <v>16</v>
      </c>
      <c r="C3714">
        <v>13</v>
      </c>
      <c r="D3714">
        <v>11428324</v>
      </c>
      <c r="E3714">
        <v>1</v>
      </c>
      <c r="F3714">
        <v>6</v>
      </c>
      <c r="G3714">
        <v>566</v>
      </c>
      <c r="H3714">
        <v>70562849</v>
      </c>
      <c r="I3714">
        <v>140679</v>
      </c>
      <c r="J3714" t="s">
        <v>17</v>
      </c>
      <c r="K3714" t="s">
        <v>22</v>
      </c>
      <c r="L3714">
        <v>6</v>
      </c>
      <c r="M3714">
        <v>73.06</v>
      </c>
      <c r="N3714">
        <v>743789</v>
      </c>
      <c r="O3714">
        <v>1</v>
      </c>
    </row>
    <row r="3715" spans="1:15">
      <c r="A3715" t="s">
        <v>3741</v>
      </c>
      <c r="B3715" t="s">
        <v>16</v>
      </c>
      <c r="C3715">
        <v>11</v>
      </c>
      <c r="D3715">
        <v>36763452</v>
      </c>
      <c r="E3715">
        <v>3</v>
      </c>
      <c r="F3715">
        <v>10</v>
      </c>
      <c r="G3715">
        <v>549</v>
      </c>
      <c r="H3715">
        <v>20739728</v>
      </c>
      <c r="I3715">
        <v>434788</v>
      </c>
      <c r="J3715" t="s">
        <v>25</v>
      </c>
      <c r="K3715" t="s">
        <v>30</v>
      </c>
      <c r="L3715">
        <v>3</v>
      </c>
      <c r="M3715">
        <v>1.45</v>
      </c>
      <c r="N3715">
        <v>344756</v>
      </c>
      <c r="O3715">
        <v>1</v>
      </c>
    </row>
    <row r="3716" spans="1:15">
      <c r="A3716" t="s">
        <v>3742</v>
      </c>
      <c r="B3716" t="s">
        <v>24</v>
      </c>
      <c r="C3716">
        <v>1</v>
      </c>
      <c r="D3716">
        <v>10647372</v>
      </c>
      <c r="E3716">
        <v>3</v>
      </c>
      <c r="F3716">
        <v>12</v>
      </c>
      <c r="G3716">
        <v>646</v>
      </c>
      <c r="H3716">
        <v>31524350</v>
      </c>
      <c r="I3716">
        <v>65451</v>
      </c>
      <c r="J3716" t="s">
        <v>21</v>
      </c>
      <c r="K3716" t="s">
        <v>30</v>
      </c>
      <c r="L3716">
        <v>5</v>
      </c>
      <c r="M3716">
        <v>39.090000000000003</v>
      </c>
      <c r="N3716">
        <v>892947</v>
      </c>
      <c r="O3716">
        <v>1</v>
      </c>
    </row>
    <row r="3717" spans="1:15">
      <c r="A3717" t="s">
        <v>3743</v>
      </c>
      <c r="B3717" t="s">
        <v>32</v>
      </c>
      <c r="C3717">
        <v>1</v>
      </c>
      <c r="D3717">
        <v>24906721</v>
      </c>
      <c r="E3717">
        <v>3</v>
      </c>
      <c r="F3717">
        <v>13</v>
      </c>
      <c r="G3717">
        <v>462</v>
      </c>
      <c r="H3717">
        <v>58263871</v>
      </c>
      <c r="I3717">
        <v>798295</v>
      </c>
      <c r="J3717" t="s">
        <v>17</v>
      </c>
      <c r="K3717" t="s">
        <v>30</v>
      </c>
      <c r="L3717">
        <v>6</v>
      </c>
      <c r="M3717">
        <v>87.16</v>
      </c>
      <c r="N3717">
        <v>170606</v>
      </c>
      <c r="O3717">
        <v>1</v>
      </c>
    </row>
    <row r="3718" spans="1:15">
      <c r="A3718" t="s">
        <v>3744</v>
      </c>
      <c r="B3718" t="s">
        <v>16</v>
      </c>
      <c r="C3718">
        <v>5</v>
      </c>
      <c r="D3718">
        <v>26071991</v>
      </c>
      <c r="E3718">
        <v>3</v>
      </c>
      <c r="F3718">
        <v>13</v>
      </c>
      <c r="G3718">
        <v>266</v>
      </c>
      <c r="H3718">
        <v>8866090</v>
      </c>
      <c r="I3718">
        <v>243678</v>
      </c>
      <c r="J3718" t="s">
        <v>21</v>
      </c>
      <c r="K3718" t="s">
        <v>30</v>
      </c>
      <c r="L3718">
        <v>6</v>
      </c>
      <c r="M3718">
        <v>76.989999999999995</v>
      </c>
      <c r="N3718">
        <v>432595</v>
      </c>
      <c r="O3718">
        <v>1</v>
      </c>
    </row>
    <row r="3719" spans="1:15">
      <c r="A3719" t="s">
        <v>3745</v>
      </c>
      <c r="B3719" t="s">
        <v>24</v>
      </c>
      <c r="C3719">
        <v>11</v>
      </c>
      <c r="D3719">
        <v>23411501</v>
      </c>
      <c r="E3719">
        <v>1</v>
      </c>
      <c r="F3719">
        <v>18</v>
      </c>
      <c r="G3719">
        <v>536</v>
      </c>
      <c r="H3719">
        <v>61171717</v>
      </c>
      <c r="I3719">
        <v>750788</v>
      </c>
      <c r="J3719" t="s">
        <v>25</v>
      </c>
      <c r="K3719" t="s">
        <v>18</v>
      </c>
      <c r="L3719">
        <v>1</v>
      </c>
      <c r="M3719">
        <v>70.36</v>
      </c>
      <c r="N3719">
        <v>826956</v>
      </c>
      <c r="O3719">
        <v>1</v>
      </c>
    </row>
    <row r="3720" spans="1:15">
      <c r="A3720" t="s">
        <v>3746</v>
      </c>
      <c r="B3720" t="s">
        <v>29</v>
      </c>
      <c r="C3720">
        <v>12</v>
      </c>
      <c r="D3720">
        <v>49467768</v>
      </c>
      <c r="E3720">
        <v>3</v>
      </c>
      <c r="F3720">
        <v>29</v>
      </c>
      <c r="G3720">
        <v>877</v>
      </c>
      <c r="H3720">
        <v>47476137</v>
      </c>
      <c r="I3720">
        <v>622729</v>
      </c>
      <c r="J3720" t="s">
        <v>21</v>
      </c>
      <c r="K3720" t="s">
        <v>22</v>
      </c>
      <c r="L3720">
        <v>1</v>
      </c>
      <c r="M3720">
        <v>20.18</v>
      </c>
      <c r="N3720">
        <v>663132</v>
      </c>
      <c r="O3720">
        <v>1</v>
      </c>
    </row>
    <row r="3721" spans="1:15">
      <c r="A3721" t="s">
        <v>3747</v>
      </c>
      <c r="B3721" t="s">
        <v>27</v>
      </c>
      <c r="C3721">
        <v>6</v>
      </c>
      <c r="D3721">
        <v>28889920</v>
      </c>
      <c r="E3721">
        <v>4</v>
      </c>
      <c r="F3721">
        <v>26</v>
      </c>
      <c r="G3721">
        <v>603</v>
      </c>
      <c r="H3721">
        <v>43096816</v>
      </c>
      <c r="I3721">
        <v>978347</v>
      </c>
      <c r="J3721" t="s">
        <v>21</v>
      </c>
      <c r="K3721" t="s">
        <v>30</v>
      </c>
      <c r="L3721">
        <v>5</v>
      </c>
      <c r="M3721">
        <v>68.88</v>
      </c>
      <c r="N3721">
        <v>823824</v>
      </c>
      <c r="O3721">
        <v>1</v>
      </c>
    </row>
    <row r="3722" spans="1:15">
      <c r="A3722" t="s">
        <v>3748</v>
      </c>
      <c r="B3722" t="s">
        <v>24</v>
      </c>
      <c r="C3722">
        <v>5</v>
      </c>
      <c r="D3722">
        <v>13654744</v>
      </c>
      <c r="E3722">
        <v>2</v>
      </c>
      <c r="F3722">
        <v>2</v>
      </c>
      <c r="G3722">
        <v>443</v>
      </c>
      <c r="H3722">
        <v>62900039</v>
      </c>
      <c r="I3722">
        <v>94962</v>
      </c>
      <c r="J3722" t="s">
        <v>21</v>
      </c>
      <c r="K3722" t="s">
        <v>30</v>
      </c>
      <c r="L3722">
        <v>7</v>
      </c>
      <c r="M3722">
        <v>95.18</v>
      </c>
      <c r="N3722">
        <v>474184</v>
      </c>
      <c r="O3722">
        <v>1</v>
      </c>
    </row>
    <row r="3723" spans="1:15">
      <c r="A3723" t="s">
        <v>3749</v>
      </c>
      <c r="B3723" t="s">
        <v>38</v>
      </c>
      <c r="C3723">
        <v>10</v>
      </c>
      <c r="D3723">
        <v>49448769</v>
      </c>
      <c r="E3723">
        <v>3</v>
      </c>
      <c r="F3723">
        <v>6</v>
      </c>
      <c r="G3723">
        <v>532</v>
      </c>
      <c r="H3723">
        <v>74228189</v>
      </c>
      <c r="I3723">
        <v>759878</v>
      </c>
      <c r="J3723" t="s">
        <v>17</v>
      </c>
      <c r="K3723" t="s">
        <v>30</v>
      </c>
      <c r="L3723">
        <v>5</v>
      </c>
      <c r="M3723">
        <v>89.78</v>
      </c>
      <c r="N3723">
        <v>746569</v>
      </c>
      <c r="O3723">
        <v>1</v>
      </c>
    </row>
    <row r="3724" spans="1:15">
      <c r="A3724" t="s">
        <v>3750</v>
      </c>
      <c r="B3724" t="s">
        <v>24</v>
      </c>
      <c r="C3724">
        <v>9</v>
      </c>
      <c r="D3724">
        <v>43990328</v>
      </c>
      <c r="E3724">
        <v>2</v>
      </c>
      <c r="F3724">
        <v>19</v>
      </c>
      <c r="G3724">
        <v>11</v>
      </c>
      <c r="H3724">
        <v>16471493</v>
      </c>
      <c r="I3724">
        <v>245633</v>
      </c>
      <c r="J3724" t="s">
        <v>25</v>
      </c>
      <c r="K3724" t="s">
        <v>18</v>
      </c>
      <c r="L3724">
        <v>1</v>
      </c>
      <c r="M3724">
        <v>35.79</v>
      </c>
      <c r="N3724">
        <v>76329</v>
      </c>
      <c r="O3724">
        <v>1</v>
      </c>
    </row>
    <row r="3725" spans="1:15">
      <c r="A3725" t="s">
        <v>3751</v>
      </c>
      <c r="B3725" t="s">
        <v>38</v>
      </c>
      <c r="C3725">
        <v>8</v>
      </c>
      <c r="D3725">
        <v>1268857</v>
      </c>
      <c r="E3725">
        <v>3</v>
      </c>
      <c r="F3725">
        <v>4</v>
      </c>
      <c r="G3725">
        <v>713</v>
      </c>
      <c r="H3725">
        <v>9965183</v>
      </c>
      <c r="I3725">
        <v>133624</v>
      </c>
      <c r="J3725" t="s">
        <v>25</v>
      </c>
      <c r="K3725" t="s">
        <v>22</v>
      </c>
      <c r="L3725">
        <v>8</v>
      </c>
      <c r="M3725">
        <v>67</v>
      </c>
      <c r="N3725">
        <v>869479</v>
      </c>
      <c r="O3725">
        <v>1</v>
      </c>
    </row>
    <row r="3726" spans="1:15">
      <c r="A3726" t="s">
        <v>3752</v>
      </c>
      <c r="B3726" t="s">
        <v>27</v>
      </c>
      <c r="C3726">
        <v>0</v>
      </c>
      <c r="D3726">
        <v>1447337</v>
      </c>
      <c r="E3726">
        <v>4</v>
      </c>
      <c r="F3726">
        <v>4</v>
      </c>
      <c r="G3726">
        <v>861</v>
      </c>
      <c r="H3726">
        <v>93483891</v>
      </c>
      <c r="I3726">
        <v>135181</v>
      </c>
      <c r="J3726" t="s">
        <v>21</v>
      </c>
      <c r="K3726" t="s">
        <v>22</v>
      </c>
      <c r="L3726">
        <v>7</v>
      </c>
      <c r="M3726">
        <v>76.28</v>
      </c>
      <c r="N3726">
        <v>550462</v>
      </c>
      <c r="O3726">
        <v>1</v>
      </c>
    </row>
    <row r="3727" spans="1:15">
      <c r="A3727" t="s">
        <v>3753</v>
      </c>
      <c r="B3727" t="s">
        <v>32</v>
      </c>
      <c r="C3727">
        <v>7</v>
      </c>
      <c r="D3727">
        <v>3890976</v>
      </c>
      <c r="E3727">
        <v>2</v>
      </c>
      <c r="F3727">
        <v>4</v>
      </c>
      <c r="G3727">
        <v>505</v>
      </c>
      <c r="H3727">
        <v>20179725</v>
      </c>
      <c r="I3727">
        <v>847461</v>
      </c>
      <c r="J3727" t="s">
        <v>21</v>
      </c>
      <c r="K3727" t="s">
        <v>18</v>
      </c>
      <c r="L3727">
        <v>8</v>
      </c>
      <c r="M3727">
        <v>63.34</v>
      </c>
      <c r="N3727">
        <v>598310</v>
      </c>
      <c r="O3727">
        <v>1</v>
      </c>
    </row>
    <row r="3728" spans="1:15">
      <c r="A3728" t="s">
        <v>3754</v>
      </c>
      <c r="B3728" t="s">
        <v>16</v>
      </c>
      <c r="C3728">
        <v>12</v>
      </c>
      <c r="D3728">
        <v>9744854</v>
      </c>
      <c r="E3728">
        <v>2</v>
      </c>
      <c r="F3728">
        <v>18</v>
      </c>
      <c r="G3728">
        <v>407</v>
      </c>
      <c r="H3728">
        <v>14188118</v>
      </c>
      <c r="I3728">
        <v>235018</v>
      </c>
      <c r="J3728" t="s">
        <v>25</v>
      </c>
      <c r="K3728" t="s">
        <v>18</v>
      </c>
      <c r="L3728">
        <v>6</v>
      </c>
      <c r="M3728">
        <v>39.4</v>
      </c>
      <c r="N3728">
        <v>161021</v>
      </c>
      <c r="O3728">
        <v>1</v>
      </c>
    </row>
    <row r="3729" spans="1:15">
      <c r="A3729" t="s">
        <v>3755</v>
      </c>
      <c r="B3729" t="s">
        <v>24</v>
      </c>
      <c r="C3729">
        <v>13</v>
      </c>
      <c r="D3729">
        <v>38150178</v>
      </c>
      <c r="E3729">
        <v>4</v>
      </c>
      <c r="F3729">
        <v>27</v>
      </c>
      <c r="G3729">
        <v>974</v>
      </c>
      <c r="H3729">
        <v>37580993</v>
      </c>
      <c r="I3729">
        <v>815687</v>
      </c>
      <c r="J3729" t="s">
        <v>17</v>
      </c>
      <c r="K3729" t="s">
        <v>30</v>
      </c>
      <c r="L3729">
        <v>3</v>
      </c>
      <c r="M3729">
        <v>26.44</v>
      </c>
      <c r="N3729">
        <v>195284</v>
      </c>
      <c r="O3729">
        <v>1</v>
      </c>
    </row>
    <row r="3730" spans="1:15">
      <c r="A3730" t="s">
        <v>3756</v>
      </c>
      <c r="B3730" t="s">
        <v>16</v>
      </c>
      <c r="C3730">
        <v>4</v>
      </c>
      <c r="D3730">
        <v>9010465</v>
      </c>
      <c r="E3730">
        <v>3</v>
      </c>
      <c r="F3730">
        <v>0</v>
      </c>
      <c r="G3730">
        <v>587</v>
      </c>
      <c r="H3730">
        <v>26327013</v>
      </c>
      <c r="I3730">
        <v>557496</v>
      </c>
      <c r="J3730" t="s">
        <v>25</v>
      </c>
      <c r="K3730" t="s">
        <v>22</v>
      </c>
      <c r="L3730">
        <v>5</v>
      </c>
      <c r="M3730">
        <v>86.79</v>
      </c>
      <c r="N3730">
        <v>72745</v>
      </c>
      <c r="O3730">
        <v>1</v>
      </c>
    </row>
    <row r="3731" spans="1:15">
      <c r="A3731" t="s">
        <v>3757</v>
      </c>
      <c r="B3731" t="s">
        <v>20</v>
      </c>
      <c r="C3731">
        <v>0</v>
      </c>
      <c r="D3731">
        <v>1092248</v>
      </c>
      <c r="E3731">
        <v>4</v>
      </c>
      <c r="F3731">
        <v>13</v>
      </c>
      <c r="G3731">
        <v>624</v>
      </c>
      <c r="H3731">
        <v>6724009</v>
      </c>
      <c r="I3731">
        <v>602200</v>
      </c>
      <c r="J3731" t="s">
        <v>17</v>
      </c>
      <c r="K3731" t="s">
        <v>18</v>
      </c>
      <c r="L3731">
        <v>8</v>
      </c>
      <c r="M3731">
        <v>35.42</v>
      </c>
      <c r="N3731">
        <v>293834</v>
      </c>
      <c r="O3731">
        <v>1</v>
      </c>
    </row>
    <row r="3732" spans="1:15">
      <c r="A3732" t="s">
        <v>3758</v>
      </c>
      <c r="B3732" t="s">
        <v>24</v>
      </c>
      <c r="C3732">
        <v>6</v>
      </c>
      <c r="D3732">
        <v>37844843</v>
      </c>
      <c r="E3732">
        <v>4</v>
      </c>
      <c r="F3732">
        <v>5</v>
      </c>
      <c r="G3732">
        <v>478</v>
      </c>
      <c r="H3732">
        <v>96624160</v>
      </c>
      <c r="I3732">
        <v>414675</v>
      </c>
      <c r="J3732" t="s">
        <v>25</v>
      </c>
      <c r="K3732" t="s">
        <v>30</v>
      </c>
      <c r="L3732">
        <v>1</v>
      </c>
      <c r="M3732">
        <v>93.51</v>
      </c>
      <c r="N3732">
        <v>754091</v>
      </c>
      <c r="O3732">
        <v>1</v>
      </c>
    </row>
    <row r="3733" spans="1:15">
      <c r="A3733" t="s">
        <v>3759</v>
      </c>
      <c r="B3733" t="s">
        <v>32</v>
      </c>
      <c r="C3733">
        <v>8</v>
      </c>
      <c r="D3733">
        <v>18129755</v>
      </c>
      <c r="E3733">
        <v>2</v>
      </c>
      <c r="F3733">
        <v>25</v>
      </c>
      <c r="G3733">
        <v>448</v>
      </c>
      <c r="H3733">
        <v>36215203</v>
      </c>
      <c r="I3733">
        <v>994798</v>
      </c>
      <c r="J3733" t="s">
        <v>21</v>
      </c>
      <c r="K3733" t="s">
        <v>18</v>
      </c>
      <c r="L3733">
        <v>3</v>
      </c>
      <c r="M3733">
        <v>76.14</v>
      </c>
      <c r="N3733">
        <v>938346</v>
      </c>
      <c r="O3733">
        <v>1</v>
      </c>
    </row>
    <row r="3734" spans="1:15">
      <c r="A3734" t="s">
        <v>3760</v>
      </c>
      <c r="B3734" t="s">
        <v>38</v>
      </c>
      <c r="C3734">
        <v>6</v>
      </c>
      <c r="D3734">
        <v>21410778</v>
      </c>
      <c r="E3734">
        <v>4</v>
      </c>
      <c r="F3734">
        <v>9</v>
      </c>
      <c r="G3734">
        <v>624</v>
      </c>
      <c r="H3734">
        <v>32862173</v>
      </c>
      <c r="I3734">
        <v>504295</v>
      </c>
      <c r="J3734" t="s">
        <v>25</v>
      </c>
      <c r="K3734" t="s">
        <v>18</v>
      </c>
      <c r="L3734">
        <v>8</v>
      </c>
      <c r="M3734">
        <v>58.77</v>
      </c>
      <c r="N3734">
        <v>396926</v>
      </c>
      <c r="O3734">
        <v>1</v>
      </c>
    </row>
    <row r="3735" spans="1:15">
      <c r="A3735" t="s">
        <v>3761</v>
      </c>
      <c r="B3735" t="s">
        <v>29</v>
      </c>
      <c r="C3735">
        <v>8</v>
      </c>
      <c r="D3735">
        <v>18892899</v>
      </c>
      <c r="E3735">
        <v>2</v>
      </c>
      <c r="F3735">
        <v>24</v>
      </c>
      <c r="G3735">
        <v>69</v>
      </c>
      <c r="H3735">
        <v>25941439</v>
      </c>
      <c r="I3735">
        <v>691355</v>
      </c>
      <c r="J3735" t="s">
        <v>21</v>
      </c>
      <c r="K3735" t="s">
        <v>30</v>
      </c>
      <c r="L3735">
        <v>1</v>
      </c>
      <c r="M3735">
        <v>87.88</v>
      </c>
      <c r="N3735">
        <v>467372</v>
      </c>
      <c r="O3735">
        <v>1</v>
      </c>
    </row>
    <row r="3736" spans="1:15">
      <c r="A3736" t="s">
        <v>3762</v>
      </c>
      <c r="B3736" t="s">
        <v>20</v>
      </c>
      <c r="C3736">
        <v>10</v>
      </c>
      <c r="D3736">
        <v>2578208</v>
      </c>
      <c r="E3736">
        <v>1</v>
      </c>
      <c r="F3736">
        <v>20</v>
      </c>
      <c r="G3736">
        <v>291</v>
      </c>
      <c r="H3736">
        <v>51468051</v>
      </c>
      <c r="I3736">
        <v>937759</v>
      </c>
      <c r="J3736" t="s">
        <v>17</v>
      </c>
      <c r="K3736" t="s">
        <v>22</v>
      </c>
      <c r="L3736">
        <v>5</v>
      </c>
      <c r="M3736">
        <v>47.59</v>
      </c>
      <c r="N3736">
        <v>439893</v>
      </c>
      <c r="O3736">
        <v>1</v>
      </c>
    </row>
    <row r="3737" spans="1:15">
      <c r="A3737" t="s">
        <v>3763</v>
      </c>
      <c r="B3737" t="s">
        <v>32</v>
      </c>
      <c r="C3737">
        <v>1</v>
      </c>
      <c r="D3737">
        <v>35381379</v>
      </c>
      <c r="E3737">
        <v>2</v>
      </c>
      <c r="F3737">
        <v>14</v>
      </c>
      <c r="G3737">
        <v>224</v>
      </c>
      <c r="H3737">
        <v>59225737</v>
      </c>
      <c r="I3737">
        <v>671505</v>
      </c>
      <c r="J3737" t="s">
        <v>25</v>
      </c>
      <c r="K3737" t="s">
        <v>22</v>
      </c>
      <c r="L3737">
        <v>2</v>
      </c>
      <c r="M3737">
        <v>86.47</v>
      </c>
      <c r="N3737">
        <v>340848</v>
      </c>
      <c r="O3737">
        <v>1</v>
      </c>
    </row>
    <row r="3738" spans="1:15">
      <c r="A3738" t="s">
        <v>3764</v>
      </c>
      <c r="B3738" t="s">
        <v>24</v>
      </c>
      <c r="C3738">
        <v>7</v>
      </c>
      <c r="D3738">
        <v>4437467</v>
      </c>
      <c r="E3738">
        <v>2</v>
      </c>
      <c r="F3738">
        <v>14</v>
      </c>
      <c r="G3738">
        <v>403</v>
      </c>
      <c r="H3738">
        <v>7076075</v>
      </c>
      <c r="I3738">
        <v>152067</v>
      </c>
      <c r="J3738" t="s">
        <v>25</v>
      </c>
      <c r="K3738" t="s">
        <v>18</v>
      </c>
      <c r="L3738">
        <v>9</v>
      </c>
      <c r="M3738">
        <v>40.520000000000003</v>
      </c>
      <c r="N3738">
        <v>480792</v>
      </c>
      <c r="O3738">
        <v>1</v>
      </c>
    </row>
    <row r="3739" spans="1:15">
      <c r="A3739" t="s">
        <v>3765</v>
      </c>
      <c r="B3739" t="s">
        <v>29</v>
      </c>
      <c r="C3739">
        <v>0</v>
      </c>
      <c r="D3739">
        <v>1179738</v>
      </c>
      <c r="E3739">
        <v>2</v>
      </c>
      <c r="F3739">
        <v>19</v>
      </c>
      <c r="G3739">
        <v>743</v>
      </c>
      <c r="H3739">
        <v>15020218</v>
      </c>
      <c r="I3739">
        <v>718288</v>
      </c>
      <c r="J3739" t="s">
        <v>25</v>
      </c>
      <c r="K3739" t="s">
        <v>18</v>
      </c>
      <c r="L3739">
        <v>3</v>
      </c>
      <c r="M3739">
        <v>78.069999999999993</v>
      </c>
      <c r="N3739">
        <v>406042</v>
      </c>
      <c r="O3739">
        <v>1</v>
      </c>
    </row>
    <row r="3740" spans="1:15">
      <c r="A3740" t="s">
        <v>3766</v>
      </c>
      <c r="B3740" t="s">
        <v>20</v>
      </c>
      <c r="C3740">
        <v>9</v>
      </c>
      <c r="D3740">
        <v>41791041</v>
      </c>
      <c r="E3740">
        <v>4</v>
      </c>
      <c r="F3740">
        <v>8</v>
      </c>
      <c r="G3740">
        <v>423</v>
      </c>
      <c r="H3740">
        <v>7203831</v>
      </c>
      <c r="I3740">
        <v>573910</v>
      </c>
      <c r="J3740" t="s">
        <v>21</v>
      </c>
      <c r="K3740" t="s">
        <v>22</v>
      </c>
      <c r="L3740">
        <v>8</v>
      </c>
      <c r="M3740">
        <v>86.75</v>
      </c>
      <c r="N3740">
        <v>356284</v>
      </c>
      <c r="O3740">
        <v>1</v>
      </c>
    </row>
    <row r="3741" spans="1:15">
      <c r="A3741" t="s">
        <v>3767</v>
      </c>
      <c r="B3741" t="s">
        <v>38</v>
      </c>
      <c r="C3741">
        <v>4</v>
      </c>
      <c r="D3741">
        <v>43670645</v>
      </c>
      <c r="E3741">
        <v>2</v>
      </c>
      <c r="F3741">
        <v>11</v>
      </c>
      <c r="G3741">
        <v>544</v>
      </c>
      <c r="H3741">
        <v>19163856</v>
      </c>
      <c r="I3741">
        <v>337341</v>
      </c>
      <c r="J3741" t="s">
        <v>17</v>
      </c>
      <c r="K3741" t="s">
        <v>22</v>
      </c>
      <c r="L3741">
        <v>5</v>
      </c>
      <c r="M3741">
        <v>11.55</v>
      </c>
      <c r="N3741">
        <v>770302</v>
      </c>
      <c r="O3741">
        <v>1</v>
      </c>
    </row>
    <row r="3742" spans="1:15">
      <c r="A3742" t="s">
        <v>3768</v>
      </c>
      <c r="B3742" t="s">
        <v>29</v>
      </c>
      <c r="C3742">
        <v>3</v>
      </c>
      <c r="D3742">
        <v>875029</v>
      </c>
      <c r="E3742">
        <v>1</v>
      </c>
      <c r="F3742">
        <v>23</v>
      </c>
      <c r="G3742">
        <v>656</v>
      </c>
      <c r="H3742">
        <v>85918932</v>
      </c>
      <c r="I3742">
        <v>255044</v>
      </c>
      <c r="J3742" t="s">
        <v>21</v>
      </c>
      <c r="K3742" t="s">
        <v>30</v>
      </c>
      <c r="L3742">
        <v>5</v>
      </c>
      <c r="M3742">
        <v>75.040000000000006</v>
      </c>
      <c r="N3742">
        <v>196571</v>
      </c>
      <c r="O3742">
        <v>1</v>
      </c>
    </row>
    <row r="3743" spans="1:15">
      <c r="A3743" t="s">
        <v>3769</v>
      </c>
      <c r="B3743" t="s">
        <v>20</v>
      </c>
      <c r="C3743">
        <v>10</v>
      </c>
      <c r="D3743">
        <v>45723262</v>
      </c>
      <c r="E3743">
        <v>1</v>
      </c>
      <c r="F3743">
        <v>4</v>
      </c>
      <c r="G3743">
        <v>159</v>
      </c>
      <c r="H3743">
        <v>83863542</v>
      </c>
      <c r="I3743">
        <v>600762</v>
      </c>
      <c r="J3743" t="s">
        <v>25</v>
      </c>
      <c r="K3743" t="s">
        <v>22</v>
      </c>
      <c r="L3743">
        <v>2</v>
      </c>
      <c r="M3743">
        <v>98.59</v>
      </c>
      <c r="N3743">
        <v>146344</v>
      </c>
      <c r="O3743">
        <v>1</v>
      </c>
    </row>
    <row r="3744" spans="1:15">
      <c r="A3744" t="s">
        <v>3770</v>
      </c>
      <c r="B3744" t="s">
        <v>27</v>
      </c>
      <c r="C3744">
        <v>14</v>
      </c>
      <c r="D3744">
        <v>34127061</v>
      </c>
      <c r="E3744">
        <v>4</v>
      </c>
      <c r="F3744">
        <v>21</v>
      </c>
      <c r="G3744">
        <v>220</v>
      </c>
      <c r="H3744">
        <v>59611112</v>
      </c>
      <c r="I3744">
        <v>162793</v>
      </c>
      <c r="J3744" t="s">
        <v>21</v>
      </c>
      <c r="K3744" t="s">
        <v>18</v>
      </c>
      <c r="L3744">
        <v>8</v>
      </c>
      <c r="M3744">
        <v>37.880000000000003</v>
      </c>
      <c r="N3744">
        <v>217616</v>
      </c>
      <c r="O3744">
        <v>1</v>
      </c>
    </row>
    <row r="3745" spans="1:15">
      <c r="A3745" t="s">
        <v>3771</v>
      </c>
      <c r="B3745" t="s">
        <v>24</v>
      </c>
      <c r="C3745">
        <v>4</v>
      </c>
      <c r="D3745">
        <v>21291408</v>
      </c>
      <c r="E3745">
        <v>1</v>
      </c>
      <c r="F3745">
        <v>2</v>
      </c>
      <c r="G3745">
        <v>828</v>
      </c>
      <c r="H3745">
        <v>6829382</v>
      </c>
      <c r="I3745">
        <v>75704</v>
      </c>
      <c r="J3745" t="s">
        <v>25</v>
      </c>
      <c r="K3745" t="s">
        <v>30</v>
      </c>
      <c r="L3745">
        <v>9</v>
      </c>
      <c r="M3745">
        <v>9.94</v>
      </c>
      <c r="N3745">
        <v>507111</v>
      </c>
      <c r="O3745">
        <v>1</v>
      </c>
    </row>
    <row r="3746" spans="1:15">
      <c r="A3746" t="s">
        <v>3772</v>
      </c>
      <c r="B3746" t="s">
        <v>27</v>
      </c>
      <c r="C3746">
        <v>0</v>
      </c>
      <c r="D3746">
        <v>47052652</v>
      </c>
      <c r="E3746">
        <v>1</v>
      </c>
      <c r="F3746">
        <v>14</v>
      </c>
      <c r="G3746">
        <v>510</v>
      </c>
      <c r="H3746">
        <v>65434883</v>
      </c>
      <c r="I3746">
        <v>421915</v>
      </c>
      <c r="J3746" t="s">
        <v>25</v>
      </c>
      <c r="K3746" t="s">
        <v>22</v>
      </c>
      <c r="L3746">
        <v>5</v>
      </c>
      <c r="M3746">
        <v>68.5</v>
      </c>
      <c r="N3746">
        <v>836823</v>
      </c>
      <c r="O3746">
        <v>1</v>
      </c>
    </row>
    <row r="3747" spans="1:15">
      <c r="A3747" t="s">
        <v>3773</v>
      </c>
      <c r="B3747" t="s">
        <v>24</v>
      </c>
      <c r="C3747">
        <v>5</v>
      </c>
      <c r="D3747">
        <v>46195036</v>
      </c>
      <c r="E3747">
        <v>4</v>
      </c>
      <c r="F3747">
        <v>29</v>
      </c>
      <c r="G3747">
        <v>172</v>
      </c>
      <c r="H3747">
        <v>9470795</v>
      </c>
      <c r="I3747">
        <v>537402</v>
      </c>
      <c r="J3747" t="s">
        <v>25</v>
      </c>
      <c r="K3747" t="s">
        <v>30</v>
      </c>
      <c r="L3747">
        <v>1</v>
      </c>
      <c r="M3747">
        <v>33.61</v>
      </c>
      <c r="N3747">
        <v>608287</v>
      </c>
      <c r="O3747">
        <v>1</v>
      </c>
    </row>
    <row r="3748" spans="1:15">
      <c r="A3748" t="s">
        <v>3774</v>
      </c>
      <c r="B3748" t="s">
        <v>24</v>
      </c>
      <c r="C3748">
        <v>12</v>
      </c>
      <c r="D3748">
        <v>41828504</v>
      </c>
      <c r="E3748">
        <v>2</v>
      </c>
      <c r="F3748">
        <v>21</v>
      </c>
      <c r="G3748">
        <v>695</v>
      </c>
      <c r="H3748">
        <v>27318917</v>
      </c>
      <c r="I3748">
        <v>195126</v>
      </c>
      <c r="J3748" t="s">
        <v>17</v>
      </c>
      <c r="K3748" t="s">
        <v>30</v>
      </c>
      <c r="L3748">
        <v>1</v>
      </c>
      <c r="M3748">
        <v>93.45</v>
      </c>
      <c r="N3748">
        <v>339936</v>
      </c>
      <c r="O3748">
        <v>1</v>
      </c>
    </row>
    <row r="3749" spans="1:15">
      <c r="A3749" t="s">
        <v>3775</v>
      </c>
      <c r="B3749" t="s">
        <v>20</v>
      </c>
      <c r="C3749">
        <v>7</v>
      </c>
      <c r="D3749">
        <v>35810072</v>
      </c>
      <c r="E3749">
        <v>2</v>
      </c>
      <c r="F3749">
        <v>17</v>
      </c>
      <c r="G3749">
        <v>611</v>
      </c>
      <c r="H3749">
        <v>91314935</v>
      </c>
      <c r="I3749">
        <v>685846</v>
      </c>
      <c r="J3749" t="s">
        <v>21</v>
      </c>
      <c r="K3749" t="s">
        <v>22</v>
      </c>
      <c r="L3749">
        <v>7</v>
      </c>
      <c r="M3749">
        <v>85.56</v>
      </c>
      <c r="N3749">
        <v>541532</v>
      </c>
      <c r="O3749">
        <v>1</v>
      </c>
    </row>
    <row r="3750" spans="1:15">
      <c r="A3750" t="s">
        <v>3776</v>
      </c>
      <c r="B3750" t="s">
        <v>24</v>
      </c>
      <c r="C3750">
        <v>0</v>
      </c>
      <c r="D3750">
        <v>19884373</v>
      </c>
      <c r="E3750">
        <v>1</v>
      </c>
      <c r="F3750">
        <v>18</v>
      </c>
      <c r="G3750">
        <v>818</v>
      </c>
      <c r="H3750">
        <v>32143728</v>
      </c>
      <c r="I3750">
        <v>27407</v>
      </c>
      <c r="J3750" t="s">
        <v>21</v>
      </c>
      <c r="K3750" t="s">
        <v>30</v>
      </c>
      <c r="L3750">
        <v>3</v>
      </c>
      <c r="M3750">
        <v>36.43</v>
      </c>
      <c r="N3750">
        <v>731452</v>
      </c>
      <c r="O3750">
        <v>1</v>
      </c>
    </row>
    <row r="3751" spans="1:15">
      <c r="A3751" t="s">
        <v>3777</v>
      </c>
      <c r="B3751" t="s">
        <v>38</v>
      </c>
      <c r="C3751">
        <v>2</v>
      </c>
      <c r="D3751">
        <v>19100725</v>
      </c>
      <c r="E3751">
        <v>3</v>
      </c>
      <c r="F3751">
        <v>14</v>
      </c>
      <c r="G3751">
        <v>84</v>
      </c>
      <c r="H3751">
        <v>96647284</v>
      </c>
      <c r="I3751">
        <v>191581</v>
      </c>
      <c r="J3751" t="s">
        <v>17</v>
      </c>
      <c r="K3751" t="s">
        <v>22</v>
      </c>
      <c r="L3751">
        <v>1</v>
      </c>
      <c r="M3751">
        <v>16.690000000000001</v>
      </c>
      <c r="N3751">
        <v>466724</v>
      </c>
      <c r="O3751">
        <v>1</v>
      </c>
    </row>
    <row r="3752" spans="1:15">
      <c r="A3752" t="s">
        <v>3778</v>
      </c>
      <c r="B3752" t="s">
        <v>38</v>
      </c>
      <c r="C3752">
        <v>3</v>
      </c>
      <c r="D3752">
        <v>32973108</v>
      </c>
      <c r="E3752">
        <v>4</v>
      </c>
      <c r="F3752">
        <v>12</v>
      </c>
      <c r="G3752">
        <v>894</v>
      </c>
      <c r="H3752">
        <v>37434711</v>
      </c>
      <c r="I3752">
        <v>449443</v>
      </c>
      <c r="J3752" t="s">
        <v>21</v>
      </c>
      <c r="K3752" t="s">
        <v>18</v>
      </c>
      <c r="L3752">
        <v>9</v>
      </c>
      <c r="M3752">
        <v>21.86</v>
      </c>
      <c r="N3752">
        <v>66093</v>
      </c>
      <c r="O3752">
        <v>1</v>
      </c>
    </row>
    <row r="3753" spans="1:15">
      <c r="A3753" t="s">
        <v>3779</v>
      </c>
      <c r="B3753" t="s">
        <v>16</v>
      </c>
      <c r="C3753">
        <v>2</v>
      </c>
      <c r="D3753">
        <v>25110628</v>
      </c>
      <c r="E3753">
        <v>3</v>
      </c>
      <c r="F3753">
        <v>0</v>
      </c>
      <c r="G3753">
        <v>761</v>
      </c>
      <c r="H3753">
        <v>16089487</v>
      </c>
      <c r="I3753">
        <v>121615</v>
      </c>
      <c r="J3753" t="s">
        <v>21</v>
      </c>
      <c r="K3753" t="s">
        <v>30</v>
      </c>
      <c r="L3753">
        <v>7</v>
      </c>
      <c r="M3753">
        <v>59.71</v>
      </c>
      <c r="N3753">
        <v>832583</v>
      </c>
      <c r="O3753">
        <v>1</v>
      </c>
    </row>
    <row r="3754" spans="1:15">
      <c r="A3754" t="s">
        <v>3780</v>
      </c>
      <c r="B3754" t="s">
        <v>16</v>
      </c>
      <c r="C3754">
        <v>7</v>
      </c>
      <c r="D3754">
        <v>6128706</v>
      </c>
      <c r="E3754">
        <v>4</v>
      </c>
      <c r="F3754">
        <v>16</v>
      </c>
      <c r="G3754">
        <v>705</v>
      </c>
      <c r="H3754">
        <v>41205903</v>
      </c>
      <c r="I3754">
        <v>439845</v>
      </c>
      <c r="J3754" t="s">
        <v>17</v>
      </c>
      <c r="K3754" t="s">
        <v>18</v>
      </c>
      <c r="L3754">
        <v>6</v>
      </c>
      <c r="M3754">
        <v>59.57</v>
      </c>
      <c r="N3754">
        <v>105165</v>
      </c>
      <c r="O3754">
        <v>1</v>
      </c>
    </row>
    <row r="3755" spans="1:15">
      <c r="A3755" t="s">
        <v>3781</v>
      </c>
      <c r="B3755" t="s">
        <v>24</v>
      </c>
      <c r="C3755">
        <v>1</v>
      </c>
      <c r="D3755">
        <v>15487371</v>
      </c>
      <c r="E3755">
        <v>2</v>
      </c>
      <c r="F3755">
        <v>21</v>
      </c>
      <c r="G3755">
        <v>582</v>
      </c>
      <c r="H3755">
        <v>57630058</v>
      </c>
      <c r="I3755">
        <v>918936</v>
      </c>
      <c r="J3755" t="s">
        <v>21</v>
      </c>
      <c r="K3755" t="s">
        <v>22</v>
      </c>
      <c r="L3755">
        <v>3</v>
      </c>
      <c r="M3755">
        <v>73.599999999999994</v>
      </c>
      <c r="N3755">
        <v>59339</v>
      </c>
      <c r="O3755">
        <v>1</v>
      </c>
    </row>
    <row r="3756" spans="1:15">
      <c r="A3756" t="s">
        <v>3782</v>
      </c>
      <c r="B3756" t="s">
        <v>38</v>
      </c>
      <c r="C3756">
        <v>12</v>
      </c>
      <c r="D3756">
        <v>42282200</v>
      </c>
      <c r="E3756">
        <v>1</v>
      </c>
      <c r="F3756">
        <v>1</v>
      </c>
      <c r="G3756">
        <v>279</v>
      </c>
      <c r="H3756">
        <v>51104529</v>
      </c>
      <c r="I3756">
        <v>583441</v>
      </c>
      <c r="J3756" t="s">
        <v>17</v>
      </c>
      <c r="K3756" t="s">
        <v>18</v>
      </c>
      <c r="L3756">
        <v>6</v>
      </c>
      <c r="M3756">
        <v>33.53</v>
      </c>
      <c r="N3756">
        <v>229210</v>
      </c>
      <c r="O3756">
        <v>1</v>
      </c>
    </row>
    <row r="3757" spans="1:15">
      <c r="A3757" t="s">
        <v>3783</v>
      </c>
      <c r="B3757" t="s">
        <v>27</v>
      </c>
      <c r="C3757">
        <v>12</v>
      </c>
      <c r="D3757">
        <v>46697459</v>
      </c>
      <c r="E3757">
        <v>1</v>
      </c>
      <c r="F3757">
        <v>18</v>
      </c>
      <c r="G3757">
        <v>395</v>
      </c>
      <c r="H3757">
        <v>98563091</v>
      </c>
      <c r="I3757">
        <v>781517</v>
      </c>
      <c r="J3757" t="s">
        <v>21</v>
      </c>
      <c r="K3757" t="s">
        <v>22</v>
      </c>
      <c r="L3757">
        <v>9</v>
      </c>
      <c r="M3757">
        <v>13.96</v>
      </c>
      <c r="N3757">
        <v>72270</v>
      </c>
      <c r="O3757">
        <v>1</v>
      </c>
    </row>
    <row r="3758" spans="1:15">
      <c r="A3758" t="s">
        <v>3784</v>
      </c>
      <c r="B3758" t="s">
        <v>27</v>
      </c>
      <c r="C3758">
        <v>3</v>
      </c>
      <c r="D3758">
        <v>3197633</v>
      </c>
      <c r="E3758">
        <v>2</v>
      </c>
      <c r="F3758">
        <v>13</v>
      </c>
      <c r="G3758">
        <v>737</v>
      </c>
      <c r="H3758">
        <v>88695619</v>
      </c>
      <c r="I3758">
        <v>438777</v>
      </c>
      <c r="J3758" t="s">
        <v>17</v>
      </c>
      <c r="K3758" t="s">
        <v>30</v>
      </c>
      <c r="L3758">
        <v>6</v>
      </c>
      <c r="M3758">
        <v>67.73</v>
      </c>
      <c r="N3758">
        <v>246019</v>
      </c>
      <c r="O3758">
        <v>1</v>
      </c>
    </row>
    <row r="3759" spans="1:15">
      <c r="A3759" t="s">
        <v>3785</v>
      </c>
      <c r="B3759" t="s">
        <v>27</v>
      </c>
      <c r="C3759">
        <v>2</v>
      </c>
      <c r="D3759">
        <v>24712110</v>
      </c>
      <c r="E3759">
        <v>1</v>
      </c>
      <c r="F3759">
        <v>17</v>
      </c>
      <c r="G3759">
        <v>402</v>
      </c>
      <c r="H3759">
        <v>99975441</v>
      </c>
      <c r="I3759">
        <v>264033</v>
      </c>
      <c r="J3759" t="s">
        <v>25</v>
      </c>
      <c r="K3759" t="s">
        <v>18</v>
      </c>
      <c r="L3759">
        <v>1</v>
      </c>
      <c r="M3759">
        <v>7.89</v>
      </c>
      <c r="N3759">
        <v>561667</v>
      </c>
      <c r="O3759">
        <v>1</v>
      </c>
    </row>
    <row r="3760" spans="1:15">
      <c r="A3760" t="s">
        <v>3786</v>
      </c>
      <c r="B3760" t="s">
        <v>24</v>
      </c>
      <c r="C3760">
        <v>1</v>
      </c>
      <c r="D3760">
        <v>19883917</v>
      </c>
      <c r="E3760">
        <v>4</v>
      </c>
      <c r="F3760">
        <v>26</v>
      </c>
      <c r="G3760">
        <v>458</v>
      </c>
      <c r="H3760">
        <v>52023575</v>
      </c>
      <c r="I3760">
        <v>560873</v>
      </c>
      <c r="J3760" t="s">
        <v>17</v>
      </c>
      <c r="K3760" t="s">
        <v>30</v>
      </c>
      <c r="L3760">
        <v>2</v>
      </c>
      <c r="M3760">
        <v>35.75</v>
      </c>
      <c r="N3760">
        <v>454206</v>
      </c>
      <c r="O3760">
        <v>1</v>
      </c>
    </row>
    <row r="3761" spans="1:15">
      <c r="A3761" t="s">
        <v>3787</v>
      </c>
      <c r="B3761" t="s">
        <v>24</v>
      </c>
      <c r="C3761">
        <v>12</v>
      </c>
      <c r="D3761">
        <v>7236524</v>
      </c>
      <c r="E3761">
        <v>3</v>
      </c>
      <c r="F3761">
        <v>12</v>
      </c>
      <c r="G3761">
        <v>88</v>
      </c>
      <c r="H3761">
        <v>72063830</v>
      </c>
      <c r="I3761">
        <v>213513</v>
      </c>
      <c r="J3761" t="s">
        <v>25</v>
      </c>
      <c r="K3761" t="s">
        <v>22</v>
      </c>
      <c r="L3761">
        <v>8</v>
      </c>
      <c r="M3761">
        <v>14.35</v>
      </c>
      <c r="N3761">
        <v>821489</v>
      </c>
      <c r="O3761">
        <v>1</v>
      </c>
    </row>
    <row r="3762" spans="1:15">
      <c r="A3762" t="s">
        <v>3788</v>
      </c>
      <c r="B3762" t="s">
        <v>24</v>
      </c>
      <c r="C3762">
        <v>6</v>
      </c>
      <c r="D3762">
        <v>21761969</v>
      </c>
      <c r="E3762">
        <v>4</v>
      </c>
      <c r="F3762">
        <v>10</v>
      </c>
      <c r="G3762">
        <v>921</v>
      </c>
      <c r="H3762">
        <v>19081021</v>
      </c>
      <c r="I3762">
        <v>878064</v>
      </c>
      <c r="J3762" t="s">
        <v>17</v>
      </c>
      <c r="K3762" t="s">
        <v>30</v>
      </c>
      <c r="L3762">
        <v>3</v>
      </c>
      <c r="M3762">
        <v>61.03</v>
      </c>
      <c r="N3762">
        <v>243081</v>
      </c>
      <c r="O3762">
        <v>1</v>
      </c>
    </row>
    <row r="3763" spans="1:15">
      <c r="A3763" t="s">
        <v>3789</v>
      </c>
      <c r="B3763" t="s">
        <v>27</v>
      </c>
      <c r="C3763">
        <v>14</v>
      </c>
      <c r="D3763">
        <v>13070901</v>
      </c>
      <c r="E3763">
        <v>3</v>
      </c>
      <c r="F3763">
        <v>0</v>
      </c>
      <c r="G3763">
        <v>266</v>
      </c>
      <c r="H3763">
        <v>80395082</v>
      </c>
      <c r="I3763">
        <v>717686</v>
      </c>
      <c r="J3763" t="s">
        <v>25</v>
      </c>
      <c r="K3763" t="s">
        <v>30</v>
      </c>
      <c r="L3763">
        <v>7</v>
      </c>
      <c r="M3763">
        <v>8.43</v>
      </c>
      <c r="N3763">
        <v>359843</v>
      </c>
      <c r="O3763">
        <v>1</v>
      </c>
    </row>
    <row r="3764" spans="1:15">
      <c r="A3764" t="s">
        <v>3790</v>
      </c>
      <c r="B3764" t="s">
        <v>16</v>
      </c>
      <c r="C3764">
        <v>9</v>
      </c>
      <c r="D3764">
        <v>21987407</v>
      </c>
      <c r="E3764">
        <v>2</v>
      </c>
      <c r="F3764">
        <v>4</v>
      </c>
      <c r="G3764">
        <v>737</v>
      </c>
      <c r="H3764">
        <v>16897464</v>
      </c>
      <c r="I3764">
        <v>612254</v>
      </c>
      <c r="J3764" t="s">
        <v>21</v>
      </c>
      <c r="K3764" t="s">
        <v>22</v>
      </c>
      <c r="L3764">
        <v>8</v>
      </c>
      <c r="M3764">
        <v>39.17</v>
      </c>
      <c r="N3764">
        <v>784155</v>
      </c>
      <c r="O3764">
        <v>1</v>
      </c>
    </row>
    <row r="3765" spans="1:15">
      <c r="A3765" t="s">
        <v>3791</v>
      </c>
      <c r="B3765" t="s">
        <v>29</v>
      </c>
      <c r="C3765">
        <v>0</v>
      </c>
      <c r="D3765">
        <v>49881237</v>
      </c>
      <c r="E3765">
        <v>3</v>
      </c>
      <c r="F3765">
        <v>19</v>
      </c>
      <c r="G3765">
        <v>920</v>
      </c>
      <c r="H3765">
        <v>55881686</v>
      </c>
      <c r="I3765">
        <v>57644</v>
      </c>
      <c r="J3765" t="s">
        <v>25</v>
      </c>
      <c r="K3765" t="s">
        <v>22</v>
      </c>
      <c r="L3765">
        <v>7</v>
      </c>
      <c r="M3765">
        <v>13.58</v>
      </c>
      <c r="N3765">
        <v>122960</v>
      </c>
      <c r="O3765">
        <v>1</v>
      </c>
    </row>
    <row r="3766" spans="1:15">
      <c r="A3766" t="s">
        <v>3792</v>
      </c>
      <c r="B3766" t="s">
        <v>20</v>
      </c>
      <c r="C3766">
        <v>13</v>
      </c>
      <c r="D3766">
        <v>27917682</v>
      </c>
      <c r="E3766">
        <v>2</v>
      </c>
      <c r="F3766">
        <v>8</v>
      </c>
      <c r="G3766">
        <v>434</v>
      </c>
      <c r="H3766">
        <v>32693333</v>
      </c>
      <c r="I3766">
        <v>410470</v>
      </c>
      <c r="J3766" t="s">
        <v>17</v>
      </c>
      <c r="K3766" t="s">
        <v>30</v>
      </c>
      <c r="L3766">
        <v>3</v>
      </c>
      <c r="M3766">
        <v>32.229999999999997</v>
      </c>
      <c r="N3766">
        <v>176156</v>
      </c>
      <c r="O3766">
        <v>1</v>
      </c>
    </row>
    <row r="3767" spans="1:15">
      <c r="A3767" t="s">
        <v>3793</v>
      </c>
      <c r="B3767" t="s">
        <v>20</v>
      </c>
      <c r="C3767">
        <v>13</v>
      </c>
      <c r="D3767">
        <v>45814814</v>
      </c>
      <c r="E3767">
        <v>4</v>
      </c>
      <c r="F3767">
        <v>22</v>
      </c>
      <c r="G3767">
        <v>646</v>
      </c>
      <c r="H3767">
        <v>4640254</v>
      </c>
      <c r="I3767">
        <v>58675</v>
      </c>
      <c r="J3767" t="s">
        <v>21</v>
      </c>
      <c r="K3767" t="s">
        <v>18</v>
      </c>
      <c r="L3767">
        <v>9</v>
      </c>
      <c r="M3767">
        <v>57.89</v>
      </c>
      <c r="N3767">
        <v>564105</v>
      </c>
      <c r="O3767">
        <v>1</v>
      </c>
    </row>
    <row r="3768" spans="1:15">
      <c r="A3768" t="s">
        <v>3794</v>
      </c>
      <c r="B3768" t="s">
        <v>27</v>
      </c>
      <c r="C3768">
        <v>4</v>
      </c>
      <c r="D3768">
        <v>35318241</v>
      </c>
      <c r="E3768">
        <v>3</v>
      </c>
      <c r="F3768">
        <v>15</v>
      </c>
      <c r="G3768">
        <v>376</v>
      </c>
      <c r="H3768">
        <v>33914838</v>
      </c>
      <c r="I3768">
        <v>639379</v>
      </c>
      <c r="J3768" t="s">
        <v>21</v>
      </c>
      <c r="K3768" t="s">
        <v>22</v>
      </c>
      <c r="L3768">
        <v>1</v>
      </c>
      <c r="M3768">
        <v>21.81</v>
      </c>
      <c r="N3768">
        <v>132672</v>
      </c>
      <c r="O3768">
        <v>1</v>
      </c>
    </row>
    <row r="3769" spans="1:15">
      <c r="A3769" t="s">
        <v>3795</v>
      </c>
      <c r="B3769" t="s">
        <v>24</v>
      </c>
      <c r="C3769">
        <v>7</v>
      </c>
      <c r="D3769">
        <v>5994686</v>
      </c>
      <c r="E3769">
        <v>2</v>
      </c>
      <c r="F3769">
        <v>25</v>
      </c>
      <c r="G3769">
        <v>102</v>
      </c>
      <c r="H3769">
        <v>98024214</v>
      </c>
      <c r="I3769">
        <v>478254</v>
      </c>
      <c r="J3769" t="s">
        <v>17</v>
      </c>
      <c r="K3769" t="s">
        <v>18</v>
      </c>
      <c r="L3769">
        <v>2</v>
      </c>
      <c r="M3769">
        <v>23.6</v>
      </c>
      <c r="N3769">
        <v>673353</v>
      </c>
      <c r="O3769">
        <v>1</v>
      </c>
    </row>
    <row r="3770" spans="1:15">
      <c r="A3770" t="s">
        <v>3796</v>
      </c>
      <c r="B3770" t="s">
        <v>16</v>
      </c>
      <c r="C3770">
        <v>1</v>
      </c>
      <c r="D3770">
        <v>6742702</v>
      </c>
      <c r="E3770">
        <v>1</v>
      </c>
      <c r="F3770">
        <v>7</v>
      </c>
      <c r="G3770">
        <v>533</v>
      </c>
      <c r="H3770">
        <v>68890652</v>
      </c>
      <c r="I3770">
        <v>330359</v>
      </c>
      <c r="J3770" t="s">
        <v>17</v>
      </c>
      <c r="K3770" t="s">
        <v>22</v>
      </c>
      <c r="L3770">
        <v>6</v>
      </c>
      <c r="M3770">
        <v>89.11</v>
      </c>
      <c r="N3770">
        <v>731172</v>
      </c>
      <c r="O3770">
        <v>1</v>
      </c>
    </row>
    <row r="3771" spans="1:15">
      <c r="A3771" t="s">
        <v>3797</v>
      </c>
      <c r="B3771" t="s">
        <v>29</v>
      </c>
      <c r="C3771">
        <v>14</v>
      </c>
      <c r="D3771">
        <v>6086079</v>
      </c>
      <c r="E3771">
        <v>2</v>
      </c>
      <c r="F3771">
        <v>1</v>
      </c>
      <c r="G3771">
        <v>44</v>
      </c>
      <c r="H3771">
        <v>91032784</v>
      </c>
      <c r="I3771">
        <v>568964</v>
      </c>
      <c r="J3771" t="s">
        <v>25</v>
      </c>
      <c r="K3771" t="s">
        <v>30</v>
      </c>
      <c r="L3771">
        <v>9</v>
      </c>
      <c r="M3771">
        <v>23.1</v>
      </c>
      <c r="N3771">
        <v>804865</v>
      </c>
      <c r="O3771">
        <v>1</v>
      </c>
    </row>
    <row r="3772" spans="1:15">
      <c r="A3772" t="s">
        <v>3798</v>
      </c>
      <c r="B3772" t="s">
        <v>24</v>
      </c>
      <c r="C3772">
        <v>12</v>
      </c>
      <c r="D3772">
        <v>22261328</v>
      </c>
      <c r="E3772">
        <v>2</v>
      </c>
      <c r="F3772">
        <v>17</v>
      </c>
      <c r="G3772">
        <v>11</v>
      </c>
      <c r="H3772">
        <v>22445964</v>
      </c>
      <c r="I3772">
        <v>660060</v>
      </c>
      <c r="J3772" t="s">
        <v>17</v>
      </c>
      <c r="K3772" t="s">
        <v>22</v>
      </c>
      <c r="L3772">
        <v>7</v>
      </c>
      <c r="M3772">
        <v>28.63</v>
      </c>
      <c r="N3772">
        <v>66132</v>
      </c>
      <c r="O3772">
        <v>1</v>
      </c>
    </row>
    <row r="3773" spans="1:15">
      <c r="A3773" t="s">
        <v>3799</v>
      </c>
      <c r="B3773" t="s">
        <v>20</v>
      </c>
      <c r="C3773">
        <v>7</v>
      </c>
      <c r="D3773">
        <v>728091</v>
      </c>
      <c r="E3773">
        <v>4</v>
      </c>
      <c r="F3773">
        <v>28</v>
      </c>
      <c r="G3773">
        <v>548</v>
      </c>
      <c r="H3773">
        <v>37279267</v>
      </c>
      <c r="I3773">
        <v>546487</v>
      </c>
      <c r="J3773" t="s">
        <v>25</v>
      </c>
      <c r="K3773" t="s">
        <v>30</v>
      </c>
      <c r="L3773">
        <v>8</v>
      </c>
      <c r="M3773">
        <v>17.07</v>
      </c>
      <c r="N3773">
        <v>815866</v>
      </c>
      <c r="O3773">
        <v>1</v>
      </c>
    </row>
    <row r="3774" spans="1:15">
      <c r="A3774" t="s">
        <v>3800</v>
      </c>
      <c r="B3774" t="s">
        <v>27</v>
      </c>
      <c r="C3774">
        <v>2</v>
      </c>
      <c r="D3774">
        <v>24759758</v>
      </c>
      <c r="E3774">
        <v>2</v>
      </c>
      <c r="F3774">
        <v>18</v>
      </c>
      <c r="G3774">
        <v>537</v>
      </c>
      <c r="H3774">
        <v>30589372</v>
      </c>
      <c r="I3774">
        <v>465439</v>
      </c>
      <c r="J3774" t="s">
        <v>17</v>
      </c>
      <c r="K3774" t="s">
        <v>22</v>
      </c>
      <c r="L3774">
        <v>8</v>
      </c>
      <c r="M3774">
        <v>46.02</v>
      </c>
      <c r="N3774">
        <v>606375</v>
      </c>
      <c r="O3774">
        <v>1</v>
      </c>
    </row>
    <row r="3775" spans="1:15">
      <c r="A3775" t="s">
        <v>3801</v>
      </c>
      <c r="B3775" t="s">
        <v>29</v>
      </c>
      <c r="C3775">
        <v>11</v>
      </c>
      <c r="D3775">
        <v>40989372</v>
      </c>
      <c r="E3775">
        <v>1</v>
      </c>
      <c r="F3775">
        <v>1</v>
      </c>
      <c r="G3775">
        <v>112</v>
      </c>
      <c r="H3775">
        <v>24243951</v>
      </c>
      <c r="I3775">
        <v>326466</v>
      </c>
      <c r="J3775" t="s">
        <v>21</v>
      </c>
      <c r="K3775" t="s">
        <v>30</v>
      </c>
      <c r="L3775">
        <v>7</v>
      </c>
      <c r="M3775">
        <v>81.96</v>
      </c>
      <c r="N3775">
        <v>321072</v>
      </c>
      <c r="O3775">
        <v>1</v>
      </c>
    </row>
    <row r="3776" spans="1:15">
      <c r="A3776" t="s">
        <v>3802</v>
      </c>
      <c r="B3776" t="s">
        <v>24</v>
      </c>
      <c r="C3776">
        <v>9</v>
      </c>
      <c r="D3776">
        <v>24890488</v>
      </c>
      <c r="E3776">
        <v>1</v>
      </c>
      <c r="F3776">
        <v>14</v>
      </c>
      <c r="G3776">
        <v>188</v>
      </c>
      <c r="H3776">
        <v>3074268</v>
      </c>
      <c r="I3776">
        <v>391953</v>
      </c>
      <c r="J3776" t="s">
        <v>25</v>
      </c>
      <c r="K3776" t="s">
        <v>18</v>
      </c>
      <c r="L3776">
        <v>4</v>
      </c>
      <c r="M3776">
        <v>22.97</v>
      </c>
      <c r="N3776">
        <v>12489</v>
      </c>
      <c r="O3776">
        <v>1</v>
      </c>
    </row>
    <row r="3777" spans="1:15">
      <c r="A3777" t="s">
        <v>3803</v>
      </c>
      <c r="B3777" t="s">
        <v>16</v>
      </c>
      <c r="C3777">
        <v>3</v>
      </c>
      <c r="D3777">
        <v>26310382</v>
      </c>
      <c r="E3777">
        <v>1</v>
      </c>
      <c r="F3777">
        <v>0</v>
      </c>
      <c r="G3777">
        <v>388</v>
      </c>
      <c r="H3777">
        <v>29233886</v>
      </c>
      <c r="I3777">
        <v>169771</v>
      </c>
      <c r="J3777" t="s">
        <v>25</v>
      </c>
      <c r="K3777" t="s">
        <v>22</v>
      </c>
      <c r="L3777">
        <v>4</v>
      </c>
      <c r="M3777">
        <v>21.47</v>
      </c>
      <c r="N3777">
        <v>452698</v>
      </c>
      <c r="O3777">
        <v>1</v>
      </c>
    </row>
    <row r="3778" spans="1:15">
      <c r="A3778" t="s">
        <v>3804</v>
      </c>
      <c r="B3778" t="s">
        <v>38</v>
      </c>
      <c r="C3778">
        <v>10</v>
      </c>
      <c r="D3778">
        <v>44526862</v>
      </c>
      <c r="E3778">
        <v>4</v>
      </c>
      <c r="F3778">
        <v>18</v>
      </c>
      <c r="G3778">
        <v>886</v>
      </c>
      <c r="H3778">
        <v>21348956</v>
      </c>
      <c r="I3778">
        <v>982336</v>
      </c>
      <c r="J3778" t="s">
        <v>25</v>
      </c>
      <c r="K3778" t="s">
        <v>22</v>
      </c>
      <c r="L3778">
        <v>6</v>
      </c>
      <c r="M3778">
        <v>96.74</v>
      </c>
      <c r="N3778">
        <v>895421</v>
      </c>
      <c r="O3778">
        <v>1</v>
      </c>
    </row>
    <row r="3779" spans="1:15">
      <c r="A3779" t="s">
        <v>3805</v>
      </c>
      <c r="B3779" t="s">
        <v>32</v>
      </c>
      <c r="C3779">
        <v>3</v>
      </c>
      <c r="D3779">
        <v>30269753</v>
      </c>
      <c r="E3779">
        <v>3</v>
      </c>
      <c r="F3779">
        <v>5</v>
      </c>
      <c r="G3779">
        <v>378</v>
      </c>
      <c r="H3779">
        <v>81900833</v>
      </c>
      <c r="I3779">
        <v>315969</v>
      </c>
      <c r="J3779" t="s">
        <v>25</v>
      </c>
      <c r="K3779" t="s">
        <v>22</v>
      </c>
      <c r="L3779">
        <v>8</v>
      </c>
      <c r="M3779">
        <v>12.96</v>
      </c>
      <c r="N3779">
        <v>890839</v>
      </c>
      <c r="O3779">
        <v>1</v>
      </c>
    </row>
    <row r="3780" spans="1:15">
      <c r="A3780" t="s">
        <v>3806</v>
      </c>
      <c r="B3780" t="s">
        <v>27</v>
      </c>
      <c r="C3780">
        <v>13</v>
      </c>
      <c r="D3780">
        <v>23900445</v>
      </c>
      <c r="E3780">
        <v>1</v>
      </c>
      <c r="F3780">
        <v>27</v>
      </c>
      <c r="G3780">
        <v>274</v>
      </c>
      <c r="H3780">
        <v>27415532</v>
      </c>
      <c r="I3780">
        <v>520837</v>
      </c>
      <c r="J3780" t="s">
        <v>25</v>
      </c>
      <c r="K3780" t="s">
        <v>18</v>
      </c>
      <c r="L3780">
        <v>5</v>
      </c>
      <c r="M3780">
        <v>24.58</v>
      </c>
      <c r="N3780">
        <v>963124</v>
      </c>
      <c r="O3780">
        <v>1</v>
      </c>
    </row>
    <row r="3781" spans="1:15">
      <c r="A3781" t="s">
        <v>3807</v>
      </c>
      <c r="B3781" t="s">
        <v>27</v>
      </c>
      <c r="C3781">
        <v>6</v>
      </c>
      <c r="D3781">
        <v>6607430</v>
      </c>
      <c r="E3781">
        <v>1</v>
      </c>
      <c r="F3781">
        <v>11</v>
      </c>
      <c r="G3781">
        <v>998</v>
      </c>
      <c r="H3781">
        <v>41365113</v>
      </c>
      <c r="I3781">
        <v>518045</v>
      </c>
      <c r="J3781" t="s">
        <v>17</v>
      </c>
      <c r="K3781" t="s">
        <v>30</v>
      </c>
      <c r="L3781">
        <v>9</v>
      </c>
      <c r="M3781">
        <v>43.06</v>
      </c>
      <c r="N3781">
        <v>401484</v>
      </c>
      <c r="O3781">
        <v>1</v>
      </c>
    </row>
    <row r="3782" spans="1:15">
      <c r="A3782" t="s">
        <v>3808</v>
      </c>
      <c r="B3782" t="s">
        <v>20</v>
      </c>
      <c r="C3782">
        <v>13</v>
      </c>
      <c r="D3782">
        <v>17571758</v>
      </c>
      <c r="E3782">
        <v>4</v>
      </c>
      <c r="F3782">
        <v>10</v>
      </c>
      <c r="G3782">
        <v>544</v>
      </c>
      <c r="H3782">
        <v>34903684</v>
      </c>
      <c r="I3782">
        <v>460954</v>
      </c>
      <c r="J3782" t="s">
        <v>17</v>
      </c>
      <c r="K3782" t="s">
        <v>18</v>
      </c>
      <c r="L3782">
        <v>9</v>
      </c>
      <c r="M3782">
        <v>51.76</v>
      </c>
      <c r="N3782">
        <v>754560</v>
      </c>
      <c r="O3782">
        <v>1</v>
      </c>
    </row>
    <row r="3783" spans="1:15">
      <c r="A3783" t="s">
        <v>3809</v>
      </c>
      <c r="B3783" t="s">
        <v>27</v>
      </c>
      <c r="C3783">
        <v>8</v>
      </c>
      <c r="D3783">
        <v>49127600</v>
      </c>
      <c r="E3783">
        <v>3</v>
      </c>
      <c r="F3783">
        <v>28</v>
      </c>
      <c r="G3783">
        <v>223</v>
      </c>
      <c r="H3783">
        <v>81010707</v>
      </c>
      <c r="I3783">
        <v>188853</v>
      </c>
      <c r="J3783" t="s">
        <v>25</v>
      </c>
      <c r="K3783" t="s">
        <v>30</v>
      </c>
      <c r="L3783">
        <v>9</v>
      </c>
      <c r="M3783">
        <v>21.9</v>
      </c>
      <c r="N3783">
        <v>173622</v>
      </c>
      <c r="O3783">
        <v>1</v>
      </c>
    </row>
    <row r="3784" spans="1:15">
      <c r="A3784" t="s">
        <v>3810</v>
      </c>
      <c r="B3784" t="s">
        <v>29</v>
      </c>
      <c r="C3784">
        <v>13</v>
      </c>
      <c r="D3784">
        <v>45287616</v>
      </c>
      <c r="E3784">
        <v>1</v>
      </c>
      <c r="F3784">
        <v>11</v>
      </c>
      <c r="G3784">
        <v>920</v>
      </c>
      <c r="H3784">
        <v>80632478</v>
      </c>
      <c r="I3784">
        <v>823194</v>
      </c>
      <c r="J3784" t="s">
        <v>21</v>
      </c>
      <c r="K3784" t="s">
        <v>18</v>
      </c>
      <c r="L3784">
        <v>7</v>
      </c>
      <c r="M3784">
        <v>95.36</v>
      </c>
      <c r="N3784">
        <v>334267</v>
      </c>
      <c r="O3784">
        <v>1</v>
      </c>
    </row>
    <row r="3785" spans="1:15">
      <c r="A3785" t="s">
        <v>3811</v>
      </c>
      <c r="B3785" t="s">
        <v>27</v>
      </c>
      <c r="C3785">
        <v>7</v>
      </c>
      <c r="D3785">
        <v>14695460</v>
      </c>
      <c r="E3785">
        <v>2</v>
      </c>
      <c r="F3785">
        <v>2</v>
      </c>
      <c r="G3785">
        <v>568</v>
      </c>
      <c r="H3785">
        <v>38036199</v>
      </c>
      <c r="I3785">
        <v>441772</v>
      </c>
      <c r="J3785" t="s">
        <v>25</v>
      </c>
      <c r="K3785" t="s">
        <v>22</v>
      </c>
      <c r="L3785">
        <v>6</v>
      </c>
      <c r="M3785">
        <v>85.4</v>
      </c>
      <c r="N3785">
        <v>127919</v>
      </c>
      <c r="O3785">
        <v>1</v>
      </c>
    </row>
    <row r="3786" spans="1:15">
      <c r="A3786" t="s">
        <v>3812</v>
      </c>
      <c r="B3786" t="s">
        <v>16</v>
      </c>
      <c r="C3786">
        <v>1</v>
      </c>
      <c r="D3786">
        <v>46496801</v>
      </c>
      <c r="E3786">
        <v>3</v>
      </c>
      <c r="F3786">
        <v>4</v>
      </c>
      <c r="G3786">
        <v>978</v>
      </c>
      <c r="H3786">
        <v>28748151</v>
      </c>
      <c r="I3786">
        <v>257363</v>
      </c>
      <c r="J3786" t="s">
        <v>21</v>
      </c>
      <c r="K3786" t="s">
        <v>30</v>
      </c>
      <c r="L3786">
        <v>3</v>
      </c>
      <c r="M3786">
        <v>58.04</v>
      </c>
      <c r="N3786">
        <v>772015</v>
      </c>
      <c r="O3786">
        <v>1</v>
      </c>
    </row>
    <row r="3787" spans="1:15">
      <c r="A3787" t="s">
        <v>3813</v>
      </c>
      <c r="B3787" t="s">
        <v>32</v>
      </c>
      <c r="C3787">
        <v>2</v>
      </c>
      <c r="D3787">
        <v>18400135</v>
      </c>
      <c r="E3787">
        <v>4</v>
      </c>
      <c r="F3787">
        <v>12</v>
      </c>
      <c r="G3787">
        <v>201</v>
      </c>
      <c r="H3787">
        <v>10332768</v>
      </c>
      <c r="I3787">
        <v>575169</v>
      </c>
      <c r="J3787" t="s">
        <v>21</v>
      </c>
      <c r="K3787" t="s">
        <v>30</v>
      </c>
      <c r="L3787">
        <v>4</v>
      </c>
      <c r="M3787">
        <v>50.31</v>
      </c>
      <c r="N3787">
        <v>405963</v>
      </c>
      <c r="O3787">
        <v>1</v>
      </c>
    </row>
    <row r="3788" spans="1:15">
      <c r="A3788" t="s">
        <v>3814</v>
      </c>
      <c r="B3788" t="s">
        <v>24</v>
      </c>
      <c r="C3788">
        <v>14</v>
      </c>
      <c r="D3788">
        <v>19736425</v>
      </c>
      <c r="E3788">
        <v>4</v>
      </c>
      <c r="F3788">
        <v>5</v>
      </c>
      <c r="G3788">
        <v>162</v>
      </c>
      <c r="H3788">
        <v>82233484</v>
      </c>
      <c r="I3788">
        <v>149655</v>
      </c>
      <c r="J3788" t="s">
        <v>21</v>
      </c>
      <c r="K3788" t="s">
        <v>22</v>
      </c>
      <c r="L3788">
        <v>1</v>
      </c>
      <c r="M3788">
        <v>81.3</v>
      </c>
      <c r="N3788">
        <v>505707</v>
      </c>
      <c r="O3788">
        <v>1</v>
      </c>
    </row>
    <row r="3789" spans="1:15">
      <c r="A3789" t="s">
        <v>3815</v>
      </c>
      <c r="B3789" t="s">
        <v>29</v>
      </c>
      <c r="C3789">
        <v>7</v>
      </c>
      <c r="D3789">
        <v>3283133</v>
      </c>
      <c r="E3789">
        <v>1</v>
      </c>
      <c r="F3789">
        <v>3</v>
      </c>
      <c r="G3789">
        <v>51</v>
      </c>
      <c r="H3789">
        <v>16960691</v>
      </c>
      <c r="I3789">
        <v>743998</v>
      </c>
      <c r="J3789" t="s">
        <v>17</v>
      </c>
      <c r="K3789" t="s">
        <v>30</v>
      </c>
      <c r="L3789">
        <v>6</v>
      </c>
      <c r="M3789">
        <v>84.24</v>
      </c>
      <c r="N3789">
        <v>991553</v>
      </c>
      <c r="O3789">
        <v>1</v>
      </c>
    </row>
    <row r="3790" spans="1:15">
      <c r="A3790" t="s">
        <v>3816</v>
      </c>
      <c r="B3790" t="s">
        <v>20</v>
      </c>
      <c r="C3790">
        <v>2</v>
      </c>
      <c r="D3790">
        <v>30454809</v>
      </c>
      <c r="E3790">
        <v>1</v>
      </c>
      <c r="F3790">
        <v>17</v>
      </c>
      <c r="G3790">
        <v>609</v>
      </c>
      <c r="H3790">
        <v>41409734</v>
      </c>
      <c r="I3790">
        <v>471096</v>
      </c>
      <c r="J3790" t="s">
        <v>21</v>
      </c>
      <c r="K3790" t="s">
        <v>30</v>
      </c>
      <c r="L3790">
        <v>4</v>
      </c>
      <c r="M3790">
        <v>63.1</v>
      </c>
      <c r="N3790">
        <v>864412</v>
      </c>
      <c r="O3790">
        <v>1</v>
      </c>
    </row>
    <row r="3791" spans="1:15">
      <c r="A3791" t="s">
        <v>3817</v>
      </c>
      <c r="B3791" t="s">
        <v>16</v>
      </c>
      <c r="C3791">
        <v>1</v>
      </c>
      <c r="D3791">
        <v>12394927</v>
      </c>
      <c r="E3791">
        <v>1</v>
      </c>
      <c r="F3791">
        <v>26</v>
      </c>
      <c r="G3791">
        <v>277</v>
      </c>
      <c r="H3791">
        <v>25265608</v>
      </c>
      <c r="I3791">
        <v>312747</v>
      </c>
      <c r="J3791" t="s">
        <v>17</v>
      </c>
      <c r="K3791" t="s">
        <v>30</v>
      </c>
      <c r="L3791">
        <v>1</v>
      </c>
      <c r="M3791">
        <v>79.37</v>
      </c>
      <c r="N3791">
        <v>258946</v>
      </c>
      <c r="O3791">
        <v>1</v>
      </c>
    </row>
    <row r="3792" spans="1:15">
      <c r="A3792" t="s">
        <v>3818</v>
      </c>
      <c r="B3792" t="s">
        <v>38</v>
      </c>
      <c r="C3792">
        <v>11</v>
      </c>
      <c r="D3792">
        <v>48095862</v>
      </c>
      <c r="E3792">
        <v>3</v>
      </c>
      <c r="F3792">
        <v>2</v>
      </c>
      <c r="G3792">
        <v>964</v>
      </c>
      <c r="H3792">
        <v>66058989</v>
      </c>
      <c r="I3792">
        <v>803538</v>
      </c>
      <c r="J3792" t="s">
        <v>25</v>
      </c>
      <c r="K3792" t="s">
        <v>18</v>
      </c>
      <c r="L3792">
        <v>3</v>
      </c>
      <c r="M3792">
        <v>6.95</v>
      </c>
      <c r="N3792">
        <v>40567</v>
      </c>
      <c r="O3792">
        <v>1</v>
      </c>
    </row>
    <row r="3793" spans="1:15">
      <c r="A3793" t="s">
        <v>3819</v>
      </c>
      <c r="B3793" t="s">
        <v>27</v>
      </c>
      <c r="C3793">
        <v>1</v>
      </c>
      <c r="D3793">
        <v>45875394</v>
      </c>
      <c r="E3793">
        <v>2</v>
      </c>
      <c r="F3793">
        <v>1</v>
      </c>
      <c r="G3793">
        <v>434</v>
      </c>
      <c r="H3793">
        <v>10684530</v>
      </c>
      <c r="I3793">
        <v>225597</v>
      </c>
      <c r="J3793" t="s">
        <v>21</v>
      </c>
      <c r="K3793" t="s">
        <v>18</v>
      </c>
      <c r="L3793">
        <v>4</v>
      </c>
      <c r="M3793">
        <v>68.05</v>
      </c>
      <c r="N3793">
        <v>443083</v>
      </c>
      <c r="O3793">
        <v>1</v>
      </c>
    </row>
    <row r="3794" spans="1:15">
      <c r="A3794" t="s">
        <v>3820</v>
      </c>
      <c r="B3794" t="s">
        <v>24</v>
      </c>
      <c r="C3794">
        <v>3</v>
      </c>
      <c r="D3794">
        <v>14111125</v>
      </c>
      <c r="E3794">
        <v>2</v>
      </c>
      <c r="F3794">
        <v>27</v>
      </c>
      <c r="G3794">
        <v>849</v>
      </c>
      <c r="H3794">
        <v>22686043</v>
      </c>
      <c r="I3794">
        <v>334309</v>
      </c>
      <c r="J3794" t="s">
        <v>25</v>
      </c>
      <c r="K3794" t="s">
        <v>30</v>
      </c>
      <c r="L3794">
        <v>6</v>
      </c>
      <c r="M3794">
        <v>37.53</v>
      </c>
      <c r="N3794">
        <v>645818</v>
      </c>
      <c r="O3794">
        <v>1</v>
      </c>
    </row>
    <row r="3795" spans="1:15">
      <c r="A3795" t="s">
        <v>3821</v>
      </c>
      <c r="B3795" t="s">
        <v>24</v>
      </c>
      <c r="C3795">
        <v>7</v>
      </c>
      <c r="D3795">
        <v>43404137</v>
      </c>
      <c r="E3795">
        <v>3</v>
      </c>
      <c r="F3795">
        <v>23</v>
      </c>
      <c r="G3795">
        <v>632</v>
      </c>
      <c r="H3795">
        <v>62591793</v>
      </c>
      <c r="I3795">
        <v>566434</v>
      </c>
      <c r="J3795" t="s">
        <v>21</v>
      </c>
      <c r="K3795" t="s">
        <v>30</v>
      </c>
      <c r="L3795">
        <v>1</v>
      </c>
      <c r="M3795">
        <v>30.03</v>
      </c>
      <c r="N3795">
        <v>58474</v>
      </c>
      <c r="O3795">
        <v>1</v>
      </c>
    </row>
    <row r="3796" spans="1:15">
      <c r="A3796" t="s">
        <v>3822</v>
      </c>
      <c r="B3796" t="s">
        <v>32</v>
      </c>
      <c r="C3796">
        <v>6</v>
      </c>
      <c r="D3796">
        <v>23020072</v>
      </c>
      <c r="E3796">
        <v>1</v>
      </c>
      <c r="F3796">
        <v>26</v>
      </c>
      <c r="G3796">
        <v>430</v>
      </c>
      <c r="H3796">
        <v>97454706</v>
      </c>
      <c r="I3796">
        <v>443945</v>
      </c>
      <c r="J3796" t="s">
        <v>17</v>
      </c>
      <c r="K3796" t="s">
        <v>18</v>
      </c>
      <c r="L3796">
        <v>9</v>
      </c>
      <c r="M3796">
        <v>70.89</v>
      </c>
      <c r="N3796">
        <v>734170</v>
      </c>
      <c r="O3796">
        <v>1</v>
      </c>
    </row>
    <row r="3797" spans="1:15">
      <c r="A3797" t="s">
        <v>3823</v>
      </c>
      <c r="B3797" t="s">
        <v>32</v>
      </c>
      <c r="C3797">
        <v>13</v>
      </c>
      <c r="D3797">
        <v>34411717</v>
      </c>
      <c r="E3797">
        <v>1</v>
      </c>
      <c r="F3797">
        <v>11</v>
      </c>
      <c r="G3797">
        <v>555</v>
      </c>
      <c r="H3797">
        <v>25231644</v>
      </c>
      <c r="I3797">
        <v>510141</v>
      </c>
      <c r="J3797" t="s">
        <v>17</v>
      </c>
      <c r="K3797" t="s">
        <v>30</v>
      </c>
      <c r="L3797">
        <v>6</v>
      </c>
      <c r="M3797">
        <v>21.09</v>
      </c>
      <c r="N3797">
        <v>288632</v>
      </c>
      <c r="O3797">
        <v>1</v>
      </c>
    </row>
    <row r="3798" spans="1:15">
      <c r="A3798" t="s">
        <v>3824</v>
      </c>
      <c r="B3798" t="s">
        <v>38</v>
      </c>
      <c r="C3798">
        <v>1</v>
      </c>
      <c r="D3798">
        <v>11202085</v>
      </c>
      <c r="E3798">
        <v>2</v>
      </c>
      <c r="F3798">
        <v>20</v>
      </c>
      <c r="G3798">
        <v>117</v>
      </c>
      <c r="H3798">
        <v>69723789</v>
      </c>
      <c r="I3798">
        <v>81827</v>
      </c>
      <c r="J3798" t="s">
        <v>25</v>
      </c>
      <c r="K3798" t="s">
        <v>18</v>
      </c>
      <c r="L3798">
        <v>6</v>
      </c>
      <c r="M3798">
        <v>64.69</v>
      </c>
      <c r="N3798">
        <v>284952</v>
      </c>
      <c r="O3798">
        <v>1</v>
      </c>
    </row>
    <row r="3799" spans="1:15">
      <c r="A3799" t="s">
        <v>3825</v>
      </c>
      <c r="B3799" t="s">
        <v>29</v>
      </c>
      <c r="C3799">
        <v>14</v>
      </c>
      <c r="D3799">
        <v>18275751</v>
      </c>
      <c r="E3799">
        <v>2</v>
      </c>
      <c r="F3799">
        <v>29</v>
      </c>
      <c r="G3799">
        <v>933</v>
      </c>
      <c r="H3799">
        <v>46489852</v>
      </c>
      <c r="I3799">
        <v>659238</v>
      </c>
      <c r="J3799" t="s">
        <v>25</v>
      </c>
      <c r="K3799" t="s">
        <v>22</v>
      </c>
      <c r="L3799">
        <v>5</v>
      </c>
      <c r="M3799">
        <v>45.64</v>
      </c>
      <c r="N3799">
        <v>761059</v>
      </c>
      <c r="O3799">
        <v>1</v>
      </c>
    </row>
    <row r="3800" spans="1:15">
      <c r="A3800" t="s">
        <v>3826</v>
      </c>
      <c r="B3800" t="s">
        <v>16</v>
      </c>
      <c r="C3800">
        <v>8</v>
      </c>
      <c r="D3800">
        <v>34564663</v>
      </c>
      <c r="E3800">
        <v>4</v>
      </c>
      <c r="F3800">
        <v>14</v>
      </c>
      <c r="G3800">
        <v>289</v>
      </c>
      <c r="H3800">
        <v>48410736</v>
      </c>
      <c r="I3800">
        <v>100123</v>
      </c>
      <c r="J3800" t="s">
        <v>21</v>
      </c>
      <c r="K3800" t="s">
        <v>22</v>
      </c>
      <c r="L3800">
        <v>7</v>
      </c>
      <c r="M3800">
        <v>90.12</v>
      </c>
      <c r="N3800">
        <v>831654</v>
      </c>
      <c r="O3800">
        <v>1</v>
      </c>
    </row>
    <row r="3801" spans="1:15">
      <c r="A3801" t="s">
        <v>3827</v>
      </c>
      <c r="B3801" t="s">
        <v>29</v>
      </c>
      <c r="C3801">
        <v>14</v>
      </c>
      <c r="D3801">
        <v>27334403</v>
      </c>
      <c r="E3801">
        <v>1</v>
      </c>
      <c r="F3801">
        <v>28</v>
      </c>
      <c r="G3801">
        <v>328</v>
      </c>
      <c r="H3801">
        <v>75324323</v>
      </c>
      <c r="I3801">
        <v>11030</v>
      </c>
      <c r="J3801" t="s">
        <v>21</v>
      </c>
      <c r="K3801" t="s">
        <v>22</v>
      </c>
      <c r="L3801">
        <v>8</v>
      </c>
      <c r="M3801">
        <v>82.97</v>
      </c>
      <c r="N3801">
        <v>965617</v>
      </c>
      <c r="O3801">
        <v>1</v>
      </c>
    </row>
    <row r="3802" spans="1:15">
      <c r="A3802" t="s">
        <v>3828</v>
      </c>
      <c r="B3802" t="s">
        <v>24</v>
      </c>
      <c r="C3802">
        <v>12</v>
      </c>
      <c r="D3802">
        <v>37042668</v>
      </c>
      <c r="E3802">
        <v>2</v>
      </c>
      <c r="F3802">
        <v>15</v>
      </c>
      <c r="G3802">
        <v>864</v>
      </c>
      <c r="H3802">
        <v>63371810</v>
      </c>
      <c r="I3802">
        <v>11311</v>
      </c>
      <c r="J3802" t="s">
        <v>17</v>
      </c>
      <c r="K3802" t="s">
        <v>18</v>
      </c>
      <c r="L3802">
        <v>2</v>
      </c>
      <c r="M3802">
        <v>58.06</v>
      </c>
      <c r="N3802">
        <v>238769</v>
      </c>
      <c r="O3802">
        <v>1</v>
      </c>
    </row>
    <row r="3803" spans="1:15">
      <c r="A3803" t="s">
        <v>3829</v>
      </c>
      <c r="B3803" t="s">
        <v>27</v>
      </c>
      <c r="C3803">
        <v>13</v>
      </c>
      <c r="D3803">
        <v>29886808</v>
      </c>
      <c r="E3803">
        <v>3</v>
      </c>
      <c r="F3803">
        <v>12</v>
      </c>
      <c r="G3803">
        <v>250</v>
      </c>
      <c r="H3803">
        <v>45031449</v>
      </c>
      <c r="I3803">
        <v>922261</v>
      </c>
      <c r="J3803" t="s">
        <v>25</v>
      </c>
      <c r="K3803" t="s">
        <v>22</v>
      </c>
      <c r="L3803">
        <v>8</v>
      </c>
      <c r="M3803">
        <v>11.41</v>
      </c>
      <c r="N3803">
        <v>559554</v>
      </c>
      <c r="O3803">
        <v>1</v>
      </c>
    </row>
    <row r="3804" spans="1:15">
      <c r="A3804" t="s">
        <v>3830</v>
      </c>
      <c r="B3804" t="s">
        <v>32</v>
      </c>
      <c r="C3804">
        <v>2</v>
      </c>
      <c r="D3804">
        <v>35796983</v>
      </c>
      <c r="E3804">
        <v>1</v>
      </c>
      <c r="F3804">
        <v>18</v>
      </c>
      <c r="G3804">
        <v>716</v>
      </c>
      <c r="H3804">
        <v>68545528</v>
      </c>
      <c r="I3804">
        <v>99401</v>
      </c>
      <c r="J3804" t="s">
        <v>17</v>
      </c>
      <c r="K3804" t="s">
        <v>22</v>
      </c>
      <c r="L3804">
        <v>8</v>
      </c>
      <c r="M3804">
        <v>50.53</v>
      </c>
      <c r="N3804">
        <v>266030</v>
      </c>
      <c r="O3804">
        <v>1</v>
      </c>
    </row>
    <row r="3805" spans="1:15">
      <c r="A3805" t="s">
        <v>3831</v>
      </c>
      <c r="B3805" t="s">
        <v>29</v>
      </c>
      <c r="C3805">
        <v>5</v>
      </c>
      <c r="D3805">
        <v>32674519</v>
      </c>
      <c r="E3805">
        <v>2</v>
      </c>
      <c r="F3805">
        <v>7</v>
      </c>
      <c r="G3805">
        <v>737</v>
      </c>
      <c r="H3805">
        <v>66190546</v>
      </c>
      <c r="I3805">
        <v>522004</v>
      </c>
      <c r="J3805" t="s">
        <v>25</v>
      </c>
      <c r="K3805" t="s">
        <v>18</v>
      </c>
      <c r="L3805">
        <v>2</v>
      </c>
      <c r="M3805">
        <v>51.39</v>
      </c>
      <c r="N3805">
        <v>735747</v>
      </c>
      <c r="O3805">
        <v>1</v>
      </c>
    </row>
    <row r="3806" spans="1:15">
      <c r="A3806" t="s">
        <v>3832</v>
      </c>
      <c r="B3806" t="s">
        <v>24</v>
      </c>
      <c r="C3806">
        <v>12</v>
      </c>
      <c r="D3806">
        <v>23039280</v>
      </c>
      <c r="E3806">
        <v>4</v>
      </c>
      <c r="F3806">
        <v>17</v>
      </c>
      <c r="G3806">
        <v>561</v>
      </c>
      <c r="H3806">
        <v>32490441</v>
      </c>
      <c r="I3806">
        <v>982973</v>
      </c>
      <c r="J3806" t="s">
        <v>21</v>
      </c>
      <c r="K3806" t="s">
        <v>18</v>
      </c>
      <c r="L3806">
        <v>9</v>
      </c>
      <c r="M3806">
        <v>57.89</v>
      </c>
      <c r="N3806">
        <v>577032</v>
      </c>
      <c r="O3806">
        <v>1</v>
      </c>
    </row>
    <row r="3807" spans="1:15">
      <c r="A3807" t="s">
        <v>3833</v>
      </c>
      <c r="B3807" t="s">
        <v>20</v>
      </c>
      <c r="C3807">
        <v>9</v>
      </c>
      <c r="D3807">
        <v>27140918</v>
      </c>
      <c r="E3807">
        <v>3</v>
      </c>
      <c r="F3807">
        <v>18</v>
      </c>
      <c r="G3807">
        <v>879</v>
      </c>
      <c r="H3807">
        <v>18937215</v>
      </c>
      <c r="I3807">
        <v>869579</v>
      </c>
      <c r="J3807" t="s">
        <v>17</v>
      </c>
      <c r="K3807" t="s">
        <v>18</v>
      </c>
      <c r="L3807">
        <v>5</v>
      </c>
      <c r="M3807">
        <v>75.900000000000006</v>
      </c>
      <c r="N3807">
        <v>996557</v>
      </c>
      <c r="O3807">
        <v>1</v>
      </c>
    </row>
    <row r="3808" spans="1:15">
      <c r="A3808" t="s">
        <v>3834</v>
      </c>
      <c r="B3808" t="s">
        <v>24</v>
      </c>
      <c r="C3808">
        <v>2</v>
      </c>
      <c r="D3808">
        <v>27477195</v>
      </c>
      <c r="E3808">
        <v>1</v>
      </c>
      <c r="F3808">
        <v>10</v>
      </c>
      <c r="G3808">
        <v>265</v>
      </c>
      <c r="H3808">
        <v>87592387</v>
      </c>
      <c r="I3808">
        <v>321221</v>
      </c>
      <c r="J3808" t="s">
        <v>25</v>
      </c>
      <c r="K3808" t="s">
        <v>22</v>
      </c>
      <c r="L3808">
        <v>9</v>
      </c>
      <c r="M3808">
        <v>79.41</v>
      </c>
      <c r="N3808">
        <v>107774</v>
      </c>
      <c r="O3808">
        <v>1</v>
      </c>
    </row>
    <row r="3809" spans="1:15">
      <c r="A3809" t="s">
        <v>3835</v>
      </c>
      <c r="B3809" t="s">
        <v>27</v>
      </c>
      <c r="C3809">
        <v>1</v>
      </c>
      <c r="D3809">
        <v>33160779</v>
      </c>
      <c r="E3809">
        <v>3</v>
      </c>
      <c r="F3809">
        <v>21</v>
      </c>
      <c r="G3809">
        <v>176</v>
      </c>
      <c r="H3809">
        <v>32231454</v>
      </c>
      <c r="I3809">
        <v>47477</v>
      </c>
      <c r="J3809" t="s">
        <v>25</v>
      </c>
      <c r="K3809" t="s">
        <v>22</v>
      </c>
      <c r="L3809">
        <v>9</v>
      </c>
      <c r="M3809">
        <v>64.959999999999994</v>
      </c>
      <c r="N3809">
        <v>253428</v>
      </c>
      <c r="O3809">
        <v>1</v>
      </c>
    </row>
    <row r="3810" spans="1:15">
      <c r="A3810" t="s">
        <v>3836</v>
      </c>
      <c r="B3810" t="s">
        <v>38</v>
      </c>
      <c r="C3810">
        <v>11</v>
      </c>
      <c r="D3810">
        <v>9995709</v>
      </c>
      <c r="E3810">
        <v>2</v>
      </c>
      <c r="F3810">
        <v>2</v>
      </c>
      <c r="G3810">
        <v>217</v>
      </c>
      <c r="H3810">
        <v>76044525</v>
      </c>
      <c r="I3810">
        <v>830119</v>
      </c>
      <c r="J3810" t="s">
        <v>21</v>
      </c>
      <c r="K3810" t="s">
        <v>30</v>
      </c>
      <c r="L3810">
        <v>7</v>
      </c>
      <c r="M3810">
        <v>78.400000000000006</v>
      </c>
      <c r="N3810">
        <v>296453</v>
      </c>
      <c r="O3810">
        <v>1</v>
      </c>
    </row>
    <row r="3811" spans="1:15">
      <c r="A3811" t="s">
        <v>3837</v>
      </c>
      <c r="B3811" t="s">
        <v>32</v>
      </c>
      <c r="C3811">
        <v>8</v>
      </c>
      <c r="D3811">
        <v>30495329</v>
      </c>
      <c r="E3811">
        <v>4</v>
      </c>
      <c r="F3811">
        <v>6</v>
      </c>
      <c r="G3811">
        <v>384</v>
      </c>
      <c r="H3811">
        <v>17953821</v>
      </c>
      <c r="I3811">
        <v>354266</v>
      </c>
      <c r="J3811" t="s">
        <v>25</v>
      </c>
      <c r="K3811" t="s">
        <v>30</v>
      </c>
      <c r="L3811">
        <v>7</v>
      </c>
      <c r="M3811">
        <v>15.93</v>
      </c>
      <c r="N3811">
        <v>612757</v>
      </c>
      <c r="O3811">
        <v>1</v>
      </c>
    </row>
    <row r="3812" spans="1:15">
      <c r="A3812" t="s">
        <v>3838</v>
      </c>
      <c r="B3812" t="s">
        <v>20</v>
      </c>
      <c r="C3812">
        <v>12</v>
      </c>
      <c r="D3812">
        <v>21531600</v>
      </c>
      <c r="E3812">
        <v>4</v>
      </c>
      <c r="F3812">
        <v>9</v>
      </c>
      <c r="G3812">
        <v>185</v>
      </c>
      <c r="H3812">
        <v>61161029</v>
      </c>
      <c r="I3812">
        <v>568288</v>
      </c>
      <c r="J3812" t="s">
        <v>21</v>
      </c>
      <c r="K3812" t="s">
        <v>30</v>
      </c>
      <c r="L3812">
        <v>7</v>
      </c>
      <c r="M3812">
        <v>11.7</v>
      </c>
      <c r="N3812">
        <v>59027</v>
      </c>
      <c r="O3812">
        <v>1</v>
      </c>
    </row>
    <row r="3813" spans="1:15">
      <c r="A3813" t="s">
        <v>3839</v>
      </c>
      <c r="B3813" t="s">
        <v>32</v>
      </c>
      <c r="C3813">
        <v>2</v>
      </c>
      <c r="D3813">
        <v>45566182</v>
      </c>
      <c r="E3813">
        <v>3</v>
      </c>
      <c r="F3813">
        <v>0</v>
      </c>
      <c r="G3813">
        <v>671</v>
      </c>
      <c r="H3813">
        <v>18460085</v>
      </c>
      <c r="I3813">
        <v>122235</v>
      </c>
      <c r="J3813" t="s">
        <v>17</v>
      </c>
      <c r="K3813" t="s">
        <v>18</v>
      </c>
      <c r="L3813">
        <v>1</v>
      </c>
      <c r="M3813">
        <v>43.44</v>
      </c>
      <c r="N3813">
        <v>460301</v>
      </c>
      <c r="O3813">
        <v>1</v>
      </c>
    </row>
    <row r="3814" spans="1:15">
      <c r="A3814" t="s">
        <v>3840</v>
      </c>
      <c r="B3814" t="s">
        <v>38</v>
      </c>
      <c r="C3814">
        <v>5</v>
      </c>
      <c r="D3814">
        <v>48231180</v>
      </c>
      <c r="E3814">
        <v>1</v>
      </c>
      <c r="F3814">
        <v>1</v>
      </c>
      <c r="G3814">
        <v>894</v>
      </c>
      <c r="H3814">
        <v>3846153</v>
      </c>
      <c r="I3814">
        <v>516297</v>
      </c>
      <c r="J3814" t="s">
        <v>21</v>
      </c>
      <c r="K3814" t="s">
        <v>22</v>
      </c>
      <c r="L3814">
        <v>2</v>
      </c>
      <c r="M3814">
        <v>96.84</v>
      </c>
      <c r="N3814">
        <v>726258</v>
      </c>
      <c r="O3814">
        <v>1</v>
      </c>
    </row>
    <row r="3815" spans="1:15">
      <c r="A3815" t="s">
        <v>3841</v>
      </c>
      <c r="B3815" t="s">
        <v>24</v>
      </c>
      <c r="C3815">
        <v>10</v>
      </c>
      <c r="D3815">
        <v>43307127</v>
      </c>
      <c r="E3815">
        <v>2</v>
      </c>
      <c r="F3815">
        <v>26</v>
      </c>
      <c r="G3815">
        <v>146</v>
      </c>
      <c r="H3815">
        <v>44508983</v>
      </c>
      <c r="I3815">
        <v>790535</v>
      </c>
      <c r="J3815" t="s">
        <v>25</v>
      </c>
      <c r="K3815" t="s">
        <v>22</v>
      </c>
      <c r="L3815">
        <v>2</v>
      </c>
      <c r="M3815">
        <v>58.31</v>
      </c>
      <c r="N3815">
        <v>273985</v>
      </c>
      <c r="O3815">
        <v>1</v>
      </c>
    </row>
    <row r="3816" spans="1:15">
      <c r="A3816" t="s">
        <v>3842</v>
      </c>
      <c r="B3816" t="s">
        <v>32</v>
      </c>
      <c r="C3816">
        <v>10</v>
      </c>
      <c r="D3816">
        <v>8410341</v>
      </c>
      <c r="E3816">
        <v>4</v>
      </c>
      <c r="F3816">
        <v>19</v>
      </c>
      <c r="G3816">
        <v>753</v>
      </c>
      <c r="H3816">
        <v>20515651</v>
      </c>
      <c r="I3816">
        <v>85175</v>
      </c>
      <c r="J3816" t="s">
        <v>21</v>
      </c>
      <c r="K3816" t="s">
        <v>18</v>
      </c>
      <c r="L3816">
        <v>7</v>
      </c>
      <c r="M3816">
        <v>72.34</v>
      </c>
      <c r="N3816">
        <v>276680</v>
      </c>
      <c r="O3816">
        <v>1</v>
      </c>
    </row>
    <row r="3817" spans="1:15">
      <c r="A3817" t="s">
        <v>3843</v>
      </c>
      <c r="B3817" t="s">
        <v>32</v>
      </c>
      <c r="C3817">
        <v>4</v>
      </c>
      <c r="D3817">
        <v>20098491</v>
      </c>
      <c r="E3817">
        <v>1</v>
      </c>
      <c r="F3817">
        <v>29</v>
      </c>
      <c r="G3817">
        <v>512</v>
      </c>
      <c r="H3817">
        <v>33650154</v>
      </c>
      <c r="I3817">
        <v>765222</v>
      </c>
      <c r="J3817" t="s">
        <v>21</v>
      </c>
      <c r="K3817" t="s">
        <v>18</v>
      </c>
      <c r="L3817">
        <v>8</v>
      </c>
      <c r="M3817">
        <v>67.319999999999993</v>
      </c>
      <c r="N3817">
        <v>281922</v>
      </c>
      <c r="O3817">
        <v>1</v>
      </c>
    </row>
    <row r="3818" spans="1:15">
      <c r="A3818" t="s">
        <v>3844</v>
      </c>
      <c r="B3818" t="s">
        <v>20</v>
      </c>
      <c r="C3818">
        <v>6</v>
      </c>
      <c r="D3818">
        <v>1916417</v>
      </c>
      <c r="E3818">
        <v>4</v>
      </c>
      <c r="F3818">
        <v>8</v>
      </c>
      <c r="G3818">
        <v>195</v>
      </c>
      <c r="H3818">
        <v>83007679</v>
      </c>
      <c r="I3818">
        <v>758587</v>
      </c>
      <c r="J3818" t="s">
        <v>25</v>
      </c>
      <c r="K3818" t="s">
        <v>30</v>
      </c>
      <c r="L3818">
        <v>3</v>
      </c>
      <c r="M3818">
        <v>25.4</v>
      </c>
      <c r="N3818">
        <v>248507</v>
      </c>
      <c r="O3818">
        <v>1</v>
      </c>
    </row>
    <row r="3819" spans="1:15">
      <c r="A3819" t="s">
        <v>3845</v>
      </c>
      <c r="B3819" t="s">
        <v>27</v>
      </c>
      <c r="C3819">
        <v>13</v>
      </c>
      <c r="D3819">
        <v>1715778</v>
      </c>
      <c r="E3819">
        <v>3</v>
      </c>
      <c r="F3819">
        <v>5</v>
      </c>
      <c r="G3819">
        <v>227</v>
      </c>
      <c r="H3819">
        <v>7026726</v>
      </c>
      <c r="I3819">
        <v>106444</v>
      </c>
      <c r="J3819" t="s">
        <v>21</v>
      </c>
      <c r="K3819" t="s">
        <v>30</v>
      </c>
      <c r="L3819">
        <v>9</v>
      </c>
      <c r="M3819">
        <v>43.52</v>
      </c>
      <c r="N3819">
        <v>896985</v>
      </c>
      <c r="O3819">
        <v>1</v>
      </c>
    </row>
    <row r="3820" spans="1:15">
      <c r="A3820" t="s">
        <v>3846</v>
      </c>
      <c r="B3820" t="s">
        <v>20</v>
      </c>
      <c r="C3820">
        <v>1</v>
      </c>
      <c r="D3820">
        <v>47576151</v>
      </c>
      <c r="E3820">
        <v>1</v>
      </c>
      <c r="F3820">
        <v>28</v>
      </c>
      <c r="G3820">
        <v>271</v>
      </c>
      <c r="H3820">
        <v>23716167</v>
      </c>
      <c r="I3820">
        <v>966853</v>
      </c>
      <c r="J3820" t="s">
        <v>21</v>
      </c>
      <c r="K3820" t="s">
        <v>22</v>
      </c>
      <c r="L3820">
        <v>5</v>
      </c>
      <c r="M3820">
        <v>97.87</v>
      </c>
      <c r="N3820">
        <v>938373</v>
      </c>
      <c r="O3820">
        <v>1</v>
      </c>
    </row>
    <row r="3821" spans="1:15">
      <c r="A3821" t="s">
        <v>3847</v>
      </c>
      <c r="B3821" t="s">
        <v>24</v>
      </c>
      <c r="C3821">
        <v>2</v>
      </c>
      <c r="D3821">
        <v>39360666</v>
      </c>
      <c r="E3821">
        <v>2</v>
      </c>
      <c r="F3821">
        <v>20</v>
      </c>
      <c r="G3821">
        <v>216</v>
      </c>
      <c r="H3821">
        <v>19795532</v>
      </c>
      <c r="I3821">
        <v>595631</v>
      </c>
      <c r="J3821" t="s">
        <v>21</v>
      </c>
      <c r="K3821" t="s">
        <v>22</v>
      </c>
      <c r="L3821">
        <v>7</v>
      </c>
      <c r="M3821">
        <v>27.92</v>
      </c>
      <c r="N3821">
        <v>467049</v>
      </c>
      <c r="O3821">
        <v>1</v>
      </c>
    </row>
    <row r="3822" spans="1:15">
      <c r="A3822" t="s">
        <v>3848</v>
      </c>
      <c r="B3822" t="s">
        <v>20</v>
      </c>
      <c r="C3822">
        <v>13</v>
      </c>
      <c r="D3822">
        <v>24029129</v>
      </c>
      <c r="E3822">
        <v>3</v>
      </c>
      <c r="F3822">
        <v>1</v>
      </c>
      <c r="G3822">
        <v>521</v>
      </c>
      <c r="H3822">
        <v>8418886</v>
      </c>
      <c r="I3822">
        <v>533593</v>
      </c>
      <c r="J3822" t="s">
        <v>17</v>
      </c>
      <c r="K3822" t="s">
        <v>22</v>
      </c>
      <c r="L3822">
        <v>3</v>
      </c>
      <c r="M3822">
        <v>56.86</v>
      </c>
      <c r="N3822">
        <v>42092</v>
      </c>
      <c r="O3822">
        <v>1</v>
      </c>
    </row>
    <row r="3823" spans="1:15">
      <c r="A3823" t="s">
        <v>3849</v>
      </c>
      <c r="B3823" t="s">
        <v>27</v>
      </c>
      <c r="C3823">
        <v>0</v>
      </c>
      <c r="D3823">
        <v>27877384</v>
      </c>
      <c r="E3823">
        <v>1</v>
      </c>
      <c r="F3823">
        <v>16</v>
      </c>
      <c r="G3823">
        <v>548</v>
      </c>
      <c r="H3823">
        <v>63064543</v>
      </c>
      <c r="I3823">
        <v>906396</v>
      </c>
      <c r="J3823" t="s">
        <v>21</v>
      </c>
      <c r="K3823" t="s">
        <v>30</v>
      </c>
      <c r="L3823">
        <v>4</v>
      </c>
      <c r="M3823">
        <v>79.22</v>
      </c>
      <c r="N3823">
        <v>271685</v>
      </c>
      <c r="O3823">
        <v>1</v>
      </c>
    </row>
    <row r="3824" spans="1:15">
      <c r="A3824" t="s">
        <v>3850</v>
      </c>
      <c r="B3824" t="s">
        <v>38</v>
      </c>
      <c r="C3824">
        <v>1</v>
      </c>
      <c r="D3824">
        <v>5919887</v>
      </c>
      <c r="E3824">
        <v>2</v>
      </c>
      <c r="F3824">
        <v>8</v>
      </c>
      <c r="G3824">
        <v>355</v>
      </c>
      <c r="H3824">
        <v>36101688</v>
      </c>
      <c r="I3824">
        <v>474276</v>
      </c>
      <c r="J3824" t="s">
        <v>17</v>
      </c>
      <c r="K3824" t="s">
        <v>22</v>
      </c>
      <c r="L3824">
        <v>9</v>
      </c>
      <c r="M3824">
        <v>33.26</v>
      </c>
      <c r="N3824">
        <v>962552</v>
      </c>
      <c r="O3824">
        <v>1</v>
      </c>
    </row>
    <row r="3825" spans="1:15">
      <c r="A3825" t="s">
        <v>3851</v>
      </c>
      <c r="B3825" t="s">
        <v>24</v>
      </c>
      <c r="C3825">
        <v>7</v>
      </c>
      <c r="D3825">
        <v>33197888</v>
      </c>
      <c r="E3825">
        <v>4</v>
      </c>
      <c r="F3825">
        <v>10</v>
      </c>
      <c r="G3825">
        <v>868</v>
      </c>
      <c r="H3825">
        <v>7190322</v>
      </c>
      <c r="I3825">
        <v>124238</v>
      </c>
      <c r="J3825" t="s">
        <v>25</v>
      </c>
      <c r="K3825" t="s">
        <v>30</v>
      </c>
      <c r="L3825">
        <v>8</v>
      </c>
      <c r="M3825">
        <v>66.52</v>
      </c>
      <c r="N3825">
        <v>314425</v>
      </c>
      <c r="O3825">
        <v>1</v>
      </c>
    </row>
    <row r="3826" spans="1:15">
      <c r="A3826" t="s">
        <v>3852</v>
      </c>
      <c r="B3826" t="s">
        <v>32</v>
      </c>
      <c r="C3826">
        <v>13</v>
      </c>
      <c r="D3826">
        <v>35773326</v>
      </c>
      <c r="E3826">
        <v>1</v>
      </c>
      <c r="F3826">
        <v>13</v>
      </c>
      <c r="G3826">
        <v>735</v>
      </c>
      <c r="H3826">
        <v>21820400</v>
      </c>
      <c r="I3826">
        <v>139192</v>
      </c>
      <c r="J3826" t="s">
        <v>25</v>
      </c>
      <c r="K3826" t="s">
        <v>18</v>
      </c>
      <c r="L3826">
        <v>4</v>
      </c>
      <c r="M3826">
        <v>95.74</v>
      </c>
      <c r="N3826">
        <v>45525</v>
      </c>
      <c r="O3826">
        <v>1</v>
      </c>
    </row>
    <row r="3827" spans="1:15">
      <c r="A3827" t="s">
        <v>3853</v>
      </c>
      <c r="B3827" t="s">
        <v>16</v>
      </c>
      <c r="C3827">
        <v>13</v>
      </c>
      <c r="D3827">
        <v>19971553</v>
      </c>
      <c r="E3827">
        <v>4</v>
      </c>
      <c r="F3827">
        <v>29</v>
      </c>
      <c r="G3827">
        <v>378</v>
      </c>
      <c r="H3827">
        <v>13677859</v>
      </c>
      <c r="I3827">
        <v>330767</v>
      </c>
      <c r="J3827" t="s">
        <v>25</v>
      </c>
      <c r="K3827" t="s">
        <v>30</v>
      </c>
      <c r="L3827">
        <v>8</v>
      </c>
      <c r="M3827">
        <v>21.56</v>
      </c>
      <c r="N3827">
        <v>795409</v>
      </c>
      <c r="O3827">
        <v>1</v>
      </c>
    </row>
    <row r="3828" spans="1:15">
      <c r="A3828" t="s">
        <v>3854</v>
      </c>
      <c r="B3828" t="s">
        <v>16</v>
      </c>
      <c r="C3828">
        <v>13</v>
      </c>
      <c r="D3828">
        <v>16973504</v>
      </c>
      <c r="E3828">
        <v>2</v>
      </c>
      <c r="F3828">
        <v>7</v>
      </c>
      <c r="G3828">
        <v>126</v>
      </c>
      <c r="H3828">
        <v>68647202</v>
      </c>
      <c r="I3828">
        <v>911191</v>
      </c>
      <c r="J3828" t="s">
        <v>25</v>
      </c>
      <c r="K3828" t="s">
        <v>22</v>
      </c>
      <c r="L3828">
        <v>7</v>
      </c>
      <c r="M3828">
        <v>89.2</v>
      </c>
      <c r="N3828">
        <v>824425</v>
      </c>
      <c r="O3828">
        <v>1</v>
      </c>
    </row>
    <row r="3829" spans="1:15">
      <c r="A3829" t="s">
        <v>3855</v>
      </c>
      <c r="B3829" t="s">
        <v>16</v>
      </c>
      <c r="C3829">
        <v>10</v>
      </c>
      <c r="D3829">
        <v>4886985</v>
      </c>
      <c r="E3829">
        <v>3</v>
      </c>
      <c r="F3829">
        <v>27</v>
      </c>
      <c r="G3829">
        <v>296</v>
      </c>
      <c r="H3829">
        <v>27714584</v>
      </c>
      <c r="I3829">
        <v>543830</v>
      </c>
      <c r="J3829" t="s">
        <v>25</v>
      </c>
      <c r="K3829" t="s">
        <v>18</v>
      </c>
      <c r="L3829">
        <v>4</v>
      </c>
      <c r="M3829">
        <v>96.43</v>
      </c>
      <c r="N3829">
        <v>195350</v>
      </c>
      <c r="O3829">
        <v>1</v>
      </c>
    </row>
    <row r="3830" spans="1:15">
      <c r="A3830" t="s">
        <v>3856</v>
      </c>
      <c r="B3830" t="s">
        <v>27</v>
      </c>
      <c r="C3830">
        <v>10</v>
      </c>
      <c r="D3830">
        <v>43258040</v>
      </c>
      <c r="E3830">
        <v>4</v>
      </c>
      <c r="F3830">
        <v>11</v>
      </c>
      <c r="G3830">
        <v>823</v>
      </c>
      <c r="H3830">
        <v>4169548</v>
      </c>
      <c r="I3830">
        <v>92315</v>
      </c>
      <c r="J3830" t="s">
        <v>17</v>
      </c>
      <c r="K3830" t="s">
        <v>18</v>
      </c>
      <c r="L3830">
        <v>1</v>
      </c>
      <c r="M3830">
        <v>38.72</v>
      </c>
      <c r="N3830">
        <v>915790</v>
      </c>
      <c r="O3830">
        <v>1</v>
      </c>
    </row>
    <row r="3831" spans="1:15">
      <c r="A3831" t="s">
        <v>3857</v>
      </c>
      <c r="B3831" t="s">
        <v>29</v>
      </c>
      <c r="C3831">
        <v>14</v>
      </c>
      <c r="D3831">
        <v>40404782</v>
      </c>
      <c r="E3831">
        <v>1</v>
      </c>
      <c r="F3831">
        <v>25</v>
      </c>
      <c r="G3831">
        <v>551</v>
      </c>
      <c r="H3831">
        <v>66467276</v>
      </c>
      <c r="I3831">
        <v>480779</v>
      </c>
      <c r="J3831" t="s">
        <v>25</v>
      </c>
      <c r="K3831" t="s">
        <v>22</v>
      </c>
      <c r="L3831">
        <v>4</v>
      </c>
      <c r="M3831">
        <v>26.21</v>
      </c>
      <c r="N3831">
        <v>324311</v>
      </c>
      <c r="O3831">
        <v>1</v>
      </c>
    </row>
    <row r="3832" spans="1:15">
      <c r="A3832" t="s">
        <v>3858</v>
      </c>
      <c r="B3832" t="s">
        <v>20</v>
      </c>
      <c r="C3832">
        <v>8</v>
      </c>
      <c r="D3832">
        <v>28873410</v>
      </c>
      <c r="E3832">
        <v>1</v>
      </c>
      <c r="F3832">
        <v>6</v>
      </c>
      <c r="G3832">
        <v>466</v>
      </c>
      <c r="H3832">
        <v>19900269</v>
      </c>
      <c r="I3832">
        <v>873353</v>
      </c>
      <c r="J3832" t="s">
        <v>21</v>
      </c>
      <c r="K3832" t="s">
        <v>18</v>
      </c>
      <c r="L3832">
        <v>5</v>
      </c>
      <c r="M3832">
        <v>32.81</v>
      </c>
      <c r="N3832">
        <v>980618</v>
      </c>
      <c r="O3832">
        <v>1</v>
      </c>
    </row>
    <row r="3833" spans="1:15">
      <c r="A3833" t="s">
        <v>3859</v>
      </c>
      <c r="B3833" t="s">
        <v>29</v>
      </c>
      <c r="C3833">
        <v>9</v>
      </c>
      <c r="D3833">
        <v>18982900</v>
      </c>
      <c r="E3833">
        <v>2</v>
      </c>
      <c r="F3833">
        <v>24</v>
      </c>
      <c r="G3833">
        <v>985</v>
      </c>
      <c r="H3833">
        <v>31467337</v>
      </c>
      <c r="I3833">
        <v>66208</v>
      </c>
      <c r="J3833" t="s">
        <v>21</v>
      </c>
      <c r="K3833" t="s">
        <v>30</v>
      </c>
      <c r="L3833">
        <v>4</v>
      </c>
      <c r="M3833">
        <v>37.22</v>
      </c>
      <c r="N3833">
        <v>707442</v>
      </c>
      <c r="O3833">
        <v>1</v>
      </c>
    </row>
    <row r="3834" spans="1:15">
      <c r="A3834" t="s">
        <v>3860</v>
      </c>
      <c r="B3834" t="s">
        <v>16</v>
      </c>
      <c r="C3834">
        <v>4</v>
      </c>
      <c r="D3834">
        <v>5149206</v>
      </c>
      <c r="E3834">
        <v>3</v>
      </c>
      <c r="F3834">
        <v>12</v>
      </c>
      <c r="G3834">
        <v>621</v>
      </c>
      <c r="H3834">
        <v>18200408</v>
      </c>
      <c r="I3834">
        <v>511561</v>
      </c>
      <c r="J3834" t="s">
        <v>21</v>
      </c>
      <c r="K3834" t="s">
        <v>30</v>
      </c>
      <c r="L3834">
        <v>2</v>
      </c>
      <c r="M3834">
        <v>66.91</v>
      </c>
      <c r="N3834">
        <v>184424</v>
      </c>
      <c r="O3834">
        <v>1</v>
      </c>
    </row>
    <row r="3835" spans="1:15">
      <c r="A3835" t="s">
        <v>3861</v>
      </c>
      <c r="B3835" t="s">
        <v>27</v>
      </c>
      <c r="C3835">
        <v>0</v>
      </c>
      <c r="D3835">
        <v>34074328</v>
      </c>
      <c r="E3835">
        <v>2</v>
      </c>
      <c r="F3835">
        <v>16</v>
      </c>
      <c r="G3835">
        <v>521</v>
      </c>
      <c r="H3835">
        <v>84055124</v>
      </c>
      <c r="I3835">
        <v>627069</v>
      </c>
      <c r="J3835" t="s">
        <v>25</v>
      </c>
      <c r="K3835" t="s">
        <v>30</v>
      </c>
      <c r="L3835">
        <v>5</v>
      </c>
      <c r="M3835">
        <v>32.81</v>
      </c>
      <c r="N3835">
        <v>282497</v>
      </c>
      <c r="O3835">
        <v>1</v>
      </c>
    </row>
    <row r="3836" spans="1:15">
      <c r="A3836" t="s">
        <v>3862</v>
      </c>
      <c r="B3836" t="s">
        <v>20</v>
      </c>
      <c r="C3836">
        <v>6</v>
      </c>
      <c r="D3836">
        <v>35020239</v>
      </c>
      <c r="E3836">
        <v>2</v>
      </c>
      <c r="F3836">
        <v>12</v>
      </c>
      <c r="G3836">
        <v>139</v>
      </c>
      <c r="H3836">
        <v>40088698</v>
      </c>
      <c r="I3836">
        <v>37165</v>
      </c>
      <c r="J3836" t="s">
        <v>21</v>
      </c>
      <c r="K3836" t="s">
        <v>30</v>
      </c>
      <c r="L3836">
        <v>7</v>
      </c>
      <c r="M3836">
        <v>67.64</v>
      </c>
      <c r="N3836">
        <v>54363</v>
      </c>
      <c r="O3836">
        <v>1</v>
      </c>
    </row>
    <row r="3837" spans="1:15">
      <c r="A3837" t="s">
        <v>3863</v>
      </c>
      <c r="B3837" t="s">
        <v>38</v>
      </c>
      <c r="C3837">
        <v>4</v>
      </c>
      <c r="D3837">
        <v>2280862</v>
      </c>
      <c r="E3837">
        <v>1</v>
      </c>
      <c r="F3837">
        <v>14</v>
      </c>
      <c r="G3837">
        <v>266</v>
      </c>
      <c r="H3837">
        <v>27094199</v>
      </c>
      <c r="I3837">
        <v>620606</v>
      </c>
      <c r="J3837" t="s">
        <v>21</v>
      </c>
      <c r="K3837" t="s">
        <v>18</v>
      </c>
      <c r="L3837">
        <v>8</v>
      </c>
      <c r="M3837">
        <v>81.66</v>
      </c>
      <c r="N3837">
        <v>273606</v>
      </c>
      <c r="O3837">
        <v>1</v>
      </c>
    </row>
    <row r="3838" spans="1:15">
      <c r="A3838" t="s">
        <v>3864</v>
      </c>
      <c r="B3838" t="s">
        <v>16</v>
      </c>
      <c r="C3838">
        <v>6</v>
      </c>
      <c r="D3838">
        <v>13137126</v>
      </c>
      <c r="E3838">
        <v>4</v>
      </c>
      <c r="F3838">
        <v>0</v>
      </c>
      <c r="G3838">
        <v>931</v>
      </c>
      <c r="H3838">
        <v>88073051</v>
      </c>
      <c r="I3838">
        <v>113301</v>
      </c>
      <c r="J3838" t="s">
        <v>21</v>
      </c>
      <c r="K3838" t="s">
        <v>18</v>
      </c>
      <c r="L3838">
        <v>1</v>
      </c>
      <c r="M3838">
        <v>1.52</v>
      </c>
      <c r="N3838">
        <v>820966</v>
      </c>
      <c r="O3838">
        <v>1</v>
      </c>
    </row>
    <row r="3839" spans="1:15">
      <c r="A3839" t="s">
        <v>3865</v>
      </c>
      <c r="B3839" t="s">
        <v>24</v>
      </c>
      <c r="C3839">
        <v>2</v>
      </c>
      <c r="D3839">
        <v>14037407</v>
      </c>
      <c r="E3839">
        <v>4</v>
      </c>
      <c r="F3839">
        <v>14</v>
      </c>
      <c r="G3839">
        <v>394</v>
      </c>
      <c r="H3839">
        <v>45320126</v>
      </c>
      <c r="I3839">
        <v>49168</v>
      </c>
      <c r="J3839" t="s">
        <v>17</v>
      </c>
      <c r="K3839" t="s">
        <v>22</v>
      </c>
      <c r="L3839">
        <v>4</v>
      </c>
      <c r="M3839">
        <v>46.85</v>
      </c>
      <c r="N3839">
        <v>410079</v>
      </c>
      <c r="O3839">
        <v>1</v>
      </c>
    </row>
    <row r="3840" spans="1:15">
      <c r="A3840" t="s">
        <v>3866</v>
      </c>
      <c r="B3840" t="s">
        <v>29</v>
      </c>
      <c r="C3840">
        <v>1</v>
      </c>
      <c r="D3840">
        <v>2524420</v>
      </c>
      <c r="E3840">
        <v>3</v>
      </c>
      <c r="F3840">
        <v>22</v>
      </c>
      <c r="G3840">
        <v>366</v>
      </c>
      <c r="H3840">
        <v>48670861</v>
      </c>
      <c r="I3840">
        <v>112336</v>
      </c>
      <c r="J3840" t="s">
        <v>21</v>
      </c>
      <c r="K3840" t="s">
        <v>22</v>
      </c>
      <c r="L3840">
        <v>5</v>
      </c>
      <c r="M3840">
        <v>89.44</v>
      </c>
      <c r="N3840">
        <v>80091</v>
      </c>
      <c r="O3840">
        <v>1</v>
      </c>
    </row>
    <row r="3841" spans="1:15">
      <c r="A3841" t="s">
        <v>3867</v>
      </c>
      <c r="B3841" t="s">
        <v>29</v>
      </c>
      <c r="C3841">
        <v>8</v>
      </c>
      <c r="D3841">
        <v>15827326</v>
      </c>
      <c r="E3841">
        <v>3</v>
      </c>
      <c r="F3841">
        <v>27</v>
      </c>
      <c r="G3841">
        <v>206</v>
      </c>
      <c r="H3841">
        <v>21712307</v>
      </c>
      <c r="I3841">
        <v>502841</v>
      </c>
      <c r="J3841" t="s">
        <v>21</v>
      </c>
      <c r="K3841" t="s">
        <v>22</v>
      </c>
      <c r="L3841">
        <v>2</v>
      </c>
      <c r="M3841">
        <v>12.67</v>
      </c>
      <c r="N3841">
        <v>12828</v>
      </c>
      <c r="O3841">
        <v>1</v>
      </c>
    </row>
    <row r="3842" spans="1:15">
      <c r="A3842" t="s">
        <v>3868</v>
      </c>
      <c r="B3842" t="s">
        <v>16</v>
      </c>
      <c r="C3842">
        <v>5</v>
      </c>
      <c r="D3842">
        <v>40245811</v>
      </c>
      <c r="E3842">
        <v>1</v>
      </c>
      <c r="F3842">
        <v>10</v>
      </c>
      <c r="G3842">
        <v>395</v>
      </c>
      <c r="H3842">
        <v>81164669</v>
      </c>
      <c r="I3842">
        <v>24056</v>
      </c>
      <c r="J3842" t="s">
        <v>25</v>
      </c>
      <c r="K3842" t="s">
        <v>22</v>
      </c>
      <c r="L3842">
        <v>6</v>
      </c>
      <c r="M3842">
        <v>17.440000000000001</v>
      </c>
      <c r="N3842">
        <v>877039</v>
      </c>
      <c r="O3842">
        <v>1</v>
      </c>
    </row>
    <row r="3843" spans="1:15">
      <c r="A3843" t="s">
        <v>3869</v>
      </c>
      <c r="B3843" t="s">
        <v>20</v>
      </c>
      <c r="C3843">
        <v>5</v>
      </c>
      <c r="D3843">
        <v>12155392</v>
      </c>
      <c r="E3843">
        <v>4</v>
      </c>
      <c r="F3843">
        <v>22</v>
      </c>
      <c r="G3843">
        <v>805</v>
      </c>
      <c r="H3843">
        <v>66957764</v>
      </c>
      <c r="I3843">
        <v>691249</v>
      </c>
      <c r="J3843" t="s">
        <v>21</v>
      </c>
      <c r="K3843" t="s">
        <v>18</v>
      </c>
      <c r="L3843">
        <v>8</v>
      </c>
      <c r="M3843">
        <v>44.5</v>
      </c>
      <c r="N3843">
        <v>726661</v>
      </c>
      <c r="O3843">
        <v>1</v>
      </c>
    </row>
    <row r="3844" spans="1:15">
      <c r="A3844" t="s">
        <v>3870</v>
      </c>
      <c r="B3844" t="s">
        <v>24</v>
      </c>
      <c r="C3844">
        <v>5</v>
      </c>
      <c r="D3844">
        <v>12268205</v>
      </c>
      <c r="E3844">
        <v>2</v>
      </c>
      <c r="F3844">
        <v>26</v>
      </c>
      <c r="G3844">
        <v>742</v>
      </c>
      <c r="H3844">
        <v>94940523</v>
      </c>
      <c r="I3844">
        <v>67995</v>
      </c>
      <c r="J3844" t="s">
        <v>25</v>
      </c>
      <c r="K3844" t="s">
        <v>22</v>
      </c>
      <c r="L3844">
        <v>3</v>
      </c>
      <c r="M3844">
        <v>28.85</v>
      </c>
      <c r="N3844">
        <v>451009</v>
      </c>
      <c r="O3844">
        <v>1</v>
      </c>
    </row>
    <row r="3845" spans="1:15">
      <c r="A3845" t="s">
        <v>3871</v>
      </c>
      <c r="B3845" t="s">
        <v>29</v>
      </c>
      <c r="C3845">
        <v>2</v>
      </c>
      <c r="D3845">
        <v>35134142</v>
      </c>
      <c r="E3845">
        <v>3</v>
      </c>
      <c r="F3845">
        <v>7</v>
      </c>
      <c r="G3845">
        <v>466</v>
      </c>
      <c r="H3845">
        <v>31162505</v>
      </c>
      <c r="I3845">
        <v>323911</v>
      </c>
      <c r="J3845" t="s">
        <v>21</v>
      </c>
      <c r="K3845" t="s">
        <v>30</v>
      </c>
      <c r="L3845">
        <v>1</v>
      </c>
      <c r="M3845">
        <v>17.670000000000002</v>
      </c>
      <c r="N3845">
        <v>590047</v>
      </c>
      <c r="O3845">
        <v>1</v>
      </c>
    </row>
    <row r="3846" spans="1:15">
      <c r="A3846" t="s">
        <v>3872</v>
      </c>
      <c r="B3846" t="s">
        <v>20</v>
      </c>
      <c r="C3846">
        <v>14</v>
      </c>
      <c r="D3846">
        <v>30416225</v>
      </c>
      <c r="E3846">
        <v>3</v>
      </c>
      <c r="F3846">
        <v>5</v>
      </c>
      <c r="G3846">
        <v>428</v>
      </c>
      <c r="H3846">
        <v>86360303</v>
      </c>
      <c r="I3846">
        <v>699918</v>
      </c>
      <c r="J3846" t="s">
        <v>17</v>
      </c>
      <c r="K3846" t="s">
        <v>30</v>
      </c>
      <c r="L3846">
        <v>6</v>
      </c>
      <c r="M3846">
        <v>97.24</v>
      </c>
      <c r="N3846">
        <v>715751</v>
      </c>
      <c r="O3846">
        <v>1</v>
      </c>
    </row>
    <row r="3847" spans="1:15">
      <c r="A3847" t="s">
        <v>3873</v>
      </c>
      <c r="B3847" t="s">
        <v>38</v>
      </c>
      <c r="C3847">
        <v>7</v>
      </c>
      <c r="D3847">
        <v>1283827</v>
      </c>
      <c r="E3847">
        <v>4</v>
      </c>
      <c r="F3847">
        <v>9</v>
      </c>
      <c r="G3847">
        <v>368</v>
      </c>
      <c r="H3847">
        <v>74582464</v>
      </c>
      <c r="I3847">
        <v>775265</v>
      </c>
      <c r="J3847" t="s">
        <v>21</v>
      </c>
      <c r="K3847" t="s">
        <v>30</v>
      </c>
      <c r="L3847">
        <v>8</v>
      </c>
      <c r="M3847">
        <v>86.97</v>
      </c>
      <c r="N3847">
        <v>224670</v>
      </c>
      <c r="O3847">
        <v>1</v>
      </c>
    </row>
    <row r="3848" spans="1:15">
      <c r="A3848" t="s">
        <v>3874</v>
      </c>
      <c r="B3848" t="s">
        <v>16</v>
      </c>
      <c r="C3848">
        <v>5</v>
      </c>
      <c r="D3848">
        <v>7896169</v>
      </c>
      <c r="E3848">
        <v>3</v>
      </c>
      <c r="F3848">
        <v>17</v>
      </c>
      <c r="G3848">
        <v>382</v>
      </c>
      <c r="H3848">
        <v>59378893</v>
      </c>
      <c r="I3848">
        <v>40625</v>
      </c>
      <c r="J3848" t="s">
        <v>21</v>
      </c>
      <c r="K3848" t="s">
        <v>18</v>
      </c>
      <c r="L3848">
        <v>4</v>
      </c>
      <c r="M3848">
        <v>76.739999999999995</v>
      </c>
      <c r="N3848">
        <v>301552</v>
      </c>
      <c r="O3848">
        <v>1</v>
      </c>
    </row>
    <row r="3849" spans="1:15">
      <c r="A3849" t="s">
        <v>3875</v>
      </c>
      <c r="B3849" t="s">
        <v>29</v>
      </c>
      <c r="C3849">
        <v>6</v>
      </c>
      <c r="D3849">
        <v>22623461</v>
      </c>
      <c r="E3849">
        <v>1</v>
      </c>
      <c r="F3849">
        <v>19</v>
      </c>
      <c r="G3849">
        <v>379</v>
      </c>
      <c r="H3849">
        <v>37577759</v>
      </c>
      <c r="I3849">
        <v>715002</v>
      </c>
      <c r="J3849" t="s">
        <v>17</v>
      </c>
      <c r="K3849" t="s">
        <v>18</v>
      </c>
      <c r="L3849">
        <v>8</v>
      </c>
      <c r="M3849">
        <v>32.75</v>
      </c>
      <c r="N3849">
        <v>673246</v>
      </c>
      <c r="O3849">
        <v>1</v>
      </c>
    </row>
    <row r="3850" spans="1:15">
      <c r="A3850" t="s">
        <v>3876</v>
      </c>
      <c r="B3850" t="s">
        <v>29</v>
      </c>
      <c r="C3850">
        <v>8</v>
      </c>
      <c r="D3850">
        <v>34971227</v>
      </c>
      <c r="E3850">
        <v>2</v>
      </c>
      <c r="F3850">
        <v>24</v>
      </c>
      <c r="G3850">
        <v>645</v>
      </c>
      <c r="H3850">
        <v>15099551</v>
      </c>
      <c r="I3850">
        <v>613828</v>
      </c>
      <c r="J3850" t="s">
        <v>21</v>
      </c>
      <c r="K3850" t="s">
        <v>30</v>
      </c>
      <c r="L3850">
        <v>8</v>
      </c>
      <c r="M3850">
        <v>24.39</v>
      </c>
      <c r="N3850">
        <v>946401</v>
      </c>
      <c r="O3850">
        <v>1</v>
      </c>
    </row>
    <row r="3851" spans="1:15">
      <c r="A3851" t="s">
        <v>3877</v>
      </c>
      <c r="B3851" t="s">
        <v>38</v>
      </c>
      <c r="C3851">
        <v>2</v>
      </c>
      <c r="D3851">
        <v>1229726</v>
      </c>
      <c r="E3851">
        <v>3</v>
      </c>
      <c r="F3851">
        <v>26</v>
      </c>
      <c r="G3851">
        <v>116</v>
      </c>
      <c r="H3851">
        <v>55853009</v>
      </c>
      <c r="I3851">
        <v>472416</v>
      </c>
      <c r="J3851" t="s">
        <v>21</v>
      </c>
      <c r="K3851" t="s">
        <v>30</v>
      </c>
      <c r="L3851">
        <v>7</v>
      </c>
      <c r="M3851">
        <v>0.88</v>
      </c>
      <c r="N3851">
        <v>584126</v>
      </c>
      <c r="O3851">
        <v>1</v>
      </c>
    </row>
    <row r="3852" spans="1:15">
      <c r="A3852" t="s">
        <v>3878</v>
      </c>
      <c r="B3852" t="s">
        <v>32</v>
      </c>
      <c r="C3852">
        <v>5</v>
      </c>
      <c r="D3852">
        <v>26276586</v>
      </c>
      <c r="E3852">
        <v>4</v>
      </c>
      <c r="F3852">
        <v>10</v>
      </c>
      <c r="G3852">
        <v>754</v>
      </c>
      <c r="H3852">
        <v>3751780</v>
      </c>
      <c r="I3852">
        <v>560168</v>
      </c>
      <c r="J3852" t="s">
        <v>17</v>
      </c>
      <c r="K3852" t="s">
        <v>30</v>
      </c>
      <c r="L3852">
        <v>7</v>
      </c>
      <c r="M3852">
        <v>71.28</v>
      </c>
      <c r="N3852">
        <v>492072</v>
      </c>
      <c r="O3852">
        <v>1</v>
      </c>
    </row>
    <row r="3853" spans="1:15">
      <c r="A3853" t="s">
        <v>3879</v>
      </c>
      <c r="B3853" t="s">
        <v>20</v>
      </c>
      <c r="C3853">
        <v>0</v>
      </c>
      <c r="D3853">
        <v>20655290</v>
      </c>
      <c r="E3853">
        <v>1</v>
      </c>
      <c r="F3853">
        <v>0</v>
      </c>
      <c r="G3853">
        <v>354</v>
      </c>
      <c r="H3853">
        <v>46330526</v>
      </c>
      <c r="I3853">
        <v>237213</v>
      </c>
      <c r="J3853" t="s">
        <v>17</v>
      </c>
      <c r="K3853" t="s">
        <v>22</v>
      </c>
      <c r="L3853">
        <v>5</v>
      </c>
      <c r="M3853">
        <v>36.53</v>
      </c>
      <c r="N3853">
        <v>619075</v>
      </c>
      <c r="O3853">
        <v>1</v>
      </c>
    </row>
    <row r="3854" spans="1:15">
      <c r="A3854" t="s">
        <v>3880</v>
      </c>
      <c r="B3854" t="s">
        <v>38</v>
      </c>
      <c r="C3854">
        <v>0</v>
      </c>
      <c r="D3854">
        <v>36712993</v>
      </c>
      <c r="E3854">
        <v>3</v>
      </c>
      <c r="F3854">
        <v>18</v>
      </c>
      <c r="G3854">
        <v>98</v>
      </c>
      <c r="H3854">
        <v>76192224</v>
      </c>
      <c r="I3854">
        <v>233677</v>
      </c>
      <c r="J3854" t="s">
        <v>25</v>
      </c>
      <c r="K3854" t="s">
        <v>30</v>
      </c>
      <c r="L3854">
        <v>4</v>
      </c>
      <c r="M3854">
        <v>16.59</v>
      </c>
      <c r="N3854">
        <v>71115</v>
      </c>
      <c r="O3854">
        <v>1</v>
      </c>
    </row>
    <row r="3855" spans="1:15">
      <c r="A3855" t="s">
        <v>3881</v>
      </c>
      <c r="B3855" t="s">
        <v>38</v>
      </c>
      <c r="C3855">
        <v>10</v>
      </c>
      <c r="D3855">
        <v>39108222</v>
      </c>
      <c r="E3855">
        <v>2</v>
      </c>
      <c r="F3855">
        <v>27</v>
      </c>
      <c r="G3855">
        <v>113</v>
      </c>
      <c r="H3855">
        <v>71811951</v>
      </c>
      <c r="I3855">
        <v>184239</v>
      </c>
      <c r="J3855" t="s">
        <v>21</v>
      </c>
      <c r="K3855" t="s">
        <v>22</v>
      </c>
      <c r="L3855">
        <v>2</v>
      </c>
      <c r="M3855">
        <v>95.25</v>
      </c>
      <c r="N3855">
        <v>861518</v>
      </c>
      <c r="O3855">
        <v>1</v>
      </c>
    </row>
    <row r="3856" spans="1:15">
      <c r="A3856" t="s">
        <v>3882</v>
      </c>
      <c r="B3856" t="s">
        <v>29</v>
      </c>
      <c r="C3856">
        <v>7</v>
      </c>
      <c r="D3856">
        <v>6515702</v>
      </c>
      <c r="E3856">
        <v>4</v>
      </c>
      <c r="F3856">
        <v>2</v>
      </c>
      <c r="G3856">
        <v>912</v>
      </c>
      <c r="H3856">
        <v>53959246</v>
      </c>
      <c r="I3856">
        <v>111038</v>
      </c>
      <c r="J3856" t="s">
        <v>17</v>
      </c>
      <c r="K3856" t="s">
        <v>18</v>
      </c>
      <c r="L3856">
        <v>2</v>
      </c>
      <c r="M3856">
        <v>93.54</v>
      </c>
      <c r="N3856">
        <v>848265</v>
      </c>
      <c r="O3856">
        <v>1</v>
      </c>
    </row>
    <row r="3857" spans="1:15">
      <c r="A3857" t="s">
        <v>3883</v>
      </c>
      <c r="B3857" t="s">
        <v>24</v>
      </c>
      <c r="C3857">
        <v>1</v>
      </c>
      <c r="D3857">
        <v>43359770</v>
      </c>
      <c r="E3857">
        <v>3</v>
      </c>
      <c r="F3857">
        <v>3</v>
      </c>
      <c r="G3857">
        <v>134</v>
      </c>
      <c r="H3857">
        <v>88097658</v>
      </c>
      <c r="I3857">
        <v>804200</v>
      </c>
      <c r="J3857" t="s">
        <v>25</v>
      </c>
      <c r="K3857" t="s">
        <v>22</v>
      </c>
      <c r="L3857">
        <v>7</v>
      </c>
      <c r="M3857">
        <v>79.27</v>
      </c>
      <c r="N3857">
        <v>527499</v>
      </c>
      <c r="O3857">
        <v>1</v>
      </c>
    </row>
    <row r="3858" spans="1:15">
      <c r="A3858" t="s">
        <v>3884</v>
      </c>
      <c r="B3858" t="s">
        <v>29</v>
      </c>
      <c r="C3858">
        <v>11</v>
      </c>
      <c r="D3858">
        <v>44322421</v>
      </c>
      <c r="E3858">
        <v>3</v>
      </c>
      <c r="F3858">
        <v>18</v>
      </c>
      <c r="G3858">
        <v>744</v>
      </c>
      <c r="H3858">
        <v>34855435</v>
      </c>
      <c r="I3858">
        <v>785416</v>
      </c>
      <c r="J3858" t="s">
        <v>25</v>
      </c>
      <c r="K3858" t="s">
        <v>18</v>
      </c>
      <c r="L3858">
        <v>6</v>
      </c>
      <c r="M3858">
        <v>42.31</v>
      </c>
      <c r="N3858">
        <v>590284</v>
      </c>
      <c r="O3858">
        <v>1</v>
      </c>
    </row>
    <row r="3859" spans="1:15">
      <c r="A3859" t="s">
        <v>3885</v>
      </c>
      <c r="B3859" t="s">
        <v>24</v>
      </c>
      <c r="C3859">
        <v>1</v>
      </c>
      <c r="D3859">
        <v>46429444</v>
      </c>
      <c r="E3859">
        <v>1</v>
      </c>
      <c r="F3859">
        <v>18</v>
      </c>
      <c r="G3859">
        <v>238</v>
      </c>
      <c r="H3859">
        <v>18379270</v>
      </c>
      <c r="I3859">
        <v>580961</v>
      </c>
      <c r="J3859" t="s">
        <v>21</v>
      </c>
      <c r="K3859" t="s">
        <v>22</v>
      </c>
      <c r="L3859">
        <v>6</v>
      </c>
      <c r="M3859">
        <v>78.459999999999994</v>
      </c>
      <c r="N3859">
        <v>365187</v>
      </c>
      <c r="O3859">
        <v>1</v>
      </c>
    </row>
    <row r="3860" spans="1:15">
      <c r="A3860" t="s">
        <v>3886</v>
      </c>
      <c r="B3860" t="s">
        <v>24</v>
      </c>
      <c r="C3860">
        <v>2</v>
      </c>
      <c r="D3860">
        <v>23673996</v>
      </c>
      <c r="E3860">
        <v>4</v>
      </c>
      <c r="F3860">
        <v>20</v>
      </c>
      <c r="G3860">
        <v>375</v>
      </c>
      <c r="H3860">
        <v>72631912</v>
      </c>
      <c r="I3860">
        <v>940828</v>
      </c>
      <c r="J3860" t="s">
        <v>21</v>
      </c>
      <c r="K3860" t="s">
        <v>18</v>
      </c>
      <c r="L3860">
        <v>3</v>
      </c>
      <c r="M3860">
        <v>29.55</v>
      </c>
      <c r="N3860">
        <v>112778</v>
      </c>
      <c r="O3860">
        <v>1</v>
      </c>
    </row>
    <row r="3861" spans="1:15">
      <c r="A3861" t="s">
        <v>3887</v>
      </c>
      <c r="B3861" t="s">
        <v>20</v>
      </c>
      <c r="C3861">
        <v>13</v>
      </c>
      <c r="D3861">
        <v>30041055</v>
      </c>
      <c r="E3861">
        <v>1</v>
      </c>
      <c r="F3861">
        <v>18</v>
      </c>
      <c r="G3861">
        <v>309</v>
      </c>
      <c r="H3861">
        <v>46324988</v>
      </c>
      <c r="I3861">
        <v>519354</v>
      </c>
      <c r="J3861" t="s">
        <v>21</v>
      </c>
      <c r="K3861" t="s">
        <v>18</v>
      </c>
      <c r="L3861">
        <v>9</v>
      </c>
      <c r="M3861">
        <v>56.95</v>
      </c>
      <c r="N3861">
        <v>491765</v>
      </c>
      <c r="O3861">
        <v>1</v>
      </c>
    </row>
    <row r="3862" spans="1:15">
      <c r="A3862" t="s">
        <v>3888</v>
      </c>
      <c r="B3862" t="s">
        <v>27</v>
      </c>
      <c r="C3862">
        <v>6</v>
      </c>
      <c r="D3862">
        <v>45662334</v>
      </c>
      <c r="E3862">
        <v>2</v>
      </c>
      <c r="F3862">
        <v>29</v>
      </c>
      <c r="G3862">
        <v>719</v>
      </c>
      <c r="H3862">
        <v>12505379</v>
      </c>
      <c r="I3862">
        <v>533220</v>
      </c>
      <c r="J3862" t="s">
        <v>25</v>
      </c>
      <c r="K3862" t="s">
        <v>30</v>
      </c>
      <c r="L3862">
        <v>7</v>
      </c>
      <c r="M3862">
        <v>90.98</v>
      </c>
      <c r="N3862">
        <v>267002</v>
      </c>
      <c r="O3862">
        <v>1</v>
      </c>
    </row>
    <row r="3863" spans="1:15">
      <c r="A3863" t="s">
        <v>3889</v>
      </c>
      <c r="B3863" t="s">
        <v>38</v>
      </c>
      <c r="C3863">
        <v>7</v>
      </c>
      <c r="D3863">
        <v>3322521</v>
      </c>
      <c r="E3863">
        <v>2</v>
      </c>
      <c r="F3863">
        <v>19</v>
      </c>
      <c r="G3863">
        <v>152</v>
      </c>
      <c r="H3863">
        <v>16387102</v>
      </c>
      <c r="I3863">
        <v>119058</v>
      </c>
      <c r="J3863" t="s">
        <v>25</v>
      </c>
      <c r="K3863" t="s">
        <v>30</v>
      </c>
      <c r="L3863">
        <v>9</v>
      </c>
      <c r="M3863">
        <v>11.46</v>
      </c>
      <c r="N3863">
        <v>814796</v>
      </c>
      <c r="O3863">
        <v>1</v>
      </c>
    </row>
    <row r="3864" spans="1:15">
      <c r="A3864" t="s">
        <v>3890</v>
      </c>
      <c r="B3864" t="s">
        <v>16</v>
      </c>
      <c r="C3864">
        <v>13</v>
      </c>
      <c r="D3864">
        <v>1108748</v>
      </c>
      <c r="E3864">
        <v>4</v>
      </c>
      <c r="F3864">
        <v>26</v>
      </c>
      <c r="G3864">
        <v>112</v>
      </c>
      <c r="H3864">
        <v>69861257</v>
      </c>
      <c r="I3864">
        <v>915317</v>
      </c>
      <c r="J3864" t="s">
        <v>17</v>
      </c>
      <c r="K3864" t="s">
        <v>30</v>
      </c>
      <c r="L3864">
        <v>7</v>
      </c>
      <c r="M3864">
        <v>62.8</v>
      </c>
      <c r="N3864">
        <v>158269</v>
      </c>
      <c r="O3864">
        <v>1</v>
      </c>
    </row>
    <row r="3865" spans="1:15">
      <c r="A3865" t="s">
        <v>3891</v>
      </c>
      <c r="B3865" t="s">
        <v>27</v>
      </c>
      <c r="C3865">
        <v>8</v>
      </c>
      <c r="D3865">
        <v>43245540</v>
      </c>
      <c r="E3865">
        <v>2</v>
      </c>
      <c r="F3865">
        <v>7</v>
      </c>
      <c r="G3865">
        <v>738</v>
      </c>
      <c r="H3865">
        <v>32281395</v>
      </c>
      <c r="I3865">
        <v>507307</v>
      </c>
      <c r="J3865" t="s">
        <v>25</v>
      </c>
      <c r="K3865" t="s">
        <v>22</v>
      </c>
      <c r="L3865">
        <v>8</v>
      </c>
      <c r="M3865">
        <v>77.260000000000005</v>
      </c>
      <c r="N3865">
        <v>901431</v>
      </c>
      <c r="O3865">
        <v>1</v>
      </c>
    </row>
    <row r="3866" spans="1:15">
      <c r="A3866" t="s">
        <v>3892</v>
      </c>
      <c r="B3866" t="s">
        <v>38</v>
      </c>
      <c r="C3866">
        <v>2</v>
      </c>
      <c r="D3866">
        <v>39783544</v>
      </c>
      <c r="E3866">
        <v>3</v>
      </c>
      <c r="F3866">
        <v>16</v>
      </c>
      <c r="G3866">
        <v>379</v>
      </c>
      <c r="H3866">
        <v>50011339</v>
      </c>
      <c r="I3866">
        <v>304689</v>
      </c>
      <c r="J3866" t="s">
        <v>21</v>
      </c>
      <c r="K3866" t="s">
        <v>30</v>
      </c>
      <c r="L3866">
        <v>2</v>
      </c>
      <c r="M3866">
        <v>0.7</v>
      </c>
      <c r="N3866">
        <v>587985</v>
      </c>
      <c r="O3866">
        <v>1</v>
      </c>
    </row>
    <row r="3867" spans="1:15">
      <c r="A3867" t="s">
        <v>3893</v>
      </c>
      <c r="B3867" t="s">
        <v>20</v>
      </c>
      <c r="C3867">
        <v>14</v>
      </c>
      <c r="D3867">
        <v>37876890</v>
      </c>
      <c r="E3867">
        <v>2</v>
      </c>
      <c r="F3867">
        <v>22</v>
      </c>
      <c r="G3867">
        <v>992</v>
      </c>
      <c r="H3867">
        <v>98145813</v>
      </c>
      <c r="I3867">
        <v>850169</v>
      </c>
      <c r="J3867" t="s">
        <v>25</v>
      </c>
      <c r="K3867" t="s">
        <v>18</v>
      </c>
      <c r="L3867">
        <v>8</v>
      </c>
      <c r="M3867">
        <v>48.56</v>
      </c>
      <c r="N3867">
        <v>212131</v>
      </c>
      <c r="O3867">
        <v>1</v>
      </c>
    </row>
    <row r="3868" spans="1:15">
      <c r="A3868" t="s">
        <v>3894</v>
      </c>
      <c r="B3868" t="s">
        <v>20</v>
      </c>
      <c r="C3868">
        <v>14</v>
      </c>
      <c r="D3868">
        <v>34096098</v>
      </c>
      <c r="E3868">
        <v>4</v>
      </c>
      <c r="F3868">
        <v>16</v>
      </c>
      <c r="G3868">
        <v>753</v>
      </c>
      <c r="H3868">
        <v>63723470</v>
      </c>
      <c r="I3868">
        <v>242791</v>
      </c>
      <c r="J3868" t="s">
        <v>17</v>
      </c>
      <c r="K3868" t="s">
        <v>22</v>
      </c>
      <c r="L3868">
        <v>6</v>
      </c>
      <c r="M3868">
        <v>50.22</v>
      </c>
      <c r="N3868">
        <v>353921</v>
      </c>
      <c r="O3868">
        <v>1</v>
      </c>
    </row>
    <row r="3869" spans="1:15">
      <c r="A3869" t="s">
        <v>3895</v>
      </c>
      <c r="B3869" t="s">
        <v>27</v>
      </c>
      <c r="C3869">
        <v>5</v>
      </c>
      <c r="D3869">
        <v>3307122</v>
      </c>
      <c r="E3869">
        <v>3</v>
      </c>
      <c r="F3869">
        <v>3</v>
      </c>
      <c r="G3869">
        <v>616</v>
      </c>
      <c r="H3869">
        <v>75782402</v>
      </c>
      <c r="I3869">
        <v>613073</v>
      </c>
      <c r="J3869" t="s">
        <v>25</v>
      </c>
      <c r="K3869" t="s">
        <v>18</v>
      </c>
      <c r="L3869">
        <v>7</v>
      </c>
      <c r="M3869">
        <v>42.07</v>
      </c>
      <c r="N3869">
        <v>604599</v>
      </c>
      <c r="O3869">
        <v>1</v>
      </c>
    </row>
    <row r="3870" spans="1:15">
      <c r="A3870" t="s">
        <v>3896</v>
      </c>
      <c r="B3870" t="s">
        <v>27</v>
      </c>
      <c r="C3870">
        <v>1</v>
      </c>
      <c r="D3870">
        <v>534682</v>
      </c>
      <c r="E3870">
        <v>3</v>
      </c>
      <c r="F3870">
        <v>23</v>
      </c>
      <c r="G3870">
        <v>802</v>
      </c>
      <c r="H3870">
        <v>90178431</v>
      </c>
      <c r="I3870">
        <v>261714</v>
      </c>
      <c r="J3870" t="s">
        <v>17</v>
      </c>
      <c r="K3870" t="s">
        <v>30</v>
      </c>
      <c r="L3870">
        <v>5</v>
      </c>
      <c r="M3870">
        <v>0.21</v>
      </c>
      <c r="N3870">
        <v>968364</v>
      </c>
      <c r="O3870">
        <v>1</v>
      </c>
    </row>
    <row r="3871" spans="1:15">
      <c r="A3871" t="s">
        <v>3897</v>
      </c>
      <c r="B3871" t="s">
        <v>32</v>
      </c>
      <c r="C3871">
        <v>14</v>
      </c>
      <c r="D3871">
        <v>6465803</v>
      </c>
      <c r="E3871">
        <v>3</v>
      </c>
      <c r="F3871">
        <v>17</v>
      </c>
      <c r="G3871">
        <v>635</v>
      </c>
      <c r="H3871">
        <v>40818419</v>
      </c>
      <c r="I3871">
        <v>127966</v>
      </c>
      <c r="J3871" t="s">
        <v>17</v>
      </c>
      <c r="K3871" t="s">
        <v>30</v>
      </c>
      <c r="L3871">
        <v>6</v>
      </c>
      <c r="M3871">
        <v>92.48</v>
      </c>
      <c r="N3871">
        <v>490752</v>
      </c>
      <c r="O3871">
        <v>1</v>
      </c>
    </row>
    <row r="3872" spans="1:15">
      <c r="A3872" t="s">
        <v>3898</v>
      </c>
      <c r="B3872" t="s">
        <v>16</v>
      </c>
      <c r="C3872">
        <v>4</v>
      </c>
      <c r="D3872">
        <v>10618840</v>
      </c>
      <c r="E3872">
        <v>4</v>
      </c>
      <c r="F3872">
        <v>7</v>
      </c>
      <c r="G3872">
        <v>168</v>
      </c>
      <c r="H3872">
        <v>42039129</v>
      </c>
      <c r="I3872">
        <v>751365</v>
      </c>
      <c r="J3872" t="s">
        <v>21</v>
      </c>
      <c r="K3872" t="s">
        <v>18</v>
      </c>
      <c r="L3872">
        <v>9</v>
      </c>
      <c r="M3872">
        <v>75.47</v>
      </c>
      <c r="N3872">
        <v>900482</v>
      </c>
      <c r="O3872">
        <v>1</v>
      </c>
    </row>
    <row r="3873" spans="1:15">
      <c r="A3873" t="s">
        <v>3899</v>
      </c>
      <c r="B3873" t="s">
        <v>38</v>
      </c>
      <c r="C3873">
        <v>8</v>
      </c>
      <c r="D3873">
        <v>9545476</v>
      </c>
      <c r="E3873">
        <v>3</v>
      </c>
      <c r="F3873">
        <v>25</v>
      </c>
      <c r="G3873">
        <v>582</v>
      </c>
      <c r="H3873">
        <v>82147097</v>
      </c>
      <c r="I3873">
        <v>672266</v>
      </c>
      <c r="J3873" t="s">
        <v>25</v>
      </c>
      <c r="K3873" t="s">
        <v>18</v>
      </c>
      <c r="L3873">
        <v>9</v>
      </c>
      <c r="M3873">
        <v>71.78</v>
      </c>
      <c r="N3873">
        <v>327327</v>
      </c>
      <c r="O3873">
        <v>1</v>
      </c>
    </row>
    <row r="3874" spans="1:15">
      <c r="A3874" t="s">
        <v>3900</v>
      </c>
      <c r="B3874" t="s">
        <v>29</v>
      </c>
      <c r="C3874">
        <v>13</v>
      </c>
      <c r="D3874">
        <v>30949968</v>
      </c>
      <c r="E3874">
        <v>2</v>
      </c>
      <c r="F3874">
        <v>16</v>
      </c>
      <c r="G3874">
        <v>126</v>
      </c>
      <c r="H3874">
        <v>1239126</v>
      </c>
      <c r="I3874">
        <v>376142</v>
      </c>
      <c r="J3874" t="s">
        <v>25</v>
      </c>
      <c r="K3874" t="s">
        <v>22</v>
      </c>
      <c r="L3874">
        <v>9</v>
      </c>
      <c r="M3874">
        <v>27.17</v>
      </c>
      <c r="N3874">
        <v>539044</v>
      </c>
      <c r="O3874">
        <v>1</v>
      </c>
    </row>
    <row r="3875" spans="1:15">
      <c r="A3875" t="s">
        <v>3901</v>
      </c>
      <c r="B3875" t="s">
        <v>32</v>
      </c>
      <c r="C3875">
        <v>14</v>
      </c>
      <c r="D3875">
        <v>35144310</v>
      </c>
      <c r="E3875">
        <v>4</v>
      </c>
      <c r="F3875">
        <v>7</v>
      </c>
      <c r="G3875">
        <v>300</v>
      </c>
      <c r="H3875">
        <v>73331861</v>
      </c>
      <c r="I3875">
        <v>871767</v>
      </c>
      <c r="J3875" t="s">
        <v>21</v>
      </c>
      <c r="K3875" t="s">
        <v>18</v>
      </c>
      <c r="L3875">
        <v>2</v>
      </c>
      <c r="M3875">
        <v>26.63</v>
      </c>
      <c r="N3875">
        <v>773332</v>
      </c>
      <c r="O3875">
        <v>1</v>
      </c>
    </row>
    <row r="3876" spans="1:15">
      <c r="A3876" t="s">
        <v>3902</v>
      </c>
      <c r="B3876" t="s">
        <v>38</v>
      </c>
      <c r="C3876">
        <v>10</v>
      </c>
      <c r="D3876">
        <v>41696107</v>
      </c>
      <c r="E3876">
        <v>1</v>
      </c>
      <c r="F3876">
        <v>21</v>
      </c>
      <c r="G3876">
        <v>27</v>
      </c>
      <c r="H3876">
        <v>20857782</v>
      </c>
      <c r="I3876">
        <v>761346</v>
      </c>
      <c r="J3876" t="s">
        <v>17</v>
      </c>
      <c r="K3876" t="s">
        <v>30</v>
      </c>
      <c r="L3876">
        <v>1</v>
      </c>
      <c r="M3876">
        <v>90.85</v>
      </c>
      <c r="N3876">
        <v>522785</v>
      </c>
      <c r="O3876">
        <v>1</v>
      </c>
    </row>
    <row r="3877" spans="1:15">
      <c r="A3877" t="s">
        <v>3903</v>
      </c>
      <c r="B3877" t="s">
        <v>38</v>
      </c>
      <c r="C3877">
        <v>2</v>
      </c>
      <c r="D3877">
        <v>30931684</v>
      </c>
      <c r="E3877">
        <v>4</v>
      </c>
      <c r="F3877">
        <v>6</v>
      </c>
      <c r="G3877">
        <v>590</v>
      </c>
      <c r="H3877">
        <v>3721052</v>
      </c>
      <c r="I3877">
        <v>533840</v>
      </c>
      <c r="J3877" t="s">
        <v>21</v>
      </c>
      <c r="K3877" t="s">
        <v>30</v>
      </c>
      <c r="L3877">
        <v>3</v>
      </c>
      <c r="M3877">
        <v>41.23</v>
      </c>
      <c r="N3877">
        <v>253714</v>
      </c>
      <c r="O3877">
        <v>1</v>
      </c>
    </row>
    <row r="3878" spans="1:15">
      <c r="A3878" t="s">
        <v>3904</v>
      </c>
      <c r="B3878" t="s">
        <v>20</v>
      </c>
      <c r="C3878">
        <v>1</v>
      </c>
      <c r="D3878">
        <v>36590458</v>
      </c>
      <c r="E3878">
        <v>2</v>
      </c>
      <c r="F3878">
        <v>9</v>
      </c>
      <c r="G3878">
        <v>784</v>
      </c>
      <c r="H3878">
        <v>23575852</v>
      </c>
      <c r="I3878">
        <v>383054</v>
      </c>
      <c r="J3878" t="s">
        <v>21</v>
      </c>
      <c r="K3878" t="s">
        <v>22</v>
      </c>
      <c r="L3878">
        <v>5</v>
      </c>
      <c r="M3878">
        <v>23.9</v>
      </c>
      <c r="N3878">
        <v>406512</v>
      </c>
      <c r="O3878">
        <v>1</v>
      </c>
    </row>
    <row r="3879" spans="1:15">
      <c r="A3879" t="s">
        <v>3905</v>
      </c>
      <c r="B3879" t="s">
        <v>32</v>
      </c>
      <c r="C3879">
        <v>13</v>
      </c>
      <c r="D3879">
        <v>24279248</v>
      </c>
      <c r="E3879">
        <v>2</v>
      </c>
      <c r="F3879">
        <v>21</v>
      </c>
      <c r="G3879">
        <v>117</v>
      </c>
      <c r="H3879">
        <v>67945201</v>
      </c>
      <c r="I3879">
        <v>660668</v>
      </c>
      <c r="J3879" t="s">
        <v>25</v>
      </c>
      <c r="K3879" t="s">
        <v>18</v>
      </c>
      <c r="L3879">
        <v>3</v>
      </c>
      <c r="M3879">
        <v>8.73</v>
      </c>
      <c r="N3879">
        <v>996224</v>
      </c>
      <c r="O3879">
        <v>1</v>
      </c>
    </row>
    <row r="3880" spans="1:15">
      <c r="A3880" t="s">
        <v>3906</v>
      </c>
      <c r="B3880" t="s">
        <v>38</v>
      </c>
      <c r="C3880">
        <v>3</v>
      </c>
      <c r="D3880">
        <v>28601231</v>
      </c>
      <c r="E3880">
        <v>4</v>
      </c>
      <c r="F3880">
        <v>21</v>
      </c>
      <c r="G3880">
        <v>74</v>
      </c>
      <c r="H3880">
        <v>91239765</v>
      </c>
      <c r="I3880">
        <v>885337</v>
      </c>
      <c r="J3880" t="s">
        <v>21</v>
      </c>
      <c r="K3880" t="s">
        <v>22</v>
      </c>
      <c r="L3880">
        <v>1</v>
      </c>
      <c r="M3880">
        <v>74.36</v>
      </c>
      <c r="N3880">
        <v>532376</v>
      </c>
      <c r="O3880">
        <v>1</v>
      </c>
    </row>
    <row r="3881" spans="1:15">
      <c r="A3881" t="s">
        <v>3907</v>
      </c>
      <c r="B3881" t="s">
        <v>27</v>
      </c>
      <c r="C3881">
        <v>2</v>
      </c>
      <c r="D3881">
        <v>46978124</v>
      </c>
      <c r="E3881">
        <v>3</v>
      </c>
      <c r="F3881">
        <v>2</v>
      </c>
      <c r="G3881">
        <v>269</v>
      </c>
      <c r="H3881">
        <v>66154621</v>
      </c>
      <c r="I3881">
        <v>385308</v>
      </c>
      <c r="J3881" t="s">
        <v>17</v>
      </c>
      <c r="K3881" t="s">
        <v>30</v>
      </c>
      <c r="L3881">
        <v>3</v>
      </c>
      <c r="M3881">
        <v>35.49</v>
      </c>
      <c r="N3881">
        <v>537001</v>
      </c>
      <c r="O3881">
        <v>1</v>
      </c>
    </row>
    <row r="3882" spans="1:15">
      <c r="A3882" t="s">
        <v>3908</v>
      </c>
      <c r="B3882" t="s">
        <v>24</v>
      </c>
      <c r="C3882">
        <v>10</v>
      </c>
      <c r="D3882">
        <v>16827783</v>
      </c>
      <c r="E3882">
        <v>1</v>
      </c>
      <c r="F3882">
        <v>7</v>
      </c>
      <c r="G3882">
        <v>354</v>
      </c>
      <c r="H3882">
        <v>2081821</v>
      </c>
      <c r="I3882">
        <v>808072</v>
      </c>
      <c r="J3882" t="s">
        <v>25</v>
      </c>
      <c r="K3882" t="s">
        <v>22</v>
      </c>
      <c r="L3882">
        <v>9</v>
      </c>
      <c r="M3882">
        <v>63.32</v>
      </c>
      <c r="N3882">
        <v>366971</v>
      </c>
      <c r="O3882">
        <v>1</v>
      </c>
    </row>
    <row r="3883" spans="1:15">
      <c r="A3883" t="s">
        <v>3909</v>
      </c>
      <c r="B3883" t="s">
        <v>29</v>
      </c>
      <c r="C3883">
        <v>3</v>
      </c>
      <c r="D3883">
        <v>23392684</v>
      </c>
      <c r="E3883">
        <v>2</v>
      </c>
      <c r="F3883">
        <v>15</v>
      </c>
      <c r="G3883">
        <v>204</v>
      </c>
      <c r="H3883">
        <v>53869847</v>
      </c>
      <c r="I3883">
        <v>259675</v>
      </c>
      <c r="J3883" t="s">
        <v>17</v>
      </c>
      <c r="K3883" t="s">
        <v>18</v>
      </c>
      <c r="L3883">
        <v>9</v>
      </c>
      <c r="M3883">
        <v>21.44</v>
      </c>
      <c r="N3883">
        <v>376400</v>
      </c>
      <c r="O3883">
        <v>1</v>
      </c>
    </row>
    <row r="3884" spans="1:15">
      <c r="A3884" t="s">
        <v>3910</v>
      </c>
      <c r="B3884" t="s">
        <v>38</v>
      </c>
      <c r="C3884">
        <v>7</v>
      </c>
      <c r="D3884">
        <v>41185372</v>
      </c>
      <c r="E3884">
        <v>3</v>
      </c>
      <c r="F3884">
        <v>6</v>
      </c>
      <c r="G3884">
        <v>894</v>
      </c>
      <c r="H3884">
        <v>71131149</v>
      </c>
      <c r="I3884">
        <v>458047</v>
      </c>
      <c r="J3884" t="s">
        <v>21</v>
      </c>
      <c r="K3884" t="s">
        <v>22</v>
      </c>
      <c r="L3884">
        <v>2</v>
      </c>
      <c r="M3884">
        <v>54.49</v>
      </c>
      <c r="N3884">
        <v>632971</v>
      </c>
      <c r="O3884">
        <v>1</v>
      </c>
    </row>
    <row r="3885" spans="1:15">
      <c r="A3885" t="s">
        <v>3911</v>
      </c>
      <c r="B3885" t="s">
        <v>16</v>
      </c>
      <c r="C3885">
        <v>14</v>
      </c>
      <c r="D3885">
        <v>17211210</v>
      </c>
      <c r="E3885">
        <v>2</v>
      </c>
      <c r="F3885">
        <v>14</v>
      </c>
      <c r="G3885">
        <v>674</v>
      </c>
      <c r="H3885">
        <v>78078914</v>
      </c>
      <c r="I3885">
        <v>23898</v>
      </c>
      <c r="J3885" t="s">
        <v>17</v>
      </c>
      <c r="K3885" t="s">
        <v>22</v>
      </c>
      <c r="L3885">
        <v>9</v>
      </c>
      <c r="M3885">
        <v>93.27</v>
      </c>
      <c r="N3885">
        <v>182876</v>
      </c>
      <c r="O3885">
        <v>1</v>
      </c>
    </row>
    <row r="3886" spans="1:15">
      <c r="A3886" t="s">
        <v>3912</v>
      </c>
      <c r="B3886" t="s">
        <v>38</v>
      </c>
      <c r="C3886">
        <v>13</v>
      </c>
      <c r="D3886">
        <v>5672440</v>
      </c>
      <c r="E3886">
        <v>2</v>
      </c>
      <c r="F3886">
        <v>26</v>
      </c>
      <c r="G3886">
        <v>926</v>
      </c>
      <c r="H3886">
        <v>58217228</v>
      </c>
      <c r="I3886">
        <v>818229</v>
      </c>
      <c r="J3886" t="s">
        <v>21</v>
      </c>
      <c r="K3886" t="s">
        <v>18</v>
      </c>
      <c r="L3886">
        <v>1</v>
      </c>
      <c r="M3886">
        <v>65.099999999999994</v>
      </c>
      <c r="N3886">
        <v>394484</v>
      </c>
      <c r="O3886">
        <v>1</v>
      </c>
    </row>
    <row r="3887" spans="1:15">
      <c r="A3887" t="s">
        <v>3913</v>
      </c>
      <c r="B3887" t="s">
        <v>16</v>
      </c>
      <c r="C3887">
        <v>12</v>
      </c>
      <c r="D3887">
        <v>31726141</v>
      </c>
      <c r="E3887">
        <v>3</v>
      </c>
      <c r="F3887">
        <v>22</v>
      </c>
      <c r="G3887">
        <v>75</v>
      </c>
      <c r="H3887">
        <v>37447682</v>
      </c>
      <c r="I3887">
        <v>250675</v>
      </c>
      <c r="J3887" t="s">
        <v>25</v>
      </c>
      <c r="K3887" t="s">
        <v>18</v>
      </c>
      <c r="L3887">
        <v>5</v>
      </c>
      <c r="M3887">
        <v>92.75</v>
      </c>
      <c r="N3887">
        <v>828399</v>
      </c>
      <c r="O3887">
        <v>1</v>
      </c>
    </row>
    <row r="3888" spans="1:15">
      <c r="A3888" t="s">
        <v>3914</v>
      </c>
      <c r="B3888" t="s">
        <v>27</v>
      </c>
      <c r="C3888">
        <v>11</v>
      </c>
      <c r="D3888">
        <v>13228855</v>
      </c>
      <c r="E3888">
        <v>1</v>
      </c>
      <c r="F3888">
        <v>13</v>
      </c>
      <c r="G3888">
        <v>480</v>
      </c>
      <c r="H3888">
        <v>33222113</v>
      </c>
      <c r="I3888">
        <v>144693</v>
      </c>
      <c r="J3888" t="s">
        <v>17</v>
      </c>
      <c r="K3888" t="s">
        <v>18</v>
      </c>
      <c r="L3888">
        <v>2</v>
      </c>
      <c r="M3888">
        <v>95.88</v>
      </c>
      <c r="N3888">
        <v>185481</v>
      </c>
      <c r="O3888">
        <v>1</v>
      </c>
    </row>
    <row r="3889" spans="1:15">
      <c r="A3889" t="s">
        <v>3915</v>
      </c>
      <c r="B3889" t="s">
        <v>32</v>
      </c>
      <c r="C3889">
        <v>10</v>
      </c>
      <c r="D3889">
        <v>42947980</v>
      </c>
      <c r="E3889">
        <v>3</v>
      </c>
      <c r="F3889">
        <v>10</v>
      </c>
      <c r="G3889">
        <v>700</v>
      </c>
      <c r="H3889">
        <v>10696897</v>
      </c>
      <c r="I3889">
        <v>293683</v>
      </c>
      <c r="J3889" t="s">
        <v>25</v>
      </c>
      <c r="K3889" t="s">
        <v>18</v>
      </c>
      <c r="L3889">
        <v>2</v>
      </c>
      <c r="M3889">
        <v>35.42</v>
      </c>
      <c r="N3889">
        <v>478991</v>
      </c>
      <c r="O3889">
        <v>1</v>
      </c>
    </row>
    <row r="3890" spans="1:15">
      <c r="A3890" t="s">
        <v>3916</v>
      </c>
      <c r="B3890" t="s">
        <v>32</v>
      </c>
      <c r="C3890">
        <v>14</v>
      </c>
      <c r="D3890">
        <v>16070193</v>
      </c>
      <c r="E3890">
        <v>4</v>
      </c>
      <c r="F3890">
        <v>10</v>
      </c>
      <c r="G3890">
        <v>604</v>
      </c>
      <c r="H3890">
        <v>72897225</v>
      </c>
      <c r="I3890">
        <v>308857</v>
      </c>
      <c r="J3890" t="s">
        <v>17</v>
      </c>
      <c r="K3890" t="s">
        <v>18</v>
      </c>
      <c r="L3890">
        <v>5</v>
      </c>
      <c r="M3890">
        <v>83.76</v>
      </c>
      <c r="N3890">
        <v>255068</v>
      </c>
      <c r="O3890">
        <v>1</v>
      </c>
    </row>
    <row r="3891" spans="1:15">
      <c r="A3891" t="s">
        <v>3917</v>
      </c>
      <c r="B3891" t="s">
        <v>29</v>
      </c>
      <c r="C3891">
        <v>0</v>
      </c>
      <c r="D3891">
        <v>45725570</v>
      </c>
      <c r="E3891">
        <v>2</v>
      </c>
      <c r="F3891">
        <v>15</v>
      </c>
      <c r="G3891">
        <v>516</v>
      </c>
      <c r="H3891">
        <v>51286650</v>
      </c>
      <c r="I3891">
        <v>739590</v>
      </c>
      <c r="J3891" t="s">
        <v>25</v>
      </c>
      <c r="K3891" t="s">
        <v>18</v>
      </c>
      <c r="L3891">
        <v>1</v>
      </c>
      <c r="M3891">
        <v>52.86</v>
      </c>
      <c r="N3891">
        <v>104066</v>
      </c>
      <c r="O3891">
        <v>1</v>
      </c>
    </row>
    <row r="3892" spans="1:15">
      <c r="A3892" t="s">
        <v>3918</v>
      </c>
      <c r="B3892" t="s">
        <v>16</v>
      </c>
      <c r="C3892">
        <v>7</v>
      </c>
      <c r="D3892">
        <v>49325473</v>
      </c>
      <c r="E3892">
        <v>4</v>
      </c>
      <c r="F3892">
        <v>24</v>
      </c>
      <c r="G3892">
        <v>669</v>
      </c>
      <c r="H3892">
        <v>27142043</v>
      </c>
      <c r="I3892">
        <v>854854</v>
      </c>
      <c r="J3892" t="s">
        <v>17</v>
      </c>
      <c r="K3892" t="s">
        <v>22</v>
      </c>
      <c r="L3892">
        <v>8</v>
      </c>
      <c r="M3892">
        <v>95.96</v>
      </c>
      <c r="N3892">
        <v>246238</v>
      </c>
      <c r="O3892">
        <v>1</v>
      </c>
    </row>
    <row r="3893" spans="1:15">
      <c r="A3893" t="s">
        <v>3919</v>
      </c>
      <c r="B3893" t="s">
        <v>29</v>
      </c>
      <c r="C3893">
        <v>4</v>
      </c>
      <c r="D3893">
        <v>130620</v>
      </c>
      <c r="E3893">
        <v>4</v>
      </c>
      <c r="F3893">
        <v>2</v>
      </c>
      <c r="G3893">
        <v>730</v>
      </c>
      <c r="H3893">
        <v>85522770</v>
      </c>
      <c r="I3893">
        <v>642035</v>
      </c>
      <c r="J3893" t="s">
        <v>17</v>
      </c>
      <c r="K3893" t="s">
        <v>18</v>
      </c>
      <c r="L3893">
        <v>5</v>
      </c>
      <c r="M3893">
        <v>81.5</v>
      </c>
      <c r="N3893">
        <v>178058</v>
      </c>
      <c r="O3893">
        <v>1</v>
      </c>
    </row>
    <row r="3894" spans="1:15">
      <c r="A3894" t="s">
        <v>3920</v>
      </c>
      <c r="B3894" t="s">
        <v>27</v>
      </c>
      <c r="C3894">
        <v>14</v>
      </c>
      <c r="D3894">
        <v>34349219</v>
      </c>
      <c r="E3894">
        <v>1</v>
      </c>
      <c r="F3894">
        <v>25</v>
      </c>
      <c r="G3894">
        <v>220</v>
      </c>
      <c r="H3894">
        <v>93080538</v>
      </c>
      <c r="I3894">
        <v>427323</v>
      </c>
      <c r="J3894" t="s">
        <v>17</v>
      </c>
      <c r="K3894" t="s">
        <v>30</v>
      </c>
      <c r="L3894">
        <v>1</v>
      </c>
      <c r="M3894">
        <v>50.38</v>
      </c>
      <c r="N3894">
        <v>482074</v>
      </c>
      <c r="O3894">
        <v>1</v>
      </c>
    </row>
    <row r="3895" spans="1:15">
      <c r="A3895" t="s">
        <v>3921</v>
      </c>
      <c r="B3895" t="s">
        <v>20</v>
      </c>
      <c r="C3895">
        <v>10</v>
      </c>
      <c r="D3895">
        <v>1035975</v>
      </c>
      <c r="E3895">
        <v>3</v>
      </c>
      <c r="F3895">
        <v>7</v>
      </c>
      <c r="G3895">
        <v>202</v>
      </c>
      <c r="H3895">
        <v>6063863</v>
      </c>
      <c r="I3895">
        <v>138730</v>
      </c>
      <c r="J3895" t="s">
        <v>17</v>
      </c>
      <c r="K3895" t="s">
        <v>30</v>
      </c>
      <c r="L3895">
        <v>5</v>
      </c>
      <c r="M3895">
        <v>61.82</v>
      </c>
      <c r="N3895">
        <v>767079</v>
      </c>
      <c r="O3895">
        <v>1</v>
      </c>
    </row>
    <row r="3896" spans="1:15">
      <c r="A3896" t="s">
        <v>3922</v>
      </c>
      <c r="B3896" t="s">
        <v>38</v>
      </c>
      <c r="C3896">
        <v>4</v>
      </c>
      <c r="D3896">
        <v>6494297</v>
      </c>
      <c r="E3896">
        <v>2</v>
      </c>
      <c r="F3896">
        <v>6</v>
      </c>
      <c r="G3896">
        <v>93</v>
      </c>
      <c r="H3896">
        <v>44951333</v>
      </c>
      <c r="I3896">
        <v>186841</v>
      </c>
      <c r="J3896" t="s">
        <v>21</v>
      </c>
      <c r="K3896" t="s">
        <v>18</v>
      </c>
      <c r="L3896">
        <v>5</v>
      </c>
      <c r="M3896">
        <v>81.319999999999993</v>
      </c>
      <c r="N3896">
        <v>45756</v>
      </c>
      <c r="O3896">
        <v>1</v>
      </c>
    </row>
    <row r="3897" spans="1:15">
      <c r="A3897" t="s">
        <v>3923</v>
      </c>
      <c r="B3897" t="s">
        <v>29</v>
      </c>
      <c r="C3897">
        <v>4</v>
      </c>
      <c r="D3897">
        <v>37265425</v>
      </c>
      <c r="E3897">
        <v>2</v>
      </c>
      <c r="F3897">
        <v>24</v>
      </c>
      <c r="G3897">
        <v>318</v>
      </c>
      <c r="H3897">
        <v>39486937</v>
      </c>
      <c r="I3897">
        <v>447841</v>
      </c>
      <c r="J3897" t="s">
        <v>17</v>
      </c>
      <c r="K3897" t="s">
        <v>30</v>
      </c>
      <c r="L3897">
        <v>6</v>
      </c>
      <c r="M3897">
        <v>26.57</v>
      </c>
      <c r="N3897">
        <v>916105</v>
      </c>
      <c r="O3897">
        <v>1</v>
      </c>
    </row>
    <row r="3898" spans="1:15">
      <c r="A3898" t="s">
        <v>3924</v>
      </c>
      <c r="B3898" t="s">
        <v>16</v>
      </c>
      <c r="C3898">
        <v>14</v>
      </c>
      <c r="D3898">
        <v>4648975</v>
      </c>
      <c r="E3898">
        <v>1</v>
      </c>
      <c r="F3898">
        <v>19</v>
      </c>
      <c r="G3898">
        <v>929</v>
      </c>
      <c r="H3898">
        <v>47901166</v>
      </c>
      <c r="I3898">
        <v>802102</v>
      </c>
      <c r="J3898" t="s">
        <v>17</v>
      </c>
      <c r="K3898" t="s">
        <v>18</v>
      </c>
      <c r="L3898">
        <v>3</v>
      </c>
      <c r="M3898">
        <v>15.89</v>
      </c>
      <c r="N3898">
        <v>50485</v>
      </c>
      <c r="O3898">
        <v>1</v>
      </c>
    </row>
    <row r="3899" spans="1:15">
      <c r="A3899" t="s">
        <v>3925</v>
      </c>
      <c r="B3899" t="s">
        <v>27</v>
      </c>
      <c r="C3899">
        <v>0</v>
      </c>
      <c r="D3899">
        <v>19987007</v>
      </c>
      <c r="E3899">
        <v>1</v>
      </c>
      <c r="F3899">
        <v>22</v>
      </c>
      <c r="G3899">
        <v>534</v>
      </c>
      <c r="H3899">
        <v>77871763</v>
      </c>
      <c r="I3899">
        <v>933727</v>
      </c>
      <c r="J3899" t="s">
        <v>25</v>
      </c>
      <c r="K3899" t="s">
        <v>22</v>
      </c>
      <c r="L3899">
        <v>1</v>
      </c>
      <c r="M3899">
        <v>85.06</v>
      </c>
      <c r="N3899">
        <v>105169</v>
      </c>
      <c r="O3899">
        <v>1</v>
      </c>
    </row>
    <row r="3900" spans="1:15">
      <c r="A3900" t="s">
        <v>3926</v>
      </c>
      <c r="B3900" t="s">
        <v>20</v>
      </c>
      <c r="C3900">
        <v>4</v>
      </c>
      <c r="D3900">
        <v>14026115</v>
      </c>
      <c r="E3900">
        <v>3</v>
      </c>
      <c r="F3900">
        <v>13</v>
      </c>
      <c r="G3900">
        <v>509</v>
      </c>
      <c r="H3900">
        <v>58362501</v>
      </c>
      <c r="I3900">
        <v>464520</v>
      </c>
      <c r="J3900" t="s">
        <v>21</v>
      </c>
      <c r="K3900" t="s">
        <v>22</v>
      </c>
      <c r="L3900">
        <v>5</v>
      </c>
      <c r="M3900">
        <v>99.47</v>
      </c>
      <c r="N3900">
        <v>269372</v>
      </c>
      <c r="O3900">
        <v>1</v>
      </c>
    </row>
    <row r="3901" spans="1:15">
      <c r="A3901" t="s">
        <v>3927</v>
      </c>
      <c r="B3901" t="s">
        <v>32</v>
      </c>
      <c r="C3901">
        <v>9</v>
      </c>
      <c r="D3901">
        <v>39797094</v>
      </c>
      <c r="E3901">
        <v>2</v>
      </c>
      <c r="F3901">
        <v>27</v>
      </c>
      <c r="G3901">
        <v>688</v>
      </c>
      <c r="H3901">
        <v>92942910</v>
      </c>
      <c r="I3901">
        <v>97036</v>
      </c>
      <c r="J3901" t="s">
        <v>17</v>
      </c>
      <c r="K3901" t="s">
        <v>22</v>
      </c>
      <c r="L3901">
        <v>7</v>
      </c>
      <c r="M3901">
        <v>7.65</v>
      </c>
      <c r="N3901">
        <v>212635</v>
      </c>
      <c r="O3901">
        <v>1</v>
      </c>
    </row>
    <row r="3902" spans="1:15">
      <c r="A3902" t="s">
        <v>3928</v>
      </c>
      <c r="B3902" t="s">
        <v>16</v>
      </c>
      <c r="C3902">
        <v>9</v>
      </c>
      <c r="D3902">
        <v>4813425</v>
      </c>
      <c r="E3902">
        <v>3</v>
      </c>
      <c r="F3902">
        <v>28</v>
      </c>
      <c r="G3902">
        <v>991</v>
      </c>
      <c r="H3902">
        <v>7739659</v>
      </c>
      <c r="I3902">
        <v>12669</v>
      </c>
      <c r="J3902" t="s">
        <v>21</v>
      </c>
      <c r="K3902" t="s">
        <v>18</v>
      </c>
      <c r="L3902">
        <v>9</v>
      </c>
      <c r="M3902">
        <v>61.46</v>
      </c>
      <c r="N3902">
        <v>789532</v>
      </c>
      <c r="O3902">
        <v>1</v>
      </c>
    </row>
    <row r="3903" spans="1:15">
      <c r="A3903" t="s">
        <v>3929</v>
      </c>
      <c r="B3903" t="s">
        <v>16</v>
      </c>
      <c r="C3903">
        <v>12</v>
      </c>
      <c r="D3903">
        <v>38629060</v>
      </c>
      <c r="E3903">
        <v>2</v>
      </c>
      <c r="F3903">
        <v>13</v>
      </c>
      <c r="G3903">
        <v>629</v>
      </c>
      <c r="H3903">
        <v>17766003</v>
      </c>
      <c r="I3903">
        <v>158790</v>
      </c>
      <c r="J3903" t="s">
        <v>25</v>
      </c>
      <c r="K3903" t="s">
        <v>30</v>
      </c>
      <c r="L3903">
        <v>3</v>
      </c>
      <c r="M3903">
        <v>42.73</v>
      </c>
      <c r="N3903">
        <v>801255</v>
      </c>
      <c r="O3903">
        <v>1</v>
      </c>
    </row>
    <row r="3904" spans="1:15">
      <c r="A3904" t="s">
        <v>3930</v>
      </c>
      <c r="B3904" t="s">
        <v>16</v>
      </c>
      <c r="C3904">
        <v>7</v>
      </c>
      <c r="D3904">
        <v>16902343</v>
      </c>
      <c r="E3904">
        <v>4</v>
      </c>
      <c r="F3904">
        <v>23</v>
      </c>
      <c r="G3904">
        <v>401</v>
      </c>
      <c r="H3904">
        <v>50442245</v>
      </c>
      <c r="I3904">
        <v>845922</v>
      </c>
      <c r="J3904" t="s">
        <v>21</v>
      </c>
      <c r="K3904" t="s">
        <v>30</v>
      </c>
      <c r="L3904">
        <v>7</v>
      </c>
      <c r="M3904">
        <v>62.58</v>
      </c>
      <c r="N3904">
        <v>750745</v>
      </c>
      <c r="O3904">
        <v>1</v>
      </c>
    </row>
    <row r="3905" spans="1:15">
      <c r="A3905" t="s">
        <v>3931</v>
      </c>
      <c r="B3905" t="s">
        <v>27</v>
      </c>
      <c r="C3905">
        <v>0</v>
      </c>
      <c r="D3905">
        <v>129493</v>
      </c>
      <c r="E3905">
        <v>2</v>
      </c>
      <c r="F3905">
        <v>23</v>
      </c>
      <c r="G3905">
        <v>64</v>
      </c>
      <c r="H3905">
        <v>22670241</v>
      </c>
      <c r="I3905">
        <v>973027</v>
      </c>
      <c r="J3905" t="s">
        <v>17</v>
      </c>
      <c r="K3905" t="s">
        <v>30</v>
      </c>
      <c r="L3905">
        <v>7</v>
      </c>
      <c r="M3905">
        <v>41.88</v>
      </c>
      <c r="N3905">
        <v>523127</v>
      </c>
      <c r="O3905">
        <v>1</v>
      </c>
    </row>
    <row r="3906" spans="1:15">
      <c r="A3906" t="s">
        <v>3932</v>
      </c>
      <c r="B3906" t="s">
        <v>32</v>
      </c>
      <c r="C3906">
        <v>3</v>
      </c>
      <c r="D3906">
        <v>49532396</v>
      </c>
      <c r="E3906">
        <v>1</v>
      </c>
      <c r="F3906">
        <v>4</v>
      </c>
      <c r="G3906">
        <v>269</v>
      </c>
      <c r="H3906">
        <v>38707093</v>
      </c>
      <c r="I3906">
        <v>264640</v>
      </c>
      <c r="J3906" t="s">
        <v>25</v>
      </c>
      <c r="K3906" t="s">
        <v>30</v>
      </c>
      <c r="L3906">
        <v>6</v>
      </c>
      <c r="M3906">
        <v>66.989999999999995</v>
      </c>
      <c r="N3906">
        <v>870938</v>
      </c>
      <c r="O3906">
        <v>1</v>
      </c>
    </row>
    <row r="3907" spans="1:15">
      <c r="A3907" t="s">
        <v>3933</v>
      </c>
      <c r="B3907" t="s">
        <v>27</v>
      </c>
      <c r="C3907">
        <v>2</v>
      </c>
      <c r="D3907">
        <v>1589943</v>
      </c>
      <c r="E3907">
        <v>2</v>
      </c>
      <c r="F3907">
        <v>4</v>
      </c>
      <c r="G3907">
        <v>93</v>
      </c>
      <c r="H3907">
        <v>74538609</v>
      </c>
      <c r="I3907">
        <v>925756</v>
      </c>
      <c r="J3907" t="s">
        <v>17</v>
      </c>
      <c r="K3907" t="s">
        <v>30</v>
      </c>
      <c r="L3907">
        <v>9</v>
      </c>
      <c r="M3907">
        <v>4.37</v>
      </c>
      <c r="N3907">
        <v>208247</v>
      </c>
      <c r="O3907">
        <v>1</v>
      </c>
    </row>
    <row r="3908" spans="1:15">
      <c r="A3908" t="s">
        <v>3934</v>
      </c>
      <c r="B3908" t="s">
        <v>20</v>
      </c>
      <c r="C3908">
        <v>14</v>
      </c>
      <c r="D3908">
        <v>12482056</v>
      </c>
      <c r="E3908">
        <v>1</v>
      </c>
      <c r="F3908">
        <v>3</v>
      </c>
      <c r="G3908">
        <v>963</v>
      </c>
      <c r="H3908">
        <v>8145817</v>
      </c>
      <c r="I3908">
        <v>71592</v>
      </c>
      <c r="J3908" t="s">
        <v>21</v>
      </c>
      <c r="K3908" t="s">
        <v>30</v>
      </c>
      <c r="L3908">
        <v>2</v>
      </c>
      <c r="M3908">
        <v>36</v>
      </c>
      <c r="N3908">
        <v>741695</v>
      </c>
      <c r="O3908">
        <v>1</v>
      </c>
    </row>
    <row r="3909" spans="1:15">
      <c r="A3909" t="s">
        <v>3935</v>
      </c>
      <c r="B3909" t="s">
        <v>24</v>
      </c>
      <c r="C3909">
        <v>4</v>
      </c>
      <c r="D3909">
        <v>17513172</v>
      </c>
      <c r="E3909">
        <v>2</v>
      </c>
      <c r="F3909">
        <v>0</v>
      </c>
      <c r="G3909">
        <v>458</v>
      </c>
      <c r="H3909">
        <v>49119164</v>
      </c>
      <c r="I3909">
        <v>975046</v>
      </c>
      <c r="J3909" t="s">
        <v>25</v>
      </c>
      <c r="K3909" t="s">
        <v>18</v>
      </c>
      <c r="L3909">
        <v>4</v>
      </c>
      <c r="M3909">
        <v>16.190000000000001</v>
      </c>
      <c r="N3909">
        <v>412553</v>
      </c>
      <c r="O3909">
        <v>1</v>
      </c>
    </row>
    <row r="3910" spans="1:15">
      <c r="A3910" t="s">
        <v>3936</v>
      </c>
      <c r="B3910" t="s">
        <v>38</v>
      </c>
      <c r="C3910">
        <v>9</v>
      </c>
      <c r="D3910">
        <v>49614525</v>
      </c>
      <c r="E3910">
        <v>2</v>
      </c>
      <c r="F3910">
        <v>14</v>
      </c>
      <c r="G3910">
        <v>989</v>
      </c>
      <c r="H3910">
        <v>8450997</v>
      </c>
      <c r="I3910">
        <v>687553</v>
      </c>
      <c r="J3910" t="s">
        <v>17</v>
      </c>
      <c r="K3910" t="s">
        <v>22</v>
      </c>
      <c r="L3910">
        <v>6</v>
      </c>
      <c r="M3910">
        <v>53.12</v>
      </c>
      <c r="N3910">
        <v>998000</v>
      </c>
      <c r="O3910">
        <v>1</v>
      </c>
    </row>
    <row r="3911" spans="1:15">
      <c r="A3911" t="s">
        <v>3937</v>
      </c>
      <c r="B3911" t="s">
        <v>16</v>
      </c>
      <c r="C3911">
        <v>13</v>
      </c>
      <c r="D3911">
        <v>38614568</v>
      </c>
      <c r="E3911">
        <v>4</v>
      </c>
      <c r="F3911">
        <v>19</v>
      </c>
      <c r="G3911">
        <v>221</v>
      </c>
      <c r="H3911">
        <v>88161777</v>
      </c>
      <c r="I3911">
        <v>902255</v>
      </c>
      <c r="J3911" t="s">
        <v>17</v>
      </c>
      <c r="K3911" t="s">
        <v>22</v>
      </c>
      <c r="L3911">
        <v>5</v>
      </c>
      <c r="M3911">
        <v>80.38</v>
      </c>
      <c r="N3911">
        <v>960552</v>
      </c>
      <c r="O3911">
        <v>1</v>
      </c>
    </row>
    <row r="3912" spans="1:15">
      <c r="A3912" t="s">
        <v>3938</v>
      </c>
      <c r="B3912" t="s">
        <v>32</v>
      </c>
      <c r="C3912">
        <v>1</v>
      </c>
      <c r="D3912">
        <v>4684222</v>
      </c>
      <c r="E3912">
        <v>3</v>
      </c>
      <c r="F3912">
        <v>23</v>
      </c>
      <c r="G3912">
        <v>199</v>
      </c>
      <c r="H3912">
        <v>63768118</v>
      </c>
      <c r="I3912">
        <v>287645</v>
      </c>
      <c r="J3912" t="s">
        <v>25</v>
      </c>
      <c r="K3912" t="s">
        <v>22</v>
      </c>
      <c r="L3912">
        <v>5</v>
      </c>
      <c r="M3912">
        <v>97.77</v>
      </c>
      <c r="N3912">
        <v>538249</v>
      </c>
      <c r="O3912">
        <v>1</v>
      </c>
    </row>
    <row r="3913" spans="1:15">
      <c r="A3913" t="s">
        <v>3939</v>
      </c>
      <c r="B3913" t="s">
        <v>29</v>
      </c>
      <c r="C3913">
        <v>0</v>
      </c>
      <c r="D3913">
        <v>30947605</v>
      </c>
      <c r="E3913">
        <v>4</v>
      </c>
      <c r="F3913">
        <v>3</v>
      </c>
      <c r="G3913">
        <v>380</v>
      </c>
      <c r="H3913">
        <v>28670201</v>
      </c>
      <c r="I3913">
        <v>785219</v>
      </c>
      <c r="J3913" t="s">
        <v>17</v>
      </c>
      <c r="K3913" t="s">
        <v>18</v>
      </c>
      <c r="L3913">
        <v>4</v>
      </c>
      <c r="M3913">
        <v>47.08</v>
      </c>
      <c r="N3913">
        <v>443456</v>
      </c>
      <c r="O3913">
        <v>1</v>
      </c>
    </row>
    <row r="3914" spans="1:15">
      <c r="A3914" t="s">
        <v>3940</v>
      </c>
      <c r="B3914" t="s">
        <v>38</v>
      </c>
      <c r="C3914">
        <v>10</v>
      </c>
      <c r="D3914">
        <v>42484029</v>
      </c>
      <c r="E3914">
        <v>2</v>
      </c>
      <c r="F3914">
        <v>3</v>
      </c>
      <c r="G3914">
        <v>577</v>
      </c>
      <c r="H3914">
        <v>15265829</v>
      </c>
      <c r="I3914">
        <v>339737</v>
      </c>
      <c r="J3914" t="s">
        <v>21</v>
      </c>
      <c r="K3914" t="s">
        <v>22</v>
      </c>
      <c r="L3914">
        <v>3</v>
      </c>
      <c r="M3914">
        <v>53.19</v>
      </c>
      <c r="N3914">
        <v>359146</v>
      </c>
      <c r="O3914">
        <v>1</v>
      </c>
    </row>
    <row r="3915" spans="1:15">
      <c r="A3915" t="s">
        <v>3941</v>
      </c>
      <c r="B3915" t="s">
        <v>27</v>
      </c>
      <c r="C3915">
        <v>9</v>
      </c>
      <c r="D3915">
        <v>25422107</v>
      </c>
      <c r="E3915">
        <v>4</v>
      </c>
      <c r="F3915">
        <v>16</v>
      </c>
      <c r="G3915">
        <v>390</v>
      </c>
      <c r="H3915">
        <v>44493061</v>
      </c>
      <c r="I3915">
        <v>782408</v>
      </c>
      <c r="J3915" t="s">
        <v>17</v>
      </c>
      <c r="K3915" t="s">
        <v>30</v>
      </c>
      <c r="L3915">
        <v>9</v>
      </c>
      <c r="M3915">
        <v>46.56</v>
      </c>
      <c r="N3915">
        <v>967479</v>
      </c>
      <c r="O3915">
        <v>1</v>
      </c>
    </row>
    <row r="3916" spans="1:15">
      <c r="A3916" t="s">
        <v>3942</v>
      </c>
      <c r="B3916" t="s">
        <v>16</v>
      </c>
      <c r="C3916">
        <v>4</v>
      </c>
      <c r="D3916">
        <v>43101779</v>
      </c>
      <c r="E3916">
        <v>3</v>
      </c>
      <c r="F3916">
        <v>9</v>
      </c>
      <c r="G3916">
        <v>708</v>
      </c>
      <c r="H3916">
        <v>79874035</v>
      </c>
      <c r="I3916">
        <v>75138</v>
      </c>
      <c r="J3916" t="s">
        <v>17</v>
      </c>
      <c r="K3916" t="s">
        <v>18</v>
      </c>
      <c r="L3916">
        <v>9</v>
      </c>
      <c r="M3916">
        <v>27.51</v>
      </c>
      <c r="N3916">
        <v>830316</v>
      </c>
      <c r="O3916">
        <v>1</v>
      </c>
    </row>
    <row r="3917" spans="1:15">
      <c r="A3917" t="s">
        <v>3943</v>
      </c>
      <c r="B3917" t="s">
        <v>24</v>
      </c>
      <c r="C3917">
        <v>14</v>
      </c>
      <c r="D3917">
        <v>13180536</v>
      </c>
      <c r="E3917">
        <v>3</v>
      </c>
      <c r="F3917">
        <v>0</v>
      </c>
      <c r="G3917">
        <v>826</v>
      </c>
      <c r="H3917">
        <v>11869257</v>
      </c>
      <c r="I3917">
        <v>161593</v>
      </c>
      <c r="J3917" t="s">
        <v>17</v>
      </c>
      <c r="K3917" t="s">
        <v>22</v>
      </c>
      <c r="L3917">
        <v>2</v>
      </c>
      <c r="M3917">
        <v>5.95</v>
      </c>
      <c r="N3917">
        <v>39323</v>
      </c>
      <c r="O3917">
        <v>1</v>
      </c>
    </row>
    <row r="3918" spans="1:15">
      <c r="A3918" t="s">
        <v>3944</v>
      </c>
      <c r="B3918" t="s">
        <v>20</v>
      </c>
      <c r="C3918">
        <v>0</v>
      </c>
      <c r="D3918">
        <v>38410169</v>
      </c>
      <c r="E3918">
        <v>1</v>
      </c>
      <c r="F3918">
        <v>21</v>
      </c>
      <c r="G3918">
        <v>7</v>
      </c>
      <c r="H3918">
        <v>18585606</v>
      </c>
      <c r="I3918">
        <v>882822</v>
      </c>
      <c r="J3918" t="s">
        <v>25</v>
      </c>
      <c r="K3918" t="s">
        <v>18</v>
      </c>
      <c r="L3918">
        <v>9</v>
      </c>
      <c r="M3918">
        <v>49.32</v>
      </c>
      <c r="N3918">
        <v>778641</v>
      </c>
      <c r="O3918">
        <v>1</v>
      </c>
    </row>
    <row r="3919" spans="1:15">
      <c r="A3919" t="s">
        <v>3945</v>
      </c>
      <c r="B3919" t="s">
        <v>27</v>
      </c>
      <c r="C3919">
        <v>14</v>
      </c>
      <c r="D3919">
        <v>38784138</v>
      </c>
      <c r="E3919">
        <v>2</v>
      </c>
      <c r="F3919">
        <v>13</v>
      </c>
      <c r="G3919">
        <v>759</v>
      </c>
      <c r="H3919">
        <v>4595013</v>
      </c>
      <c r="I3919">
        <v>774092</v>
      </c>
      <c r="J3919" t="s">
        <v>25</v>
      </c>
      <c r="K3919" t="s">
        <v>22</v>
      </c>
      <c r="L3919">
        <v>1</v>
      </c>
      <c r="M3919">
        <v>48.12</v>
      </c>
      <c r="N3919">
        <v>480895</v>
      </c>
      <c r="O3919">
        <v>1</v>
      </c>
    </row>
    <row r="3920" spans="1:15">
      <c r="A3920" t="s">
        <v>3946</v>
      </c>
      <c r="B3920" t="s">
        <v>20</v>
      </c>
      <c r="C3920">
        <v>3</v>
      </c>
      <c r="D3920">
        <v>33550306</v>
      </c>
      <c r="E3920">
        <v>3</v>
      </c>
      <c r="F3920">
        <v>7</v>
      </c>
      <c r="G3920">
        <v>250</v>
      </c>
      <c r="H3920">
        <v>57867760</v>
      </c>
      <c r="I3920">
        <v>407929</v>
      </c>
      <c r="J3920" t="s">
        <v>21</v>
      </c>
      <c r="K3920" t="s">
        <v>22</v>
      </c>
      <c r="L3920">
        <v>5</v>
      </c>
      <c r="M3920">
        <v>76.11</v>
      </c>
      <c r="N3920">
        <v>870362</v>
      </c>
      <c r="O3920">
        <v>1</v>
      </c>
    </row>
    <row r="3921" spans="1:15">
      <c r="A3921" t="s">
        <v>3947</v>
      </c>
      <c r="B3921" t="s">
        <v>27</v>
      </c>
      <c r="C3921">
        <v>4</v>
      </c>
      <c r="D3921">
        <v>22736453</v>
      </c>
      <c r="E3921">
        <v>2</v>
      </c>
      <c r="F3921">
        <v>17</v>
      </c>
      <c r="G3921">
        <v>378</v>
      </c>
      <c r="H3921">
        <v>83827085</v>
      </c>
      <c r="I3921">
        <v>533700</v>
      </c>
      <c r="J3921" t="s">
        <v>17</v>
      </c>
      <c r="K3921" t="s">
        <v>30</v>
      </c>
      <c r="L3921">
        <v>1</v>
      </c>
      <c r="M3921">
        <v>73.44</v>
      </c>
      <c r="N3921">
        <v>964930</v>
      </c>
      <c r="O3921">
        <v>1</v>
      </c>
    </row>
    <row r="3922" spans="1:15">
      <c r="A3922" t="s">
        <v>3948</v>
      </c>
      <c r="B3922" t="s">
        <v>32</v>
      </c>
      <c r="C3922">
        <v>7</v>
      </c>
      <c r="D3922">
        <v>30448086</v>
      </c>
      <c r="E3922">
        <v>4</v>
      </c>
      <c r="F3922">
        <v>18</v>
      </c>
      <c r="G3922">
        <v>131</v>
      </c>
      <c r="H3922">
        <v>39776395</v>
      </c>
      <c r="I3922">
        <v>65771</v>
      </c>
      <c r="J3922" t="s">
        <v>21</v>
      </c>
      <c r="K3922" t="s">
        <v>30</v>
      </c>
      <c r="L3922">
        <v>4</v>
      </c>
      <c r="M3922">
        <v>75.38</v>
      </c>
      <c r="N3922">
        <v>922960</v>
      </c>
      <c r="O3922">
        <v>1</v>
      </c>
    </row>
    <row r="3923" spans="1:15">
      <c r="A3923" t="s">
        <v>3949</v>
      </c>
      <c r="B3923" t="s">
        <v>27</v>
      </c>
      <c r="C3923">
        <v>14</v>
      </c>
      <c r="D3923">
        <v>44525770</v>
      </c>
      <c r="E3923">
        <v>1</v>
      </c>
      <c r="F3923">
        <v>27</v>
      </c>
      <c r="G3923">
        <v>613</v>
      </c>
      <c r="H3923">
        <v>81281401</v>
      </c>
      <c r="I3923">
        <v>618700</v>
      </c>
      <c r="J3923" t="s">
        <v>17</v>
      </c>
      <c r="K3923" t="s">
        <v>22</v>
      </c>
      <c r="L3923">
        <v>6</v>
      </c>
      <c r="M3923">
        <v>48.56</v>
      </c>
      <c r="N3923">
        <v>535484</v>
      </c>
      <c r="O3923">
        <v>1</v>
      </c>
    </row>
    <row r="3924" spans="1:15">
      <c r="A3924" t="s">
        <v>3950</v>
      </c>
      <c r="B3924" t="s">
        <v>24</v>
      </c>
      <c r="C3924">
        <v>6</v>
      </c>
      <c r="D3924">
        <v>30785026</v>
      </c>
      <c r="E3924">
        <v>1</v>
      </c>
      <c r="F3924">
        <v>0</v>
      </c>
      <c r="G3924">
        <v>602</v>
      </c>
      <c r="H3924">
        <v>36980</v>
      </c>
      <c r="I3924">
        <v>9739</v>
      </c>
      <c r="J3924" t="s">
        <v>25</v>
      </c>
      <c r="K3924" t="s">
        <v>30</v>
      </c>
      <c r="L3924">
        <v>1</v>
      </c>
      <c r="M3924">
        <v>19.03</v>
      </c>
      <c r="N3924">
        <v>802912</v>
      </c>
      <c r="O3924">
        <v>1</v>
      </c>
    </row>
    <row r="3925" spans="1:15">
      <c r="A3925" t="s">
        <v>3951</v>
      </c>
      <c r="B3925" t="s">
        <v>38</v>
      </c>
      <c r="C3925">
        <v>10</v>
      </c>
      <c r="D3925">
        <v>8796884</v>
      </c>
      <c r="E3925">
        <v>4</v>
      </c>
      <c r="F3925">
        <v>22</v>
      </c>
      <c r="G3925">
        <v>859</v>
      </c>
      <c r="H3925">
        <v>55110374</v>
      </c>
      <c r="I3925">
        <v>340786</v>
      </c>
      <c r="J3925" t="s">
        <v>21</v>
      </c>
      <c r="K3925" t="s">
        <v>18</v>
      </c>
      <c r="L3925">
        <v>9</v>
      </c>
      <c r="M3925">
        <v>31.46</v>
      </c>
      <c r="N3925">
        <v>324329</v>
      </c>
      <c r="O3925">
        <v>1</v>
      </c>
    </row>
    <row r="3926" spans="1:15">
      <c r="A3926" t="s">
        <v>3952</v>
      </c>
      <c r="B3926" t="s">
        <v>20</v>
      </c>
      <c r="C3926">
        <v>4</v>
      </c>
      <c r="D3926">
        <v>3833930</v>
      </c>
      <c r="E3926">
        <v>2</v>
      </c>
      <c r="F3926">
        <v>2</v>
      </c>
      <c r="G3926">
        <v>619</v>
      </c>
      <c r="H3926">
        <v>29002594</v>
      </c>
      <c r="I3926">
        <v>99114</v>
      </c>
      <c r="J3926" t="s">
        <v>17</v>
      </c>
      <c r="K3926" t="s">
        <v>22</v>
      </c>
      <c r="L3926">
        <v>3</v>
      </c>
      <c r="M3926">
        <v>40.229999999999997</v>
      </c>
      <c r="N3926">
        <v>413674</v>
      </c>
      <c r="O3926">
        <v>1</v>
      </c>
    </row>
    <row r="3927" spans="1:15">
      <c r="A3927" t="s">
        <v>3953</v>
      </c>
      <c r="B3927" t="s">
        <v>20</v>
      </c>
      <c r="C3927">
        <v>5</v>
      </c>
      <c r="D3927">
        <v>21770173</v>
      </c>
      <c r="E3927">
        <v>1</v>
      </c>
      <c r="F3927">
        <v>5</v>
      </c>
      <c r="G3927">
        <v>571</v>
      </c>
      <c r="H3927">
        <v>82808370</v>
      </c>
      <c r="I3927">
        <v>401459</v>
      </c>
      <c r="J3927" t="s">
        <v>25</v>
      </c>
      <c r="K3927" t="s">
        <v>22</v>
      </c>
      <c r="L3927">
        <v>3</v>
      </c>
      <c r="M3927">
        <v>13.35</v>
      </c>
      <c r="N3927">
        <v>229995</v>
      </c>
      <c r="O3927">
        <v>1</v>
      </c>
    </row>
    <row r="3928" spans="1:15">
      <c r="A3928" t="s">
        <v>3954</v>
      </c>
      <c r="B3928" t="s">
        <v>27</v>
      </c>
      <c r="C3928">
        <v>5</v>
      </c>
      <c r="D3928">
        <v>48726636</v>
      </c>
      <c r="E3928">
        <v>3</v>
      </c>
      <c r="F3928">
        <v>22</v>
      </c>
      <c r="G3928">
        <v>150</v>
      </c>
      <c r="H3928">
        <v>23074141</v>
      </c>
      <c r="I3928">
        <v>878508</v>
      </c>
      <c r="J3928" t="s">
        <v>17</v>
      </c>
      <c r="K3928" t="s">
        <v>18</v>
      </c>
      <c r="L3928">
        <v>8</v>
      </c>
      <c r="M3928">
        <v>37.630000000000003</v>
      </c>
      <c r="N3928">
        <v>967217</v>
      </c>
      <c r="O3928">
        <v>1</v>
      </c>
    </row>
    <row r="3929" spans="1:15">
      <c r="A3929" t="s">
        <v>3955</v>
      </c>
      <c r="B3929" t="s">
        <v>24</v>
      </c>
      <c r="C3929">
        <v>0</v>
      </c>
      <c r="D3929">
        <v>5841622</v>
      </c>
      <c r="E3929">
        <v>1</v>
      </c>
      <c r="F3929">
        <v>6</v>
      </c>
      <c r="G3929">
        <v>473</v>
      </c>
      <c r="H3929">
        <v>59255214</v>
      </c>
      <c r="I3929">
        <v>151669</v>
      </c>
      <c r="J3929" t="s">
        <v>25</v>
      </c>
      <c r="K3929" t="s">
        <v>18</v>
      </c>
      <c r="L3929">
        <v>6</v>
      </c>
      <c r="M3929">
        <v>58.78</v>
      </c>
      <c r="N3929">
        <v>416969</v>
      </c>
      <c r="O3929">
        <v>1</v>
      </c>
    </row>
    <row r="3930" spans="1:15">
      <c r="A3930" t="s">
        <v>3956</v>
      </c>
      <c r="B3930" t="s">
        <v>38</v>
      </c>
      <c r="C3930">
        <v>11</v>
      </c>
      <c r="D3930">
        <v>41331246</v>
      </c>
      <c r="E3930">
        <v>1</v>
      </c>
      <c r="F3930">
        <v>4</v>
      </c>
      <c r="G3930">
        <v>820</v>
      </c>
      <c r="H3930">
        <v>60555984</v>
      </c>
      <c r="I3930">
        <v>742293</v>
      </c>
      <c r="J3930" t="s">
        <v>21</v>
      </c>
      <c r="K3930" t="s">
        <v>22</v>
      </c>
      <c r="L3930">
        <v>6</v>
      </c>
      <c r="M3930">
        <v>61.75</v>
      </c>
      <c r="N3930">
        <v>955786</v>
      </c>
      <c r="O3930">
        <v>1</v>
      </c>
    </row>
    <row r="3931" spans="1:15">
      <c r="A3931" t="s">
        <v>3957</v>
      </c>
      <c r="B3931" t="s">
        <v>20</v>
      </c>
      <c r="C3931">
        <v>10</v>
      </c>
      <c r="D3931">
        <v>41372838</v>
      </c>
      <c r="E3931">
        <v>3</v>
      </c>
      <c r="F3931">
        <v>20</v>
      </c>
      <c r="G3931">
        <v>661</v>
      </c>
      <c r="H3931">
        <v>13801512</v>
      </c>
      <c r="I3931">
        <v>507387</v>
      </c>
      <c r="J3931" t="s">
        <v>17</v>
      </c>
      <c r="K3931" t="s">
        <v>30</v>
      </c>
      <c r="L3931">
        <v>4</v>
      </c>
      <c r="M3931">
        <v>57.5</v>
      </c>
      <c r="N3931">
        <v>819347</v>
      </c>
      <c r="O3931">
        <v>1</v>
      </c>
    </row>
    <row r="3932" spans="1:15">
      <c r="A3932" t="s">
        <v>3958</v>
      </c>
      <c r="B3932" t="s">
        <v>27</v>
      </c>
      <c r="C3932">
        <v>10</v>
      </c>
      <c r="D3932">
        <v>20617529</v>
      </c>
      <c r="E3932">
        <v>1</v>
      </c>
      <c r="F3932">
        <v>16</v>
      </c>
      <c r="G3932">
        <v>367</v>
      </c>
      <c r="H3932">
        <v>70432799</v>
      </c>
      <c r="I3932">
        <v>771688</v>
      </c>
      <c r="J3932" t="s">
        <v>25</v>
      </c>
      <c r="K3932" t="s">
        <v>30</v>
      </c>
      <c r="L3932">
        <v>3</v>
      </c>
      <c r="M3932">
        <v>16.940000000000001</v>
      </c>
      <c r="N3932">
        <v>676101</v>
      </c>
      <c r="O3932">
        <v>1</v>
      </c>
    </row>
    <row r="3933" spans="1:15">
      <c r="A3933" t="s">
        <v>3959</v>
      </c>
      <c r="B3933" t="s">
        <v>24</v>
      </c>
      <c r="C3933">
        <v>2</v>
      </c>
      <c r="D3933">
        <v>29448509</v>
      </c>
      <c r="E3933">
        <v>1</v>
      </c>
      <c r="F3933">
        <v>14</v>
      </c>
      <c r="G3933">
        <v>987</v>
      </c>
      <c r="H3933">
        <v>6345176</v>
      </c>
      <c r="I3933">
        <v>240641</v>
      </c>
      <c r="J3933" t="s">
        <v>25</v>
      </c>
      <c r="K3933" t="s">
        <v>30</v>
      </c>
      <c r="L3933">
        <v>3</v>
      </c>
      <c r="M3933">
        <v>64.39</v>
      </c>
      <c r="N3933">
        <v>466797</v>
      </c>
      <c r="O3933">
        <v>1</v>
      </c>
    </row>
    <row r="3934" spans="1:15">
      <c r="A3934" t="s">
        <v>3960</v>
      </c>
      <c r="B3934" t="s">
        <v>29</v>
      </c>
      <c r="C3934">
        <v>1</v>
      </c>
      <c r="D3934">
        <v>7592394</v>
      </c>
      <c r="E3934">
        <v>3</v>
      </c>
      <c r="F3934">
        <v>13</v>
      </c>
      <c r="G3934">
        <v>813</v>
      </c>
      <c r="H3934">
        <v>22476851</v>
      </c>
      <c r="I3934">
        <v>607345</v>
      </c>
      <c r="J3934" t="s">
        <v>25</v>
      </c>
      <c r="K3934" t="s">
        <v>22</v>
      </c>
      <c r="L3934">
        <v>9</v>
      </c>
      <c r="M3934">
        <v>84.99</v>
      </c>
      <c r="N3934">
        <v>702198</v>
      </c>
      <c r="O3934">
        <v>1</v>
      </c>
    </row>
    <row r="3935" spans="1:15">
      <c r="A3935" t="s">
        <v>3961</v>
      </c>
      <c r="B3935" t="s">
        <v>27</v>
      </c>
      <c r="C3935">
        <v>14</v>
      </c>
      <c r="D3935">
        <v>9219274</v>
      </c>
      <c r="E3935">
        <v>4</v>
      </c>
      <c r="F3935">
        <v>6</v>
      </c>
      <c r="G3935">
        <v>48</v>
      </c>
      <c r="H3935">
        <v>7342598</v>
      </c>
      <c r="I3935">
        <v>639298</v>
      </c>
      <c r="J3935" t="s">
        <v>17</v>
      </c>
      <c r="K3935" t="s">
        <v>18</v>
      </c>
      <c r="L3935">
        <v>9</v>
      </c>
      <c r="M3935">
        <v>67.3</v>
      </c>
      <c r="N3935">
        <v>157389</v>
      </c>
      <c r="O3935">
        <v>1</v>
      </c>
    </row>
    <row r="3936" spans="1:15">
      <c r="A3936" t="s">
        <v>3962</v>
      </c>
      <c r="B3936" t="s">
        <v>29</v>
      </c>
      <c r="C3936">
        <v>7</v>
      </c>
      <c r="D3936">
        <v>6059630</v>
      </c>
      <c r="E3936">
        <v>2</v>
      </c>
      <c r="F3936">
        <v>11</v>
      </c>
      <c r="G3936">
        <v>644</v>
      </c>
      <c r="H3936">
        <v>61376357</v>
      </c>
      <c r="I3936">
        <v>656481</v>
      </c>
      <c r="J3936" t="s">
        <v>21</v>
      </c>
      <c r="K3936" t="s">
        <v>22</v>
      </c>
      <c r="L3936">
        <v>5</v>
      </c>
      <c r="M3936">
        <v>24.69</v>
      </c>
      <c r="N3936">
        <v>312799</v>
      </c>
      <c r="O3936">
        <v>1</v>
      </c>
    </row>
    <row r="3937" spans="1:15">
      <c r="A3937" t="s">
        <v>3963</v>
      </c>
      <c r="B3937" t="s">
        <v>38</v>
      </c>
      <c r="C3937">
        <v>3</v>
      </c>
      <c r="D3937">
        <v>35484757</v>
      </c>
      <c r="E3937">
        <v>3</v>
      </c>
      <c r="F3937">
        <v>23</v>
      </c>
      <c r="G3937">
        <v>739</v>
      </c>
      <c r="H3937">
        <v>87667798</v>
      </c>
      <c r="I3937">
        <v>358480</v>
      </c>
      <c r="J3937" t="s">
        <v>17</v>
      </c>
      <c r="K3937" t="s">
        <v>30</v>
      </c>
      <c r="L3937">
        <v>6</v>
      </c>
      <c r="M3937">
        <v>97.14</v>
      </c>
      <c r="N3937">
        <v>42208</v>
      </c>
      <c r="O3937">
        <v>1</v>
      </c>
    </row>
    <row r="3938" spans="1:15">
      <c r="A3938" t="s">
        <v>3964</v>
      </c>
      <c r="B3938" t="s">
        <v>32</v>
      </c>
      <c r="C3938">
        <v>13</v>
      </c>
      <c r="D3938">
        <v>30862502</v>
      </c>
      <c r="E3938">
        <v>3</v>
      </c>
      <c r="F3938">
        <v>9</v>
      </c>
      <c r="G3938">
        <v>214</v>
      </c>
      <c r="H3938">
        <v>17403882</v>
      </c>
      <c r="I3938">
        <v>552598</v>
      </c>
      <c r="J3938" t="s">
        <v>21</v>
      </c>
      <c r="K3938" t="s">
        <v>22</v>
      </c>
      <c r="L3938">
        <v>8</v>
      </c>
      <c r="M3938">
        <v>8.26</v>
      </c>
      <c r="N3938">
        <v>243359</v>
      </c>
      <c r="O3938">
        <v>1</v>
      </c>
    </row>
    <row r="3939" spans="1:15">
      <c r="A3939" t="s">
        <v>3965</v>
      </c>
      <c r="B3939" t="s">
        <v>27</v>
      </c>
      <c r="C3939">
        <v>9</v>
      </c>
      <c r="D3939">
        <v>35965307</v>
      </c>
      <c r="E3939">
        <v>3</v>
      </c>
      <c r="F3939">
        <v>9</v>
      </c>
      <c r="G3939">
        <v>607</v>
      </c>
      <c r="H3939">
        <v>1642837</v>
      </c>
      <c r="I3939">
        <v>257513</v>
      </c>
      <c r="J3939" t="s">
        <v>21</v>
      </c>
      <c r="K3939" t="s">
        <v>22</v>
      </c>
      <c r="L3939">
        <v>6</v>
      </c>
      <c r="M3939">
        <v>27.6</v>
      </c>
      <c r="N3939">
        <v>481948</v>
      </c>
      <c r="O3939">
        <v>1</v>
      </c>
    </row>
    <row r="3940" spans="1:15">
      <c r="A3940" t="s">
        <v>3966</v>
      </c>
      <c r="B3940" t="s">
        <v>27</v>
      </c>
      <c r="C3940">
        <v>7</v>
      </c>
      <c r="D3940">
        <v>19645485</v>
      </c>
      <c r="E3940">
        <v>2</v>
      </c>
      <c r="F3940">
        <v>21</v>
      </c>
      <c r="G3940">
        <v>929</v>
      </c>
      <c r="H3940">
        <v>65370709</v>
      </c>
      <c r="I3940">
        <v>784815</v>
      </c>
      <c r="J3940" t="s">
        <v>21</v>
      </c>
      <c r="K3940" t="s">
        <v>22</v>
      </c>
      <c r="L3940">
        <v>5</v>
      </c>
      <c r="M3940">
        <v>13.67</v>
      </c>
      <c r="N3940">
        <v>939204</v>
      </c>
      <c r="O3940">
        <v>1</v>
      </c>
    </row>
    <row r="3941" spans="1:15">
      <c r="A3941" t="s">
        <v>3967</v>
      </c>
      <c r="B3941" t="s">
        <v>29</v>
      </c>
      <c r="C3941">
        <v>6</v>
      </c>
      <c r="D3941">
        <v>2058221</v>
      </c>
      <c r="E3941">
        <v>3</v>
      </c>
      <c r="F3941">
        <v>26</v>
      </c>
      <c r="G3941">
        <v>169</v>
      </c>
      <c r="H3941">
        <v>73391830</v>
      </c>
      <c r="I3941">
        <v>481445</v>
      </c>
      <c r="J3941" t="s">
        <v>17</v>
      </c>
      <c r="K3941" t="s">
        <v>18</v>
      </c>
      <c r="L3941">
        <v>6</v>
      </c>
      <c r="M3941">
        <v>74.510000000000005</v>
      </c>
      <c r="N3941">
        <v>478173</v>
      </c>
      <c r="O3941">
        <v>1</v>
      </c>
    </row>
    <row r="3942" spans="1:15">
      <c r="A3942" t="s">
        <v>3968</v>
      </c>
      <c r="B3942" t="s">
        <v>29</v>
      </c>
      <c r="C3942">
        <v>4</v>
      </c>
      <c r="D3942">
        <v>20319448</v>
      </c>
      <c r="E3942">
        <v>4</v>
      </c>
      <c r="F3942">
        <v>2</v>
      </c>
      <c r="G3942">
        <v>610</v>
      </c>
      <c r="H3942">
        <v>5122385</v>
      </c>
      <c r="I3942">
        <v>611600</v>
      </c>
      <c r="J3942" t="s">
        <v>25</v>
      </c>
      <c r="K3942" t="s">
        <v>30</v>
      </c>
      <c r="L3942">
        <v>6</v>
      </c>
      <c r="M3942">
        <v>92.29</v>
      </c>
      <c r="N3942">
        <v>669688</v>
      </c>
      <c r="O3942">
        <v>1</v>
      </c>
    </row>
    <row r="3943" spans="1:15">
      <c r="A3943" t="s">
        <v>3969</v>
      </c>
      <c r="B3943" t="s">
        <v>20</v>
      </c>
      <c r="C3943">
        <v>3</v>
      </c>
      <c r="D3943">
        <v>43966883</v>
      </c>
      <c r="E3943">
        <v>1</v>
      </c>
      <c r="F3943">
        <v>10</v>
      </c>
      <c r="G3943">
        <v>977</v>
      </c>
      <c r="H3943">
        <v>75960310</v>
      </c>
      <c r="I3943">
        <v>767363</v>
      </c>
      <c r="J3943" t="s">
        <v>17</v>
      </c>
      <c r="K3943" t="s">
        <v>18</v>
      </c>
      <c r="L3943">
        <v>5</v>
      </c>
      <c r="M3943">
        <v>82.51</v>
      </c>
      <c r="N3943">
        <v>770196</v>
      </c>
      <c r="O3943">
        <v>1</v>
      </c>
    </row>
    <row r="3944" spans="1:15">
      <c r="A3944" t="s">
        <v>3970</v>
      </c>
      <c r="B3944" t="s">
        <v>32</v>
      </c>
      <c r="C3944">
        <v>0</v>
      </c>
      <c r="D3944">
        <v>1160730</v>
      </c>
      <c r="E3944">
        <v>4</v>
      </c>
      <c r="F3944">
        <v>18</v>
      </c>
      <c r="G3944">
        <v>841</v>
      </c>
      <c r="H3944">
        <v>53527397</v>
      </c>
      <c r="I3944">
        <v>518079</v>
      </c>
      <c r="J3944" t="s">
        <v>25</v>
      </c>
      <c r="K3944" t="s">
        <v>30</v>
      </c>
      <c r="L3944">
        <v>6</v>
      </c>
      <c r="M3944">
        <v>21.71</v>
      </c>
      <c r="N3944">
        <v>469724</v>
      </c>
      <c r="O3944">
        <v>1</v>
      </c>
    </row>
    <row r="3945" spans="1:15">
      <c r="A3945" t="s">
        <v>3971</v>
      </c>
      <c r="B3945" t="s">
        <v>20</v>
      </c>
      <c r="C3945">
        <v>3</v>
      </c>
      <c r="D3945">
        <v>18149117</v>
      </c>
      <c r="E3945">
        <v>1</v>
      </c>
      <c r="F3945">
        <v>23</v>
      </c>
      <c r="G3945">
        <v>547</v>
      </c>
      <c r="H3945">
        <v>38580763</v>
      </c>
      <c r="I3945">
        <v>375068</v>
      </c>
      <c r="J3945" t="s">
        <v>21</v>
      </c>
      <c r="K3945" t="s">
        <v>30</v>
      </c>
      <c r="L3945">
        <v>6</v>
      </c>
      <c r="M3945">
        <v>73.02</v>
      </c>
      <c r="N3945">
        <v>510520</v>
      </c>
      <c r="O3945">
        <v>1</v>
      </c>
    </row>
    <row r="3946" spans="1:15">
      <c r="A3946" t="s">
        <v>3972</v>
      </c>
      <c r="B3946" t="s">
        <v>24</v>
      </c>
      <c r="C3946">
        <v>1</v>
      </c>
      <c r="D3946">
        <v>17566479</v>
      </c>
      <c r="E3946">
        <v>3</v>
      </c>
      <c r="F3946">
        <v>18</v>
      </c>
      <c r="G3946">
        <v>112</v>
      </c>
      <c r="H3946">
        <v>58827135</v>
      </c>
      <c r="I3946">
        <v>749636</v>
      </c>
      <c r="J3946" t="s">
        <v>25</v>
      </c>
      <c r="K3946" t="s">
        <v>22</v>
      </c>
      <c r="L3946">
        <v>2</v>
      </c>
      <c r="M3946">
        <v>95.86</v>
      </c>
      <c r="N3946">
        <v>244889</v>
      </c>
      <c r="O3946">
        <v>1</v>
      </c>
    </row>
    <row r="3947" spans="1:15">
      <c r="A3947" t="s">
        <v>3973</v>
      </c>
      <c r="B3947" t="s">
        <v>38</v>
      </c>
      <c r="C3947">
        <v>12</v>
      </c>
      <c r="D3947">
        <v>21637733</v>
      </c>
      <c r="E3947">
        <v>4</v>
      </c>
      <c r="F3947">
        <v>19</v>
      </c>
      <c r="G3947">
        <v>623</v>
      </c>
      <c r="H3947">
        <v>52280520</v>
      </c>
      <c r="I3947">
        <v>250108</v>
      </c>
      <c r="J3947" t="s">
        <v>17</v>
      </c>
      <c r="K3947" t="s">
        <v>22</v>
      </c>
      <c r="L3947">
        <v>9</v>
      </c>
      <c r="M3947">
        <v>81.489999999999995</v>
      </c>
      <c r="N3947">
        <v>739449</v>
      </c>
      <c r="O3947">
        <v>1</v>
      </c>
    </row>
    <row r="3948" spans="1:15">
      <c r="A3948" t="s">
        <v>3974</v>
      </c>
      <c r="B3948" t="s">
        <v>29</v>
      </c>
      <c r="C3948">
        <v>7</v>
      </c>
      <c r="D3948">
        <v>34200314</v>
      </c>
      <c r="E3948">
        <v>4</v>
      </c>
      <c r="F3948">
        <v>1</v>
      </c>
      <c r="G3948">
        <v>183</v>
      </c>
      <c r="H3948">
        <v>46035694</v>
      </c>
      <c r="I3948">
        <v>965227</v>
      </c>
      <c r="J3948" t="s">
        <v>25</v>
      </c>
      <c r="K3948" t="s">
        <v>22</v>
      </c>
      <c r="L3948">
        <v>2</v>
      </c>
      <c r="M3948">
        <v>2.5</v>
      </c>
      <c r="N3948">
        <v>663323</v>
      </c>
      <c r="O3948">
        <v>1</v>
      </c>
    </row>
    <row r="3949" spans="1:15">
      <c r="A3949" t="s">
        <v>3975</v>
      </c>
      <c r="B3949" t="s">
        <v>27</v>
      </c>
      <c r="C3949">
        <v>6</v>
      </c>
      <c r="D3949">
        <v>16346442</v>
      </c>
      <c r="E3949">
        <v>1</v>
      </c>
      <c r="F3949">
        <v>7</v>
      </c>
      <c r="G3949">
        <v>723</v>
      </c>
      <c r="H3949">
        <v>32223005</v>
      </c>
      <c r="I3949">
        <v>150318</v>
      </c>
      <c r="J3949" t="s">
        <v>25</v>
      </c>
      <c r="K3949" t="s">
        <v>18</v>
      </c>
      <c r="L3949">
        <v>4</v>
      </c>
      <c r="M3949">
        <v>66.92</v>
      </c>
      <c r="N3949">
        <v>841995</v>
      </c>
      <c r="O3949">
        <v>1</v>
      </c>
    </row>
    <row r="3950" spans="1:15">
      <c r="A3950" t="s">
        <v>3976</v>
      </c>
      <c r="B3950" t="s">
        <v>32</v>
      </c>
      <c r="C3950">
        <v>2</v>
      </c>
      <c r="D3950">
        <v>3128022</v>
      </c>
      <c r="E3950">
        <v>2</v>
      </c>
      <c r="F3950">
        <v>7</v>
      </c>
      <c r="G3950">
        <v>582</v>
      </c>
      <c r="H3950">
        <v>41510593</v>
      </c>
      <c r="I3950">
        <v>361328</v>
      </c>
      <c r="J3950" t="s">
        <v>17</v>
      </c>
      <c r="K3950" t="s">
        <v>22</v>
      </c>
      <c r="L3950">
        <v>6</v>
      </c>
      <c r="M3950">
        <v>80.209999999999994</v>
      </c>
      <c r="N3950">
        <v>141802</v>
      </c>
      <c r="O3950">
        <v>1</v>
      </c>
    </row>
    <row r="3951" spans="1:15">
      <c r="A3951" t="s">
        <v>3977</v>
      </c>
      <c r="B3951" t="s">
        <v>29</v>
      </c>
      <c r="C3951">
        <v>5</v>
      </c>
      <c r="D3951">
        <v>25005762</v>
      </c>
      <c r="E3951">
        <v>2</v>
      </c>
      <c r="F3951">
        <v>15</v>
      </c>
      <c r="G3951">
        <v>416</v>
      </c>
      <c r="H3951">
        <v>69293124</v>
      </c>
      <c r="I3951">
        <v>944635</v>
      </c>
      <c r="J3951" t="s">
        <v>25</v>
      </c>
      <c r="K3951" t="s">
        <v>30</v>
      </c>
      <c r="L3951">
        <v>6</v>
      </c>
      <c r="M3951">
        <v>86.77</v>
      </c>
      <c r="N3951">
        <v>723597</v>
      </c>
      <c r="O3951">
        <v>1</v>
      </c>
    </row>
    <row r="3952" spans="1:15">
      <c r="A3952" t="s">
        <v>3978</v>
      </c>
      <c r="B3952" t="s">
        <v>32</v>
      </c>
      <c r="C3952">
        <v>14</v>
      </c>
      <c r="D3952">
        <v>46590167</v>
      </c>
      <c r="E3952">
        <v>4</v>
      </c>
      <c r="F3952">
        <v>11</v>
      </c>
      <c r="G3952">
        <v>972</v>
      </c>
      <c r="H3952">
        <v>33043285</v>
      </c>
      <c r="I3952">
        <v>529740</v>
      </c>
      <c r="J3952" t="s">
        <v>17</v>
      </c>
      <c r="K3952" t="s">
        <v>18</v>
      </c>
      <c r="L3952">
        <v>4</v>
      </c>
      <c r="M3952">
        <v>3.15</v>
      </c>
      <c r="N3952">
        <v>12277</v>
      </c>
      <c r="O3952">
        <v>1</v>
      </c>
    </row>
    <row r="3953" spans="1:15">
      <c r="A3953" t="s">
        <v>3979</v>
      </c>
      <c r="B3953" t="s">
        <v>16</v>
      </c>
      <c r="C3953">
        <v>0</v>
      </c>
      <c r="D3953">
        <v>8272449</v>
      </c>
      <c r="E3953">
        <v>4</v>
      </c>
      <c r="F3953">
        <v>4</v>
      </c>
      <c r="G3953">
        <v>517</v>
      </c>
      <c r="H3953">
        <v>75572061</v>
      </c>
      <c r="I3953">
        <v>33822</v>
      </c>
      <c r="J3953" t="s">
        <v>17</v>
      </c>
      <c r="K3953" t="s">
        <v>22</v>
      </c>
      <c r="L3953">
        <v>3</v>
      </c>
      <c r="M3953">
        <v>69.38</v>
      </c>
      <c r="N3953">
        <v>323710</v>
      </c>
      <c r="O3953">
        <v>1</v>
      </c>
    </row>
    <row r="3954" spans="1:15">
      <c r="A3954" t="s">
        <v>3980</v>
      </c>
      <c r="B3954" t="s">
        <v>29</v>
      </c>
      <c r="C3954">
        <v>11</v>
      </c>
      <c r="D3954">
        <v>36589769</v>
      </c>
      <c r="E3954">
        <v>3</v>
      </c>
      <c r="F3954">
        <v>17</v>
      </c>
      <c r="G3954">
        <v>591</v>
      </c>
      <c r="H3954">
        <v>63706716</v>
      </c>
      <c r="I3954">
        <v>313192</v>
      </c>
      <c r="J3954" t="s">
        <v>25</v>
      </c>
      <c r="K3954" t="s">
        <v>18</v>
      </c>
      <c r="L3954">
        <v>6</v>
      </c>
      <c r="M3954">
        <v>63.71</v>
      </c>
      <c r="N3954">
        <v>630398</v>
      </c>
      <c r="O3954">
        <v>1</v>
      </c>
    </row>
    <row r="3955" spans="1:15">
      <c r="A3955" t="s">
        <v>3981</v>
      </c>
      <c r="B3955" t="s">
        <v>32</v>
      </c>
      <c r="C3955">
        <v>2</v>
      </c>
      <c r="D3955">
        <v>9929657</v>
      </c>
      <c r="E3955">
        <v>2</v>
      </c>
      <c r="F3955">
        <v>14</v>
      </c>
      <c r="G3955">
        <v>323</v>
      </c>
      <c r="H3955">
        <v>72092141</v>
      </c>
      <c r="I3955">
        <v>824155</v>
      </c>
      <c r="J3955" t="s">
        <v>21</v>
      </c>
      <c r="K3955" t="s">
        <v>22</v>
      </c>
      <c r="L3955">
        <v>9</v>
      </c>
      <c r="M3955">
        <v>65.239999999999995</v>
      </c>
      <c r="N3955">
        <v>799466</v>
      </c>
      <c r="O3955">
        <v>1</v>
      </c>
    </row>
    <row r="3956" spans="1:15">
      <c r="A3956" t="s">
        <v>3982</v>
      </c>
      <c r="B3956" t="s">
        <v>24</v>
      </c>
      <c r="C3956">
        <v>9</v>
      </c>
      <c r="D3956">
        <v>45884589</v>
      </c>
      <c r="E3956">
        <v>3</v>
      </c>
      <c r="F3956">
        <v>14</v>
      </c>
      <c r="G3956">
        <v>954</v>
      </c>
      <c r="H3956">
        <v>9364621</v>
      </c>
      <c r="I3956">
        <v>490166</v>
      </c>
      <c r="J3956" t="s">
        <v>17</v>
      </c>
      <c r="K3956" t="s">
        <v>30</v>
      </c>
      <c r="L3956">
        <v>3</v>
      </c>
      <c r="M3956">
        <v>10.119999999999999</v>
      </c>
      <c r="N3956">
        <v>520827</v>
      </c>
      <c r="O3956">
        <v>1</v>
      </c>
    </row>
    <row r="3957" spans="1:15">
      <c r="A3957" t="s">
        <v>3983</v>
      </c>
      <c r="B3957" t="s">
        <v>38</v>
      </c>
      <c r="C3957">
        <v>13</v>
      </c>
      <c r="D3957">
        <v>7242014</v>
      </c>
      <c r="E3957">
        <v>2</v>
      </c>
      <c r="F3957">
        <v>23</v>
      </c>
      <c r="G3957">
        <v>800</v>
      </c>
      <c r="H3957">
        <v>93738103</v>
      </c>
      <c r="I3957">
        <v>705506</v>
      </c>
      <c r="J3957" t="s">
        <v>21</v>
      </c>
      <c r="K3957" t="s">
        <v>18</v>
      </c>
      <c r="L3957">
        <v>7</v>
      </c>
      <c r="M3957">
        <v>17.59</v>
      </c>
      <c r="N3957">
        <v>622100</v>
      </c>
      <c r="O3957">
        <v>1</v>
      </c>
    </row>
    <row r="3958" spans="1:15">
      <c r="A3958" t="s">
        <v>3984</v>
      </c>
      <c r="B3958" t="s">
        <v>16</v>
      </c>
      <c r="C3958">
        <v>8</v>
      </c>
      <c r="D3958">
        <v>35986783</v>
      </c>
      <c r="E3958">
        <v>4</v>
      </c>
      <c r="F3958">
        <v>10</v>
      </c>
      <c r="G3958">
        <v>885</v>
      </c>
      <c r="H3958">
        <v>74873673</v>
      </c>
      <c r="I3958">
        <v>928942</v>
      </c>
      <c r="J3958" t="s">
        <v>17</v>
      </c>
      <c r="K3958" t="s">
        <v>30</v>
      </c>
      <c r="L3958">
        <v>6</v>
      </c>
      <c r="M3958">
        <v>18.260000000000002</v>
      </c>
      <c r="N3958">
        <v>72967</v>
      </c>
      <c r="O3958">
        <v>1</v>
      </c>
    </row>
    <row r="3959" spans="1:15">
      <c r="A3959" t="s">
        <v>3985</v>
      </c>
      <c r="B3959" t="s">
        <v>38</v>
      </c>
      <c r="C3959">
        <v>7</v>
      </c>
      <c r="D3959">
        <v>23711387</v>
      </c>
      <c r="E3959">
        <v>1</v>
      </c>
      <c r="F3959">
        <v>28</v>
      </c>
      <c r="G3959">
        <v>938</v>
      </c>
      <c r="H3959">
        <v>60166704</v>
      </c>
      <c r="I3959">
        <v>710741</v>
      </c>
      <c r="J3959" t="s">
        <v>17</v>
      </c>
      <c r="K3959" t="s">
        <v>18</v>
      </c>
      <c r="L3959">
        <v>9</v>
      </c>
      <c r="M3959">
        <v>75.52</v>
      </c>
      <c r="N3959">
        <v>581398</v>
      </c>
      <c r="O3959">
        <v>1</v>
      </c>
    </row>
    <row r="3960" spans="1:15">
      <c r="A3960" t="s">
        <v>3986</v>
      </c>
      <c r="B3960" t="s">
        <v>24</v>
      </c>
      <c r="C3960">
        <v>4</v>
      </c>
      <c r="D3960">
        <v>40871641</v>
      </c>
      <c r="E3960">
        <v>4</v>
      </c>
      <c r="F3960">
        <v>7</v>
      </c>
      <c r="G3960">
        <v>733</v>
      </c>
      <c r="H3960">
        <v>63579787</v>
      </c>
      <c r="I3960">
        <v>387406</v>
      </c>
      <c r="J3960" t="s">
        <v>21</v>
      </c>
      <c r="K3960" t="s">
        <v>18</v>
      </c>
      <c r="L3960">
        <v>1</v>
      </c>
      <c r="M3960">
        <v>19.899999999999999</v>
      </c>
      <c r="N3960">
        <v>32357</v>
      </c>
      <c r="O3960">
        <v>1</v>
      </c>
    </row>
    <row r="3961" spans="1:15">
      <c r="A3961" t="s">
        <v>3987</v>
      </c>
      <c r="B3961" t="s">
        <v>27</v>
      </c>
      <c r="C3961">
        <v>4</v>
      </c>
      <c r="D3961">
        <v>25768711</v>
      </c>
      <c r="E3961">
        <v>3</v>
      </c>
      <c r="F3961">
        <v>19</v>
      </c>
      <c r="G3961">
        <v>726</v>
      </c>
      <c r="H3961">
        <v>80411494</v>
      </c>
      <c r="I3961">
        <v>510378</v>
      </c>
      <c r="J3961" t="s">
        <v>21</v>
      </c>
      <c r="K3961" t="s">
        <v>30</v>
      </c>
      <c r="L3961">
        <v>1</v>
      </c>
      <c r="M3961">
        <v>19.32</v>
      </c>
      <c r="N3961">
        <v>610023</v>
      </c>
      <c r="O3961">
        <v>1</v>
      </c>
    </row>
    <row r="3962" spans="1:15">
      <c r="A3962" t="s">
        <v>3988</v>
      </c>
      <c r="B3962" t="s">
        <v>32</v>
      </c>
      <c r="C3962">
        <v>9</v>
      </c>
      <c r="D3962">
        <v>27803184</v>
      </c>
      <c r="E3962">
        <v>4</v>
      </c>
      <c r="F3962">
        <v>8</v>
      </c>
      <c r="G3962">
        <v>208</v>
      </c>
      <c r="H3962">
        <v>96609667</v>
      </c>
      <c r="I3962">
        <v>651764</v>
      </c>
      <c r="J3962" t="s">
        <v>25</v>
      </c>
      <c r="K3962" t="s">
        <v>30</v>
      </c>
      <c r="L3962">
        <v>1</v>
      </c>
      <c r="M3962">
        <v>33.979999999999997</v>
      </c>
      <c r="N3962">
        <v>205718</v>
      </c>
      <c r="O3962">
        <v>1</v>
      </c>
    </row>
    <row r="3963" spans="1:15">
      <c r="A3963" t="s">
        <v>3989</v>
      </c>
      <c r="B3963" t="s">
        <v>38</v>
      </c>
      <c r="C3963">
        <v>14</v>
      </c>
      <c r="D3963">
        <v>6161597</v>
      </c>
      <c r="E3963">
        <v>2</v>
      </c>
      <c r="F3963">
        <v>9</v>
      </c>
      <c r="G3963">
        <v>241</v>
      </c>
      <c r="H3963">
        <v>57897277</v>
      </c>
      <c r="I3963">
        <v>745087</v>
      </c>
      <c r="J3963" t="s">
        <v>17</v>
      </c>
      <c r="K3963" t="s">
        <v>18</v>
      </c>
      <c r="L3963">
        <v>1</v>
      </c>
      <c r="M3963">
        <v>20.100000000000001</v>
      </c>
      <c r="N3963">
        <v>670590</v>
      </c>
      <c r="O3963">
        <v>1</v>
      </c>
    </row>
    <row r="3964" spans="1:15">
      <c r="A3964" t="s">
        <v>3990</v>
      </c>
      <c r="B3964" t="s">
        <v>20</v>
      </c>
      <c r="C3964">
        <v>11</v>
      </c>
      <c r="D3964">
        <v>1362247</v>
      </c>
      <c r="E3964">
        <v>1</v>
      </c>
      <c r="F3964">
        <v>2</v>
      </c>
      <c r="G3964">
        <v>799</v>
      </c>
      <c r="H3964">
        <v>45198879</v>
      </c>
      <c r="I3964">
        <v>919466</v>
      </c>
      <c r="J3964" t="s">
        <v>25</v>
      </c>
      <c r="K3964" t="s">
        <v>22</v>
      </c>
      <c r="L3964">
        <v>2</v>
      </c>
      <c r="M3964">
        <v>55.9</v>
      </c>
      <c r="N3964">
        <v>431458</v>
      </c>
      <c r="O3964">
        <v>1</v>
      </c>
    </row>
    <row r="3965" spans="1:15">
      <c r="A3965" t="s">
        <v>3991</v>
      </c>
      <c r="B3965" t="s">
        <v>16</v>
      </c>
      <c r="C3965">
        <v>6</v>
      </c>
      <c r="D3965">
        <v>41854996</v>
      </c>
      <c r="E3965">
        <v>3</v>
      </c>
      <c r="F3965">
        <v>13</v>
      </c>
      <c r="G3965">
        <v>320</v>
      </c>
      <c r="H3965">
        <v>68862919</v>
      </c>
      <c r="I3965">
        <v>409372</v>
      </c>
      <c r="J3965" t="s">
        <v>21</v>
      </c>
      <c r="K3965" t="s">
        <v>18</v>
      </c>
      <c r="L3965">
        <v>9</v>
      </c>
      <c r="M3965">
        <v>39.82</v>
      </c>
      <c r="N3965">
        <v>463949</v>
      </c>
      <c r="O3965">
        <v>1</v>
      </c>
    </row>
    <row r="3966" spans="1:15">
      <c r="A3966" t="s">
        <v>3992</v>
      </c>
      <c r="B3966" t="s">
        <v>20</v>
      </c>
      <c r="C3966">
        <v>5</v>
      </c>
      <c r="D3966">
        <v>39151430</v>
      </c>
      <c r="E3966">
        <v>1</v>
      </c>
      <c r="F3966">
        <v>17</v>
      </c>
      <c r="G3966">
        <v>125</v>
      </c>
      <c r="H3966">
        <v>26611896</v>
      </c>
      <c r="I3966">
        <v>958592</v>
      </c>
      <c r="J3966" t="s">
        <v>17</v>
      </c>
      <c r="K3966" t="s">
        <v>18</v>
      </c>
      <c r="L3966">
        <v>3</v>
      </c>
      <c r="M3966">
        <v>8.35</v>
      </c>
      <c r="N3966">
        <v>484633</v>
      </c>
      <c r="O3966">
        <v>1</v>
      </c>
    </row>
    <row r="3967" spans="1:15">
      <c r="A3967" t="s">
        <v>3993</v>
      </c>
      <c r="B3967" t="s">
        <v>29</v>
      </c>
      <c r="C3967">
        <v>5</v>
      </c>
      <c r="D3967">
        <v>41685625</v>
      </c>
      <c r="E3967">
        <v>2</v>
      </c>
      <c r="F3967">
        <v>7</v>
      </c>
      <c r="G3967">
        <v>676</v>
      </c>
      <c r="H3967">
        <v>90143082</v>
      </c>
      <c r="I3967">
        <v>440726</v>
      </c>
      <c r="J3967" t="s">
        <v>25</v>
      </c>
      <c r="K3967" t="s">
        <v>30</v>
      </c>
      <c r="L3967">
        <v>4</v>
      </c>
      <c r="M3967">
        <v>22.87</v>
      </c>
      <c r="N3967">
        <v>825394</v>
      </c>
      <c r="O3967">
        <v>1</v>
      </c>
    </row>
    <row r="3968" spans="1:15">
      <c r="A3968" t="s">
        <v>3994</v>
      </c>
      <c r="B3968" t="s">
        <v>29</v>
      </c>
      <c r="C3968">
        <v>4</v>
      </c>
      <c r="D3968">
        <v>34466706</v>
      </c>
      <c r="E3968">
        <v>3</v>
      </c>
      <c r="F3968">
        <v>0</v>
      </c>
      <c r="G3968">
        <v>791</v>
      </c>
      <c r="H3968">
        <v>40682528</v>
      </c>
      <c r="I3968">
        <v>346961</v>
      </c>
      <c r="J3968" t="s">
        <v>21</v>
      </c>
      <c r="K3968" t="s">
        <v>30</v>
      </c>
      <c r="L3968">
        <v>2</v>
      </c>
      <c r="M3968">
        <v>47.43</v>
      </c>
      <c r="N3968">
        <v>849743</v>
      </c>
      <c r="O3968">
        <v>1</v>
      </c>
    </row>
    <row r="3969" spans="1:15">
      <c r="A3969" t="s">
        <v>3995</v>
      </c>
      <c r="B3969" t="s">
        <v>29</v>
      </c>
      <c r="C3969">
        <v>14</v>
      </c>
      <c r="D3969">
        <v>39344179</v>
      </c>
      <c r="E3969">
        <v>3</v>
      </c>
      <c r="F3969">
        <v>8</v>
      </c>
      <c r="G3969">
        <v>263</v>
      </c>
      <c r="H3969">
        <v>26482191</v>
      </c>
      <c r="I3969">
        <v>459454</v>
      </c>
      <c r="J3969" t="s">
        <v>25</v>
      </c>
      <c r="K3969" t="s">
        <v>30</v>
      </c>
      <c r="L3969">
        <v>4</v>
      </c>
      <c r="M3969">
        <v>73.650000000000006</v>
      </c>
      <c r="N3969">
        <v>679162</v>
      </c>
      <c r="O3969">
        <v>1</v>
      </c>
    </row>
    <row r="3970" spans="1:15">
      <c r="A3970" t="s">
        <v>3996</v>
      </c>
      <c r="B3970" t="s">
        <v>29</v>
      </c>
      <c r="C3970">
        <v>9</v>
      </c>
      <c r="D3970">
        <v>39931174</v>
      </c>
      <c r="E3970">
        <v>1</v>
      </c>
      <c r="F3970">
        <v>20</v>
      </c>
      <c r="G3970">
        <v>146</v>
      </c>
      <c r="H3970">
        <v>78508115</v>
      </c>
      <c r="I3970">
        <v>690690</v>
      </c>
      <c r="J3970" t="s">
        <v>17</v>
      </c>
      <c r="K3970" t="s">
        <v>30</v>
      </c>
      <c r="L3970">
        <v>9</v>
      </c>
      <c r="M3970">
        <v>42.63</v>
      </c>
      <c r="N3970">
        <v>338308</v>
      </c>
      <c r="O3970">
        <v>1</v>
      </c>
    </row>
    <row r="3971" spans="1:15">
      <c r="A3971" t="s">
        <v>3997</v>
      </c>
      <c r="B3971" t="s">
        <v>20</v>
      </c>
      <c r="C3971">
        <v>5</v>
      </c>
      <c r="D3971">
        <v>13496973</v>
      </c>
      <c r="E3971">
        <v>3</v>
      </c>
      <c r="F3971">
        <v>29</v>
      </c>
      <c r="G3971">
        <v>52</v>
      </c>
      <c r="H3971">
        <v>12734126</v>
      </c>
      <c r="I3971">
        <v>736029</v>
      </c>
      <c r="J3971" t="s">
        <v>25</v>
      </c>
      <c r="K3971" t="s">
        <v>18</v>
      </c>
      <c r="L3971">
        <v>1</v>
      </c>
      <c r="M3971">
        <v>18.16</v>
      </c>
      <c r="N3971">
        <v>870874</v>
      </c>
      <c r="O3971">
        <v>1</v>
      </c>
    </row>
    <row r="3972" spans="1:15">
      <c r="A3972" t="s">
        <v>3998</v>
      </c>
      <c r="B3972" t="s">
        <v>32</v>
      </c>
      <c r="C3972">
        <v>11</v>
      </c>
      <c r="D3972">
        <v>47399677</v>
      </c>
      <c r="E3972">
        <v>3</v>
      </c>
      <c r="F3972">
        <v>14</v>
      </c>
      <c r="G3972">
        <v>989</v>
      </c>
      <c r="H3972">
        <v>83687251</v>
      </c>
      <c r="I3972">
        <v>570288</v>
      </c>
      <c r="J3972" t="s">
        <v>25</v>
      </c>
      <c r="K3972" t="s">
        <v>30</v>
      </c>
      <c r="L3972">
        <v>3</v>
      </c>
      <c r="M3972">
        <v>17.350000000000001</v>
      </c>
      <c r="N3972">
        <v>672441</v>
      </c>
      <c r="O3972">
        <v>1</v>
      </c>
    </row>
    <row r="3973" spans="1:15">
      <c r="A3973" t="s">
        <v>3999</v>
      </c>
      <c r="B3973" t="s">
        <v>16</v>
      </c>
      <c r="C3973">
        <v>7</v>
      </c>
      <c r="D3973">
        <v>34200525</v>
      </c>
      <c r="E3973">
        <v>4</v>
      </c>
      <c r="F3973">
        <v>5</v>
      </c>
      <c r="G3973">
        <v>863</v>
      </c>
      <c r="H3973">
        <v>32864667</v>
      </c>
      <c r="I3973">
        <v>778555</v>
      </c>
      <c r="J3973" t="s">
        <v>25</v>
      </c>
      <c r="K3973" t="s">
        <v>22</v>
      </c>
      <c r="L3973">
        <v>9</v>
      </c>
      <c r="M3973">
        <v>20.72</v>
      </c>
      <c r="N3973">
        <v>553201</v>
      </c>
      <c r="O3973">
        <v>1</v>
      </c>
    </row>
    <row r="3974" spans="1:15">
      <c r="A3974" t="s">
        <v>4000</v>
      </c>
      <c r="B3974" t="s">
        <v>32</v>
      </c>
      <c r="C3974">
        <v>9</v>
      </c>
      <c r="D3974">
        <v>13860082</v>
      </c>
      <c r="E3974">
        <v>1</v>
      </c>
      <c r="F3974">
        <v>15</v>
      </c>
      <c r="G3974">
        <v>275</v>
      </c>
      <c r="H3974">
        <v>36618575</v>
      </c>
      <c r="I3974">
        <v>185487</v>
      </c>
      <c r="J3974" t="s">
        <v>21</v>
      </c>
      <c r="K3974" t="s">
        <v>18</v>
      </c>
      <c r="L3974">
        <v>1</v>
      </c>
      <c r="M3974">
        <v>89</v>
      </c>
      <c r="N3974">
        <v>665819</v>
      </c>
      <c r="O3974">
        <v>1</v>
      </c>
    </row>
    <row r="3975" spans="1:15">
      <c r="A3975" t="s">
        <v>4001</v>
      </c>
      <c r="B3975" t="s">
        <v>38</v>
      </c>
      <c r="C3975">
        <v>11</v>
      </c>
      <c r="D3975">
        <v>28036742</v>
      </c>
      <c r="E3975">
        <v>2</v>
      </c>
      <c r="F3975">
        <v>18</v>
      </c>
      <c r="G3975">
        <v>367</v>
      </c>
      <c r="H3975">
        <v>31228352</v>
      </c>
      <c r="I3975">
        <v>57860</v>
      </c>
      <c r="J3975" t="s">
        <v>21</v>
      </c>
      <c r="K3975" t="s">
        <v>22</v>
      </c>
      <c r="L3975">
        <v>1</v>
      </c>
      <c r="M3975">
        <v>70.63</v>
      </c>
      <c r="N3975">
        <v>98586</v>
      </c>
      <c r="O3975">
        <v>1</v>
      </c>
    </row>
    <row r="3976" spans="1:15">
      <c r="A3976" t="s">
        <v>4002</v>
      </c>
      <c r="B3976" t="s">
        <v>24</v>
      </c>
      <c r="C3976">
        <v>13</v>
      </c>
      <c r="D3976">
        <v>9440477</v>
      </c>
      <c r="E3976">
        <v>4</v>
      </c>
      <c r="F3976">
        <v>28</v>
      </c>
      <c r="G3976">
        <v>912</v>
      </c>
      <c r="H3976">
        <v>84498738</v>
      </c>
      <c r="I3976">
        <v>284280</v>
      </c>
      <c r="J3976" t="s">
        <v>21</v>
      </c>
      <c r="K3976" t="s">
        <v>22</v>
      </c>
      <c r="L3976">
        <v>4</v>
      </c>
      <c r="M3976">
        <v>39.49</v>
      </c>
      <c r="N3976">
        <v>278842</v>
      </c>
      <c r="O3976">
        <v>1</v>
      </c>
    </row>
    <row r="3977" spans="1:15">
      <c r="A3977" t="s">
        <v>4003</v>
      </c>
      <c r="B3977" t="s">
        <v>27</v>
      </c>
      <c r="C3977">
        <v>10</v>
      </c>
      <c r="D3977">
        <v>42104879</v>
      </c>
      <c r="E3977">
        <v>2</v>
      </c>
      <c r="F3977">
        <v>14</v>
      </c>
      <c r="G3977">
        <v>875</v>
      </c>
      <c r="H3977">
        <v>69379600</v>
      </c>
      <c r="I3977">
        <v>354074</v>
      </c>
      <c r="J3977" t="s">
        <v>21</v>
      </c>
      <c r="K3977" t="s">
        <v>30</v>
      </c>
      <c r="L3977">
        <v>6</v>
      </c>
      <c r="M3977">
        <v>83.51</v>
      </c>
      <c r="N3977">
        <v>748214</v>
      </c>
      <c r="O3977">
        <v>1</v>
      </c>
    </row>
    <row r="3978" spans="1:15">
      <c r="A3978" t="s">
        <v>4004</v>
      </c>
      <c r="B3978" t="s">
        <v>32</v>
      </c>
      <c r="C3978">
        <v>2</v>
      </c>
      <c r="D3978">
        <v>18456481</v>
      </c>
      <c r="E3978">
        <v>3</v>
      </c>
      <c r="F3978">
        <v>18</v>
      </c>
      <c r="G3978">
        <v>25</v>
      </c>
      <c r="H3978">
        <v>27128369</v>
      </c>
      <c r="I3978">
        <v>21853</v>
      </c>
      <c r="J3978" t="s">
        <v>25</v>
      </c>
      <c r="K3978" t="s">
        <v>30</v>
      </c>
      <c r="L3978">
        <v>4</v>
      </c>
      <c r="M3978">
        <v>27.85</v>
      </c>
      <c r="N3978">
        <v>110725</v>
      </c>
      <c r="O3978">
        <v>1</v>
      </c>
    </row>
    <row r="3979" spans="1:15">
      <c r="A3979" t="s">
        <v>4005</v>
      </c>
      <c r="B3979" t="s">
        <v>38</v>
      </c>
      <c r="C3979">
        <v>13</v>
      </c>
      <c r="D3979">
        <v>30268893</v>
      </c>
      <c r="E3979">
        <v>1</v>
      </c>
      <c r="F3979">
        <v>26</v>
      </c>
      <c r="G3979">
        <v>603</v>
      </c>
      <c r="H3979">
        <v>6550117</v>
      </c>
      <c r="I3979">
        <v>828463</v>
      </c>
      <c r="J3979" t="s">
        <v>25</v>
      </c>
      <c r="K3979" t="s">
        <v>22</v>
      </c>
      <c r="L3979">
        <v>2</v>
      </c>
      <c r="M3979">
        <v>43.76</v>
      </c>
      <c r="N3979">
        <v>628984</v>
      </c>
      <c r="O3979">
        <v>1</v>
      </c>
    </row>
    <row r="3980" spans="1:15">
      <c r="A3980" t="s">
        <v>4006</v>
      </c>
      <c r="B3980" t="s">
        <v>27</v>
      </c>
      <c r="C3980">
        <v>11</v>
      </c>
      <c r="D3980">
        <v>12435397</v>
      </c>
      <c r="E3980">
        <v>2</v>
      </c>
      <c r="F3980">
        <v>3</v>
      </c>
      <c r="G3980">
        <v>527</v>
      </c>
      <c r="H3980">
        <v>28121894</v>
      </c>
      <c r="I3980">
        <v>258517</v>
      </c>
      <c r="J3980" t="s">
        <v>25</v>
      </c>
      <c r="K3980" t="s">
        <v>30</v>
      </c>
      <c r="L3980">
        <v>6</v>
      </c>
      <c r="M3980">
        <v>40.840000000000003</v>
      </c>
      <c r="N3980">
        <v>33164</v>
      </c>
      <c r="O3980">
        <v>1</v>
      </c>
    </row>
    <row r="3981" spans="1:15">
      <c r="A3981" t="s">
        <v>4007</v>
      </c>
      <c r="B3981" t="s">
        <v>16</v>
      </c>
      <c r="C3981">
        <v>4</v>
      </c>
      <c r="D3981">
        <v>10496405</v>
      </c>
      <c r="E3981">
        <v>4</v>
      </c>
      <c r="F3981">
        <v>18</v>
      </c>
      <c r="G3981">
        <v>888</v>
      </c>
      <c r="H3981">
        <v>53794676</v>
      </c>
      <c r="I3981">
        <v>540563</v>
      </c>
      <c r="J3981" t="s">
        <v>17</v>
      </c>
      <c r="K3981" t="s">
        <v>18</v>
      </c>
      <c r="L3981">
        <v>8</v>
      </c>
      <c r="M3981">
        <v>72.23</v>
      </c>
      <c r="N3981">
        <v>761354</v>
      </c>
      <c r="O3981">
        <v>1</v>
      </c>
    </row>
    <row r="3982" spans="1:15">
      <c r="A3982" t="s">
        <v>4008</v>
      </c>
      <c r="B3982" t="s">
        <v>27</v>
      </c>
      <c r="C3982">
        <v>12</v>
      </c>
      <c r="D3982">
        <v>19441197</v>
      </c>
      <c r="E3982">
        <v>1</v>
      </c>
      <c r="F3982">
        <v>11</v>
      </c>
      <c r="G3982">
        <v>2</v>
      </c>
      <c r="H3982">
        <v>71856897</v>
      </c>
      <c r="I3982">
        <v>307978</v>
      </c>
      <c r="J3982" t="s">
        <v>21</v>
      </c>
      <c r="K3982" t="s">
        <v>18</v>
      </c>
      <c r="L3982">
        <v>8</v>
      </c>
      <c r="M3982">
        <v>78.97</v>
      </c>
      <c r="N3982">
        <v>749805</v>
      </c>
      <c r="O3982">
        <v>1</v>
      </c>
    </row>
    <row r="3983" spans="1:15">
      <c r="A3983" t="s">
        <v>4009</v>
      </c>
      <c r="B3983" t="s">
        <v>20</v>
      </c>
      <c r="C3983">
        <v>10</v>
      </c>
      <c r="D3983">
        <v>16206193</v>
      </c>
      <c r="E3983">
        <v>1</v>
      </c>
      <c r="F3983">
        <v>27</v>
      </c>
      <c r="G3983">
        <v>21</v>
      </c>
      <c r="H3983">
        <v>55274675</v>
      </c>
      <c r="I3983">
        <v>207802</v>
      </c>
      <c r="J3983" t="s">
        <v>17</v>
      </c>
      <c r="K3983" t="s">
        <v>22</v>
      </c>
      <c r="L3983">
        <v>9</v>
      </c>
      <c r="M3983">
        <v>77.92</v>
      </c>
      <c r="N3983">
        <v>706157</v>
      </c>
      <c r="O3983">
        <v>1</v>
      </c>
    </row>
    <row r="3984" spans="1:15">
      <c r="A3984" t="s">
        <v>4010</v>
      </c>
      <c r="B3984" t="s">
        <v>32</v>
      </c>
      <c r="C3984">
        <v>13</v>
      </c>
      <c r="D3984">
        <v>24155229</v>
      </c>
      <c r="E3984">
        <v>2</v>
      </c>
      <c r="F3984">
        <v>4</v>
      </c>
      <c r="G3984">
        <v>875</v>
      </c>
      <c r="H3984">
        <v>50600929</v>
      </c>
      <c r="I3984">
        <v>179465</v>
      </c>
      <c r="J3984" t="s">
        <v>21</v>
      </c>
      <c r="K3984" t="s">
        <v>18</v>
      </c>
      <c r="L3984">
        <v>8</v>
      </c>
      <c r="M3984">
        <v>94.53</v>
      </c>
      <c r="N3984">
        <v>35330</v>
      </c>
      <c r="O3984">
        <v>1</v>
      </c>
    </row>
    <row r="3985" spans="1:15">
      <c r="A3985" t="s">
        <v>4011</v>
      </c>
      <c r="B3985" t="s">
        <v>38</v>
      </c>
      <c r="C3985">
        <v>0</v>
      </c>
      <c r="D3985">
        <v>7711415</v>
      </c>
      <c r="E3985">
        <v>2</v>
      </c>
      <c r="F3985">
        <v>9</v>
      </c>
      <c r="G3985">
        <v>3</v>
      </c>
      <c r="H3985">
        <v>50229455</v>
      </c>
      <c r="I3985">
        <v>581050</v>
      </c>
      <c r="J3985" t="s">
        <v>25</v>
      </c>
      <c r="K3985" t="s">
        <v>18</v>
      </c>
      <c r="L3985">
        <v>6</v>
      </c>
      <c r="M3985">
        <v>90.94</v>
      </c>
      <c r="N3985">
        <v>28256</v>
      </c>
      <c r="O3985">
        <v>1</v>
      </c>
    </row>
    <row r="3986" spans="1:15">
      <c r="A3986" t="s">
        <v>4012</v>
      </c>
      <c r="B3986" t="s">
        <v>20</v>
      </c>
      <c r="C3986">
        <v>7</v>
      </c>
      <c r="D3986">
        <v>749835</v>
      </c>
      <c r="E3986">
        <v>1</v>
      </c>
      <c r="F3986">
        <v>13</v>
      </c>
      <c r="G3986">
        <v>314</v>
      </c>
      <c r="H3986">
        <v>23756352</v>
      </c>
      <c r="I3986">
        <v>910279</v>
      </c>
      <c r="J3986" t="s">
        <v>25</v>
      </c>
      <c r="K3986" t="s">
        <v>30</v>
      </c>
      <c r="L3986">
        <v>2</v>
      </c>
      <c r="M3986">
        <v>40.61</v>
      </c>
      <c r="N3986">
        <v>496681</v>
      </c>
      <c r="O3986">
        <v>1</v>
      </c>
    </row>
    <row r="3987" spans="1:15">
      <c r="A3987" t="s">
        <v>4013</v>
      </c>
      <c r="B3987" t="s">
        <v>24</v>
      </c>
      <c r="C3987">
        <v>12</v>
      </c>
      <c r="D3987">
        <v>17706398</v>
      </c>
      <c r="E3987">
        <v>4</v>
      </c>
      <c r="F3987">
        <v>5</v>
      </c>
      <c r="G3987">
        <v>173</v>
      </c>
      <c r="H3987">
        <v>84548947</v>
      </c>
      <c r="I3987">
        <v>439369</v>
      </c>
      <c r="J3987" t="s">
        <v>21</v>
      </c>
      <c r="K3987" t="s">
        <v>22</v>
      </c>
      <c r="L3987">
        <v>9</v>
      </c>
      <c r="M3987">
        <v>4.53</v>
      </c>
      <c r="N3987">
        <v>795247</v>
      </c>
      <c r="O3987">
        <v>1</v>
      </c>
    </row>
    <row r="3988" spans="1:15">
      <c r="A3988" t="s">
        <v>4014</v>
      </c>
      <c r="B3988" t="s">
        <v>16</v>
      </c>
      <c r="C3988">
        <v>5</v>
      </c>
      <c r="D3988">
        <v>43087380</v>
      </c>
      <c r="E3988">
        <v>4</v>
      </c>
      <c r="F3988">
        <v>11</v>
      </c>
      <c r="G3988">
        <v>784</v>
      </c>
      <c r="H3988">
        <v>47661345</v>
      </c>
      <c r="I3988">
        <v>618436</v>
      </c>
      <c r="J3988" t="s">
        <v>17</v>
      </c>
      <c r="K3988" t="s">
        <v>22</v>
      </c>
      <c r="L3988">
        <v>9</v>
      </c>
      <c r="M3988">
        <v>71.78</v>
      </c>
      <c r="N3988">
        <v>933596</v>
      </c>
      <c r="O3988">
        <v>1</v>
      </c>
    </row>
    <row r="3989" spans="1:15">
      <c r="A3989" t="s">
        <v>4015</v>
      </c>
      <c r="B3989" t="s">
        <v>32</v>
      </c>
      <c r="C3989">
        <v>5</v>
      </c>
      <c r="D3989">
        <v>7236744</v>
      </c>
      <c r="E3989">
        <v>4</v>
      </c>
      <c r="F3989">
        <v>8</v>
      </c>
      <c r="G3989">
        <v>120</v>
      </c>
      <c r="H3989">
        <v>93055543</v>
      </c>
      <c r="I3989">
        <v>560646</v>
      </c>
      <c r="J3989" t="s">
        <v>25</v>
      </c>
      <c r="K3989" t="s">
        <v>22</v>
      </c>
      <c r="L3989">
        <v>3</v>
      </c>
      <c r="M3989">
        <v>37.369999999999997</v>
      </c>
      <c r="N3989">
        <v>84106</v>
      </c>
      <c r="O3989">
        <v>1</v>
      </c>
    </row>
    <row r="3990" spans="1:15">
      <c r="A3990" t="s">
        <v>4016</v>
      </c>
      <c r="B3990" t="s">
        <v>24</v>
      </c>
      <c r="C3990">
        <v>0</v>
      </c>
      <c r="D3990">
        <v>15185050</v>
      </c>
      <c r="E3990">
        <v>1</v>
      </c>
      <c r="F3990">
        <v>11</v>
      </c>
      <c r="G3990">
        <v>250</v>
      </c>
      <c r="H3990">
        <v>61798230</v>
      </c>
      <c r="I3990">
        <v>265923</v>
      </c>
      <c r="J3990" t="s">
        <v>17</v>
      </c>
      <c r="K3990" t="s">
        <v>22</v>
      </c>
      <c r="L3990">
        <v>1</v>
      </c>
      <c r="M3990">
        <v>27.3</v>
      </c>
      <c r="N3990">
        <v>454721</v>
      </c>
      <c r="O3990">
        <v>1</v>
      </c>
    </row>
    <row r="3991" spans="1:15">
      <c r="A3991" t="s">
        <v>4017</v>
      </c>
      <c r="B3991" t="s">
        <v>24</v>
      </c>
      <c r="C3991">
        <v>13</v>
      </c>
      <c r="D3991">
        <v>19524520</v>
      </c>
      <c r="E3991">
        <v>3</v>
      </c>
      <c r="F3991">
        <v>4</v>
      </c>
      <c r="G3991">
        <v>417</v>
      </c>
      <c r="H3991">
        <v>65258196</v>
      </c>
      <c r="I3991">
        <v>580979</v>
      </c>
      <c r="J3991" t="s">
        <v>21</v>
      </c>
      <c r="K3991" t="s">
        <v>18</v>
      </c>
      <c r="L3991">
        <v>2</v>
      </c>
      <c r="M3991">
        <v>51.32</v>
      </c>
      <c r="N3991">
        <v>122601</v>
      </c>
      <c r="O3991">
        <v>1</v>
      </c>
    </row>
    <row r="3992" spans="1:15">
      <c r="A3992" t="s">
        <v>4018</v>
      </c>
      <c r="B3992" t="s">
        <v>24</v>
      </c>
      <c r="C3992">
        <v>14</v>
      </c>
      <c r="D3992">
        <v>47425683</v>
      </c>
      <c r="E3992">
        <v>1</v>
      </c>
      <c r="F3992">
        <v>2</v>
      </c>
      <c r="G3992">
        <v>515</v>
      </c>
      <c r="H3992">
        <v>34195667</v>
      </c>
      <c r="I3992">
        <v>369067</v>
      </c>
      <c r="J3992" t="s">
        <v>25</v>
      </c>
      <c r="K3992" t="s">
        <v>22</v>
      </c>
      <c r="L3992">
        <v>4</v>
      </c>
      <c r="M3992">
        <v>86.74</v>
      </c>
      <c r="N3992">
        <v>773702</v>
      </c>
      <c r="O3992">
        <v>1</v>
      </c>
    </row>
    <row r="3993" spans="1:15">
      <c r="A3993" t="s">
        <v>4019</v>
      </c>
      <c r="B3993" t="s">
        <v>27</v>
      </c>
      <c r="C3993">
        <v>2</v>
      </c>
      <c r="D3993">
        <v>24111306</v>
      </c>
      <c r="E3993">
        <v>4</v>
      </c>
      <c r="F3993">
        <v>12</v>
      </c>
      <c r="G3993">
        <v>137</v>
      </c>
      <c r="H3993">
        <v>84740801</v>
      </c>
      <c r="I3993">
        <v>708164</v>
      </c>
      <c r="J3993" t="s">
        <v>21</v>
      </c>
      <c r="K3993" t="s">
        <v>30</v>
      </c>
      <c r="L3993">
        <v>6</v>
      </c>
      <c r="M3993">
        <v>67.33</v>
      </c>
      <c r="N3993">
        <v>25661</v>
      </c>
      <c r="O3993">
        <v>1</v>
      </c>
    </row>
    <row r="3994" spans="1:15">
      <c r="A3994" t="s">
        <v>4020</v>
      </c>
      <c r="B3994" t="s">
        <v>16</v>
      </c>
      <c r="C3994">
        <v>2</v>
      </c>
      <c r="D3994">
        <v>26426957</v>
      </c>
      <c r="E3994">
        <v>2</v>
      </c>
      <c r="F3994">
        <v>9</v>
      </c>
      <c r="G3994">
        <v>616</v>
      </c>
      <c r="H3994">
        <v>82246160</v>
      </c>
      <c r="I3994">
        <v>222816</v>
      </c>
      <c r="J3994" t="s">
        <v>21</v>
      </c>
      <c r="K3994" t="s">
        <v>22</v>
      </c>
      <c r="L3994">
        <v>8</v>
      </c>
      <c r="M3994">
        <v>92.32</v>
      </c>
      <c r="N3994">
        <v>532696</v>
      </c>
      <c r="O3994">
        <v>1</v>
      </c>
    </row>
    <row r="3995" spans="1:15">
      <c r="A3995" t="s">
        <v>4021</v>
      </c>
      <c r="B3995" t="s">
        <v>29</v>
      </c>
      <c r="C3995">
        <v>2</v>
      </c>
      <c r="D3995">
        <v>1428070</v>
      </c>
      <c r="E3995">
        <v>2</v>
      </c>
      <c r="F3995">
        <v>20</v>
      </c>
      <c r="G3995">
        <v>234</v>
      </c>
      <c r="H3995">
        <v>60594625</v>
      </c>
      <c r="I3995">
        <v>193991</v>
      </c>
      <c r="J3995" t="s">
        <v>21</v>
      </c>
      <c r="K3995" t="s">
        <v>30</v>
      </c>
      <c r="L3995">
        <v>3</v>
      </c>
      <c r="M3995">
        <v>60.11</v>
      </c>
      <c r="N3995">
        <v>9168</v>
      </c>
      <c r="O3995">
        <v>1</v>
      </c>
    </row>
    <row r="3996" spans="1:15">
      <c r="A3996" t="s">
        <v>4022</v>
      </c>
      <c r="B3996" t="s">
        <v>27</v>
      </c>
      <c r="C3996">
        <v>14</v>
      </c>
      <c r="D3996">
        <v>47210925</v>
      </c>
      <c r="E3996">
        <v>4</v>
      </c>
      <c r="F3996">
        <v>27</v>
      </c>
      <c r="G3996">
        <v>236</v>
      </c>
      <c r="H3996">
        <v>57601711</v>
      </c>
      <c r="I3996">
        <v>258743</v>
      </c>
      <c r="J3996" t="s">
        <v>25</v>
      </c>
      <c r="K3996" t="s">
        <v>30</v>
      </c>
      <c r="L3996">
        <v>5</v>
      </c>
      <c r="M3996">
        <v>5.07</v>
      </c>
      <c r="N3996">
        <v>850430</v>
      </c>
      <c r="O3996">
        <v>1</v>
      </c>
    </row>
    <row r="3997" spans="1:15">
      <c r="A3997" t="s">
        <v>4023</v>
      </c>
      <c r="B3997" t="s">
        <v>20</v>
      </c>
      <c r="C3997">
        <v>8</v>
      </c>
      <c r="D3997">
        <v>46398149</v>
      </c>
      <c r="E3997">
        <v>2</v>
      </c>
      <c r="F3997">
        <v>13</v>
      </c>
      <c r="G3997">
        <v>711</v>
      </c>
      <c r="H3997">
        <v>3349791</v>
      </c>
      <c r="I3997">
        <v>600834</v>
      </c>
      <c r="J3997" t="s">
        <v>21</v>
      </c>
      <c r="K3997" t="s">
        <v>22</v>
      </c>
      <c r="L3997">
        <v>9</v>
      </c>
      <c r="M3997">
        <v>1.4</v>
      </c>
      <c r="N3997">
        <v>519426</v>
      </c>
      <c r="O3997">
        <v>1</v>
      </c>
    </row>
    <row r="3998" spans="1:15">
      <c r="A3998" t="s">
        <v>4024</v>
      </c>
      <c r="B3998" t="s">
        <v>20</v>
      </c>
      <c r="C3998">
        <v>6</v>
      </c>
      <c r="D3998">
        <v>14701910</v>
      </c>
      <c r="E3998">
        <v>1</v>
      </c>
      <c r="F3998">
        <v>14</v>
      </c>
      <c r="G3998">
        <v>389</v>
      </c>
      <c r="H3998">
        <v>37149941</v>
      </c>
      <c r="I3998">
        <v>783707</v>
      </c>
      <c r="J3998" t="s">
        <v>25</v>
      </c>
      <c r="K3998" t="s">
        <v>18</v>
      </c>
      <c r="L3998">
        <v>2</v>
      </c>
      <c r="M3998">
        <v>59.89</v>
      </c>
      <c r="N3998">
        <v>80144</v>
      </c>
      <c r="O3998">
        <v>1</v>
      </c>
    </row>
    <row r="3999" spans="1:15">
      <c r="A3999" t="s">
        <v>4025</v>
      </c>
      <c r="B3999" t="s">
        <v>16</v>
      </c>
      <c r="C3999">
        <v>2</v>
      </c>
      <c r="D3999">
        <v>29109328</v>
      </c>
      <c r="E3999">
        <v>1</v>
      </c>
      <c r="F3999">
        <v>22</v>
      </c>
      <c r="G3999">
        <v>673</v>
      </c>
      <c r="H3999">
        <v>98521361</v>
      </c>
      <c r="I3999">
        <v>484270</v>
      </c>
      <c r="J3999" t="s">
        <v>17</v>
      </c>
      <c r="K3999" t="s">
        <v>30</v>
      </c>
      <c r="L3999">
        <v>2</v>
      </c>
      <c r="M3999">
        <v>88.81</v>
      </c>
      <c r="N3999">
        <v>318634</v>
      </c>
      <c r="O3999">
        <v>1</v>
      </c>
    </row>
    <row r="4000" spans="1:15">
      <c r="A4000" t="s">
        <v>4026</v>
      </c>
      <c r="B4000" t="s">
        <v>24</v>
      </c>
      <c r="C4000">
        <v>6</v>
      </c>
      <c r="D4000">
        <v>19870686</v>
      </c>
      <c r="E4000">
        <v>3</v>
      </c>
      <c r="F4000">
        <v>24</v>
      </c>
      <c r="G4000">
        <v>378</v>
      </c>
      <c r="H4000">
        <v>14748330</v>
      </c>
      <c r="I4000">
        <v>774094</v>
      </c>
      <c r="J4000" t="s">
        <v>21</v>
      </c>
      <c r="K4000" t="s">
        <v>22</v>
      </c>
      <c r="L4000">
        <v>5</v>
      </c>
      <c r="M4000">
        <v>58.13</v>
      </c>
      <c r="N4000">
        <v>656612</v>
      </c>
      <c r="O4000">
        <v>1</v>
      </c>
    </row>
    <row r="4001" spans="1:15">
      <c r="A4001" t="s">
        <v>4027</v>
      </c>
      <c r="B4001" t="s">
        <v>32</v>
      </c>
      <c r="C4001">
        <v>4</v>
      </c>
      <c r="D4001">
        <v>3193589</v>
      </c>
      <c r="E4001">
        <v>2</v>
      </c>
      <c r="F4001">
        <v>12</v>
      </c>
      <c r="G4001">
        <v>416</v>
      </c>
      <c r="H4001">
        <v>85519447</v>
      </c>
      <c r="I4001">
        <v>244871</v>
      </c>
      <c r="J4001" t="s">
        <v>21</v>
      </c>
      <c r="K4001" t="s">
        <v>30</v>
      </c>
      <c r="L4001">
        <v>4</v>
      </c>
      <c r="M4001">
        <v>29.77</v>
      </c>
      <c r="N4001">
        <v>314650</v>
      </c>
      <c r="O4001">
        <v>1</v>
      </c>
    </row>
    <row r="4002" spans="1:15">
      <c r="A4002" t="s">
        <v>4028</v>
      </c>
      <c r="B4002" t="s">
        <v>16</v>
      </c>
      <c r="C4002">
        <v>7</v>
      </c>
      <c r="D4002">
        <v>32631384</v>
      </c>
      <c r="E4002">
        <v>3</v>
      </c>
      <c r="F4002">
        <v>25</v>
      </c>
      <c r="G4002">
        <v>412</v>
      </c>
      <c r="H4002">
        <v>73374463</v>
      </c>
      <c r="I4002">
        <v>324065</v>
      </c>
      <c r="J4002" t="s">
        <v>25</v>
      </c>
      <c r="K4002" t="s">
        <v>18</v>
      </c>
      <c r="L4002">
        <v>4</v>
      </c>
      <c r="M4002">
        <v>71.599999999999994</v>
      </c>
      <c r="N4002">
        <v>714737</v>
      </c>
      <c r="O4002">
        <v>1</v>
      </c>
    </row>
    <row r="4003" spans="1:15">
      <c r="A4003" t="s">
        <v>4029</v>
      </c>
      <c r="B4003" t="s">
        <v>16</v>
      </c>
      <c r="C4003">
        <v>13</v>
      </c>
      <c r="D4003">
        <v>43610574</v>
      </c>
      <c r="E4003">
        <v>3</v>
      </c>
      <c r="F4003">
        <v>10</v>
      </c>
      <c r="G4003">
        <v>169</v>
      </c>
      <c r="H4003">
        <v>47604449</v>
      </c>
      <c r="I4003">
        <v>296570</v>
      </c>
      <c r="J4003" t="s">
        <v>25</v>
      </c>
      <c r="K4003" t="s">
        <v>18</v>
      </c>
      <c r="L4003">
        <v>3</v>
      </c>
      <c r="M4003">
        <v>95.2</v>
      </c>
      <c r="N4003">
        <v>413079</v>
      </c>
      <c r="O4003">
        <v>1</v>
      </c>
    </row>
    <row r="4004" spans="1:15">
      <c r="A4004" t="s">
        <v>4030</v>
      </c>
      <c r="B4004" t="s">
        <v>20</v>
      </c>
      <c r="C4004">
        <v>1</v>
      </c>
      <c r="D4004">
        <v>44511012</v>
      </c>
      <c r="E4004">
        <v>1</v>
      </c>
      <c r="F4004">
        <v>3</v>
      </c>
      <c r="G4004">
        <v>713</v>
      </c>
      <c r="H4004">
        <v>12141395</v>
      </c>
      <c r="I4004">
        <v>318251</v>
      </c>
      <c r="J4004" t="s">
        <v>17</v>
      </c>
      <c r="K4004" t="s">
        <v>30</v>
      </c>
      <c r="L4004">
        <v>8</v>
      </c>
      <c r="M4004">
        <v>98.34</v>
      </c>
      <c r="N4004">
        <v>841183</v>
      </c>
      <c r="O4004">
        <v>1</v>
      </c>
    </row>
    <row r="4005" spans="1:15">
      <c r="A4005" t="s">
        <v>4031</v>
      </c>
      <c r="B4005" t="s">
        <v>27</v>
      </c>
      <c r="C4005">
        <v>0</v>
      </c>
      <c r="D4005">
        <v>35518880</v>
      </c>
      <c r="E4005">
        <v>1</v>
      </c>
      <c r="F4005">
        <v>10</v>
      </c>
      <c r="G4005">
        <v>665</v>
      </c>
      <c r="H4005">
        <v>26800692</v>
      </c>
      <c r="I4005">
        <v>877788</v>
      </c>
      <c r="J4005" t="s">
        <v>25</v>
      </c>
      <c r="K4005" t="s">
        <v>22</v>
      </c>
      <c r="L4005">
        <v>6</v>
      </c>
      <c r="M4005">
        <v>8.1999999999999993</v>
      </c>
      <c r="N4005">
        <v>493247</v>
      </c>
      <c r="O4005">
        <v>1</v>
      </c>
    </row>
    <row r="4006" spans="1:15">
      <c r="A4006" t="s">
        <v>4032</v>
      </c>
      <c r="B4006" t="s">
        <v>29</v>
      </c>
      <c r="C4006">
        <v>11</v>
      </c>
      <c r="D4006">
        <v>17654290</v>
      </c>
      <c r="E4006">
        <v>2</v>
      </c>
      <c r="F4006">
        <v>29</v>
      </c>
      <c r="G4006">
        <v>832</v>
      </c>
      <c r="H4006">
        <v>46368126</v>
      </c>
      <c r="I4006">
        <v>996533</v>
      </c>
      <c r="J4006" t="s">
        <v>25</v>
      </c>
      <c r="K4006" t="s">
        <v>30</v>
      </c>
      <c r="L4006">
        <v>3</v>
      </c>
      <c r="M4006">
        <v>41.22</v>
      </c>
      <c r="N4006">
        <v>331528</v>
      </c>
      <c r="O4006">
        <v>1</v>
      </c>
    </row>
    <row r="4007" spans="1:15">
      <c r="A4007" t="s">
        <v>4033</v>
      </c>
      <c r="B4007" t="s">
        <v>32</v>
      </c>
      <c r="C4007">
        <v>11</v>
      </c>
      <c r="D4007">
        <v>31592470</v>
      </c>
      <c r="E4007">
        <v>1</v>
      </c>
      <c r="F4007">
        <v>24</v>
      </c>
      <c r="G4007">
        <v>848</v>
      </c>
      <c r="H4007">
        <v>44270867</v>
      </c>
      <c r="I4007">
        <v>796874</v>
      </c>
      <c r="J4007" t="s">
        <v>21</v>
      </c>
      <c r="K4007" t="s">
        <v>18</v>
      </c>
      <c r="L4007">
        <v>5</v>
      </c>
      <c r="M4007">
        <v>68.72</v>
      </c>
      <c r="N4007">
        <v>216270</v>
      </c>
      <c r="O4007">
        <v>1</v>
      </c>
    </row>
    <row r="4008" spans="1:15">
      <c r="A4008" t="s">
        <v>4034</v>
      </c>
      <c r="B4008" t="s">
        <v>27</v>
      </c>
      <c r="C4008">
        <v>11</v>
      </c>
      <c r="D4008">
        <v>45714851</v>
      </c>
      <c r="E4008">
        <v>4</v>
      </c>
      <c r="F4008">
        <v>12</v>
      </c>
      <c r="G4008">
        <v>230</v>
      </c>
      <c r="H4008">
        <v>93375776</v>
      </c>
      <c r="I4008">
        <v>418563</v>
      </c>
      <c r="J4008" t="s">
        <v>21</v>
      </c>
      <c r="K4008" t="s">
        <v>18</v>
      </c>
      <c r="L4008">
        <v>9</v>
      </c>
      <c r="M4008">
        <v>23.88</v>
      </c>
      <c r="N4008">
        <v>684732</v>
      </c>
      <c r="O4008">
        <v>1</v>
      </c>
    </row>
    <row r="4009" spans="1:15">
      <c r="A4009" t="s">
        <v>4035</v>
      </c>
      <c r="B4009" t="s">
        <v>38</v>
      </c>
      <c r="C4009">
        <v>9</v>
      </c>
      <c r="D4009">
        <v>37583323</v>
      </c>
      <c r="E4009">
        <v>3</v>
      </c>
      <c r="F4009">
        <v>19</v>
      </c>
      <c r="G4009">
        <v>609</v>
      </c>
      <c r="H4009">
        <v>68812165</v>
      </c>
      <c r="I4009">
        <v>144013</v>
      </c>
      <c r="J4009" t="s">
        <v>25</v>
      </c>
      <c r="K4009" t="s">
        <v>30</v>
      </c>
      <c r="L4009">
        <v>1</v>
      </c>
      <c r="M4009">
        <v>1.21</v>
      </c>
      <c r="N4009">
        <v>360380</v>
      </c>
      <c r="O4009">
        <v>1</v>
      </c>
    </row>
    <row r="4010" spans="1:15">
      <c r="A4010" t="s">
        <v>4036</v>
      </c>
      <c r="B4010" t="s">
        <v>38</v>
      </c>
      <c r="C4010">
        <v>14</v>
      </c>
      <c r="D4010">
        <v>22440314</v>
      </c>
      <c r="E4010">
        <v>1</v>
      </c>
      <c r="F4010">
        <v>13</v>
      </c>
      <c r="G4010">
        <v>21</v>
      </c>
      <c r="H4010">
        <v>2183898</v>
      </c>
      <c r="I4010">
        <v>58447</v>
      </c>
      <c r="J4010" t="s">
        <v>21</v>
      </c>
      <c r="K4010" t="s">
        <v>30</v>
      </c>
      <c r="L4010">
        <v>8</v>
      </c>
      <c r="M4010">
        <v>6</v>
      </c>
      <c r="N4010">
        <v>124352</v>
      </c>
      <c r="O4010">
        <v>1</v>
      </c>
    </row>
    <row r="4011" spans="1:15">
      <c r="A4011" t="s">
        <v>4037</v>
      </c>
      <c r="B4011" t="s">
        <v>20</v>
      </c>
      <c r="C4011">
        <v>14</v>
      </c>
      <c r="D4011">
        <v>6256199</v>
      </c>
      <c r="E4011">
        <v>3</v>
      </c>
      <c r="F4011">
        <v>4</v>
      </c>
      <c r="G4011">
        <v>100</v>
      </c>
      <c r="H4011">
        <v>74567191</v>
      </c>
      <c r="I4011">
        <v>37678</v>
      </c>
      <c r="J4011" t="s">
        <v>21</v>
      </c>
      <c r="K4011" t="s">
        <v>30</v>
      </c>
      <c r="L4011">
        <v>1</v>
      </c>
      <c r="M4011">
        <v>48.92</v>
      </c>
      <c r="N4011">
        <v>80443</v>
      </c>
      <c r="O4011">
        <v>1</v>
      </c>
    </row>
    <row r="4012" spans="1:15">
      <c r="A4012" t="s">
        <v>4038</v>
      </c>
      <c r="B4012" t="s">
        <v>27</v>
      </c>
      <c r="C4012">
        <v>1</v>
      </c>
      <c r="D4012">
        <v>19513212</v>
      </c>
      <c r="E4012">
        <v>3</v>
      </c>
      <c r="F4012">
        <v>26</v>
      </c>
      <c r="G4012">
        <v>73</v>
      </c>
      <c r="H4012">
        <v>5793540</v>
      </c>
      <c r="I4012">
        <v>937629</v>
      </c>
      <c r="J4012" t="s">
        <v>25</v>
      </c>
      <c r="K4012" t="s">
        <v>22</v>
      </c>
      <c r="L4012">
        <v>7</v>
      </c>
      <c r="M4012">
        <v>20.21</v>
      </c>
      <c r="N4012">
        <v>833706</v>
      </c>
      <c r="O4012">
        <v>1</v>
      </c>
    </row>
    <row r="4013" spans="1:15">
      <c r="A4013" t="s">
        <v>4039</v>
      </c>
      <c r="B4013" t="s">
        <v>32</v>
      </c>
      <c r="C4013">
        <v>3</v>
      </c>
      <c r="D4013">
        <v>8535862</v>
      </c>
      <c r="E4013">
        <v>4</v>
      </c>
      <c r="F4013">
        <v>28</v>
      </c>
      <c r="G4013">
        <v>402</v>
      </c>
      <c r="H4013">
        <v>66554663</v>
      </c>
      <c r="I4013">
        <v>648717</v>
      </c>
      <c r="J4013" t="s">
        <v>21</v>
      </c>
      <c r="K4013" t="s">
        <v>18</v>
      </c>
      <c r="L4013">
        <v>4</v>
      </c>
      <c r="M4013">
        <v>1.9</v>
      </c>
      <c r="N4013">
        <v>551644</v>
      </c>
      <c r="O4013">
        <v>1</v>
      </c>
    </row>
    <row r="4014" spans="1:15">
      <c r="A4014" t="s">
        <v>4040</v>
      </c>
      <c r="B4014" t="s">
        <v>16</v>
      </c>
      <c r="C4014">
        <v>8</v>
      </c>
      <c r="D4014">
        <v>39280579</v>
      </c>
      <c r="E4014">
        <v>1</v>
      </c>
      <c r="F4014">
        <v>25</v>
      </c>
      <c r="G4014">
        <v>802</v>
      </c>
      <c r="H4014">
        <v>44908358</v>
      </c>
      <c r="I4014">
        <v>417347</v>
      </c>
      <c r="J4014" t="s">
        <v>17</v>
      </c>
      <c r="K4014" t="s">
        <v>18</v>
      </c>
      <c r="L4014">
        <v>6</v>
      </c>
      <c r="M4014">
        <v>86.14</v>
      </c>
      <c r="N4014">
        <v>717542</v>
      </c>
      <c r="O4014">
        <v>1</v>
      </c>
    </row>
    <row r="4015" spans="1:15">
      <c r="A4015" t="s">
        <v>4041</v>
      </c>
      <c r="B4015" t="s">
        <v>32</v>
      </c>
      <c r="C4015">
        <v>3</v>
      </c>
      <c r="D4015">
        <v>25798548</v>
      </c>
      <c r="E4015">
        <v>1</v>
      </c>
      <c r="F4015">
        <v>1</v>
      </c>
      <c r="G4015">
        <v>393</v>
      </c>
      <c r="H4015">
        <v>16863355</v>
      </c>
      <c r="I4015">
        <v>976662</v>
      </c>
      <c r="J4015" t="s">
        <v>25</v>
      </c>
      <c r="K4015" t="s">
        <v>22</v>
      </c>
      <c r="L4015">
        <v>8</v>
      </c>
      <c r="M4015">
        <v>74.19</v>
      </c>
      <c r="N4015">
        <v>351137</v>
      </c>
      <c r="O4015">
        <v>1</v>
      </c>
    </row>
    <row r="4016" spans="1:15">
      <c r="A4016" t="s">
        <v>4042</v>
      </c>
      <c r="B4016" t="s">
        <v>27</v>
      </c>
      <c r="C4016">
        <v>3</v>
      </c>
      <c r="D4016">
        <v>47279106</v>
      </c>
      <c r="E4016">
        <v>2</v>
      </c>
      <c r="F4016">
        <v>13</v>
      </c>
      <c r="G4016">
        <v>404</v>
      </c>
      <c r="H4016">
        <v>84558078</v>
      </c>
      <c r="I4016">
        <v>652519</v>
      </c>
      <c r="J4016" t="s">
        <v>21</v>
      </c>
      <c r="K4016" t="s">
        <v>30</v>
      </c>
      <c r="L4016">
        <v>2</v>
      </c>
      <c r="M4016">
        <v>86.57</v>
      </c>
      <c r="N4016">
        <v>795170</v>
      </c>
      <c r="O4016">
        <v>1</v>
      </c>
    </row>
    <row r="4017" spans="1:15">
      <c r="A4017" t="s">
        <v>4043</v>
      </c>
      <c r="B4017" t="s">
        <v>24</v>
      </c>
      <c r="C4017">
        <v>6</v>
      </c>
      <c r="D4017">
        <v>41065729</v>
      </c>
      <c r="E4017">
        <v>2</v>
      </c>
      <c r="F4017">
        <v>29</v>
      </c>
      <c r="G4017">
        <v>237</v>
      </c>
      <c r="H4017">
        <v>80116316</v>
      </c>
      <c r="I4017">
        <v>404516</v>
      </c>
      <c r="J4017" t="s">
        <v>25</v>
      </c>
      <c r="K4017" t="s">
        <v>18</v>
      </c>
      <c r="L4017">
        <v>1</v>
      </c>
      <c r="M4017">
        <v>88.09</v>
      </c>
      <c r="N4017">
        <v>69683</v>
      </c>
      <c r="O4017">
        <v>1</v>
      </c>
    </row>
    <row r="4018" spans="1:15">
      <c r="A4018" t="s">
        <v>4044</v>
      </c>
      <c r="B4018" t="s">
        <v>32</v>
      </c>
      <c r="C4018">
        <v>0</v>
      </c>
      <c r="D4018">
        <v>10425071</v>
      </c>
      <c r="E4018">
        <v>1</v>
      </c>
      <c r="F4018">
        <v>29</v>
      </c>
      <c r="G4018">
        <v>366</v>
      </c>
      <c r="H4018">
        <v>732092</v>
      </c>
      <c r="I4018">
        <v>519164</v>
      </c>
      <c r="J4018" t="s">
        <v>25</v>
      </c>
      <c r="K4018" t="s">
        <v>18</v>
      </c>
      <c r="L4018">
        <v>2</v>
      </c>
      <c r="M4018">
        <v>90.46</v>
      </c>
      <c r="N4018">
        <v>344178</v>
      </c>
      <c r="O4018">
        <v>1</v>
      </c>
    </row>
    <row r="4019" spans="1:15">
      <c r="A4019" t="s">
        <v>4045</v>
      </c>
      <c r="B4019" t="s">
        <v>16</v>
      </c>
      <c r="C4019">
        <v>1</v>
      </c>
      <c r="D4019">
        <v>7187762</v>
      </c>
      <c r="E4019">
        <v>1</v>
      </c>
      <c r="F4019">
        <v>2</v>
      </c>
      <c r="G4019">
        <v>510</v>
      </c>
      <c r="H4019">
        <v>88826247</v>
      </c>
      <c r="I4019">
        <v>803000</v>
      </c>
      <c r="J4019" t="s">
        <v>25</v>
      </c>
      <c r="K4019" t="s">
        <v>30</v>
      </c>
      <c r="L4019">
        <v>5</v>
      </c>
      <c r="M4019">
        <v>73</v>
      </c>
      <c r="N4019">
        <v>307271</v>
      </c>
      <c r="O4019">
        <v>1</v>
      </c>
    </row>
    <row r="4020" spans="1:15">
      <c r="A4020" t="s">
        <v>4046</v>
      </c>
      <c r="B4020" t="s">
        <v>38</v>
      </c>
      <c r="C4020">
        <v>4</v>
      </c>
      <c r="D4020">
        <v>366232</v>
      </c>
      <c r="E4020">
        <v>4</v>
      </c>
      <c r="F4020">
        <v>21</v>
      </c>
      <c r="G4020">
        <v>197</v>
      </c>
      <c r="H4020">
        <v>47017105</v>
      </c>
      <c r="I4020">
        <v>36100</v>
      </c>
      <c r="J4020" t="s">
        <v>17</v>
      </c>
      <c r="K4020" t="s">
        <v>30</v>
      </c>
      <c r="L4020">
        <v>9</v>
      </c>
      <c r="M4020">
        <v>65.34</v>
      </c>
      <c r="N4020">
        <v>448877</v>
      </c>
      <c r="O4020">
        <v>1</v>
      </c>
    </row>
    <row r="4021" spans="1:15">
      <c r="A4021" t="s">
        <v>4047</v>
      </c>
      <c r="B4021" t="s">
        <v>27</v>
      </c>
      <c r="C4021">
        <v>4</v>
      </c>
      <c r="D4021">
        <v>26072825</v>
      </c>
      <c r="E4021">
        <v>4</v>
      </c>
      <c r="F4021">
        <v>23</v>
      </c>
      <c r="G4021">
        <v>635</v>
      </c>
      <c r="H4021">
        <v>85136508</v>
      </c>
      <c r="I4021">
        <v>810040</v>
      </c>
      <c r="J4021" t="s">
        <v>21</v>
      </c>
      <c r="K4021" t="s">
        <v>30</v>
      </c>
      <c r="L4021">
        <v>2</v>
      </c>
      <c r="M4021">
        <v>81.73</v>
      </c>
      <c r="N4021">
        <v>943416</v>
      </c>
      <c r="O4021">
        <v>1</v>
      </c>
    </row>
    <row r="4022" spans="1:15">
      <c r="A4022" t="s">
        <v>4048</v>
      </c>
      <c r="B4022" t="s">
        <v>27</v>
      </c>
      <c r="C4022">
        <v>8</v>
      </c>
      <c r="D4022">
        <v>644046</v>
      </c>
      <c r="E4022">
        <v>1</v>
      </c>
      <c r="F4022">
        <v>23</v>
      </c>
      <c r="G4022">
        <v>971</v>
      </c>
      <c r="H4022">
        <v>19683670</v>
      </c>
      <c r="I4022">
        <v>490023</v>
      </c>
      <c r="J4022" t="s">
        <v>17</v>
      </c>
      <c r="K4022" t="s">
        <v>18</v>
      </c>
      <c r="L4022">
        <v>8</v>
      </c>
      <c r="M4022">
        <v>7.93</v>
      </c>
      <c r="N4022">
        <v>767610</v>
      </c>
      <c r="O4022">
        <v>1</v>
      </c>
    </row>
    <row r="4023" spans="1:15">
      <c r="A4023" t="s">
        <v>4049</v>
      </c>
      <c r="B4023" t="s">
        <v>16</v>
      </c>
      <c r="C4023">
        <v>0</v>
      </c>
      <c r="D4023">
        <v>10967701</v>
      </c>
      <c r="E4023">
        <v>2</v>
      </c>
      <c r="F4023">
        <v>5</v>
      </c>
      <c r="G4023">
        <v>544</v>
      </c>
      <c r="H4023">
        <v>13797406</v>
      </c>
      <c r="I4023">
        <v>25057</v>
      </c>
      <c r="J4023" t="s">
        <v>25</v>
      </c>
      <c r="K4023" t="s">
        <v>22</v>
      </c>
      <c r="L4023">
        <v>2</v>
      </c>
      <c r="M4023">
        <v>57.5</v>
      </c>
      <c r="N4023">
        <v>723205</v>
      </c>
      <c r="O4023">
        <v>1</v>
      </c>
    </row>
    <row r="4024" spans="1:15">
      <c r="A4024" t="s">
        <v>4050</v>
      </c>
      <c r="B4024" t="s">
        <v>20</v>
      </c>
      <c r="C4024">
        <v>0</v>
      </c>
      <c r="D4024">
        <v>17226697</v>
      </c>
      <c r="E4024">
        <v>1</v>
      </c>
      <c r="F4024">
        <v>15</v>
      </c>
      <c r="G4024">
        <v>826</v>
      </c>
      <c r="H4024">
        <v>69301541</v>
      </c>
      <c r="I4024">
        <v>228056</v>
      </c>
      <c r="J4024" t="s">
        <v>21</v>
      </c>
      <c r="K4024" t="s">
        <v>18</v>
      </c>
      <c r="L4024">
        <v>9</v>
      </c>
      <c r="M4024">
        <v>0.1</v>
      </c>
      <c r="N4024">
        <v>271633</v>
      </c>
      <c r="O4024">
        <v>1</v>
      </c>
    </row>
    <row r="4025" spans="1:15">
      <c r="A4025" t="s">
        <v>4051</v>
      </c>
      <c r="B4025" t="s">
        <v>29</v>
      </c>
      <c r="C4025">
        <v>13</v>
      </c>
      <c r="D4025">
        <v>35908555</v>
      </c>
      <c r="E4025">
        <v>2</v>
      </c>
      <c r="F4025">
        <v>10</v>
      </c>
      <c r="G4025">
        <v>438</v>
      </c>
      <c r="H4025">
        <v>2551897</v>
      </c>
      <c r="I4025">
        <v>215577</v>
      </c>
      <c r="J4025" t="s">
        <v>21</v>
      </c>
      <c r="K4025" t="s">
        <v>30</v>
      </c>
      <c r="L4025">
        <v>9</v>
      </c>
      <c r="M4025">
        <v>12.93</v>
      </c>
      <c r="N4025">
        <v>522280</v>
      </c>
      <c r="O4025">
        <v>1</v>
      </c>
    </row>
    <row r="4026" spans="1:15">
      <c r="A4026" t="s">
        <v>4052</v>
      </c>
      <c r="B4026" t="s">
        <v>29</v>
      </c>
      <c r="C4026">
        <v>11</v>
      </c>
      <c r="D4026">
        <v>7140523</v>
      </c>
      <c r="E4026">
        <v>4</v>
      </c>
      <c r="F4026">
        <v>24</v>
      </c>
      <c r="G4026">
        <v>322</v>
      </c>
      <c r="H4026">
        <v>74549949</v>
      </c>
      <c r="I4026">
        <v>146010</v>
      </c>
      <c r="J4026" t="s">
        <v>17</v>
      </c>
      <c r="K4026" t="s">
        <v>22</v>
      </c>
      <c r="L4026">
        <v>4</v>
      </c>
      <c r="M4026">
        <v>27.98</v>
      </c>
      <c r="N4026">
        <v>666807</v>
      </c>
      <c r="O4026">
        <v>1</v>
      </c>
    </row>
    <row r="4027" spans="1:15">
      <c r="A4027" t="s">
        <v>4053</v>
      </c>
      <c r="B4027" t="s">
        <v>27</v>
      </c>
      <c r="C4027">
        <v>7</v>
      </c>
      <c r="D4027">
        <v>26094106</v>
      </c>
      <c r="E4027">
        <v>2</v>
      </c>
      <c r="F4027">
        <v>0</v>
      </c>
      <c r="G4027">
        <v>833</v>
      </c>
      <c r="H4027">
        <v>8722426</v>
      </c>
      <c r="I4027">
        <v>177269</v>
      </c>
      <c r="J4027" t="s">
        <v>21</v>
      </c>
      <c r="K4027" t="s">
        <v>30</v>
      </c>
      <c r="L4027">
        <v>9</v>
      </c>
      <c r="M4027">
        <v>31.98</v>
      </c>
      <c r="N4027">
        <v>322813</v>
      </c>
      <c r="O4027">
        <v>1</v>
      </c>
    </row>
    <row r="4028" spans="1:15">
      <c r="A4028" t="s">
        <v>4054</v>
      </c>
      <c r="B4028" t="s">
        <v>20</v>
      </c>
      <c r="C4028">
        <v>8</v>
      </c>
      <c r="D4028">
        <v>26318826</v>
      </c>
      <c r="E4028">
        <v>4</v>
      </c>
      <c r="F4028">
        <v>25</v>
      </c>
      <c r="G4028">
        <v>169</v>
      </c>
      <c r="H4028">
        <v>53423820</v>
      </c>
      <c r="I4028">
        <v>596724</v>
      </c>
      <c r="J4028" t="s">
        <v>25</v>
      </c>
      <c r="K4028" t="s">
        <v>30</v>
      </c>
      <c r="L4028">
        <v>1</v>
      </c>
      <c r="M4028">
        <v>81.95</v>
      </c>
      <c r="N4028">
        <v>566720</v>
      </c>
      <c r="O4028">
        <v>1</v>
      </c>
    </row>
    <row r="4029" spans="1:15">
      <c r="A4029" t="s">
        <v>4055</v>
      </c>
      <c r="B4029" t="s">
        <v>38</v>
      </c>
      <c r="C4029">
        <v>10</v>
      </c>
      <c r="D4029">
        <v>31668451</v>
      </c>
      <c r="E4029">
        <v>1</v>
      </c>
      <c r="F4029">
        <v>12</v>
      </c>
      <c r="G4029">
        <v>958</v>
      </c>
      <c r="H4029">
        <v>60505795</v>
      </c>
      <c r="I4029">
        <v>656658</v>
      </c>
      <c r="J4029" t="s">
        <v>17</v>
      </c>
      <c r="K4029" t="s">
        <v>30</v>
      </c>
      <c r="L4029">
        <v>3</v>
      </c>
      <c r="M4029">
        <v>52.5</v>
      </c>
      <c r="N4029">
        <v>194952</v>
      </c>
      <c r="O4029">
        <v>1</v>
      </c>
    </row>
    <row r="4030" spans="1:15">
      <c r="A4030" t="s">
        <v>4056</v>
      </c>
      <c r="B4030" t="s">
        <v>20</v>
      </c>
      <c r="C4030">
        <v>10</v>
      </c>
      <c r="D4030">
        <v>20583132</v>
      </c>
      <c r="E4030">
        <v>3</v>
      </c>
      <c r="F4030">
        <v>2</v>
      </c>
      <c r="G4030">
        <v>685</v>
      </c>
      <c r="H4030">
        <v>3364670</v>
      </c>
      <c r="I4030">
        <v>462905</v>
      </c>
      <c r="J4030" t="s">
        <v>17</v>
      </c>
      <c r="K4030" t="s">
        <v>22</v>
      </c>
      <c r="L4030">
        <v>1</v>
      </c>
      <c r="M4030">
        <v>9.41</v>
      </c>
      <c r="N4030">
        <v>660733</v>
      </c>
      <c r="O4030">
        <v>1</v>
      </c>
    </row>
    <row r="4031" spans="1:15">
      <c r="A4031" t="s">
        <v>4057</v>
      </c>
      <c r="B4031" t="s">
        <v>20</v>
      </c>
      <c r="C4031">
        <v>10</v>
      </c>
      <c r="D4031">
        <v>15959540</v>
      </c>
      <c r="E4031">
        <v>2</v>
      </c>
      <c r="F4031">
        <v>28</v>
      </c>
      <c r="G4031">
        <v>675</v>
      </c>
      <c r="H4031">
        <v>49719743</v>
      </c>
      <c r="I4031">
        <v>251428</v>
      </c>
      <c r="J4031" t="s">
        <v>17</v>
      </c>
      <c r="K4031" t="s">
        <v>18</v>
      </c>
      <c r="L4031">
        <v>8</v>
      </c>
      <c r="M4031">
        <v>13.71</v>
      </c>
      <c r="N4031">
        <v>335394</v>
      </c>
      <c r="O4031">
        <v>1</v>
      </c>
    </row>
    <row r="4032" spans="1:15">
      <c r="A4032" t="s">
        <v>4058</v>
      </c>
      <c r="B4032" t="s">
        <v>38</v>
      </c>
      <c r="C4032">
        <v>9</v>
      </c>
      <c r="D4032">
        <v>23805500</v>
      </c>
      <c r="E4032">
        <v>3</v>
      </c>
      <c r="F4032">
        <v>24</v>
      </c>
      <c r="G4032">
        <v>591</v>
      </c>
      <c r="H4032">
        <v>79795646</v>
      </c>
      <c r="I4032">
        <v>741281</v>
      </c>
      <c r="J4032" t="s">
        <v>17</v>
      </c>
      <c r="K4032" t="s">
        <v>22</v>
      </c>
      <c r="L4032">
        <v>1</v>
      </c>
      <c r="M4032">
        <v>67.45</v>
      </c>
      <c r="N4032">
        <v>654449</v>
      </c>
      <c r="O4032">
        <v>1</v>
      </c>
    </row>
    <row r="4033" spans="1:15">
      <c r="A4033" t="s">
        <v>4059</v>
      </c>
      <c r="B4033" t="s">
        <v>24</v>
      </c>
      <c r="C4033">
        <v>0</v>
      </c>
      <c r="D4033">
        <v>24060956</v>
      </c>
      <c r="E4033">
        <v>1</v>
      </c>
      <c r="F4033">
        <v>24</v>
      </c>
      <c r="G4033">
        <v>264</v>
      </c>
      <c r="H4033">
        <v>1218103</v>
      </c>
      <c r="I4033">
        <v>25676</v>
      </c>
      <c r="J4033" t="s">
        <v>21</v>
      </c>
      <c r="K4033" t="s">
        <v>30</v>
      </c>
      <c r="L4033">
        <v>6</v>
      </c>
      <c r="M4033">
        <v>4.68</v>
      </c>
      <c r="N4033">
        <v>119488</v>
      </c>
      <c r="O4033">
        <v>1</v>
      </c>
    </row>
    <row r="4034" spans="1:15">
      <c r="A4034" t="s">
        <v>4060</v>
      </c>
      <c r="B4034" t="s">
        <v>38</v>
      </c>
      <c r="C4034">
        <v>10</v>
      </c>
      <c r="D4034">
        <v>35316756</v>
      </c>
      <c r="E4034">
        <v>1</v>
      </c>
      <c r="F4034">
        <v>8</v>
      </c>
      <c r="G4034">
        <v>279</v>
      </c>
      <c r="H4034">
        <v>43568840</v>
      </c>
      <c r="I4034">
        <v>427998</v>
      </c>
      <c r="J4034" t="s">
        <v>25</v>
      </c>
      <c r="K4034" t="s">
        <v>22</v>
      </c>
      <c r="L4034">
        <v>7</v>
      </c>
      <c r="M4034">
        <v>47.71</v>
      </c>
      <c r="N4034">
        <v>580611</v>
      </c>
      <c r="O4034">
        <v>1</v>
      </c>
    </row>
    <row r="4035" spans="1:15">
      <c r="A4035" t="s">
        <v>4061</v>
      </c>
      <c r="B4035" t="s">
        <v>16</v>
      </c>
      <c r="C4035">
        <v>13</v>
      </c>
      <c r="D4035">
        <v>23655434</v>
      </c>
      <c r="E4035">
        <v>4</v>
      </c>
      <c r="F4035">
        <v>24</v>
      </c>
      <c r="G4035">
        <v>648</v>
      </c>
      <c r="H4035">
        <v>95700917</v>
      </c>
      <c r="I4035">
        <v>888707</v>
      </c>
      <c r="J4035" t="s">
        <v>21</v>
      </c>
      <c r="K4035" t="s">
        <v>30</v>
      </c>
      <c r="L4035">
        <v>9</v>
      </c>
      <c r="M4035">
        <v>8.8800000000000008</v>
      </c>
      <c r="N4035">
        <v>532910</v>
      </c>
      <c r="O4035">
        <v>1</v>
      </c>
    </row>
    <row r="4036" spans="1:15">
      <c r="A4036" t="s">
        <v>4062</v>
      </c>
      <c r="B4036" t="s">
        <v>32</v>
      </c>
      <c r="C4036">
        <v>4</v>
      </c>
      <c r="D4036">
        <v>38996066</v>
      </c>
      <c r="E4036">
        <v>2</v>
      </c>
      <c r="F4036">
        <v>4</v>
      </c>
      <c r="G4036">
        <v>800</v>
      </c>
      <c r="H4036">
        <v>80384965</v>
      </c>
      <c r="I4036">
        <v>484514</v>
      </c>
      <c r="J4036" t="s">
        <v>21</v>
      </c>
      <c r="K4036" t="s">
        <v>30</v>
      </c>
      <c r="L4036">
        <v>9</v>
      </c>
      <c r="M4036">
        <v>97.69</v>
      </c>
      <c r="N4036">
        <v>632365</v>
      </c>
      <c r="O4036">
        <v>1</v>
      </c>
    </row>
    <row r="4037" spans="1:15">
      <c r="A4037" t="s">
        <v>4063</v>
      </c>
      <c r="B4037" t="s">
        <v>29</v>
      </c>
      <c r="C4037">
        <v>10</v>
      </c>
      <c r="D4037">
        <v>45846589</v>
      </c>
      <c r="E4037">
        <v>2</v>
      </c>
      <c r="F4037">
        <v>6</v>
      </c>
      <c r="G4037">
        <v>162</v>
      </c>
      <c r="H4037">
        <v>3814536</v>
      </c>
      <c r="I4037">
        <v>635694</v>
      </c>
      <c r="J4037" t="s">
        <v>17</v>
      </c>
      <c r="K4037" t="s">
        <v>30</v>
      </c>
      <c r="L4037">
        <v>5</v>
      </c>
      <c r="M4037">
        <v>42.41</v>
      </c>
      <c r="N4037">
        <v>630297</v>
      </c>
      <c r="O4037">
        <v>1</v>
      </c>
    </row>
    <row r="4038" spans="1:15">
      <c r="A4038" t="s">
        <v>4064</v>
      </c>
      <c r="B4038" t="s">
        <v>38</v>
      </c>
      <c r="C4038">
        <v>6</v>
      </c>
      <c r="D4038">
        <v>29101577</v>
      </c>
      <c r="E4038">
        <v>3</v>
      </c>
      <c r="F4038">
        <v>24</v>
      </c>
      <c r="G4038">
        <v>143</v>
      </c>
      <c r="H4038">
        <v>41617335</v>
      </c>
      <c r="I4038">
        <v>335541</v>
      </c>
      <c r="J4038" t="s">
        <v>17</v>
      </c>
      <c r="K4038" t="s">
        <v>22</v>
      </c>
      <c r="L4038">
        <v>8</v>
      </c>
      <c r="M4038">
        <v>51.63</v>
      </c>
      <c r="N4038">
        <v>731060</v>
      </c>
      <c r="O4038">
        <v>1</v>
      </c>
    </row>
    <row r="4039" spans="1:15">
      <c r="A4039" t="s">
        <v>4065</v>
      </c>
      <c r="B4039" t="s">
        <v>32</v>
      </c>
      <c r="C4039">
        <v>7</v>
      </c>
      <c r="D4039">
        <v>24750769</v>
      </c>
      <c r="E4039">
        <v>2</v>
      </c>
      <c r="F4039">
        <v>24</v>
      </c>
      <c r="G4039">
        <v>879</v>
      </c>
      <c r="H4039">
        <v>41249923</v>
      </c>
      <c r="I4039">
        <v>684944</v>
      </c>
      <c r="J4039" t="s">
        <v>17</v>
      </c>
      <c r="K4039" t="s">
        <v>22</v>
      </c>
      <c r="L4039">
        <v>2</v>
      </c>
      <c r="M4039">
        <v>99.67</v>
      </c>
      <c r="N4039">
        <v>899359</v>
      </c>
      <c r="O4039">
        <v>1</v>
      </c>
    </row>
    <row r="4040" spans="1:15">
      <c r="A4040" t="s">
        <v>4066</v>
      </c>
      <c r="B4040" t="s">
        <v>20</v>
      </c>
      <c r="C4040">
        <v>2</v>
      </c>
      <c r="D4040">
        <v>6241251</v>
      </c>
      <c r="E4040">
        <v>4</v>
      </c>
      <c r="F4040">
        <v>8</v>
      </c>
      <c r="G4040">
        <v>841</v>
      </c>
      <c r="H4040">
        <v>62895167</v>
      </c>
      <c r="I4040">
        <v>550144</v>
      </c>
      <c r="J4040" t="s">
        <v>17</v>
      </c>
      <c r="K4040" t="s">
        <v>18</v>
      </c>
      <c r="L4040">
        <v>5</v>
      </c>
      <c r="M4040">
        <v>80.98</v>
      </c>
      <c r="N4040">
        <v>347858</v>
      </c>
      <c r="O4040">
        <v>1</v>
      </c>
    </row>
    <row r="4041" spans="1:15">
      <c r="A4041" t="s">
        <v>4067</v>
      </c>
      <c r="B4041" t="s">
        <v>32</v>
      </c>
      <c r="C4041">
        <v>12</v>
      </c>
      <c r="D4041">
        <v>13426211</v>
      </c>
      <c r="E4041">
        <v>3</v>
      </c>
      <c r="F4041">
        <v>10</v>
      </c>
      <c r="G4041">
        <v>836</v>
      </c>
      <c r="H4041">
        <v>37665014</v>
      </c>
      <c r="I4041">
        <v>719050</v>
      </c>
      <c r="J4041" t="s">
        <v>17</v>
      </c>
      <c r="K4041" t="s">
        <v>22</v>
      </c>
      <c r="L4041">
        <v>1</v>
      </c>
      <c r="M4041">
        <v>9.83</v>
      </c>
      <c r="N4041">
        <v>417713</v>
      </c>
      <c r="O4041">
        <v>1</v>
      </c>
    </row>
    <row r="4042" spans="1:15">
      <c r="A4042" t="s">
        <v>4068</v>
      </c>
      <c r="B4042" t="s">
        <v>32</v>
      </c>
      <c r="C4042">
        <v>4</v>
      </c>
      <c r="D4042">
        <v>29306197</v>
      </c>
      <c r="E4042">
        <v>2</v>
      </c>
      <c r="F4042">
        <v>10</v>
      </c>
      <c r="G4042">
        <v>93</v>
      </c>
      <c r="H4042">
        <v>2042313</v>
      </c>
      <c r="I4042">
        <v>35189</v>
      </c>
      <c r="J4042" t="s">
        <v>21</v>
      </c>
      <c r="K4042" t="s">
        <v>22</v>
      </c>
      <c r="L4042">
        <v>3</v>
      </c>
      <c r="M4042">
        <v>66.8</v>
      </c>
      <c r="N4042">
        <v>762702</v>
      </c>
      <c r="O4042">
        <v>1</v>
      </c>
    </row>
    <row r="4043" spans="1:15">
      <c r="A4043" t="s">
        <v>4069</v>
      </c>
      <c r="B4043" t="s">
        <v>16</v>
      </c>
      <c r="C4043">
        <v>14</v>
      </c>
      <c r="D4043">
        <v>8208448</v>
      </c>
      <c r="E4043">
        <v>2</v>
      </c>
      <c r="F4043">
        <v>22</v>
      </c>
      <c r="G4043">
        <v>36</v>
      </c>
      <c r="H4043">
        <v>99960439</v>
      </c>
      <c r="I4043">
        <v>777471</v>
      </c>
      <c r="J4043" t="s">
        <v>25</v>
      </c>
      <c r="K4043" t="s">
        <v>30</v>
      </c>
      <c r="L4043">
        <v>3</v>
      </c>
      <c r="M4043">
        <v>87.19</v>
      </c>
      <c r="N4043">
        <v>651538</v>
      </c>
      <c r="O4043">
        <v>1</v>
      </c>
    </row>
    <row r="4044" spans="1:15">
      <c r="A4044" t="s">
        <v>4070</v>
      </c>
      <c r="B4044" t="s">
        <v>20</v>
      </c>
      <c r="C4044">
        <v>10</v>
      </c>
      <c r="D4044">
        <v>27394384</v>
      </c>
      <c r="E4044">
        <v>2</v>
      </c>
      <c r="F4044">
        <v>17</v>
      </c>
      <c r="G4044">
        <v>709</v>
      </c>
      <c r="H4044">
        <v>77896500</v>
      </c>
      <c r="I4044">
        <v>419133</v>
      </c>
      <c r="J4044" t="s">
        <v>25</v>
      </c>
      <c r="K4044" t="s">
        <v>18</v>
      </c>
      <c r="L4044">
        <v>4</v>
      </c>
      <c r="M4044">
        <v>70.540000000000006</v>
      </c>
      <c r="N4044">
        <v>371776</v>
      </c>
      <c r="O4044">
        <v>1</v>
      </c>
    </row>
    <row r="4045" spans="1:15">
      <c r="A4045" t="s">
        <v>4071</v>
      </c>
      <c r="B4045" t="s">
        <v>32</v>
      </c>
      <c r="C4045">
        <v>5</v>
      </c>
      <c r="D4045">
        <v>47571919</v>
      </c>
      <c r="E4045">
        <v>3</v>
      </c>
      <c r="F4045">
        <v>27</v>
      </c>
      <c r="G4045">
        <v>366</v>
      </c>
      <c r="H4045">
        <v>75935954</v>
      </c>
      <c r="I4045">
        <v>95982</v>
      </c>
      <c r="J4045" t="s">
        <v>25</v>
      </c>
      <c r="K4045" t="s">
        <v>18</v>
      </c>
      <c r="L4045">
        <v>2</v>
      </c>
      <c r="M4045">
        <v>94.12</v>
      </c>
      <c r="N4045">
        <v>55700</v>
      </c>
      <c r="O4045">
        <v>1</v>
      </c>
    </row>
    <row r="4046" spans="1:15">
      <c r="A4046" t="s">
        <v>4072</v>
      </c>
      <c r="B4046" t="s">
        <v>32</v>
      </c>
      <c r="C4046">
        <v>12</v>
      </c>
      <c r="D4046">
        <v>67554</v>
      </c>
      <c r="E4046">
        <v>4</v>
      </c>
      <c r="F4046">
        <v>29</v>
      </c>
      <c r="G4046">
        <v>367</v>
      </c>
      <c r="H4046">
        <v>4815535</v>
      </c>
      <c r="I4046">
        <v>103393</v>
      </c>
      <c r="J4046" t="s">
        <v>25</v>
      </c>
      <c r="K4046" t="s">
        <v>22</v>
      </c>
      <c r="L4046">
        <v>8</v>
      </c>
      <c r="M4046">
        <v>57.61</v>
      </c>
      <c r="N4046">
        <v>222635</v>
      </c>
      <c r="O4046">
        <v>1</v>
      </c>
    </row>
    <row r="4047" spans="1:15">
      <c r="A4047" t="s">
        <v>4073</v>
      </c>
      <c r="B4047" t="s">
        <v>38</v>
      </c>
      <c r="C4047">
        <v>14</v>
      </c>
      <c r="D4047">
        <v>11096250</v>
      </c>
      <c r="E4047">
        <v>4</v>
      </c>
      <c r="F4047">
        <v>13</v>
      </c>
      <c r="G4047">
        <v>98</v>
      </c>
      <c r="H4047">
        <v>51018597</v>
      </c>
      <c r="I4047">
        <v>823822</v>
      </c>
      <c r="J4047" t="s">
        <v>17</v>
      </c>
      <c r="K4047" t="s">
        <v>18</v>
      </c>
      <c r="L4047">
        <v>1</v>
      </c>
      <c r="M4047">
        <v>83.61</v>
      </c>
      <c r="N4047">
        <v>654694</v>
      </c>
      <c r="O4047">
        <v>1</v>
      </c>
    </row>
    <row r="4048" spans="1:15">
      <c r="A4048" t="s">
        <v>4074</v>
      </c>
      <c r="B4048" t="s">
        <v>24</v>
      </c>
      <c r="C4048">
        <v>0</v>
      </c>
      <c r="D4048">
        <v>26236037</v>
      </c>
      <c r="E4048">
        <v>3</v>
      </c>
      <c r="F4048">
        <v>0</v>
      </c>
      <c r="G4048">
        <v>373</v>
      </c>
      <c r="H4048">
        <v>66680212</v>
      </c>
      <c r="I4048">
        <v>601870</v>
      </c>
      <c r="J4048" t="s">
        <v>25</v>
      </c>
      <c r="K4048" t="s">
        <v>30</v>
      </c>
      <c r="L4048">
        <v>5</v>
      </c>
      <c r="M4048">
        <v>48.06</v>
      </c>
      <c r="N4048">
        <v>19990</v>
      </c>
      <c r="O4048">
        <v>1</v>
      </c>
    </row>
    <row r="4049" spans="1:15">
      <c r="A4049" t="s">
        <v>4075</v>
      </c>
      <c r="B4049" t="s">
        <v>32</v>
      </c>
      <c r="C4049">
        <v>14</v>
      </c>
      <c r="D4049">
        <v>45438403</v>
      </c>
      <c r="E4049">
        <v>4</v>
      </c>
      <c r="F4049">
        <v>1</v>
      </c>
      <c r="G4049">
        <v>613</v>
      </c>
      <c r="H4049">
        <v>14121604</v>
      </c>
      <c r="I4049">
        <v>522822</v>
      </c>
      <c r="J4049" t="s">
        <v>21</v>
      </c>
      <c r="K4049" t="s">
        <v>18</v>
      </c>
      <c r="L4049">
        <v>8</v>
      </c>
      <c r="M4049">
        <v>37.47</v>
      </c>
      <c r="N4049">
        <v>399965</v>
      </c>
      <c r="O4049">
        <v>1</v>
      </c>
    </row>
    <row r="4050" spans="1:15">
      <c r="A4050" t="s">
        <v>4076</v>
      </c>
      <c r="B4050" t="s">
        <v>24</v>
      </c>
      <c r="C4050">
        <v>11</v>
      </c>
      <c r="D4050">
        <v>33813441</v>
      </c>
      <c r="E4050">
        <v>2</v>
      </c>
      <c r="F4050">
        <v>7</v>
      </c>
      <c r="G4050">
        <v>591</v>
      </c>
      <c r="H4050">
        <v>85776987</v>
      </c>
      <c r="I4050">
        <v>541243</v>
      </c>
      <c r="J4050" t="s">
        <v>25</v>
      </c>
      <c r="K4050" t="s">
        <v>22</v>
      </c>
      <c r="L4050">
        <v>8</v>
      </c>
      <c r="M4050">
        <v>23</v>
      </c>
      <c r="N4050">
        <v>247584</v>
      </c>
      <c r="O4050">
        <v>1</v>
      </c>
    </row>
    <row r="4051" spans="1:15">
      <c r="A4051" t="s">
        <v>4077</v>
      </c>
      <c r="B4051" t="s">
        <v>27</v>
      </c>
      <c r="C4051">
        <v>9</v>
      </c>
      <c r="D4051">
        <v>43160148</v>
      </c>
      <c r="E4051">
        <v>1</v>
      </c>
      <c r="F4051">
        <v>2</v>
      </c>
      <c r="G4051">
        <v>778</v>
      </c>
      <c r="H4051">
        <v>9709712</v>
      </c>
      <c r="I4051">
        <v>832522</v>
      </c>
      <c r="J4051" t="s">
        <v>25</v>
      </c>
      <c r="K4051" t="s">
        <v>22</v>
      </c>
      <c r="L4051">
        <v>1</v>
      </c>
      <c r="M4051">
        <v>52.87</v>
      </c>
      <c r="N4051">
        <v>839793</v>
      </c>
      <c r="O4051">
        <v>1</v>
      </c>
    </row>
    <row r="4052" spans="1:15">
      <c r="A4052" t="s">
        <v>4078</v>
      </c>
      <c r="B4052" t="s">
        <v>29</v>
      </c>
      <c r="C4052">
        <v>10</v>
      </c>
      <c r="D4052">
        <v>31588158</v>
      </c>
      <c r="E4052">
        <v>1</v>
      </c>
      <c r="F4052">
        <v>27</v>
      </c>
      <c r="G4052">
        <v>80</v>
      </c>
      <c r="H4052">
        <v>74967510</v>
      </c>
      <c r="I4052">
        <v>629142</v>
      </c>
      <c r="J4052" t="s">
        <v>25</v>
      </c>
      <c r="K4052" t="s">
        <v>18</v>
      </c>
      <c r="L4052">
        <v>9</v>
      </c>
      <c r="M4052">
        <v>15.08</v>
      </c>
      <c r="N4052">
        <v>922825</v>
      </c>
      <c r="O4052">
        <v>1</v>
      </c>
    </row>
    <row r="4053" spans="1:15">
      <c r="A4053" t="s">
        <v>4079</v>
      </c>
      <c r="B4053" t="s">
        <v>16</v>
      </c>
      <c r="C4053">
        <v>14</v>
      </c>
      <c r="D4053">
        <v>48818978</v>
      </c>
      <c r="E4053">
        <v>4</v>
      </c>
      <c r="F4053">
        <v>20</v>
      </c>
      <c r="G4053">
        <v>714</v>
      </c>
      <c r="H4053">
        <v>99965878</v>
      </c>
      <c r="I4053">
        <v>177369</v>
      </c>
      <c r="J4053" t="s">
        <v>17</v>
      </c>
      <c r="K4053" t="s">
        <v>18</v>
      </c>
      <c r="L4053">
        <v>7</v>
      </c>
      <c r="M4053">
        <v>79.5</v>
      </c>
      <c r="N4053">
        <v>506686</v>
      </c>
      <c r="O4053">
        <v>1</v>
      </c>
    </row>
    <row r="4054" spans="1:15">
      <c r="A4054" t="s">
        <v>4080</v>
      </c>
      <c r="B4054" t="s">
        <v>32</v>
      </c>
      <c r="C4054">
        <v>13</v>
      </c>
      <c r="D4054">
        <v>39125534</v>
      </c>
      <c r="E4054">
        <v>3</v>
      </c>
      <c r="F4054">
        <v>22</v>
      </c>
      <c r="G4054">
        <v>149</v>
      </c>
      <c r="H4054">
        <v>42871421</v>
      </c>
      <c r="I4054">
        <v>404900</v>
      </c>
      <c r="J4054" t="s">
        <v>25</v>
      </c>
      <c r="K4054" t="s">
        <v>30</v>
      </c>
      <c r="L4054">
        <v>7</v>
      </c>
      <c r="M4054">
        <v>42.78</v>
      </c>
      <c r="N4054">
        <v>211709</v>
      </c>
      <c r="O4054">
        <v>1</v>
      </c>
    </row>
    <row r="4055" spans="1:15">
      <c r="A4055" t="s">
        <v>4081</v>
      </c>
      <c r="B4055" t="s">
        <v>27</v>
      </c>
      <c r="C4055">
        <v>3</v>
      </c>
      <c r="D4055">
        <v>30264672</v>
      </c>
      <c r="E4055">
        <v>3</v>
      </c>
      <c r="F4055">
        <v>18</v>
      </c>
      <c r="G4055">
        <v>185</v>
      </c>
      <c r="H4055">
        <v>79531804</v>
      </c>
      <c r="I4055">
        <v>670374</v>
      </c>
      <c r="J4055" t="s">
        <v>17</v>
      </c>
      <c r="K4055" t="s">
        <v>22</v>
      </c>
      <c r="L4055">
        <v>3</v>
      </c>
      <c r="M4055">
        <v>21.59</v>
      </c>
      <c r="N4055">
        <v>867192</v>
      </c>
      <c r="O4055">
        <v>1</v>
      </c>
    </row>
    <row r="4056" spans="1:15">
      <c r="A4056" t="s">
        <v>4082</v>
      </c>
      <c r="B4056" t="s">
        <v>16</v>
      </c>
      <c r="C4056">
        <v>1</v>
      </c>
      <c r="D4056">
        <v>21969879</v>
      </c>
      <c r="E4056">
        <v>3</v>
      </c>
      <c r="F4056">
        <v>18</v>
      </c>
      <c r="G4056">
        <v>119</v>
      </c>
      <c r="H4056">
        <v>91481431</v>
      </c>
      <c r="I4056">
        <v>688827</v>
      </c>
      <c r="J4056" t="s">
        <v>21</v>
      </c>
      <c r="K4056" t="s">
        <v>22</v>
      </c>
      <c r="L4056">
        <v>6</v>
      </c>
      <c r="M4056">
        <v>64.319999999999993</v>
      </c>
      <c r="N4056">
        <v>737933</v>
      </c>
      <c r="O4056">
        <v>1</v>
      </c>
    </row>
    <row r="4057" spans="1:15">
      <c r="A4057" t="s">
        <v>4083</v>
      </c>
      <c r="B4057" t="s">
        <v>27</v>
      </c>
      <c r="C4057">
        <v>14</v>
      </c>
      <c r="D4057">
        <v>13800594</v>
      </c>
      <c r="E4057">
        <v>2</v>
      </c>
      <c r="F4057">
        <v>10</v>
      </c>
      <c r="G4057">
        <v>723</v>
      </c>
      <c r="H4057">
        <v>24135673</v>
      </c>
      <c r="I4057">
        <v>13655</v>
      </c>
      <c r="J4057" t="s">
        <v>17</v>
      </c>
      <c r="K4057" t="s">
        <v>18</v>
      </c>
      <c r="L4057">
        <v>2</v>
      </c>
      <c r="M4057">
        <v>95.86</v>
      </c>
      <c r="N4057">
        <v>939208</v>
      </c>
      <c r="O4057">
        <v>1</v>
      </c>
    </row>
    <row r="4058" spans="1:15">
      <c r="A4058" t="s">
        <v>4084</v>
      </c>
      <c r="B4058" t="s">
        <v>20</v>
      </c>
      <c r="C4058">
        <v>2</v>
      </c>
      <c r="D4058">
        <v>15772476</v>
      </c>
      <c r="E4058">
        <v>1</v>
      </c>
      <c r="F4058">
        <v>17</v>
      </c>
      <c r="G4058">
        <v>125</v>
      </c>
      <c r="H4058">
        <v>94840244</v>
      </c>
      <c r="I4058">
        <v>860262</v>
      </c>
      <c r="J4058" t="s">
        <v>17</v>
      </c>
      <c r="K4058" t="s">
        <v>30</v>
      </c>
      <c r="L4058">
        <v>9</v>
      </c>
      <c r="M4058">
        <v>21.72</v>
      </c>
      <c r="N4058">
        <v>251184</v>
      </c>
      <c r="O4058">
        <v>1</v>
      </c>
    </row>
    <row r="4059" spans="1:15">
      <c r="A4059" t="s">
        <v>4085</v>
      </c>
      <c r="B4059" t="s">
        <v>27</v>
      </c>
      <c r="C4059">
        <v>5</v>
      </c>
      <c r="D4059">
        <v>927071</v>
      </c>
      <c r="E4059">
        <v>4</v>
      </c>
      <c r="F4059">
        <v>4</v>
      </c>
      <c r="G4059">
        <v>139</v>
      </c>
      <c r="H4059">
        <v>31289554</v>
      </c>
      <c r="I4059">
        <v>58249</v>
      </c>
      <c r="J4059" t="s">
        <v>17</v>
      </c>
      <c r="K4059" t="s">
        <v>18</v>
      </c>
      <c r="L4059">
        <v>5</v>
      </c>
      <c r="M4059">
        <v>39.15</v>
      </c>
      <c r="N4059">
        <v>791674</v>
      </c>
      <c r="O4059">
        <v>1</v>
      </c>
    </row>
    <row r="4060" spans="1:15">
      <c r="A4060" t="s">
        <v>4086</v>
      </c>
      <c r="B4060" t="s">
        <v>24</v>
      </c>
      <c r="C4060">
        <v>3</v>
      </c>
      <c r="D4060">
        <v>26121800</v>
      </c>
      <c r="E4060">
        <v>2</v>
      </c>
      <c r="F4060">
        <v>25</v>
      </c>
      <c r="G4060">
        <v>892</v>
      </c>
      <c r="H4060">
        <v>80473331</v>
      </c>
      <c r="I4060">
        <v>675879</v>
      </c>
      <c r="J4060" t="s">
        <v>17</v>
      </c>
      <c r="K4060" t="s">
        <v>18</v>
      </c>
      <c r="L4060">
        <v>8</v>
      </c>
      <c r="M4060">
        <v>69.8</v>
      </c>
      <c r="N4060">
        <v>308155</v>
      </c>
      <c r="O4060">
        <v>1</v>
      </c>
    </row>
    <row r="4061" spans="1:15">
      <c r="A4061" t="s">
        <v>4087</v>
      </c>
      <c r="B4061" t="s">
        <v>16</v>
      </c>
      <c r="C4061">
        <v>1</v>
      </c>
      <c r="D4061">
        <v>2403914</v>
      </c>
      <c r="E4061">
        <v>3</v>
      </c>
      <c r="F4061">
        <v>2</v>
      </c>
      <c r="G4061">
        <v>337</v>
      </c>
      <c r="H4061">
        <v>96762044</v>
      </c>
      <c r="I4061">
        <v>513860</v>
      </c>
      <c r="J4061" t="s">
        <v>25</v>
      </c>
      <c r="K4061" t="s">
        <v>18</v>
      </c>
      <c r="L4061">
        <v>2</v>
      </c>
      <c r="M4061">
        <v>15.53</v>
      </c>
      <c r="N4061">
        <v>631056</v>
      </c>
      <c r="O4061">
        <v>1</v>
      </c>
    </row>
    <row r="4062" spans="1:15">
      <c r="A4062" t="s">
        <v>4088</v>
      </c>
      <c r="B4062" t="s">
        <v>29</v>
      </c>
      <c r="C4062">
        <v>6</v>
      </c>
      <c r="D4062">
        <v>18292618</v>
      </c>
      <c r="E4062">
        <v>4</v>
      </c>
      <c r="F4062">
        <v>28</v>
      </c>
      <c r="G4062">
        <v>166</v>
      </c>
      <c r="H4062">
        <v>93139923</v>
      </c>
      <c r="I4062">
        <v>534519</v>
      </c>
      <c r="J4062" t="s">
        <v>21</v>
      </c>
      <c r="K4062" t="s">
        <v>18</v>
      </c>
      <c r="L4062">
        <v>6</v>
      </c>
      <c r="M4062">
        <v>58.66</v>
      </c>
      <c r="N4062">
        <v>556117</v>
      </c>
      <c r="O4062">
        <v>1</v>
      </c>
    </row>
    <row r="4063" spans="1:15">
      <c r="A4063" t="s">
        <v>4089</v>
      </c>
      <c r="B4063" t="s">
        <v>32</v>
      </c>
      <c r="C4063">
        <v>2</v>
      </c>
      <c r="D4063">
        <v>16153379</v>
      </c>
      <c r="E4063">
        <v>1</v>
      </c>
      <c r="F4063">
        <v>10</v>
      </c>
      <c r="G4063">
        <v>499</v>
      </c>
      <c r="H4063">
        <v>79675421</v>
      </c>
      <c r="I4063">
        <v>781775</v>
      </c>
      <c r="J4063" t="s">
        <v>17</v>
      </c>
      <c r="K4063" t="s">
        <v>22</v>
      </c>
      <c r="L4063">
        <v>5</v>
      </c>
      <c r="M4063">
        <v>55.73</v>
      </c>
      <c r="N4063">
        <v>10178</v>
      </c>
      <c r="O4063">
        <v>1</v>
      </c>
    </row>
    <row r="4064" spans="1:15">
      <c r="A4064" t="s">
        <v>4090</v>
      </c>
      <c r="B4064" t="s">
        <v>20</v>
      </c>
      <c r="C4064">
        <v>3</v>
      </c>
      <c r="D4064">
        <v>27288096</v>
      </c>
      <c r="E4064">
        <v>4</v>
      </c>
      <c r="F4064">
        <v>22</v>
      </c>
      <c r="G4064">
        <v>81</v>
      </c>
      <c r="H4064">
        <v>81554767</v>
      </c>
      <c r="I4064">
        <v>447647</v>
      </c>
      <c r="J4064" t="s">
        <v>25</v>
      </c>
      <c r="K4064" t="s">
        <v>30</v>
      </c>
      <c r="L4064">
        <v>2</v>
      </c>
      <c r="M4064">
        <v>37.24</v>
      </c>
      <c r="N4064">
        <v>339728</v>
      </c>
      <c r="O4064">
        <v>1</v>
      </c>
    </row>
    <row r="4065" spans="1:15">
      <c r="A4065" t="s">
        <v>4091</v>
      </c>
      <c r="B4065" t="s">
        <v>32</v>
      </c>
      <c r="C4065">
        <v>11</v>
      </c>
      <c r="D4065">
        <v>749305</v>
      </c>
      <c r="E4065">
        <v>1</v>
      </c>
      <c r="F4065">
        <v>4</v>
      </c>
      <c r="G4065">
        <v>157</v>
      </c>
      <c r="H4065">
        <v>37016573</v>
      </c>
      <c r="I4065">
        <v>747909</v>
      </c>
      <c r="J4065" t="s">
        <v>25</v>
      </c>
      <c r="K4065" t="s">
        <v>18</v>
      </c>
      <c r="L4065">
        <v>8</v>
      </c>
      <c r="M4065">
        <v>43.78</v>
      </c>
      <c r="N4065">
        <v>304532</v>
      </c>
      <c r="O4065">
        <v>1</v>
      </c>
    </row>
    <row r="4066" spans="1:15">
      <c r="A4066" t="s">
        <v>4092</v>
      </c>
      <c r="B4066" t="s">
        <v>32</v>
      </c>
      <c r="C4066">
        <v>0</v>
      </c>
      <c r="D4066">
        <v>18430949</v>
      </c>
      <c r="E4066">
        <v>1</v>
      </c>
      <c r="F4066">
        <v>20</v>
      </c>
      <c r="G4066">
        <v>712</v>
      </c>
      <c r="H4066">
        <v>46188151</v>
      </c>
      <c r="I4066">
        <v>211357</v>
      </c>
      <c r="J4066" t="s">
        <v>21</v>
      </c>
      <c r="K4066" t="s">
        <v>30</v>
      </c>
      <c r="L4066">
        <v>6</v>
      </c>
      <c r="M4066">
        <v>60.49</v>
      </c>
      <c r="N4066">
        <v>523241</v>
      </c>
      <c r="O4066">
        <v>1</v>
      </c>
    </row>
    <row r="4067" spans="1:15">
      <c r="A4067" t="s">
        <v>4093</v>
      </c>
      <c r="B4067" t="s">
        <v>27</v>
      </c>
      <c r="C4067">
        <v>14</v>
      </c>
      <c r="D4067">
        <v>47236466</v>
      </c>
      <c r="E4067">
        <v>2</v>
      </c>
      <c r="F4067">
        <v>28</v>
      </c>
      <c r="G4067">
        <v>352</v>
      </c>
      <c r="H4067">
        <v>95010499</v>
      </c>
      <c r="I4067">
        <v>668589</v>
      </c>
      <c r="J4067" t="s">
        <v>25</v>
      </c>
      <c r="K4067" t="s">
        <v>18</v>
      </c>
      <c r="L4067">
        <v>1</v>
      </c>
      <c r="M4067">
        <v>3.09</v>
      </c>
      <c r="N4067">
        <v>755863</v>
      </c>
      <c r="O4067">
        <v>1</v>
      </c>
    </row>
    <row r="4068" spans="1:15">
      <c r="A4068" t="s">
        <v>4094</v>
      </c>
      <c r="B4068" t="s">
        <v>27</v>
      </c>
      <c r="C4068">
        <v>5</v>
      </c>
      <c r="D4068">
        <v>34136215</v>
      </c>
      <c r="E4068">
        <v>1</v>
      </c>
      <c r="F4068">
        <v>29</v>
      </c>
      <c r="G4068">
        <v>47</v>
      </c>
      <c r="H4068">
        <v>27778786</v>
      </c>
      <c r="I4068">
        <v>384835</v>
      </c>
      <c r="J4068" t="s">
        <v>21</v>
      </c>
      <c r="K4068" t="s">
        <v>18</v>
      </c>
      <c r="L4068">
        <v>9</v>
      </c>
      <c r="M4068">
        <v>19.23</v>
      </c>
      <c r="N4068">
        <v>718079</v>
      </c>
      <c r="O4068">
        <v>1</v>
      </c>
    </row>
    <row r="4069" spans="1:15">
      <c r="A4069" t="s">
        <v>4095</v>
      </c>
      <c r="B4069" t="s">
        <v>29</v>
      </c>
      <c r="C4069">
        <v>7</v>
      </c>
      <c r="D4069">
        <v>28709067</v>
      </c>
      <c r="E4069">
        <v>3</v>
      </c>
      <c r="F4069">
        <v>19</v>
      </c>
      <c r="G4069">
        <v>968</v>
      </c>
      <c r="H4069">
        <v>21826172</v>
      </c>
      <c r="I4069">
        <v>80142</v>
      </c>
      <c r="J4069" t="s">
        <v>21</v>
      </c>
      <c r="K4069" t="s">
        <v>18</v>
      </c>
      <c r="L4069">
        <v>8</v>
      </c>
      <c r="M4069">
        <v>94.25</v>
      </c>
      <c r="N4069">
        <v>374855</v>
      </c>
      <c r="O4069">
        <v>1</v>
      </c>
    </row>
    <row r="4070" spans="1:15">
      <c r="A4070" t="s">
        <v>4096</v>
      </c>
      <c r="B4070" t="s">
        <v>27</v>
      </c>
      <c r="C4070">
        <v>12</v>
      </c>
      <c r="D4070">
        <v>23977486</v>
      </c>
      <c r="E4070">
        <v>1</v>
      </c>
      <c r="F4070">
        <v>29</v>
      </c>
      <c r="G4070">
        <v>374</v>
      </c>
      <c r="H4070">
        <v>46573166</v>
      </c>
      <c r="I4070">
        <v>504461</v>
      </c>
      <c r="J4070" t="s">
        <v>21</v>
      </c>
      <c r="K4070" t="s">
        <v>30</v>
      </c>
      <c r="L4070">
        <v>9</v>
      </c>
      <c r="M4070">
        <v>26.76</v>
      </c>
      <c r="N4070">
        <v>879330</v>
      </c>
      <c r="O4070">
        <v>1</v>
      </c>
    </row>
    <row r="4071" spans="1:15">
      <c r="A4071" t="s">
        <v>4097</v>
      </c>
      <c r="B4071" t="s">
        <v>16</v>
      </c>
      <c r="C4071">
        <v>12</v>
      </c>
      <c r="D4071">
        <v>35564736</v>
      </c>
      <c r="E4071">
        <v>3</v>
      </c>
      <c r="F4071">
        <v>24</v>
      </c>
      <c r="G4071">
        <v>526</v>
      </c>
      <c r="H4071">
        <v>69497350</v>
      </c>
      <c r="I4071">
        <v>316048</v>
      </c>
      <c r="J4071" t="s">
        <v>25</v>
      </c>
      <c r="K4071" t="s">
        <v>18</v>
      </c>
      <c r="L4071">
        <v>3</v>
      </c>
      <c r="M4071">
        <v>76.290000000000006</v>
      </c>
      <c r="N4071">
        <v>941633</v>
      </c>
      <c r="O4071">
        <v>1</v>
      </c>
    </row>
    <row r="4072" spans="1:15">
      <c r="A4072" t="s">
        <v>4098</v>
      </c>
      <c r="B4072" t="s">
        <v>29</v>
      </c>
      <c r="C4072">
        <v>10</v>
      </c>
      <c r="D4072">
        <v>2316955</v>
      </c>
      <c r="E4072">
        <v>4</v>
      </c>
      <c r="F4072">
        <v>7</v>
      </c>
      <c r="G4072">
        <v>828</v>
      </c>
      <c r="H4072">
        <v>43711036</v>
      </c>
      <c r="I4072">
        <v>776907</v>
      </c>
      <c r="J4072" t="s">
        <v>17</v>
      </c>
      <c r="K4072" t="s">
        <v>22</v>
      </c>
      <c r="L4072">
        <v>7</v>
      </c>
      <c r="M4072">
        <v>24.66</v>
      </c>
      <c r="N4072">
        <v>339277</v>
      </c>
      <c r="O4072">
        <v>1</v>
      </c>
    </row>
    <row r="4073" spans="1:15">
      <c r="A4073" t="s">
        <v>4099</v>
      </c>
      <c r="B4073" t="s">
        <v>38</v>
      </c>
      <c r="C4073">
        <v>3</v>
      </c>
      <c r="D4073">
        <v>36394058</v>
      </c>
      <c r="E4073">
        <v>1</v>
      </c>
      <c r="F4073">
        <v>14</v>
      </c>
      <c r="G4073">
        <v>7</v>
      </c>
      <c r="H4073">
        <v>42569580</v>
      </c>
      <c r="I4073">
        <v>978323</v>
      </c>
      <c r="J4073" t="s">
        <v>21</v>
      </c>
      <c r="K4073" t="s">
        <v>18</v>
      </c>
      <c r="L4073">
        <v>3</v>
      </c>
      <c r="M4073">
        <v>78.92</v>
      </c>
      <c r="N4073">
        <v>958614</v>
      </c>
      <c r="O4073">
        <v>1</v>
      </c>
    </row>
    <row r="4074" spans="1:15">
      <c r="A4074" t="s">
        <v>4100</v>
      </c>
      <c r="B4074" t="s">
        <v>27</v>
      </c>
      <c r="C4074">
        <v>11</v>
      </c>
      <c r="D4074">
        <v>17791970</v>
      </c>
      <c r="E4074">
        <v>2</v>
      </c>
      <c r="F4074">
        <v>13</v>
      </c>
      <c r="G4074">
        <v>296</v>
      </c>
      <c r="H4074">
        <v>84458124</v>
      </c>
      <c r="I4074">
        <v>674730</v>
      </c>
      <c r="J4074" t="s">
        <v>21</v>
      </c>
      <c r="K4074" t="s">
        <v>18</v>
      </c>
      <c r="L4074">
        <v>5</v>
      </c>
      <c r="M4074">
        <v>6.7</v>
      </c>
      <c r="N4074">
        <v>375327</v>
      </c>
      <c r="O4074">
        <v>1</v>
      </c>
    </row>
    <row r="4075" spans="1:15">
      <c r="A4075" t="s">
        <v>4101</v>
      </c>
      <c r="B4075" t="s">
        <v>20</v>
      </c>
      <c r="C4075">
        <v>5</v>
      </c>
      <c r="D4075">
        <v>11409991</v>
      </c>
      <c r="E4075">
        <v>1</v>
      </c>
      <c r="F4075">
        <v>4</v>
      </c>
      <c r="G4075">
        <v>713</v>
      </c>
      <c r="H4075">
        <v>39475560</v>
      </c>
      <c r="I4075">
        <v>318921</v>
      </c>
      <c r="J4075" t="s">
        <v>17</v>
      </c>
      <c r="K4075" t="s">
        <v>30</v>
      </c>
      <c r="L4075">
        <v>8</v>
      </c>
      <c r="M4075">
        <v>67.06</v>
      </c>
      <c r="N4075">
        <v>621177</v>
      </c>
      <c r="O4075">
        <v>1</v>
      </c>
    </row>
    <row r="4076" spans="1:15">
      <c r="A4076" t="s">
        <v>4102</v>
      </c>
      <c r="B4076" t="s">
        <v>20</v>
      </c>
      <c r="C4076">
        <v>3</v>
      </c>
      <c r="D4076">
        <v>29572413</v>
      </c>
      <c r="E4076">
        <v>2</v>
      </c>
      <c r="F4076">
        <v>5</v>
      </c>
      <c r="G4076">
        <v>469</v>
      </c>
      <c r="H4076">
        <v>40158380</v>
      </c>
      <c r="I4076">
        <v>194334</v>
      </c>
      <c r="J4076" t="s">
        <v>21</v>
      </c>
      <c r="K4076" t="s">
        <v>22</v>
      </c>
      <c r="L4076">
        <v>7</v>
      </c>
      <c r="M4076">
        <v>13.6</v>
      </c>
      <c r="N4076">
        <v>843034</v>
      </c>
      <c r="O4076">
        <v>1</v>
      </c>
    </row>
    <row r="4077" spans="1:15">
      <c r="A4077" t="s">
        <v>4103</v>
      </c>
      <c r="B4077" t="s">
        <v>29</v>
      </c>
      <c r="C4077">
        <v>0</v>
      </c>
      <c r="D4077">
        <v>3993620</v>
      </c>
      <c r="E4077">
        <v>2</v>
      </c>
      <c r="F4077">
        <v>20</v>
      </c>
      <c r="G4077">
        <v>14</v>
      </c>
      <c r="H4077">
        <v>86725902</v>
      </c>
      <c r="I4077">
        <v>610115</v>
      </c>
      <c r="J4077" t="s">
        <v>21</v>
      </c>
      <c r="K4077" t="s">
        <v>30</v>
      </c>
      <c r="L4077">
        <v>2</v>
      </c>
      <c r="M4077">
        <v>52.91</v>
      </c>
      <c r="N4077">
        <v>496763</v>
      </c>
      <c r="O4077">
        <v>1</v>
      </c>
    </row>
    <row r="4078" spans="1:15">
      <c r="A4078" t="s">
        <v>4104</v>
      </c>
      <c r="B4078" t="s">
        <v>20</v>
      </c>
      <c r="C4078">
        <v>12</v>
      </c>
      <c r="D4078">
        <v>28242033</v>
      </c>
      <c r="E4078">
        <v>2</v>
      </c>
      <c r="F4078">
        <v>22</v>
      </c>
      <c r="G4078">
        <v>364</v>
      </c>
      <c r="H4078">
        <v>22416149</v>
      </c>
      <c r="I4078">
        <v>932640</v>
      </c>
      <c r="J4078" t="s">
        <v>21</v>
      </c>
      <c r="K4078" t="s">
        <v>18</v>
      </c>
      <c r="L4078">
        <v>7</v>
      </c>
      <c r="M4078">
        <v>20.66</v>
      </c>
      <c r="N4078">
        <v>498344</v>
      </c>
      <c r="O4078">
        <v>1</v>
      </c>
    </row>
    <row r="4079" spans="1:15">
      <c r="A4079" t="s">
        <v>4105</v>
      </c>
      <c r="B4079" t="s">
        <v>27</v>
      </c>
      <c r="C4079">
        <v>14</v>
      </c>
      <c r="D4079">
        <v>17391511</v>
      </c>
      <c r="E4079">
        <v>3</v>
      </c>
      <c r="F4079">
        <v>0</v>
      </c>
      <c r="G4079">
        <v>17</v>
      </c>
      <c r="H4079">
        <v>1042496</v>
      </c>
      <c r="I4079">
        <v>364539</v>
      </c>
      <c r="J4079" t="s">
        <v>25</v>
      </c>
      <c r="K4079" t="s">
        <v>18</v>
      </c>
      <c r="L4079">
        <v>7</v>
      </c>
      <c r="M4079">
        <v>13.43</v>
      </c>
      <c r="N4079">
        <v>569602</v>
      </c>
      <c r="O4079">
        <v>1</v>
      </c>
    </row>
    <row r="4080" spans="1:15">
      <c r="A4080" t="s">
        <v>4106</v>
      </c>
      <c r="B4080" t="s">
        <v>24</v>
      </c>
      <c r="C4080">
        <v>4</v>
      </c>
      <c r="D4080">
        <v>8959045</v>
      </c>
      <c r="E4080">
        <v>1</v>
      </c>
      <c r="F4080">
        <v>12</v>
      </c>
      <c r="G4080">
        <v>765</v>
      </c>
      <c r="H4080">
        <v>49302043</v>
      </c>
      <c r="I4080">
        <v>402836</v>
      </c>
      <c r="J4080" t="s">
        <v>21</v>
      </c>
      <c r="K4080" t="s">
        <v>18</v>
      </c>
      <c r="L4080">
        <v>9</v>
      </c>
      <c r="M4080">
        <v>17.03</v>
      </c>
      <c r="N4080">
        <v>542896</v>
      </c>
      <c r="O4080">
        <v>1</v>
      </c>
    </row>
    <row r="4081" spans="1:15">
      <c r="A4081" t="s">
        <v>4107</v>
      </c>
      <c r="B4081" t="s">
        <v>16</v>
      </c>
      <c r="C4081">
        <v>5</v>
      </c>
      <c r="D4081">
        <v>41863173</v>
      </c>
      <c r="E4081">
        <v>4</v>
      </c>
      <c r="F4081">
        <v>26</v>
      </c>
      <c r="G4081">
        <v>738</v>
      </c>
      <c r="H4081">
        <v>58829704</v>
      </c>
      <c r="I4081">
        <v>586645</v>
      </c>
      <c r="J4081" t="s">
        <v>21</v>
      </c>
      <c r="K4081" t="s">
        <v>18</v>
      </c>
      <c r="L4081">
        <v>9</v>
      </c>
      <c r="M4081">
        <v>52.15</v>
      </c>
      <c r="N4081">
        <v>891945</v>
      </c>
      <c r="O4081">
        <v>1</v>
      </c>
    </row>
    <row r="4082" spans="1:15">
      <c r="A4082" t="s">
        <v>4108</v>
      </c>
      <c r="B4082" t="s">
        <v>27</v>
      </c>
      <c r="C4082">
        <v>9</v>
      </c>
      <c r="D4082">
        <v>6772644</v>
      </c>
      <c r="E4082">
        <v>3</v>
      </c>
      <c r="F4082">
        <v>29</v>
      </c>
      <c r="G4082">
        <v>802</v>
      </c>
      <c r="H4082">
        <v>38877063</v>
      </c>
      <c r="I4082">
        <v>733010</v>
      </c>
      <c r="J4082" t="s">
        <v>21</v>
      </c>
      <c r="K4082" t="s">
        <v>30</v>
      </c>
      <c r="L4082">
        <v>3</v>
      </c>
      <c r="M4082">
        <v>89.37</v>
      </c>
      <c r="N4082">
        <v>91557</v>
      </c>
      <c r="O4082">
        <v>1</v>
      </c>
    </row>
    <row r="4083" spans="1:15">
      <c r="A4083" t="s">
        <v>4109</v>
      </c>
      <c r="B4083" t="s">
        <v>29</v>
      </c>
      <c r="C4083">
        <v>8</v>
      </c>
      <c r="D4083">
        <v>35825180</v>
      </c>
      <c r="E4083">
        <v>4</v>
      </c>
      <c r="F4083">
        <v>20</v>
      </c>
      <c r="G4083">
        <v>805</v>
      </c>
      <c r="H4083">
        <v>52783707</v>
      </c>
      <c r="I4083">
        <v>559678</v>
      </c>
      <c r="J4083" t="s">
        <v>17</v>
      </c>
      <c r="K4083" t="s">
        <v>22</v>
      </c>
      <c r="L4083">
        <v>9</v>
      </c>
      <c r="M4083">
        <v>52.86</v>
      </c>
      <c r="N4083">
        <v>679528</v>
      </c>
      <c r="O4083">
        <v>1</v>
      </c>
    </row>
    <row r="4084" spans="1:15">
      <c r="A4084" t="s">
        <v>4110</v>
      </c>
      <c r="B4084" t="s">
        <v>16</v>
      </c>
      <c r="C4084">
        <v>0</v>
      </c>
      <c r="D4084">
        <v>24317492</v>
      </c>
      <c r="E4084">
        <v>3</v>
      </c>
      <c r="F4084">
        <v>18</v>
      </c>
      <c r="G4084">
        <v>779</v>
      </c>
      <c r="H4084">
        <v>79206645</v>
      </c>
      <c r="I4084">
        <v>5846</v>
      </c>
      <c r="J4084" t="s">
        <v>21</v>
      </c>
      <c r="K4084" t="s">
        <v>18</v>
      </c>
      <c r="L4084">
        <v>6</v>
      </c>
      <c r="M4084">
        <v>36.33</v>
      </c>
      <c r="N4084">
        <v>463219</v>
      </c>
      <c r="O4084">
        <v>1</v>
      </c>
    </row>
    <row r="4085" spans="1:15">
      <c r="A4085" t="s">
        <v>4111</v>
      </c>
      <c r="B4085" t="s">
        <v>29</v>
      </c>
      <c r="C4085">
        <v>11</v>
      </c>
      <c r="D4085">
        <v>35004710</v>
      </c>
      <c r="E4085">
        <v>4</v>
      </c>
      <c r="F4085">
        <v>29</v>
      </c>
      <c r="G4085">
        <v>831</v>
      </c>
      <c r="H4085">
        <v>42494407</v>
      </c>
      <c r="I4085">
        <v>12356</v>
      </c>
      <c r="J4085" t="s">
        <v>21</v>
      </c>
      <c r="K4085" t="s">
        <v>18</v>
      </c>
      <c r="L4085">
        <v>3</v>
      </c>
      <c r="M4085">
        <v>46.44</v>
      </c>
      <c r="N4085">
        <v>517592</v>
      </c>
      <c r="O4085">
        <v>1</v>
      </c>
    </row>
    <row r="4086" spans="1:15">
      <c r="A4086" t="s">
        <v>4112</v>
      </c>
      <c r="B4086" t="s">
        <v>27</v>
      </c>
      <c r="C4086">
        <v>2</v>
      </c>
      <c r="D4086">
        <v>42325046</v>
      </c>
      <c r="E4086">
        <v>1</v>
      </c>
      <c r="F4086">
        <v>9</v>
      </c>
      <c r="G4086">
        <v>16</v>
      </c>
      <c r="H4086">
        <v>34353804</v>
      </c>
      <c r="I4086">
        <v>538893</v>
      </c>
      <c r="J4086" t="s">
        <v>21</v>
      </c>
      <c r="K4086" t="s">
        <v>30</v>
      </c>
      <c r="L4086">
        <v>3</v>
      </c>
      <c r="M4086">
        <v>69.03</v>
      </c>
      <c r="N4086">
        <v>236879</v>
      </c>
      <c r="O4086">
        <v>1</v>
      </c>
    </row>
    <row r="4087" spans="1:15">
      <c r="A4087" t="s">
        <v>4113</v>
      </c>
      <c r="B4087" t="s">
        <v>38</v>
      </c>
      <c r="C4087">
        <v>0</v>
      </c>
      <c r="D4087">
        <v>3965052</v>
      </c>
      <c r="E4087">
        <v>2</v>
      </c>
      <c r="F4087">
        <v>21</v>
      </c>
      <c r="G4087">
        <v>561</v>
      </c>
      <c r="H4087">
        <v>11949082</v>
      </c>
      <c r="I4087">
        <v>120754</v>
      </c>
      <c r="J4087" t="s">
        <v>25</v>
      </c>
      <c r="K4087" t="s">
        <v>30</v>
      </c>
      <c r="L4087">
        <v>4</v>
      </c>
      <c r="M4087">
        <v>60.98</v>
      </c>
      <c r="N4087">
        <v>382221</v>
      </c>
      <c r="O4087">
        <v>1</v>
      </c>
    </row>
    <row r="4088" spans="1:15">
      <c r="A4088" t="s">
        <v>4114</v>
      </c>
      <c r="B4088" t="s">
        <v>29</v>
      </c>
      <c r="C4088">
        <v>10</v>
      </c>
      <c r="D4088">
        <v>34452532</v>
      </c>
      <c r="E4088">
        <v>1</v>
      </c>
      <c r="F4088">
        <v>22</v>
      </c>
      <c r="G4088">
        <v>645</v>
      </c>
      <c r="H4088">
        <v>53346633</v>
      </c>
      <c r="I4088">
        <v>955998</v>
      </c>
      <c r="J4088" t="s">
        <v>25</v>
      </c>
      <c r="K4088" t="s">
        <v>22</v>
      </c>
      <c r="L4088">
        <v>4</v>
      </c>
      <c r="M4088">
        <v>7.54</v>
      </c>
      <c r="N4088">
        <v>761660</v>
      </c>
      <c r="O4088">
        <v>1</v>
      </c>
    </row>
    <row r="4089" spans="1:15">
      <c r="A4089" t="s">
        <v>4115</v>
      </c>
      <c r="B4089" t="s">
        <v>20</v>
      </c>
      <c r="C4089">
        <v>12</v>
      </c>
      <c r="D4089">
        <v>9925175</v>
      </c>
      <c r="E4089">
        <v>3</v>
      </c>
      <c r="F4089">
        <v>19</v>
      </c>
      <c r="G4089">
        <v>668</v>
      </c>
      <c r="H4089">
        <v>59935868</v>
      </c>
      <c r="I4089">
        <v>571950</v>
      </c>
      <c r="J4089" t="s">
        <v>17</v>
      </c>
      <c r="K4089" t="s">
        <v>18</v>
      </c>
      <c r="L4089">
        <v>9</v>
      </c>
      <c r="M4089">
        <v>74.97</v>
      </c>
      <c r="N4089">
        <v>575265</v>
      </c>
      <c r="O4089">
        <v>1</v>
      </c>
    </row>
    <row r="4090" spans="1:15">
      <c r="A4090" t="s">
        <v>4116</v>
      </c>
      <c r="B4090" t="s">
        <v>24</v>
      </c>
      <c r="C4090">
        <v>12</v>
      </c>
      <c r="D4090">
        <v>49573798</v>
      </c>
      <c r="E4090">
        <v>4</v>
      </c>
      <c r="F4090">
        <v>0</v>
      </c>
      <c r="G4090">
        <v>295</v>
      </c>
      <c r="H4090">
        <v>18104817</v>
      </c>
      <c r="I4090">
        <v>838623</v>
      </c>
      <c r="J4090" t="s">
        <v>17</v>
      </c>
      <c r="K4090" t="s">
        <v>18</v>
      </c>
      <c r="L4090">
        <v>2</v>
      </c>
      <c r="M4090">
        <v>82.4</v>
      </c>
      <c r="N4090">
        <v>140658</v>
      </c>
      <c r="O4090">
        <v>1</v>
      </c>
    </row>
    <row r="4091" spans="1:15">
      <c r="A4091" t="s">
        <v>4117</v>
      </c>
      <c r="B4091" t="s">
        <v>32</v>
      </c>
      <c r="C4091">
        <v>3</v>
      </c>
      <c r="D4091">
        <v>13579659</v>
      </c>
      <c r="E4091">
        <v>4</v>
      </c>
      <c r="F4091">
        <v>24</v>
      </c>
      <c r="G4091">
        <v>142</v>
      </c>
      <c r="H4091">
        <v>40755971</v>
      </c>
      <c r="I4091">
        <v>729898</v>
      </c>
      <c r="J4091" t="s">
        <v>17</v>
      </c>
      <c r="K4091" t="s">
        <v>22</v>
      </c>
      <c r="L4091">
        <v>5</v>
      </c>
      <c r="M4091">
        <v>66.849999999999994</v>
      </c>
      <c r="N4091">
        <v>760429</v>
      </c>
      <c r="O4091">
        <v>1</v>
      </c>
    </row>
    <row r="4092" spans="1:15">
      <c r="A4092" t="s">
        <v>4118</v>
      </c>
      <c r="B4092" t="s">
        <v>27</v>
      </c>
      <c r="C4092">
        <v>12</v>
      </c>
      <c r="D4092">
        <v>48381911</v>
      </c>
      <c r="E4092">
        <v>3</v>
      </c>
      <c r="F4092">
        <v>7</v>
      </c>
      <c r="G4092">
        <v>265</v>
      </c>
      <c r="H4092">
        <v>98955411</v>
      </c>
      <c r="I4092">
        <v>71422</v>
      </c>
      <c r="J4092" t="s">
        <v>21</v>
      </c>
      <c r="K4092" t="s">
        <v>18</v>
      </c>
      <c r="L4092">
        <v>6</v>
      </c>
      <c r="M4092">
        <v>44.22</v>
      </c>
      <c r="N4092">
        <v>577905</v>
      </c>
      <c r="O4092">
        <v>1</v>
      </c>
    </row>
    <row r="4093" spans="1:15">
      <c r="A4093" t="s">
        <v>4119</v>
      </c>
      <c r="B4093" t="s">
        <v>24</v>
      </c>
      <c r="C4093">
        <v>3</v>
      </c>
      <c r="D4093">
        <v>3696800</v>
      </c>
      <c r="E4093">
        <v>2</v>
      </c>
      <c r="F4093">
        <v>13</v>
      </c>
      <c r="G4093">
        <v>219</v>
      </c>
      <c r="H4093">
        <v>37115212</v>
      </c>
      <c r="I4093">
        <v>818382</v>
      </c>
      <c r="J4093" t="s">
        <v>17</v>
      </c>
      <c r="K4093" t="s">
        <v>22</v>
      </c>
      <c r="L4093">
        <v>4</v>
      </c>
      <c r="M4093">
        <v>51.33</v>
      </c>
      <c r="N4093">
        <v>398305</v>
      </c>
      <c r="O4093">
        <v>1</v>
      </c>
    </row>
    <row r="4094" spans="1:15">
      <c r="A4094" t="s">
        <v>4120</v>
      </c>
      <c r="B4094" t="s">
        <v>29</v>
      </c>
      <c r="C4094">
        <v>14</v>
      </c>
      <c r="D4094">
        <v>49533771</v>
      </c>
      <c r="E4094">
        <v>1</v>
      </c>
      <c r="F4094">
        <v>29</v>
      </c>
      <c r="G4094">
        <v>836</v>
      </c>
      <c r="H4094">
        <v>19228357</v>
      </c>
      <c r="I4094">
        <v>956662</v>
      </c>
      <c r="J4094" t="s">
        <v>25</v>
      </c>
      <c r="K4094" t="s">
        <v>22</v>
      </c>
      <c r="L4094">
        <v>6</v>
      </c>
      <c r="M4094">
        <v>22.14</v>
      </c>
      <c r="N4094">
        <v>129008</v>
      </c>
      <c r="O4094">
        <v>1</v>
      </c>
    </row>
    <row r="4095" spans="1:15">
      <c r="A4095" t="s">
        <v>4121</v>
      </c>
      <c r="B4095" t="s">
        <v>32</v>
      </c>
      <c r="C4095">
        <v>12</v>
      </c>
      <c r="D4095">
        <v>42867405</v>
      </c>
      <c r="E4095">
        <v>2</v>
      </c>
      <c r="F4095">
        <v>29</v>
      </c>
      <c r="G4095">
        <v>479</v>
      </c>
      <c r="H4095">
        <v>72824802</v>
      </c>
      <c r="I4095">
        <v>84442</v>
      </c>
      <c r="J4095" t="s">
        <v>25</v>
      </c>
      <c r="K4095" t="s">
        <v>18</v>
      </c>
      <c r="L4095">
        <v>8</v>
      </c>
      <c r="M4095">
        <v>60.48</v>
      </c>
      <c r="N4095">
        <v>50365</v>
      </c>
      <c r="O4095">
        <v>1</v>
      </c>
    </row>
    <row r="4096" spans="1:15">
      <c r="A4096" t="s">
        <v>4122</v>
      </c>
      <c r="B4096" t="s">
        <v>32</v>
      </c>
      <c r="C4096">
        <v>10</v>
      </c>
      <c r="D4096">
        <v>8421951</v>
      </c>
      <c r="E4096">
        <v>2</v>
      </c>
      <c r="F4096">
        <v>26</v>
      </c>
      <c r="G4096">
        <v>187</v>
      </c>
      <c r="H4096">
        <v>85009533</v>
      </c>
      <c r="I4096">
        <v>828533</v>
      </c>
      <c r="J4096" t="s">
        <v>21</v>
      </c>
      <c r="K4096" t="s">
        <v>22</v>
      </c>
      <c r="L4096">
        <v>4</v>
      </c>
      <c r="M4096">
        <v>89.38</v>
      </c>
      <c r="N4096">
        <v>29139</v>
      </c>
      <c r="O4096">
        <v>1</v>
      </c>
    </row>
    <row r="4097" spans="1:15">
      <c r="A4097" t="s">
        <v>4123</v>
      </c>
      <c r="B4097" t="s">
        <v>24</v>
      </c>
      <c r="C4097">
        <v>11</v>
      </c>
      <c r="D4097">
        <v>28214456</v>
      </c>
      <c r="E4097">
        <v>1</v>
      </c>
      <c r="F4097">
        <v>20</v>
      </c>
      <c r="G4097">
        <v>494</v>
      </c>
      <c r="H4097">
        <v>91988562</v>
      </c>
      <c r="I4097">
        <v>557532</v>
      </c>
      <c r="J4097" t="s">
        <v>17</v>
      </c>
      <c r="K4097" t="s">
        <v>22</v>
      </c>
      <c r="L4097">
        <v>4</v>
      </c>
      <c r="M4097">
        <v>0.3</v>
      </c>
      <c r="N4097">
        <v>784956</v>
      </c>
      <c r="O4097">
        <v>1</v>
      </c>
    </row>
    <row r="4098" spans="1:15">
      <c r="A4098" t="s">
        <v>4124</v>
      </c>
      <c r="B4098" t="s">
        <v>24</v>
      </c>
      <c r="C4098">
        <v>4</v>
      </c>
      <c r="D4098">
        <v>46844060</v>
      </c>
      <c r="E4098">
        <v>2</v>
      </c>
      <c r="F4098">
        <v>22</v>
      </c>
      <c r="G4098">
        <v>800</v>
      </c>
      <c r="H4098">
        <v>37977634</v>
      </c>
      <c r="I4098">
        <v>314844</v>
      </c>
      <c r="J4098" t="s">
        <v>17</v>
      </c>
      <c r="K4098" t="s">
        <v>22</v>
      </c>
      <c r="L4098">
        <v>6</v>
      </c>
      <c r="M4098">
        <v>41.43</v>
      </c>
      <c r="N4098">
        <v>851854</v>
      </c>
      <c r="O4098">
        <v>1</v>
      </c>
    </row>
    <row r="4099" spans="1:15">
      <c r="A4099" t="s">
        <v>4125</v>
      </c>
      <c r="B4099" t="s">
        <v>27</v>
      </c>
      <c r="C4099">
        <v>14</v>
      </c>
      <c r="D4099">
        <v>33314743</v>
      </c>
      <c r="E4099">
        <v>4</v>
      </c>
      <c r="F4099">
        <v>13</v>
      </c>
      <c r="G4099">
        <v>902</v>
      </c>
      <c r="H4099">
        <v>71778717</v>
      </c>
      <c r="I4099">
        <v>76533</v>
      </c>
      <c r="J4099" t="s">
        <v>25</v>
      </c>
      <c r="K4099" t="s">
        <v>30</v>
      </c>
      <c r="L4099">
        <v>3</v>
      </c>
      <c r="M4099">
        <v>10.97</v>
      </c>
      <c r="N4099">
        <v>10766</v>
      </c>
      <c r="O4099">
        <v>1</v>
      </c>
    </row>
    <row r="4100" spans="1:15">
      <c r="A4100" t="s">
        <v>4126</v>
      </c>
      <c r="B4100" t="s">
        <v>24</v>
      </c>
      <c r="C4100">
        <v>5</v>
      </c>
      <c r="D4100">
        <v>10338659</v>
      </c>
      <c r="E4100">
        <v>3</v>
      </c>
      <c r="F4100">
        <v>15</v>
      </c>
      <c r="G4100">
        <v>287</v>
      </c>
      <c r="H4100">
        <v>4215988</v>
      </c>
      <c r="I4100">
        <v>477975</v>
      </c>
      <c r="J4100" t="s">
        <v>17</v>
      </c>
      <c r="K4100" t="s">
        <v>22</v>
      </c>
      <c r="L4100">
        <v>7</v>
      </c>
      <c r="M4100">
        <v>38.6</v>
      </c>
      <c r="N4100">
        <v>300676</v>
      </c>
      <c r="O4100">
        <v>1</v>
      </c>
    </row>
    <row r="4101" spans="1:15">
      <c r="A4101" t="s">
        <v>4127</v>
      </c>
      <c r="B4101" t="s">
        <v>27</v>
      </c>
      <c r="C4101">
        <v>2</v>
      </c>
      <c r="D4101">
        <v>34591353</v>
      </c>
      <c r="E4101">
        <v>2</v>
      </c>
      <c r="F4101">
        <v>9</v>
      </c>
      <c r="G4101">
        <v>248</v>
      </c>
      <c r="H4101">
        <v>3635039</v>
      </c>
      <c r="I4101">
        <v>251144</v>
      </c>
      <c r="J4101" t="s">
        <v>25</v>
      </c>
      <c r="K4101" t="s">
        <v>18</v>
      </c>
      <c r="L4101">
        <v>1</v>
      </c>
      <c r="M4101">
        <v>10.92</v>
      </c>
      <c r="N4101">
        <v>651676</v>
      </c>
      <c r="O4101">
        <v>1</v>
      </c>
    </row>
    <row r="4102" spans="1:15">
      <c r="A4102" t="s">
        <v>4128</v>
      </c>
      <c r="B4102" t="s">
        <v>24</v>
      </c>
      <c r="C4102">
        <v>2</v>
      </c>
      <c r="D4102">
        <v>15647155</v>
      </c>
      <c r="E4102">
        <v>4</v>
      </c>
      <c r="F4102">
        <v>28</v>
      </c>
      <c r="G4102">
        <v>196</v>
      </c>
      <c r="H4102">
        <v>32231700</v>
      </c>
      <c r="I4102">
        <v>878449</v>
      </c>
      <c r="J4102" t="s">
        <v>21</v>
      </c>
      <c r="K4102" t="s">
        <v>18</v>
      </c>
      <c r="L4102">
        <v>7</v>
      </c>
      <c r="M4102">
        <v>14.84</v>
      </c>
      <c r="N4102">
        <v>309558</v>
      </c>
      <c r="O4102">
        <v>1</v>
      </c>
    </row>
    <row r="4103" spans="1:15">
      <c r="A4103" t="s">
        <v>4129</v>
      </c>
      <c r="B4103" t="s">
        <v>20</v>
      </c>
      <c r="C4103">
        <v>5</v>
      </c>
      <c r="D4103">
        <v>37831416</v>
      </c>
      <c r="E4103">
        <v>3</v>
      </c>
      <c r="F4103">
        <v>9</v>
      </c>
      <c r="G4103">
        <v>384</v>
      </c>
      <c r="H4103">
        <v>29398376</v>
      </c>
      <c r="I4103">
        <v>208908</v>
      </c>
      <c r="J4103" t="s">
        <v>25</v>
      </c>
      <c r="K4103" t="s">
        <v>18</v>
      </c>
      <c r="L4103">
        <v>3</v>
      </c>
      <c r="M4103">
        <v>81.650000000000006</v>
      </c>
      <c r="N4103">
        <v>459636</v>
      </c>
      <c r="O4103">
        <v>1</v>
      </c>
    </row>
    <row r="4104" spans="1:15">
      <c r="A4104" t="s">
        <v>4130</v>
      </c>
      <c r="B4104" t="s">
        <v>20</v>
      </c>
      <c r="C4104">
        <v>11</v>
      </c>
      <c r="D4104">
        <v>36168805</v>
      </c>
      <c r="E4104">
        <v>4</v>
      </c>
      <c r="F4104">
        <v>14</v>
      </c>
      <c r="G4104">
        <v>878</v>
      </c>
      <c r="H4104">
        <v>83636646</v>
      </c>
      <c r="I4104">
        <v>706717</v>
      </c>
      <c r="J4104" t="s">
        <v>21</v>
      </c>
      <c r="K4104" t="s">
        <v>22</v>
      </c>
      <c r="L4104">
        <v>5</v>
      </c>
      <c r="M4104">
        <v>61.61</v>
      </c>
      <c r="N4104">
        <v>466225</v>
      </c>
      <c r="O4104">
        <v>1</v>
      </c>
    </row>
    <row r="4105" spans="1:15">
      <c r="A4105" t="s">
        <v>4131</v>
      </c>
      <c r="B4105" t="s">
        <v>38</v>
      </c>
      <c r="C4105">
        <v>14</v>
      </c>
      <c r="D4105">
        <v>31267736</v>
      </c>
      <c r="E4105">
        <v>4</v>
      </c>
      <c r="F4105">
        <v>3</v>
      </c>
      <c r="G4105">
        <v>208</v>
      </c>
      <c r="H4105">
        <v>72224900</v>
      </c>
      <c r="I4105">
        <v>492451</v>
      </c>
      <c r="J4105" t="s">
        <v>21</v>
      </c>
      <c r="K4105" t="s">
        <v>30</v>
      </c>
      <c r="L4105">
        <v>2</v>
      </c>
      <c r="M4105">
        <v>95.61</v>
      </c>
      <c r="N4105">
        <v>608671</v>
      </c>
      <c r="O4105">
        <v>1</v>
      </c>
    </row>
    <row r="4106" spans="1:15">
      <c r="A4106" t="s">
        <v>4132</v>
      </c>
      <c r="B4106" t="s">
        <v>24</v>
      </c>
      <c r="C4106">
        <v>7</v>
      </c>
      <c r="D4106">
        <v>47880548</v>
      </c>
      <c r="E4106">
        <v>2</v>
      </c>
      <c r="F4106">
        <v>6</v>
      </c>
      <c r="G4106">
        <v>36</v>
      </c>
      <c r="H4106">
        <v>13039211</v>
      </c>
      <c r="I4106">
        <v>303769</v>
      </c>
      <c r="J4106" t="s">
        <v>25</v>
      </c>
      <c r="K4106" t="s">
        <v>30</v>
      </c>
      <c r="L4106">
        <v>5</v>
      </c>
      <c r="M4106">
        <v>33.14</v>
      </c>
      <c r="N4106">
        <v>962019</v>
      </c>
      <c r="O4106">
        <v>1</v>
      </c>
    </row>
    <row r="4107" spans="1:15">
      <c r="A4107" t="s">
        <v>4133</v>
      </c>
      <c r="B4107" t="s">
        <v>16</v>
      </c>
      <c r="C4107">
        <v>11</v>
      </c>
      <c r="D4107">
        <v>1260260</v>
      </c>
      <c r="E4107">
        <v>1</v>
      </c>
      <c r="F4107">
        <v>26</v>
      </c>
      <c r="G4107">
        <v>163</v>
      </c>
      <c r="H4107">
        <v>81737237</v>
      </c>
      <c r="I4107">
        <v>391347</v>
      </c>
      <c r="J4107" t="s">
        <v>21</v>
      </c>
      <c r="K4107" t="s">
        <v>30</v>
      </c>
      <c r="L4107">
        <v>9</v>
      </c>
      <c r="M4107">
        <v>67.12</v>
      </c>
      <c r="N4107">
        <v>471356</v>
      </c>
      <c r="O4107">
        <v>1</v>
      </c>
    </row>
    <row r="4108" spans="1:15">
      <c r="A4108" t="s">
        <v>4134</v>
      </c>
      <c r="B4108" t="s">
        <v>29</v>
      </c>
      <c r="C4108">
        <v>5</v>
      </c>
      <c r="D4108">
        <v>36053453</v>
      </c>
      <c r="E4108">
        <v>2</v>
      </c>
      <c r="F4108">
        <v>0</v>
      </c>
      <c r="G4108">
        <v>776</v>
      </c>
      <c r="H4108">
        <v>73904895</v>
      </c>
      <c r="I4108">
        <v>840216</v>
      </c>
      <c r="J4108" t="s">
        <v>25</v>
      </c>
      <c r="K4108" t="s">
        <v>22</v>
      </c>
      <c r="L4108">
        <v>8</v>
      </c>
      <c r="M4108">
        <v>64.58</v>
      </c>
      <c r="N4108">
        <v>429548</v>
      </c>
      <c r="O4108">
        <v>1</v>
      </c>
    </row>
    <row r="4109" spans="1:15">
      <c r="A4109" t="s">
        <v>4135</v>
      </c>
      <c r="B4109" t="s">
        <v>20</v>
      </c>
      <c r="C4109">
        <v>11</v>
      </c>
      <c r="D4109">
        <v>14903830</v>
      </c>
      <c r="E4109">
        <v>3</v>
      </c>
      <c r="F4109">
        <v>2</v>
      </c>
      <c r="G4109">
        <v>7</v>
      </c>
      <c r="H4109">
        <v>15990427</v>
      </c>
      <c r="I4109">
        <v>870027</v>
      </c>
      <c r="J4109" t="s">
        <v>17</v>
      </c>
      <c r="K4109" t="s">
        <v>30</v>
      </c>
      <c r="L4109">
        <v>7</v>
      </c>
      <c r="M4109">
        <v>35.79</v>
      </c>
      <c r="N4109">
        <v>467399</v>
      </c>
      <c r="O4109">
        <v>1</v>
      </c>
    </row>
    <row r="4110" spans="1:15">
      <c r="A4110" t="s">
        <v>4136</v>
      </c>
      <c r="B4110" t="s">
        <v>16</v>
      </c>
      <c r="C4110">
        <v>1</v>
      </c>
      <c r="D4110">
        <v>22992587</v>
      </c>
      <c r="E4110">
        <v>3</v>
      </c>
      <c r="F4110">
        <v>1</v>
      </c>
      <c r="G4110">
        <v>278</v>
      </c>
      <c r="H4110">
        <v>73049480</v>
      </c>
      <c r="I4110">
        <v>641989</v>
      </c>
      <c r="J4110" t="s">
        <v>21</v>
      </c>
      <c r="K4110" t="s">
        <v>18</v>
      </c>
      <c r="L4110">
        <v>8</v>
      </c>
      <c r="M4110">
        <v>65.849999999999994</v>
      </c>
      <c r="N4110">
        <v>639524</v>
      </c>
      <c r="O4110">
        <v>1</v>
      </c>
    </row>
    <row r="4111" spans="1:15">
      <c r="A4111" t="s">
        <v>4137</v>
      </c>
      <c r="B4111" t="s">
        <v>38</v>
      </c>
      <c r="C4111">
        <v>5</v>
      </c>
      <c r="D4111">
        <v>31834458</v>
      </c>
      <c r="E4111">
        <v>3</v>
      </c>
      <c r="F4111">
        <v>9</v>
      </c>
      <c r="G4111">
        <v>973</v>
      </c>
      <c r="H4111">
        <v>27654343</v>
      </c>
      <c r="I4111">
        <v>200416</v>
      </c>
      <c r="J4111" t="s">
        <v>17</v>
      </c>
      <c r="K4111" t="s">
        <v>30</v>
      </c>
      <c r="L4111">
        <v>6</v>
      </c>
      <c r="M4111">
        <v>49.59</v>
      </c>
      <c r="N4111">
        <v>516697</v>
      </c>
      <c r="O4111">
        <v>1</v>
      </c>
    </row>
    <row r="4112" spans="1:15">
      <c r="A4112" t="s">
        <v>4138</v>
      </c>
      <c r="B4112" t="s">
        <v>38</v>
      </c>
      <c r="C4112">
        <v>12</v>
      </c>
      <c r="D4112">
        <v>38583613</v>
      </c>
      <c r="E4112">
        <v>3</v>
      </c>
      <c r="F4112">
        <v>25</v>
      </c>
      <c r="G4112">
        <v>789</v>
      </c>
      <c r="H4112">
        <v>77369089</v>
      </c>
      <c r="I4112">
        <v>437231</v>
      </c>
      <c r="J4112" t="s">
        <v>25</v>
      </c>
      <c r="K4112" t="s">
        <v>18</v>
      </c>
      <c r="L4112">
        <v>7</v>
      </c>
      <c r="M4112">
        <v>85.75</v>
      </c>
      <c r="N4112">
        <v>441478</v>
      </c>
      <c r="O4112">
        <v>1</v>
      </c>
    </row>
    <row r="4113" spans="1:15">
      <c r="A4113" t="s">
        <v>4139</v>
      </c>
      <c r="B4113" t="s">
        <v>32</v>
      </c>
      <c r="C4113">
        <v>5</v>
      </c>
      <c r="D4113">
        <v>13111980</v>
      </c>
      <c r="E4113">
        <v>4</v>
      </c>
      <c r="F4113">
        <v>25</v>
      </c>
      <c r="G4113">
        <v>921</v>
      </c>
      <c r="H4113">
        <v>66329692</v>
      </c>
      <c r="I4113">
        <v>87535</v>
      </c>
      <c r="J4113" t="s">
        <v>21</v>
      </c>
      <c r="K4113" t="s">
        <v>22</v>
      </c>
      <c r="L4113">
        <v>5</v>
      </c>
      <c r="M4113">
        <v>62.5</v>
      </c>
      <c r="N4113">
        <v>256065</v>
      </c>
      <c r="O4113">
        <v>1</v>
      </c>
    </row>
    <row r="4114" spans="1:15">
      <c r="A4114" t="s">
        <v>4140</v>
      </c>
      <c r="B4114" t="s">
        <v>20</v>
      </c>
      <c r="C4114">
        <v>0</v>
      </c>
      <c r="D4114">
        <v>21468566</v>
      </c>
      <c r="E4114">
        <v>3</v>
      </c>
      <c r="F4114">
        <v>6</v>
      </c>
      <c r="G4114">
        <v>648</v>
      </c>
      <c r="H4114">
        <v>14208530</v>
      </c>
      <c r="I4114">
        <v>51134</v>
      </c>
      <c r="J4114" t="s">
        <v>25</v>
      </c>
      <c r="K4114" t="s">
        <v>30</v>
      </c>
      <c r="L4114">
        <v>2</v>
      </c>
      <c r="M4114">
        <v>55.14</v>
      </c>
      <c r="N4114">
        <v>342608</v>
      </c>
      <c r="O4114">
        <v>1</v>
      </c>
    </row>
    <row r="4115" spans="1:15">
      <c r="A4115" t="s">
        <v>4141</v>
      </c>
      <c r="B4115" t="s">
        <v>27</v>
      </c>
      <c r="C4115">
        <v>7</v>
      </c>
      <c r="D4115">
        <v>17890857</v>
      </c>
      <c r="E4115">
        <v>3</v>
      </c>
      <c r="F4115">
        <v>6</v>
      </c>
      <c r="G4115">
        <v>161</v>
      </c>
      <c r="H4115">
        <v>96405992</v>
      </c>
      <c r="I4115">
        <v>166319</v>
      </c>
      <c r="J4115" t="s">
        <v>17</v>
      </c>
      <c r="K4115" t="s">
        <v>30</v>
      </c>
      <c r="L4115">
        <v>6</v>
      </c>
      <c r="M4115">
        <v>72.59</v>
      </c>
      <c r="N4115">
        <v>424348</v>
      </c>
      <c r="O4115">
        <v>1</v>
      </c>
    </row>
    <row r="4116" spans="1:15">
      <c r="A4116" t="s">
        <v>4142</v>
      </c>
      <c r="B4116" t="s">
        <v>27</v>
      </c>
      <c r="C4116">
        <v>8</v>
      </c>
      <c r="D4116">
        <v>12995204</v>
      </c>
      <c r="E4116">
        <v>1</v>
      </c>
      <c r="F4116">
        <v>22</v>
      </c>
      <c r="G4116">
        <v>756</v>
      </c>
      <c r="H4116">
        <v>96407867</v>
      </c>
      <c r="I4116">
        <v>217474</v>
      </c>
      <c r="J4116" t="s">
        <v>21</v>
      </c>
      <c r="K4116" t="s">
        <v>30</v>
      </c>
      <c r="L4116">
        <v>9</v>
      </c>
      <c r="M4116">
        <v>8.33</v>
      </c>
      <c r="N4116">
        <v>962882</v>
      </c>
      <c r="O4116">
        <v>1</v>
      </c>
    </row>
    <row r="4117" spans="1:15">
      <c r="A4117" t="s">
        <v>4143</v>
      </c>
      <c r="B4117" t="s">
        <v>16</v>
      </c>
      <c r="C4117">
        <v>7</v>
      </c>
      <c r="D4117">
        <v>2426662</v>
      </c>
      <c r="E4117">
        <v>2</v>
      </c>
      <c r="F4117">
        <v>3</v>
      </c>
      <c r="G4117">
        <v>837</v>
      </c>
      <c r="H4117">
        <v>55745860</v>
      </c>
      <c r="I4117">
        <v>549973</v>
      </c>
      <c r="J4117" t="s">
        <v>17</v>
      </c>
      <c r="K4117" t="s">
        <v>18</v>
      </c>
      <c r="L4117">
        <v>5</v>
      </c>
      <c r="M4117">
        <v>62.64</v>
      </c>
      <c r="N4117">
        <v>201024</v>
      </c>
      <c r="O4117">
        <v>1</v>
      </c>
    </row>
    <row r="4118" spans="1:15">
      <c r="A4118" t="s">
        <v>4144</v>
      </c>
      <c r="B4118" t="s">
        <v>38</v>
      </c>
      <c r="C4118">
        <v>1</v>
      </c>
      <c r="D4118">
        <v>30792231</v>
      </c>
      <c r="E4118">
        <v>2</v>
      </c>
      <c r="F4118">
        <v>8</v>
      </c>
      <c r="G4118">
        <v>65</v>
      </c>
      <c r="H4118">
        <v>85871910</v>
      </c>
      <c r="I4118">
        <v>832117</v>
      </c>
      <c r="J4118" t="s">
        <v>21</v>
      </c>
      <c r="K4118" t="s">
        <v>18</v>
      </c>
      <c r="L4118">
        <v>9</v>
      </c>
      <c r="M4118">
        <v>12.18</v>
      </c>
      <c r="N4118">
        <v>195748</v>
      </c>
      <c r="O4118">
        <v>1</v>
      </c>
    </row>
    <row r="4119" spans="1:15">
      <c r="A4119" t="s">
        <v>4145</v>
      </c>
      <c r="B4119" t="s">
        <v>24</v>
      </c>
      <c r="C4119">
        <v>5</v>
      </c>
      <c r="D4119">
        <v>38102928</v>
      </c>
      <c r="E4119">
        <v>2</v>
      </c>
      <c r="F4119">
        <v>22</v>
      </c>
      <c r="G4119">
        <v>573</v>
      </c>
      <c r="H4119">
        <v>92818733</v>
      </c>
      <c r="I4119">
        <v>379687</v>
      </c>
      <c r="J4119" t="s">
        <v>25</v>
      </c>
      <c r="K4119" t="s">
        <v>30</v>
      </c>
      <c r="L4119">
        <v>8</v>
      </c>
      <c r="M4119">
        <v>25.62</v>
      </c>
      <c r="N4119">
        <v>349165</v>
      </c>
      <c r="O4119">
        <v>1</v>
      </c>
    </row>
    <row r="4120" spans="1:15">
      <c r="A4120" t="s">
        <v>4146</v>
      </c>
      <c r="B4120" t="s">
        <v>29</v>
      </c>
      <c r="C4120">
        <v>14</v>
      </c>
      <c r="D4120">
        <v>7055989</v>
      </c>
      <c r="E4120">
        <v>4</v>
      </c>
      <c r="F4120">
        <v>3</v>
      </c>
      <c r="G4120">
        <v>93</v>
      </c>
      <c r="H4120">
        <v>20141829</v>
      </c>
      <c r="I4120">
        <v>159246</v>
      </c>
      <c r="J4120" t="s">
        <v>25</v>
      </c>
      <c r="K4120" t="s">
        <v>30</v>
      </c>
      <c r="L4120">
        <v>5</v>
      </c>
      <c r="M4120">
        <v>60.51</v>
      </c>
      <c r="N4120">
        <v>830649</v>
      </c>
      <c r="O4120">
        <v>1</v>
      </c>
    </row>
    <row r="4121" spans="1:15">
      <c r="A4121" t="s">
        <v>4147</v>
      </c>
      <c r="B4121" t="s">
        <v>24</v>
      </c>
      <c r="C4121">
        <v>13</v>
      </c>
      <c r="D4121">
        <v>11909934</v>
      </c>
      <c r="E4121">
        <v>4</v>
      </c>
      <c r="F4121">
        <v>24</v>
      </c>
      <c r="G4121">
        <v>545</v>
      </c>
      <c r="H4121">
        <v>66874954</v>
      </c>
      <c r="I4121">
        <v>400428</v>
      </c>
      <c r="J4121" t="s">
        <v>21</v>
      </c>
      <c r="K4121" t="s">
        <v>30</v>
      </c>
      <c r="L4121">
        <v>7</v>
      </c>
      <c r="M4121">
        <v>52.54</v>
      </c>
      <c r="N4121">
        <v>856151</v>
      </c>
      <c r="O4121">
        <v>1</v>
      </c>
    </row>
    <row r="4122" spans="1:15">
      <c r="A4122" t="s">
        <v>4148</v>
      </c>
      <c r="B4122" t="s">
        <v>32</v>
      </c>
      <c r="C4122">
        <v>7</v>
      </c>
      <c r="D4122">
        <v>45203493</v>
      </c>
      <c r="E4122">
        <v>1</v>
      </c>
      <c r="F4122">
        <v>23</v>
      </c>
      <c r="G4122">
        <v>926</v>
      </c>
      <c r="H4122">
        <v>85703267</v>
      </c>
      <c r="I4122">
        <v>678831</v>
      </c>
      <c r="J4122" t="s">
        <v>25</v>
      </c>
      <c r="K4122" t="s">
        <v>18</v>
      </c>
      <c r="L4122">
        <v>4</v>
      </c>
      <c r="M4122">
        <v>9.73</v>
      </c>
      <c r="N4122">
        <v>504417</v>
      </c>
      <c r="O4122">
        <v>1</v>
      </c>
    </row>
    <row r="4123" spans="1:15">
      <c r="A4123" t="s">
        <v>4149</v>
      </c>
      <c r="B4123" t="s">
        <v>24</v>
      </c>
      <c r="C4123">
        <v>14</v>
      </c>
      <c r="D4123">
        <v>7350070</v>
      </c>
      <c r="E4123">
        <v>2</v>
      </c>
      <c r="F4123">
        <v>28</v>
      </c>
      <c r="G4123">
        <v>473</v>
      </c>
      <c r="H4123">
        <v>79009922</v>
      </c>
      <c r="I4123">
        <v>506288</v>
      </c>
      <c r="J4123" t="s">
        <v>25</v>
      </c>
      <c r="K4123" t="s">
        <v>22</v>
      </c>
      <c r="L4123">
        <v>5</v>
      </c>
      <c r="M4123">
        <v>84.52</v>
      </c>
      <c r="N4123">
        <v>357411</v>
      </c>
      <c r="O4123">
        <v>1</v>
      </c>
    </row>
    <row r="4124" spans="1:15">
      <c r="A4124" t="s">
        <v>4150</v>
      </c>
      <c r="B4124" t="s">
        <v>29</v>
      </c>
      <c r="C4124">
        <v>11</v>
      </c>
      <c r="D4124">
        <v>42753675</v>
      </c>
      <c r="E4124">
        <v>1</v>
      </c>
      <c r="F4124">
        <v>24</v>
      </c>
      <c r="G4124">
        <v>659</v>
      </c>
      <c r="H4124">
        <v>14679148</v>
      </c>
      <c r="I4124">
        <v>626603</v>
      </c>
      <c r="J4124" t="s">
        <v>17</v>
      </c>
      <c r="K4124" t="s">
        <v>18</v>
      </c>
      <c r="L4124">
        <v>8</v>
      </c>
      <c r="M4124">
        <v>6.79</v>
      </c>
      <c r="N4124">
        <v>42124</v>
      </c>
      <c r="O4124">
        <v>1</v>
      </c>
    </row>
    <row r="4125" spans="1:15">
      <c r="A4125" t="s">
        <v>4151</v>
      </c>
      <c r="B4125" t="s">
        <v>29</v>
      </c>
      <c r="C4125">
        <v>5</v>
      </c>
      <c r="D4125">
        <v>31177146</v>
      </c>
      <c r="E4125">
        <v>3</v>
      </c>
      <c r="F4125">
        <v>9</v>
      </c>
      <c r="G4125">
        <v>856</v>
      </c>
      <c r="H4125">
        <v>8851458</v>
      </c>
      <c r="I4125">
        <v>941016</v>
      </c>
      <c r="J4125" t="s">
        <v>21</v>
      </c>
      <c r="K4125" t="s">
        <v>18</v>
      </c>
      <c r="L4125">
        <v>1</v>
      </c>
      <c r="M4125">
        <v>21.25</v>
      </c>
      <c r="N4125">
        <v>605075</v>
      </c>
      <c r="O4125">
        <v>1</v>
      </c>
    </row>
    <row r="4126" spans="1:15">
      <c r="A4126" t="s">
        <v>4152</v>
      </c>
      <c r="B4126" t="s">
        <v>27</v>
      </c>
      <c r="C4126">
        <v>7</v>
      </c>
      <c r="D4126">
        <v>42656985</v>
      </c>
      <c r="E4126">
        <v>3</v>
      </c>
      <c r="F4126">
        <v>23</v>
      </c>
      <c r="G4126">
        <v>428</v>
      </c>
      <c r="H4126">
        <v>70152424</v>
      </c>
      <c r="I4126">
        <v>461747</v>
      </c>
      <c r="J4126" t="s">
        <v>17</v>
      </c>
      <c r="K4126" t="s">
        <v>18</v>
      </c>
      <c r="L4126">
        <v>4</v>
      </c>
      <c r="M4126">
        <v>54</v>
      </c>
      <c r="N4126">
        <v>391354</v>
      </c>
      <c r="O4126">
        <v>1</v>
      </c>
    </row>
    <row r="4127" spans="1:15">
      <c r="A4127" t="s">
        <v>4153</v>
      </c>
      <c r="B4127" t="s">
        <v>32</v>
      </c>
      <c r="C4127">
        <v>5</v>
      </c>
      <c r="D4127">
        <v>29381735</v>
      </c>
      <c r="E4127">
        <v>4</v>
      </c>
      <c r="F4127">
        <v>22</v>
      </c>
      <c r="G4127">
        <v>525</v>
      </c>
      <c r="H4127">
        <v>48295583</v>
      </c>
      <c r="I4127">
        <v>263247</v>
      </c>
      <c r="J4127" t="s">
        <v>25</v>
      </c>
      <c r="K4127" t="s">
        <v>18</v>
      </c>
      <c r="L4127">
        <v>7</v>
      </c>
      <c r="M4127">
        <v>94.52</v>
      </c>
      <c r="N4127">
        <v>535563</v>
      </c>
      <c r="O4127">
        <v>1</v>
      </c>
    </row>
    <row r="4128" spans="1:15">
      <c r="A4128" t="s">
        <v>4154</v>
      </c>
      <c r="B4128" t="s">
        <v>20</v>
      </c>
      <c r="C4128">
        <v>6</v>
      </c>
      <c r="D4128">
        <v>40104810</v>
      </c>
      <c r="E4128">
        <v>1</v>
      </c>
      <c r="F4128">
        <v>12</v>
      </c>
      <c r="G4128">
        <v>999</v>
      </c>
      <c r="H4128">
        <v>61019055</v>
      </c>
      <c r="I4128">
        <v>50985</v>
      </c>
      <c r="J4128" t="s">
        <v>21</v>
      </c>
      <c r="K4128" t="s">
        <v>30</v>
      </c>
      <c r="L4128">
        <v>9</v>
      </c>
      <c r="M4128">
        <v>55.97</v>
      </c>
      <c r="N4128">
        <v>93990</v>
      </c>
      <c r="O4128">
        <v>1</v>
      </c>
    </row>
    <row r="4129" spans="1:15">
      <c r="A4129" t="s">
        <v>4155</v>
      </c>
      <c r="B4129" t="s">
        <v>38</v>
      </c>
      <c r="C4129">
        <v>7</v>
      </c>
      <c r="D4129">
        <v>45261758</v>
      </c>
      <c r="E4129">
        <v>1</v>
      </c>
      <c r="F4129">
        <v>12</v>
      </c>
      <c r="G4129">
        <v>4</v>
      </c>
      <c r="H4129">
        <v>3152513</v>
      </c>
      <c r="I4129">
        <v>352266</v>
      </c>
      <c r="J4129" t="s">
        <v>21</v>
      </c>
      <c r="K4129" t="s">
        <v>22</v>
      </c>
      <c r="L4129">
        <v>1</v>
      </c>
      <c r="M4129">
        <v>95.88</v>
      </c>
      <c r="N4129">
        <v>356837</v>
      </c>
      <c r="O4129">
        <v>1</v>
      </c>
    </row>
    <row r="4130" spans="1:15">
      <c r="A4130" t="s">
        <v>4156</v>
      </c>
      <c r="B4130" t="s">
        <v>20</v>
      </c>
      <c r="C4130">
        <v>9</v>
      </c>
      <c r="D4130">
        <v>19069095</v>
      </c>
      <c r="E4130">
        <v>1</v>
      </c>
      <c r="F4130">
        <v>21</v>
      </c>
      <c r="G4130">
        <v>256</v>
      </c>
      <c r="H4130">
        <v>189699</v>
      </c>
      <c r="I4130">
        <v>713590</v>
      </c>
      <c r="J4130" t="s">
        <v>17</v>
      </c>
      <c r="K4130" t="s">
        <v>30</v>
      </c>
      <c r="L4130">
        <v>6</v>
      </c>
      <c r="M4130">
        <v>20.63</v>
      </c>
      <c r="N4130">
        <v>126417</v>
      </c>
      <c r="O4130">
        <v>1</v>
      </c>
    </row>
    <row r="4131" spans="1:15">
      <c r="A4131" t="s">
        <v>4157</v>
      </c>
      <c r="B4131" t="s">
        <v>38</v>
      </c>
      <c r="C4131">
        <v>11</v>
      </c>
      <c r="D4131">
        <v>15954159</v>
      </c>
      <c r="E4131">
        <v>2</v>
      </c>
      <c r="F4131">
        <v>6</v>
      </c>
      <c r="G4131">
        <v>274</v>
      </c>
      <c r="H4131">
        <v>30512946</v>
      </c>
      <c r="I4131">
        <v>609750</v>
      </c>
      <c r="J4131" t="s">
        <v>17</v>
      </c>
      <c r="K4131" t="s">
        <v>22</v>
      </c>
      <c r="L4131">
        <v>6</v>
      </c>
      <c r="M4131">
        <v>46.88</v>
      </c>
      <c r="N4131">
        <v>495948</v>
      </c>
      <c r="O4131">
        <v>1</v>
      </c>
    </row>
    <row r="4132" spans="1:15">
      <c r="A4132" t="s">
        <v>4158</v>
      </c>
      <c r="B4132" t="s">
        <v>20</v>
      </c>
      <c r="C4132">
        <v>13</v>
      </c>
      <c r="D4132">
        <v>47100009</v>
      </c>
      <c r="E4132">
        <v>1</v>
      </c>
      <c r="F4132">
        <v>28</v>
      </c>
      <c r="G4132">
        <v>113</v>
      </c>
      <c r="H4132">
        <v>64542430</v>
      </c>
      <c r="I4132">
        <v>64214</v>
      </c>
      <c r="J4132" t="s">
        <v>21</v>
      </c>
      <c r="K4132" t="s">
        <v>22</v>
      </c>
      <c r="L4132">
        <v>7</v>
      </c>
      <c r="M4132">
        <v>98.85</v>
      </c>
      <c r="N4132">
        <v>495967</v>
      </c>
      <c r="O4132">
        <v>1</v>
      </c>
    </row>
    <row r="4133" spans="1:15">
      <c r="A4133" t="s">
        <v>4159</v>
      </c>
      <c r="B4133" t="s">
        <v>38</v>
      </c>
      <c r="C4133">
        <v>0</v>
      </c>
      <c r="D4133">
        <v>25879294</v>
      </c>
      <c r="E4133">
        <v>4</v>
      </c>
      <c r="F4133">
        <v>16</v>
      </c>
      <c r="G4133">
        <v>618</v>
      </c>
      <c r="H4133">
        <v>67944404</v>
      </c>
      <c r="I4133">
        <v>670098</v>
      </c>
      <c r="J4133" t="s">
        <v>25</v>
      </c>
      <c r="K4133" t="s">
        <v>22</v>
      </c>
      <c r="L4133">
        <v>1</v>
      </c>
      <c r="M4133">
        <v>90.56</v>
      </c>
      <c r="N4133">
        <v>909758</v>
      </c>
      <c r="O4133">
        <v>1</v>
      </c>
    </row>
    <row r="4134" spans="1:15">
      <c r="A4134" t="s">
        <v>4160</v>
      </c>
      <c r="B4134" t="s">
        <v>24</v>
      </c>
      <c r="C4134">
        <v>1</v>
      </c>
      <c r="D4134">
        <v>5342309</v>
      </c>
      <c r="E4134">
        <v>4</v>
      </c>
      <c r="F4134">
        <v>19</v>
      </c>
      <c r="G4134">
        <v>774</v>
      </c>
      <c r="H4134">
        <v>39302440</v>
      </c>
      <c r="I4134">
        <v>229889</v>
      </c>
      <c r="J4134" t="s">
        <v>25</v>
      </c>
      <c r="K4134" t="s">
        <v>30</v>
      </c>
      <c r="L4134">
        <v>2</v>
      </c>
      <c r="M4134">
        <v>94.4</v>
      </c>
      <c r="N4134">
        <v>33459</v>
      </c>
      <c r="O4134">
        <v>1</v>
      </c>
    </row>
    <row r="4135" spans="1:15">
      <c r="A4135" t="s">
        <v>4161</v>
      </c>
      <c r="B4135" t="s">
        <v>29</v>
      </c>
      <c r="C4135">
        <v>10</v>
      </c>
      <c r="D4135">
        <v>7322760</v>
      </c>
      <c r="E4135">
        <v>2</v>
      </c>
      <c r="F4135">
        <v>4</v>
      </c>
      <c r="G4135">
        <v>860</v>
      </c>
      <c r="H4135">
        <v>14158607</v>
      </c>
      <c r="I4135">
        <v>557420</v>
      </c>
      <c r="J4135" t="s">
        <v>21</v>
      </c>
      <c r="K4135" t="s">
        <v>30</v>
      </c>
      <c r="L4135">
        <v>8</v>
      </c>
      <c r="M4135">
        <v>90.05</v>
      </c>
      <c r="N4135">
        <v>611209</v>
      </c>
      <c r="O4135">
        <v>1</v>
      </c>
    </row>
    <row r="4136" spans="1:15">
      <c r="A4136" t="s">
        <v>4162</v>
      </c>
      <c r="B4136" t="s">
        <v>38</v>
      </c>
      <c r="C4136">
        <v>14</v>
      </c>
      <c r="D4136">
        <v>36216427</v>
      </c>
      <c r="E4136">
        <v>1</v>
      </c>
      <c r="F4136">
        <v>10</v>
      </c>
      <c r="G4136">
        <v>164</v>
      </c>
      <c r="H4136">
        <v>11282078</v>
      </c>
      <c r="I4136">
        <v>213687</v>
      </c>
      <c r="J4136" t="s">
        <v>21</v>
      </c>
      <c r="K4136" t="s">
        <v>18</v>
      </c>
      <c r="L4136">
        <v>2</v>
      </c>
      <c r="M4136">
        <v>30.5</v>
      </c>
      <c r="N4136">
        <v>619982</v>
      </c>
      <c r="O4136">
        <v>1</v>
      </c>
    </row>
    <row r="4137" spans="1:15">
      <c r="A4137" t="s">
        <v>4163</v>
      </c>
      <c r="B4137" t="s">
        <v>38</v>
      </c>
      <c r="C4137">
        <v>13</v>
      </c>
      <c r="D4137">
        <v>47476708</v>
      </c>
      <c r="E4137">
        <v>4</v>
      </c>
      <c r="F4137">
        <v>20</v>
      </c>
      <c r="G4137">
        <v>50</v>
      </c>
      <c r="H4137">
        <v>60981292</v>
      </c>
      <c r="I4137">
        <v>395853</v>
      </c>
      <c r="J4137" t="s">
        <v>21</v>
      </c>
      <c r="K4137" t="s">
        <v>18</v>
      </c>
      <c r="L4137">
        <v>9</v>
      </c>
      <c r="M4137">
        <v>59.73</v>
      </c>
      <c r="N4137">
        <v>867901</v>
      </c>
      <c r="O4137">
        <v>1</v>
      </c>
    </row>
    <row r="4138" spans="1:15">
      <c r="A4138" t="s">
        <v>4164</v>
      </c>
      <c r="B4138" t="s">
        <v>29</v>
      </c>
      <c r="C4138">
        <v>1</v>
      </c>
      <c r="D4138">
        <v>44101052</v>
      </c>
      <c r="E4138">
        <v>2</v>
      </c>
      <c r="F4138">
        <v>24</v>
      </c>
      <c r="G4138">
        <v>358</v>
      </c>
      <c r="H4138">
        <v>78453339</v>
      </c>
      <c r="I4138">
        <v>72798</v>
      </c>
      <c r="J4138" t="s">
        <v>25</v>
      </c>
      <c r="K4138" t="s">
        <v>30</v>
      </c>
      <c r="L4138">
        <v>8</v>
      </c>
      <c r="M4138">
        <v>72.36</v>
      </c>
      <c r="N4138">
        <v>459488</v>
      </c>
      <c r="O4138">
        <v>1</v>
      </c>
    </row>
    <row r="4139" spans="1:15">
      <c r="A4139" t="s">
        <v>4165</v>
      </c>
      <c r="B4139" t="s">
        <v>24</v>
      </c>
      <c r="C4139">
        <v>9</v>
      </c>
      <c r="D4139">
        <v>44793663</v>
      </c>
      <c r="E4139">
        <v>3</v>
      </c>
      <c r="F4139">
        <v>28</v>
      </c>
      <c r="G4139">
        <v>171</v>
      </c>
      <c r="H4139">
        <v>2605423</v>
      </c>
      <c r="I4139">
        <v>472991</v>
      </c>
      <c r="J4139" t="s">
        <v>17</v>
      </c>
      <c r="K4139" t="s">
        <v>22</v>
      </c>
      <c r="L4139">
        <v>5</v>
      </c>
      <c r="M4139">
        <v>52.79</v>
      </c>
      <c r="N4139">
        <v>142100</v>
      </c>
      <c r="O4139">
        <v>1</v>
      </c>
    </row>
    <row r="4140" spans="1:15">
      <c r="A4140" t="s">
        <v>4166</v>
      </c>
      <c r="B4140" t="s">
        <v>16</v>
      </c>
      <c r="C4140">
        <v>13</v>
      </c>
      <c r="D4140">
        <v>16530472</v>
      </c>
      <c r="E4140">
        <v>2</v>
      </c>
      <c r="F4140">
        <v>1</v>
      </c>
      <c r="G4140">
        <v>435</v>
      </c>
      <c r="H4140">
        <v>64934260</v>
      </c>
      <c r="I4140">
        <v>903036</v>
      </c>
      <c r="J4140" t="s">
        <v>17</v>
      </c>
      <c r="K4140" t="s">
        <v>22</v>
      </c>
      <c r="L4140">
        <v>1</v>
      </c>
      <c r="M4140">
        <v>1.25</v>
      </c>
      <c r="N4140">
        <v>521723</v>
      </c>
      <c r="O4140">
        <v>1</v>
      </c>
    </row>
    <row r="4141" spans="1:15">
      <c r="A4141" t="s">
        <v>4167</v>
      </c>
      <c r="B4141" t="s">
        <v>20</v>
      </c>
      <c r="C4141">
        <v>3</v>
      </c>
      <c r="D4141">
        <v>8290955</v>
      </c>
      <c r="E4141">
        <v>3</v>
      </c>
      <c r="F4141">
        <v>1</v>
      </c>
      <c r="G4141">
        <v>981</v>
      </c>
      <c r="H4141">
        <v>49071771</v>
      </c>
      <c r="I4141">
        <v>44385</v>
      </c>
      <c r="J4141" t="s">
        <v>17</v>
      </c>
      <c r="K4141" t="s">
        <v>30</v>
      </c>
      <c r="L4141">
        <v>7</v>
      </c>
      <c r="M4141">
        <v>61.49</v>
      </c>
      <c r="N4141">
        <v>292314</v>
      </c>
      <c r="O4141">
        <v>1</v>
      </c>
    </row>
    <row r="4142" spans="1:15">
      <c r="A4142" t="s">
        <v>4168</v>
      </c>
      <c r="B4142" t="s">
        <v>16</v>
      </c>
      <c r="C4142">
        <v>7</v>
      </c>
      <c r="D4142">
        <v>46442739</v>
      </c>
      <c r="E4142">
        <v>4</v>
      </c>
      <c r="F4142">
        <v>19</v>
      </c>
      <c r="G4142">
        <v>78</v>
      </c>
      <c r="H4142">
        <v>50483288</v>
      </c>
      <c r="I4142">
        <v>146411</v>
      </c>
      <c r="J4142" t="s">
        <v>17</v>
      </c>
      <c r="K4142" t="s">
        <v>30</v>
      </c>
      <c r="L4142">
        <v>4</v>
      </c>
      <c r="M4142">
        <v>36.58</v>
      </c>
      <c r="N4142">
        <v>714021</v>
      </c>
      <c r="O4142">
        <v>1</v>
      </c>
    </row>
    <row r="4143" spans="1:15">
      <c r="A4143" t="s">
        <v>4169</v>
      </c>
      <c r="B4143" t="s">
        <v>32</v>
      </c>
      <c r="C4143">
        <v>12</v>
      </c>
      <c r="D4143">
        <v>26977166</v>
      </c>
      <c r="E4143">
        <v>2</v>
      </c>
      <c r="F4143">
        <v>12</v>
      </c>
      <c r="G4143">
        <v>742</v>
      </c>
      <c r="H4143">
        <v>23208957</v>
      </c>
      <c r="I4143">
        <v>733487</v>
      </c>
      <c r="J4143" t="s">
        <v>21</v>
      </c>
      <c r="K4143" t="s">
        <v>18</v>
      </c>
      <c r="L4143">
        <v>5</v>
      </c>
      <c r="M4143">
        <v>3.97</v>
      </c>
      <c r="N4143">
        <v>765006</v>
      </c>
      <c r="O4143">
        <v>1</v>
      </c>
    </row>
    <row r="4144" spans="1:15">
      <c r="A4144" t="s">
        <v>4170</v>
      </c>
      <c r="B4144" t="s">
        <v>38</v>
      </c>
      <c r="C4144">
        <v>10</v>
      </c>
      <c r="D4144">
        <v>37179671</v>
      </c>
      <c r="E4144">
        <v>2</v>
      </c>
      <c r="F4144">
        <v>25</v>
      </c>
      <c r="G4144">
        <v>799</v>
      </c>
      <c r="H4144">
        <v>21096524</v>
      </c>
      <c r="I4144">
        <v>283208</v>
      </c>
      <c r="J4144" t="s">
        <v>21</v>
      </c>
      <c r="K4144" t="s">
        <v>22</v>
      </c>
      <c r="L4144">
        <v>5</v>
      </c>
      <c r="M4144">
        <v>95.04</v>
      </c>
      <c r="N4144">
        <v>845305</v>
      </c>
      <c r="O4144">
        <v>1</v>
      </c>
    </row>
    <row r="4145" spans="1:15">
      <c r="A4145" t="s">
        <v>4171</v>
      </c>
      <c r="B4145" t="s">
        <v>24</v>
      </c>
      <c r="C4145">
        <v>4</v>
      </c>
      <c r="D4145">
        <v>14639327</v>
      </c>
      <c r="E4145">
        <v>3</v>
      </c>
      <c r="F4145">
        <v>20</v>
      </c>
      <c r="G4145">
        <v>767</v>
      </c>
      <c r="H4145">
        <v>26943209</v>
      </c>
      <c r="I4145">
        <v>378854</v>
      </c>
      <c r="J4145" t="s">
        <v>17</v>
      </c>
      <c r="K4145" t="s">
        <v>30</v>
      </c>
      <c r="L4145">
        <v>9</v>
      </c>
      <c r="M4145">
        <v>22.67</v>
      </c>
      <c r="N4145">
        <v>550860</v>
      </c>
      <c r="O4145">
        <v>1</v>
      </c>
    </row>
    <row r="4146" spans="1:15">
      <c r="A4146" t="s">
        <v>4172</v>
      </c>
      <c r="B4146" t="s">
        <v>32</v>
      </c>
      <c r="C4146">
        <v>3</v>
      </c>
      <c r="D4146">
        <v>27294453</v>
      </c>
      <c r="E4146">
        <v>1</v>
      </c>
      <c r="F4146">
        <v>23</v>
      </c>
      <c r="G4146">
        <v>871</v>
      </c>
      <c r="H4146">
        <v>25876731</v>
      </c>
      <c r="I4146">
        <v>391744</v>
      </c>
      <c r="J4146" t="s">
        <v>17</v>
      </c>
      <c r="K4146" t="s">
        <v>22</v>
      </c>
      <c r="L4146">
        <v>6</v>
      </c>
      <c r="M4146">
        <v>13.07</v>
      </c>
      <c r="N4146">
        <v>546295</v>
      </c>
      <c r="O4146">
        <v>1</v>
      </c>
    </row>
    <row r="4147" spans="1:15">
      <c r="A4147" t="s">
        <v>4173</v>
      </c>
      <c r="B4147" t="s">
        <v>38</v>
      </c>
      <c r="C4147">
        <v>6</v>
      </c>
      <c r="D4147">
        <v>3662686</v>
      </c>
      <c r="E4147">
        <v>4</v>
      </c>
      <c r="F4147">
        <v>23</v>
      </c>
      <c r="G4147">
        <v>175</v>
      </c>
      <c r="H4147">
        <v>33516609</v>
      </c>
      <c r="I4147">
        <v>784291</v>
      </c>
      <c r="J4147" t="s">
        <v>25</v>
      </c>
      <c r="K4147" t="s">
        <v>22</v>
      </c>
      <c r="L4147">
        <v>1</v>
      </c>
      <c r="M4147">
        <v>85.84</v>
      </c>
      <c r="N4147">
        <v>316393</v>
      </c>
      <c r="O4147">
        <v>1</v>
      </c>
    </row>
    <row r="4148" spans="1:15">
      <c r="A4148" t="s">
        <v>4174</v>
      </c>
      <c r="B4148" t="s">
        <v>27</v>
      </c>
      <c r="C4148">
        <v>13</v>
      </c>
      <c r="D4148">
        <v>17648740</v>
      </c>
      <c r="E4148">
        <v>4</v>
      </c>
      <c r="F4148">
        <v>6</v>
      </c>
      <c r="G4148">
        <v>205</v>
      </c>
      <c r="H4148">
        <v>48465030</v>
      </c>
      <c r="I4148">
        <v>208692</v>
      </c>
      <c r="J4148" t="s">
        <v>21</v>
      </c>
      <c r="K4148" t="s">
        <v>22</v>
      </c>
      <c r="L4148">
        <v>5</v>
      </c>
      <c r="M4148">
        <v>5.64</v>
      </c>
      <c r="N4148">
        <v>585891</v>
      </c>
      <c r="O4148">
        <v>1</v>
      </c>
    </row>
    <row r="4149" spans="1:15">
      <c r="A4149" t="s">
        <v>4175</v>
      </c>
      <c r="B4149" t="s">
        <v>24</v>
      </c>
      <c r="C4149">
        <v>3</v>
      </c>
      <c r="D4149">
        <v>33704485</v>
      </c>
      <c r="E4149">
        <v>1</v>
      </c>
      <c r="F4149">
        <v>13</v>
      </c>
      <c r="G4149">
        <v>755</v>
      </c>
      <c r="H4149">
        <v>69945764</v>
      </c>
      <c r="I4149">
        <v>527396</v>
      </c>
      <c r="J4149" t="s">
        <v>21</v>
      </c>
      <c r="K4149" t="s">
        <v>22</v>
      </c>
      <c r="L4149">
        <v>2</v>
      </c>
      <c r="M4149">
        <v>32.97</v>
      </c>
      <c r="N4149">
        <v>679646</v>
      </c>
      <c r="O4149">
        <v>1</v>
      </c>
    </row>
    <row r="4150" spans="1:15">
      <c r="A4150" t="s">
        <v>4176</v>
      </c>
      <c r="B4150" t="s">
        <v>27</v>
      </c>
      <c r="C4150">
        <v>7</v>
      </c>
      <c r="D4150">
        <v>15412615</v>
      </c>
      <c r="E4150">
        <v>4</v>
      </c>
      <c r="F4150">
        <v>25</v>
      </c>
      <c r="G4150">
        <v>473</v>
      </c>
      <c r="H4150">
        <v>66920988</v>
      </c>
      <c r="I4150">
        <v>550337</v>
      </c>
      <c r="J4150" t="s">
        <v>25</v>
      </c>
      <c r="K4150" t="s">
        <v>22</v>
      </c>
      <c r="L4150">
        <v>8</v>
      </c>
      <c r="M4150">
        <v>71.55</v>
      </c>
      <c r="N4150">
        <v>761099</v>
      </c>
      <c r="O4150">
        <v>1</v>
      </c>
    </row>
    <row r="4151" spans="1:15">
      <c r="A4151" t="s">
        <v>4177</v>
      </c>
      <c r="B4151" t="s">
        <v>29</v>
      </c>
      <c r="C4151">
        <v>11</v>
      </c>
      <c r="D4151">
        <v>26873317</v>
      </c>
      <c r="E4151">
        <v>3</v>
      </c>
      <c r="F4151">
        <v>15</v>
      </c>
      <c r="G4151">
        <v>840</v>
      </c>
      <c r="H4151">
        <v>60991933</v>
      </c>
      <c r="I4151">
        <v>468454</v>
      </c>
      <c r="J4151" t="s">
        <v>17</v>
      </c>
      <c r="K4151" t="s">
        <v>18</v>
      </c>
      <c r="L4151">
        <v>7</v>
      </c>
      <c r="M4151">
        <v>32.299999999999997</v>
      </c>
      <c r="N4151">
        <v>343891</v>
      </c>
      <c r="O4151">
        <v>1</v>
      </c>
    </row>
    <row r="4152" spans="1:15">
      <c r="A4152" t="s">
        <v>4178</v>
      </c>
      <c r="B4152" t="s">
        <v>20</v>
      </c>
      <c r="C4152">
        <v>14</v>
      </c>
      <c r="D4152">
        <v>30027059</v>
      </c>
      <c r="E4152">
        <v>1</v>
      </c>
      <c r="F4152">
        <v>10</v>
      </c>
      <c r="G4152">
        <v>55</v>
      </c>
      <c r="H4152">
        <v>38977924</v>
      </c>
      <c r="I4152">
        <v>762401</v>
      </c>
      <c r="J4152" t="s">
        <v>25</v>
      </c>
      <c r="K4152" t="s">
        <v>30</v>
      </c>
      <c r="L4152">
        <v>7</v>
      </c>
      <c r="M4152">
        <v>45.12</v>
      </c>
      <c r="N4152">
        <v>446573</v>
      </c>
      <c r="O4152">
        <v>1</v>
      </c>
    </row>
    <row r="4153" spans="1:15">
      <c r="A4153" t="s">
        <v>4179</v>
      </c>
      <c r="B4153" t="s">
        <v>16</v>
      </c>
      <c r="C4153">
        <v>7</v>
      </c>
      <c r="D4153">
        <v>44062323</v>
      </c>
      <c r="E4153">
        <v>4</v>
      </c>
      <c r="F4153">
        <v>20</v>
      </c>
      <c r="G4153">
        <v>512</v>
      </c>
      <c r="H4153">
        <v>76052823</v>
      </c>
      <c r="I4153">
        <v>486043</v>
      </c>
      <c r="J4153" t="s">
        <v>21</v>
      </c>
      <c r="K4153" t="s">
        <v>22</v>
      </c>
      <c r="L4153">
        <v>5</v>
      </c>
      <c r="M4153">
        <v>7.68</v>
      </c>
      <c r="N4153">
        <v>276437</v>
      </c>
      <c r="O4153">
        <v>1</v>
      </c>
    </row>
    <row r="4154" spans="1:15">
      <c r="A4154" t="s">
        <v>4180</v>
      </c>
      <c r="B4154" t="s">
        <v>32</v>
      </c>
      <c r="C4154">
        <v>2</v>
      </c>
      <c r="D4154">
        <v>33849350</v>
      </c>
      <c r="E4154">
        <v>2</v>
      </c>
      <c r="F4154">
        <v>21</v>
      </c>
      <c r="G4154">
        <v>76</v>
      </c>
      <c r="H4154">
        <v>70485976</v>
      </c>
      <c r="I4154">
        <v>244789</v>
      </c>
      <c r="J4154" t="s">
        <v>21</v>
      </c>
      <c r="K4154" t="s">
        <v>18</v>
      </c>
      <c r="L4154">
        <v>4</v>
      </c>
      <c r="M4154">
        <v>87.51</v>
      </c>
      <c r="N4154">
        <v>927863</v>
      </c>
      <c r="O4154">
        <v>1</v>
      </c>
    </row>
    <row r="4155" spans="1:15">
      <c r="A4155" t="s">
        <v>4181</v>
      </c>
      <c r="B4155" t="s">
        <v>24</v>
      </c>
      <c r="C4155">
        <v>1</v>
      </c>
      <c r="D4155">
        <v>11997422</v>
      </c>
      <c r="E4155">
        <v>4</v>
      </c>
      <c r="F4155">
        <v>7</v>
      </c>
      <c r="G4155">
        <v>545</v>
      </c>
      <c r="H4155">
        <v>78899617</v>
      </c>
      <c r="I4155">
        <v>839787</v>
      </c>
      <c r="J4155" t="s">
        <v>17</v>
      </c>
      <c r="K4155" t="s">
        <v>22</v>
      </c>
      <c r="L4155">
        <v>8</v>
      </c>
      <c r="M4155">
        <v>0.24</v>
      </c>
      <c r="N4155">
        <v>243181</v>
      </c>
      <c r="O4155">
        <v>1</v>
      </c>
    </row>
    <row r="4156" spans="1:15">
      <c r="A4156" t="s">
        <v>4182</v>
      </c>
      <c r="B4156" t="s">
        <v>24</v>
      </c>
      <c r="C4156">
        <v>14</v>
      </c>
      <c r="D4156">
        <v>30700256</v>
      </c>
      <c r="E4156">
        <v>2</v>
      </c>
      <c r="F4156">
        <v>13</v>
      </c>
      <c r="G4156">
        <v>274</v>
      </c>
      <c r="H4156">
        <v>54062480</v>
      </c>
      <c r="I4156">
        <v>810959</v>
      </c>
      <c r="J4156" t="s">
        <v>21</v>
      </c>
      <c r="K4156" t="s">
        <v>18</v>
      </c>
      <c r="L4156">
        <v>4</v>
      </c>
      <c r="M4156">
        <v>62.78</v>
      </c>
      <c r="N4156">
        <v>274570</v>
      </c>
      <c r="O4156">
        <v>1</v>
      </c>
    </row>
    <row r="4157" spans="1:15">
      <c r="A4157" t="s">
        <v>4183</v>
      </c>
      <c r="B4157" t="s">
        <v>24</v>
      </c>
      <c r="C4157">
        <v>12</v>
      </c>
      <c r="D4157">
        <v>7202467</v>
      </c>
      <c r="E4157">
        <v>3</v>
      </c>
      <c r="F4157">
        <v>2</v>
      </c>
      <c r="G4157">
        <v>169</v>
      </c>
      <c r="H4157">
        <v>97471510</v>
      </c>
      <c r="I4157">
        <v>962436</v>
      </c>
      <c r="J4157" t="s">
        <v>21</v>
      </c>
      <c r="K4157" t="s">
        <v>18</v>
      </c>
      <c r="L4157">
        <v>9</v>
      </c>
      <c r="M4157">
        <v>34.49</v>
      </c>
      <c r="N4157">
        <v>602201</v>
      </c>
      <c r="O4157">
        <v>1</v>
      </c>
    </row>
    <row r="4158" spans="1:15">
      <c r="A4158" t="s">
        <v>4184</v>
      </c>
      <c r="B4158" t="s">
        <v>38</v>
      </c>
      <c r="C4158">
        <v>0</v>
      </c>
      <c r="D4158">
        <v>34019146</v>
      </c>
      <c r="E4158">
        <v>4</v>
      </c>
      <c r="F4158">
        <v>23</v>
      </c>
      <c r="G4158">
        <v>255</v>
      </c>
      <c r="H4158">
        <v>32716538</v>
      </c>
      <c r="I4158">
        <v>211719</v>
      </c>
      <c r="J4158" t="s">
        <v>21</v>
      </c>
      <c r="K4158" t="s">
        <v>18</v>
      </c>
      <c r="L4158">
        <v>7</v>
      </c>
      <c r="M4158">
        <v>5.81</v>
      </c>
      <c r="N4158">
        <v>617561</v>
      </c>
      <c r="O4158">
        <v>1</v>
      </c>
    </row>
    <row r="4159" spans="1:15">
      <c r="A4159" t="s">
        <v>4185</v>
      </c>
      <c r="B4159" t="s">
        <v>27</v>
      </c>
      <c r="C4159">
        <v>10</v>
      </c>
      <c r="D4159">
        <v>15135857</v>
      </c>
      <c r="E4159">
        <v>4</v>
      </c>
      <c r="F4159">
        <v>11</v>
      </c>
      <c r="G4159">
        <v>720</v>
      </c>
      <c r="H4159">
        <v>86831273</v>
      </c>
      <c r="I4159">
        <v>518120</v>
      </c>
      <c r="J4159" t="s">
        <v>21</v>
      </c>
      <c r="K4159" t="s">
        <v>30</v>
      </c>
      <c r="L4159">
        <v>5</v>
      </c>
      <c r="M4159">
        <v>67.11</v>
      </c>
      <c r="N4159">
        <v>30225</v>
      </c>
      <c r="O4159">
        <v>1</v>
      </c>
    </row>
    <row r="4160" spans="1:15">
      <c r="A4160" t="s">
        <v>4186</v>
      </c>
      <c r="B4160" t="s">
        <v>38</v>
      </c>
      <c r="C4160">
        <v>1</v>
      </c>
      <c r="D4160">
        <v>20837947</v>
      </c>
      <c r="E4160">
        <v>4</v>
      </c>
      <c r="F4160">
        <v>18</v>
      </c>
      <c r="G4160">
        <v>83</v>
      </c>
      <c r="H4160">
        <v>98611660</v>
      </c>
      <c r="I4160">
        <v>583241</v>
      </c>
      <c r="J4160" t="s">
        <v>17</v>
      </c>
      <c r="K4160" t="s">
        <v>18</v>
      </c>
      <c r="L4160">
        <v>2</v>
      </c>
      <c r="M4160">
        <v>51.38</v>
      </c>
      <c r="N4160">
        <v>101952</v>
      </c>
      <c r="O4160">
        <v>1</v>
      </c>
    </row>
    <row r="4161" spans="1:15">
      <c r="A4161" t="s">
        <v>4187</v>
      </c>
      <c r="B4161" t="s">
        <v>38</v>
      </c>
      <c r="C4161">
        <v>13</v>
      </c>
      <c r="D4161">
        <v>45791956</v>
      </c>
      <c r="E4161">
        <v>3</v>
      </c>
      <c r="F4161">
        <v>15</v>
      </c>
      <c r="G4161">
        <v>769</v>
      </c>
      <c r="H4161">
        <v>94779183</v>
      </c>
      <c r="I4161">
        <v>911996</v>
      </c>
      <c r="J4161" t="s">
        <v>21</v>
      </c>
      <c r="K4161" t="s">
        <v>18</v>
      </c>
      <c r="L4161">
        <v>1</v>
      </c>
      <c r="M4161">
        <v>92.29</v>
      </c>
      <c r="N4161">
        <v>392343</v>
      </c>
      <c r="O4161">
        <v>1</v>
      </c>
    </row>
    <row r="4162" spans="1:15">
      <c r="A4162" t="s">
        <v>4188</v>
      </c>
      <c r="B4162" t="s">
        <v>16</v>
      </c>
      <c r="C4162">
        <v>4</v>
      </c>
      <c r="D4162">
        <v>42459210</v>
      </c>
      <c r="E4162">
        <v>4</v>
      </c>
      <c r="F4162">
        <v>15</v>
      </c>
      <c r="G4162">
        <v>768</v>
      </c>
      <c r="H4162">
        <v>76478065</v>
      </c>
      <c r="I4162">
        <v>148315</v>
      </c>
      <c r="J4162" t="s">
        <v>17</v>
      </c>
      <c r="K4162" t="s">
        <v>22</v>
      </c>
      <c r="L4162">
        <v>6</v>
      </c>
      <c r="M4162">
        <v>30.11</v>
      </c>
      <c r="N4162">
        <v>35376</v>
      </c>
      <c r="O4162">
        <v>1</v>
      </c>
    </row>
    <row r="4163" spans="1:15">
      <c r="A4163" t="s">
        <v>4189</v>
      </c>
      <c r="B4163" t="s">
        <v>27</v>
      </c>
      <c r="C4163">
        <v>3</v>
      </c>
      <c r="D4163">
        <v>8921895</v>
      </c>
      <c r="E4163">
        <v>1</v>
      </c>
      <c r="F4163">
        <v>8</v>
      </c>
      <c r="G4163">
        <v>270</v>
      </c>
      <c r="H4163">
        <v>76459588</v>
      </c>
      <c r="I4163">
        <v>415494</v>
      </c>
      <c r="J4163" t="s">
        <v>21</v>
      </c>
      <c r="K4163" t="s">
        <v>18</v>
      </c>
      <c r="L4163">
        <v>7</v>
      </c>
      <c r="M4163">
        <v>77.23</v>
      </c>
      <c r="N4163">
        <v>623219</v>
      </c>
      <c r="O4163">
        <v>1</v>
      </c>
    </row>
    <row r="4164" spans="1:15">
      <c r="A4164" t="s">
        <v>4190</v>
      </c>
      <c r="B4164" t="s">
        <v>20</v>
      </c>
      <c r="C4164">
        <v>6</v>
      </c>
      <c r="D4164">
        <v>20364901</v>
      </c>
      <c r="E4164">
        <v>2</v>
      </c>
      <c r="F4164">
        <v>2</v>
      </c>
      <c r="G4164">
        <v>694</v>
      </c>
      <c r="H4164">
        <v>33618074</v>
      </c>
      <c r="I4164">
        <v>44096</v>
      </c>
      <c r="J4164" t="s">
        <v>17</v>
      </c>
      <c r="K4164" t="s">
        <v>18</v>
      </c>
      <c r="L4164">
        <v>3</v>
      </c>
      <c r="M4164">
        <v>1.44</v>
      </c>
      <c r="N4164">
        <v>303341</v>
      </c>
      <c r="O4164">
        <v>1</v>
      </c>
    </row>
    <row r="4165" spans="1:15">
      <c r="A4165" t="s">
        <v>4191</v>
      </c>
      <c r="B4165" t="s">
        <v>16</v>
      </c>
      <c r="C4165">
        <v>5</v>
      </c>
      <c r="D4165">
        <v>20099991</v>
      </c>
      <c r="E4165">
        <v>4</v>
      </c>
      <c r="F4165">
        <v>27</v>
      </c>
      <c r="G4165">
        <v>937</v>
      </c>
      <c r="H4165">
        <v>59694725</v>
      </c>
      <c r="I4165">
        <v>814027</v>
      </c>
      <c r="J4165" t="s">
        <v>21</v>
      </c>
      <c r="K4165" t="s">
        <v>18</v>
      </c>
      <c r="L4165">
        <v>4</v>
      </c>
      <c r="M4165">
        <v>76.03</v>
      </c>
      <c r="N4165">
        <v>305655</v>
      </c>
      <c r="O4165">
        <v>1</v>
      </c>
    </row>
    <row r="4166" spans="1:15">
      <c r="A4166" t="s">
        <v>4192</v>
      </c>
      <c r="B4166" t="s">
        <v>29</v>
      </c>
      <c r="C4166">
        <v>4</v>
      </c>
      <c r="D4166">
        <v>19253893</v>
      </c>
      <c r="E4166">
        <v>3</v>
      </c>
      <c r="F4166">
        <v>3</v>
      </c>
      <c r="G4166">
        <v>92</v>
      </c>
      <c r="H4166">
        <v>54514563</v>
      </c>
      <c r="I4166">
        <v>869908</v>
      </c>
      <c r="J4166" t="s">
        <v>25</v>
      </c>
      <c r="K4166" t="s">
        <v>22</v>
      </c>
      <c r="L4166">
        <v>4</v>
      </c>
      <c r="M4166">
        <v>29.6</v>
      </c>
      <c r="N4166">
        <v>874301</v>
      </c>
      <c r="O4166">
        <v>1</v>
      </c>
    </row>
    <row r="4167" spans="1:15">
      <c r="A4167" t="s">
        <v>4193</v>
      </c>
      <c r="B4167" t="s">
        <v>38</v>
      </c>
      <c r="C4167">
        <v>14</v>
      </c>
      <c r="D4167">
        <v>12415503</v>
      </c>
      <c r="E4167">
        <v>1</v>
      </c>
      <c r="F4167">
        <v>9</v>
      </c>
      <c r="G4167">
        <v>254</v>
      </c>
      <c r="H4167">
        <v>41895983</v>
      </c>
      <c r="I4167">
        <v>343884</v>
      </c>
      <c r="J4167" t="s">
        <v>25</v>
      </c>
      <c r="K4167" t="s">
        <v>22</v>
      </c>
      <c r="L4167">
        <v>3</v>
      </c>
      <c r="M4167">
        <v>65.03</v>
      </c>
      <c r="N4167">
        <v>97231</v>
      </c>
      <c r="O4167">
        <v>1</v>
      </c>
    </row>
    <row r="4168" spans="1:15">
      <c r="A4168" t="s">
        <v>4194</v>
      </c>
      <c r="B4168" t="s">
        <v>24</v>
      </c>
      <c r="C4168">
        <v>10</v>
      </c>
      <c r="D4168">
        <v>14594563</v>
      </c>
      <c r="E4168">
        <v>4</v>
      </c>
      <c r="F4168">
        <v>16</v>
      </c>
      <c r="G4168">
        <v>55</v>
      </c>
      <c r="H4168">
        <v>54620965</v>
      </c>
      <c r="I4168">
        <v>386627</v>
      </c>
      <c r="J4168" t="s">
        <v>25</v>
      </c>
      <c r="K4168" t="s">
        <v>22</v>
      </c>
      <c r="L4168">
        <v>2</v>
      </c>
      <c r="M4168">
        <v>45.12</v>
      </c>
      <c r="N4168">
        <v>927878</v>
      </c>
      <c r="O4168">
        <v>1</v>
      </c>
    </row>
    <row r="4169" spans="1:15">
      <c r="A4169" t="s">
        <v>4195</v>
      </c>
      <c r="B4169" t="s">
        <v>20</v>
      </c>
      <c r="C4169">
        <v>7</v>
      </c>
      <c r="D4169">
        <v>17244608</v>
      </c>
      <c r="E4169">
        <v>3</v>
      </c>
      <c r="F4169">
        <v>22</v>
      </c>
      <c r="G4169">
        <v>897</v>
      </c>
      <c r="H4169">
        <v>61631203</v>
      </c>
      <c r="I4169">
        <v>312670</v>
      </c>
      <c r="J4169" t="s">
        <v>21</v>
      </c>
      <c r="K4169" t="s">
        <v>30</v>
      </c>
      <c r="L4169">
        <v>4</v>
      </c>
      <c r="M4169">
        <v>43.71</v>
      </c>
      <c r="N4169">
        <v>974074</v>
      </c>
      <c r="O4169">
        <v>1</v>
      </c>
    </row>
    <row r="4170" spans="1:15">
      <c r="A4170" t="s">
        <v>4196</v>
      </c>
      <c r="B4170" t="s">
        <v>27</v>
      </c>
      <c r="C4170">
        <v>9</v>
      </c>
      <c r="D4170">
        <v>14444873</v>
      </c>
      <c r="E4170">
        <v>3</v>
      </c>
      <c r="F4170">
        <v>17</v>
      </c>
      <c r="G4170">
        <v>394</v>
      </c>
      <c r="H4170">
        <v>94311939</v>
      </c>
      <c r="I4170">
        <v>711389</v>
      </c>
      <c r="J4170" t="s">
        <v>21</v>
      </c>
      <c r="K4170" t="s">
        <v>22</v>
      </c>
      <c r="L4170">
        <v>9</v>
      </c>
      <c r="M4170">
        <v>83.84</v>
      </c>
      <c r="N4170">
        <v>756304</v>
      </c>
      <c r="O4170">
        <v>1</v>
      </c>
    </row>
    <row r="4171" spans="1:15">
      <c r="A4171" t="s">
        <v>4197</v>
      </c>
      <c r="B4171" t="s">
        <v>38</v>
      </c>
      <c r="C4171">
        <v>8</v>
      </c>
      <c r="D4171">
        <v>49537383</v>
      </c>
      <c r="E4171">
        <v>1</v>
      </c>
      <c r="F4171">
        <v>11</v>
      </c>
      <c r="G4171">
        <v>198</v>
      </c>
      <c r="H4171">
        <v>80669025</v>
      </c>
      <c r="I4171">
        <v>657481</v>
      </c>
      <c r="J4171" t="s">
        <v>21</v>
      </c>
      <c r="K4171" t="s">
        <v>22</v>
      </c>
      <c r="L4171">
        <v>1</v>
      </c>
      <c r="M4171">
        <v>13.32</v>
      </c>
      <c r="N4171">
        <v>103811</v>
      </c>
      <c r="O4171">
        <v>1</v>
      </c>
    </row>
    <row r="4172" spans="1:15">
      <c r="A4172" t="s">
        <v>4198</v>
      </c>
      <c r="B4172" t="s">
        <v>16</v>
      </c>
      <c r="C4172">
        <v>4</v>
      </c>
      <c r="D4172">
        <v>45314136</v>
      </c>
      <c r="E4172">
        <v>3</v>
      </c>
      <c r="F4172">
        <v>5</v>
      </c>
      <c r="G4172">
        <v>863</v>
      </c>
      <c r="H4172">
        <v>72581760</v>
      </c>
      <c r="I4172">
        <v>150053</v>
      </c>
      <c r="J4172" t="s">
        <v>25</v>
      </c>
      <c r="K4172" t="s">
        <v>30</v>
      </c>
      <c r="L4172">
        <v>9</v>
      </c>
      <c r="M4172">
        <v>69.319999999999993</v>
      </c>
      <c r="N4172">
        <v>196971</v>
      </c>
      <c r="O4172">
        <v>1</v>
      </c>
    </row>
    <row r="4173" spans="1:15">
      <c r="A4173" t="s">
        <v>4199</v>
      </c>
      <c r="B4173" t="s">
        <v>38</v>
      </c>
      <c r="C4173">
        <v>5</v>
      </c>
      <c r="D4173">
        <v>4927091</v>
      </c>
      <c r="E4173">
        <v>1</v>
      </c>
      <c r="F4173">
        <v>25</v>
      </c>
      <c r="G4173">
        <v>224</v>
      </c>
      <c r="H4173">
        <v>3182556</v>
      </c>
      <c r="I4173">
        <v>886723</v>
      </c>
      <c r="J4173" t="s">
        <v>17</v>
      </c>
      <c r="K4173" t="s">
        <v>30</v>
      </c>
      <c r="L4173">
        <v>6</v>
      </c>
      <c r="M4173">
        <v>24.11</v>
      </c>
      <c r="N4173">
        <v>137988</v>
      </c>
      <c r="O4173">
        <v>1</v>
      </c>
    </row>
    <row r="4174" spans="1:15">
      <c r="A4174" t="s">
        <v>4200</v>
      </c>
      <c r="B4174" t="s">
        <v>38</v>
      </c>
      <c r="C4174">
        <v>7</v>
      </c>
      <c r="D4174">
        <v>39131607</v>
      </c>
      <c r="E4174">
        <v>1</v>
      </c>
      <c r="F4174">
        <v>28</v>
      </c>
      <c r="G4174">
        <v>657</v>
      </c>
      <c r="H4174">
        <v>50388771</v>
      </c>
      <c r="I4174">
        <v>452824</v>
      </c>
      <c r="J4174" t="s">
        <v>21</v>
      </c>
      <c r="K4174" t="s">
        <v>22</v>
      </c>
      <c r="L4174">
        <v>2</v>
      </c>
      <c r="M4174">
        <v>6.67</v>
      </c>
      <c r="N4174">
        <v>874052</v>
      </c>
      <c r="O4174">
        <v>1</v>
      </c>
    </row>
    <row r="4175" spans="1:15">
      <c r="A4175" t="s">
        <v>4201</v>
      </c>
      <c r="B4175" t="s">
        <v>27</v>
      </c>
      <c r="C4175">
        <v>6</v>
      </c>
      <c r="D4175">
        <v>8756130</v>
      </c>
      <c r="E4175">
        <v>1</v>
      </c>
      <c r="F4175">
        <v>25</v>
      </c>
      <c r="G4175">
        <v>282</v>
      </c>
      <c r="H4175">
        <v>15652117</v>
      </c>
      <c r="I4175">
        <v>520077</v>
      </c>
      <c r="J4175" t="s">
        <v>17</v>
      </c>
      <c r="K4175" t="s">
        <v>30</v>
      </c>
      <c r="L4175">
        <v>1</v>
      </c>
      <c r="M4175">
        <v>42.05</v>
      </c>
      <c r="N4175">
        <v>74083</v>
      </c>
      <c r="O4175">
        <v>1</v>
      </c>
    </row>
    <row r="4176" spans="1:15">
      <c r="A4176" t="s">
        <v>4202</v>
      </c>
      <c r="B4176" t="s">
        <v>29</v>
      </c>
      <c r="C4176">
        <v>9</v>
      </c>
      <c r="D4176">
        <v>8969043</v>
      </c>
      <c r="E4176">
        <v>1</v>
      </c>
      <c r="F4176">
        <v>19</v>
      </c>
      <c r="G4176">
        <v>141</v>
      </c>
      <c r="H4176">
        <v>59639365</v>
      </c>
      <c r="I4176">
        <v>508594</v>
      </c>
      <c r="J4176" t="s">
        <v>17</v>
      </c>
      <c r="K4176" t="s">
        <v>22</v>
      </c>
      <c r="L4176">
        <v>5</v>
      </c>
      <c r="M4176">
        <v>35.43</v>
      </c>
      <c r="N4176">
        <v>174396</v>
      </c>
      <c r="O4176">
        <v>1</v>
      </c>
    </row>
    <row r="4177" spans="1:15">
      <c r="A4177" t="s">
        <v>4203</v>
      </c>
      <c r="B4177" t="s">
        <v>27</v>
      </c>
      <c r="C4177">
        <v>1</v>
      </c>
      <c r="D4177">
        <v>1025629</v>
      </c>
      <c r="E4177">
        <v>2</v>
      </c>
      <c r="F4177">
        <v>1</v>
      </c>
      <c r="G4177">
        <v>903</v>
      </c>
      <c r="H4177">
        <v>38294656</v>
      </c>
      <c r="I4177">
        <v>29342</v>
      </c>
      <c r="J4177" t="s">
        <v>25</v>
      </c>
      <c r="K4177" t="s">
        <v>22</v>
      </c>
      <c r="L4177">
        <v>7</v>
      </c>
      <c r="M4177">
        <v>18.78</v>
      </c>
      <c r="N4177">
        <v>820001</v>
      </c>
      <c r="O4177">
        <v>1</v>
      </c>
    </row>
    <row r="4178" spans="1:15">
      <c r="A4178" t="s">
        <v>4204</v>
      </c>
      <c r="B4178" t="s">
        <v>27</v>
      </c>
      <c r="C4178">
        <v>12</v>
      </c>
      <c r="D4178">
        <v>4808040</v>
      </c>
      <c r="E4178">
        <v>3</v>
      </c>
      <c r="F4178">
        <v>14</v>
      </c>
      <c r="G4178">
        <v>107</v>
      </c>
      <c r="H4178">
        <v>11777481</v>
      </c>
      <c r="I4178">
        <v>586656</v>
      </c>
      <c r="J4178" t="s">
        <v>17</v>
      </c>
      <c r="K4178" t="s">
        <v>30</v>
      </c>
      <c r="L4178">
        <v>9</v>
      </c>
      <c r="M4178">
        <v>67.989999999999995</v>
      </c>
      <c r="N4178">
        <v>6555</v>
      </c>
      <c r="O4178">
        <v>1</v>
      </c>
    </row>
    <row r="4179" spans="1:15">
      <c r="A4179" t="s">
        <v>4205</v>
      </c>
      <c r="B4179" t="s">
        <v>38</v>
      </c>
      <c r="C4179">
        <v>11</v>
      </c>
      <c r="D4179">
        <v>35757478</v>
      </c>
      <c r="E4179">
        <v>3</v>
      </c>
      <c r="F4179">
        <v>24</v>
      </c>
      <c r="G4179">
        <v>614</v>
      </c>
      <c r="H4179">
        <v>33012546</v>
      </c>
      <c r="I4179">
        <v>810354</v>
      </c>
      <c r="J4179" t="s">
        <v>25</v>
      </c>
      <c r="K4179" t="s">
        <v>22</v>
      </c>
      <c r="L4179">
        <v>6</v>
      </c>
      <c r="M4179">
        <v>48.16</v>
      </c>
      <c r="N4179">
        <v>898915</v>
      </c>
      <c r="O4179">
        <v>1</v>
      </c>
    </row>
    <row r="4180" spans="1:15">
      <c r="A4180" t="s">
        <v>4206</v>
      </c>
      <c r="B4180" t="s">
        <v>38</v>
      </c>
      <c r="C4180">
        <v>0</v>
      </c>
      <c r="D4180">
        <v>39508277</v>
      </c>
      <c r="E4180">
        <v>3</v>
      </c>
      <c r="F4180">
        <v>9</v>
      </c>
      <c r="G4180">
        <v>53</v>
      </c>
      <c r="H4180">
        <v>15215503</v>
      </c>
      <c r="I4180">
        <v>603895</v>
      </c>
      <c r="J4180" t="s">
        <v>17</v>
      </c>
      <c r="K4180" t="s">
        <v>18</v>
      </c>
      <c r="L4180">
        <v>1</v>
      </c>
      <c r="M4180">
        <v>82.24</v>
      </c>
      <c r="N4180">
        <v>688191</v>
      </c>
      <c r="O4180">
        <v>1</v>
      </c>
    </row>
    <row r="4181" spans="1:15">
      <c r="A4181" t="s">
        <v>4207</v>
      </c>
      <c r="B4181" t="s">
        <v>38</v>
      </c>
      <c r="C4181">
        <v>10</v>
      </c>
      <c r="D4181">
        <v>19035199</v>
      </c>
      <c r="E4181">
        <v>3</v>
      </c>
      <c r="F4181">
        <v>4</v>
      </c>
      <c r="G4181">
        <v>420</v>
      </c>
      <c r="H4181">
        <v>85526337</v>
      </c>
      <c r="I4181">
        <v>36065</v>
      </c>
      <c r="J4181" t="s">
        <v>17</v>
      </c>
      <c r="K4181" t="s">
        <v>22</v>
      </c>
      <c r="L4181">
        <v>4</v>
      </c>
      <c r="M4181">
        <v>72.599999999999994</v>
      </c>
      <c r="N4181">
        <v>444075</v>
      </c>
      <c r="O4181">
        <v>1</v>
      </c>
    </row>
    <row r="4182" spans="1:15">
      <c r="A4182" t="s">
        <v>4208</v>
      </c>
      <c r="B4182" t="s">
        <v>24</v>
      </c>
      <c r="C4182">
        <v>6</v>
      </c>
      <c r="D4182">
        <v>15924713</v>
      </c>
      <c r="E4182">
        <v>1</v>
      </c>
      <c r="F4182">
        <v>28</v>
      </c>
      <c r="G4182">
        <v>942</v>
      </c>
      <c r="H4182">
        <v>89744094</v>
      </c>
      <c r="I4182">
        <v>812084</v>
      </c>
      <c r="J4182" t="s">
        <v>17</v>
      </c>
      <c r="K4182" t="s">
        <v>18</v>
      </c>
      <c r="L4182">
        <v>6</v>
      </c>
      <c r="M4182">
        <v>6.38</v>
      </c>
      <c r="N4182">
        <v>960788</v>
      </c>
      <c r="O4182">
        <v>1</v>
      </c>
    </row>
    <row r="4183" spans="1:15">
      <c r="A4183" t="s">
        <v>4209</v>
      </c>
      <c r="B4183" t="s">
        <v>20</v>
      </c>
      <c r="C4183">
        <v>13</v>
      </c>
      <c r="D4183">
        <v>7853360</v>
      </c>
      <c r="E4183">
        <v>2</v>
      </c>
      <c r="F4183">
        <v>1</v>
      </c>
      <c r="G4183">
        <v>638</v>
      </c>
      <c r="H4183">
        <v>18201201</v>
      </c>
      <c r="I4183">
        <v>608440</v>
      </c>
      <c r="J4183" t="s">
        <v>17</v>
      </c>
      <c r="K4183" t="s">
        <v>22</v>
      </c>
      <c r="L4183">
        <v>8</v>
      </c>
      <c r="M4183">
        <v>39.26</v>
      </c>
      <c r="N4183">
        <v>821470</v>
      </c>
      <c r="O4183">
        <v>1</v>
      </c>
    </row>
    <row r="4184" spans="1:15">
      <c r="A4184" t="s">
        <v>4210</v>
      </c>
      <c r="B4184" t="s">
        <v>38</v>
      </c>
      <c r="C4184">
        <v>9</v>
      </c>
      <c r="D4184">
        <v>31210275</v>
      </c>
      <c r="E4184">
        <v>4</v>
      </c>
      <c r="F4184">
        <v>10</v>
      </c>
      <c r="G4184">
        <v>139</v>
      </c>
      <c r="H4184">
        <v>35587121</v>
      </c>
      <c r="I4184">
        <v>488953</v>
      </c>
      <c r="J4184" t="s">
        <v>25</v>
      </c>
      <c r="K4184" t="s">
        <v>18</v>
      </c>
      <c r="L4184">
        <v>7</v>
      </c>
      <c r="M4184">
        <v>7.78</v>
      </c>
      <c r="N4184">
        <v>209871</v>
      </c>
      <c r="O4184">
        <v>1</v>
      </c>
    </row>
    <row r="4185" spans="1:15">
      <c r="A4185" t="s">
        <v>4211</v>
      </c>
      <c r="B4185" t="s">
        <v>32</v>
      </c>
      <c r="C4185">
        <v>5</v>
      </c>
      <c r="D4185">
        <v>4029600</v>
      </c>
      <c r="E4185">
        <v>2</v>
      </c>
      <c r="F4185">
        <v>15</v>
      </c>
      <c r="G4185">
        <v>945</v>
      </c>
      <c r="H4185">
        <v>72251238</v>
      </c>
      <c r="I4185">
        <v>880694</v>
      </c>
      <c r="J4185" t="s">
        <v>21</v>
      </c>
      <c r="K4185" t="s">
        <v>30</v>
      </c>
      <c r="L4185">
        <v>3</v>
      </c>
      <c r="M4185">
        <v>33.22</v>
      </c>
      <c r="N4185">
        <v>25764</v>
      </c>
      <c r="O4185">
        <v>1</v>
      </c>
    </row>
    <row r="4186" spans="1:15">
      <c r="A4186" t="s">
        <v>4212</v>
      </c>
      <c r="B4186" t="s">
        <v>27</v>
      </c>
      <c r="C4186">
        <v>10</v>
      </c>
      <c r="D4186">
        <v>20166998</v>
      </c>
      <c r="E4186">
        <v>1</v>
      </c>
      <c r="F4186">
        <v>7</v>
      </c>
      <c r="G4186">
        <v>209</v>
      </c>
      <c r="H4186">
        <v>38920544</v>
      </c>
      <c r="I4186">
        <v>692651</v>
      </c>
      <c r="J4186" t="s">
        <v>25</v>
      </c>
      <c r="K4186" t="s">
        <v>22</v>
      </c>
      <c r="L4186">
        <v>8</v>
      </c>
      <c r="M4186">
        <v>90.31</v>
      </c>
      <c r="N4186">
        <v>183700</v>
      </c>
      <c r="O4186">
        <v>1</v>
      </c>
    </row>
    <row r="4187" spans="1:15">
      <c r="A4187" t="s">
        <v>4213</v>
      </c>
      <c r="B4187" t="s">
        <v>38</v>
      </c>
      <c r="C4187">
        <v>9</v>
      </c>
      <c r="D4187">
        <v>29286398</v>
      </c>
      <c r="E4187">
        <v>1</v>
      </c>
      <c r="F4187">
        <v>2</v>
      </c>
      <c r="G4187">
        <v>770</v>
      </c>
      <c r="H4187">
        <v>73215641</v>
      </c>
      <c r="I4187">
        <v>125552</v>
      </c>
      <c r="J4187" t="s">
        <v>21</v>
      </c>
      <c r="K4187" t="s">
        <v>18</v>
      </c>
      <c r="L4187">
        <v>7</v>
      </c>
      <c r="M4187">
        <v>40.29</v>
      </c>
      <c r="N4187">
        <v>87379</v>
      </c>
      <c r="O4187">
        <v>1</v>
      </c>
    </row>
    <row r="4188" spans="1:15">
      <c r="A4188" t="s">
        <v>4214</v>
      </c>
      <c r="B4188" t="s">
        <v>20</v>
      </c>
      <c r="C4188">
        <v>8</v>
      </c>
      <c r="D4188">
        <v>418657</v>
      </c>
      <c r="E4188">
        <v>4</v>
      </c>
      <c r="F4188">
        <v>28</v>
      </c>
      <c r="G4188">
        <v>705</v>
      </c>
      <c r="H4188">
        <v>46205206</v>
      </c>
      <c r="I4188">
        <v>548744</v>
      </c>
      <c r="J4188" t="s">
        <v>25</v>
      </c>
      <c r="K4188" t="s">
        <v>30</v>
      </c>
      <c r="L4188">
        <v>1</v>
      </c>
      <c r="M4188">
        <v>66.650000000000006</v>
      </c>
      <c r="N4188">
        <v>808952</v>
      </c>
      <c r="O4188">
        <v>1</v>
      </c>
    </row>
    <row r="4189" spans="1:15">
      <c r="A4189" t="s">
        <v>4215</v>
      </c>
      <c r="B4189" t="s">
        <v>29</v>
      </c>
      <c r="C4189">
        <v>3</v>
      </c>
      <c r="D4189">
        <v>43021058</v>
      </c>
      <c r="E4189">
        <v>4</v>
      </c>
      <c r="F4189">
        <v>5</v>
      </c>
      <c r="G4189">
        <v>301</v>
      </c>
      <c r="H4189">
        <v>21329675</v>
      </c>
      <c r="I4189">
        <v>900980</v>
      </c>
      <c r="J4189" t="s">
        <v>17</v>
      </c>
      <c r="K4189" t="s">
        <v>22</v>
      </c>
      <c r="L4189">
        <v>6</v>
      </c>
      <c r="M4189">
        <v>56.01</v>
      </c>
      <c r="N4189">
        <v>249083</v>
      </c>
      <c r="O4189">
        <v>1</v>
      </c>
    </row>
    <row r="4190" spans="1:15">
      <c r="A4190" t="s">
        <v>4216</v>
      </c>
      <c r="B4190" t="s">
        <v>24</v>
      </c>
      <c r="C4190">
        <v>11</v>
      </c>
      <c r="D4190">
        <v>17742262</v>
      </c>
      <c r="E4190">
        <v>1</v>
      </c>
      <c r="F4190">
        <v>7</v>
      </c>
      <c r="G4190">
        <v>629</v>
      </c>
      <c r="H4190">
        <v>37020490</v>
      </c>
      <c r="I4190">
        <v>414393</v>
      </c>
      <c r="J4190" t="s">
        <v>17</v>
      </c>
      <c r="K4190" t="s">
        <v>30</v>
      </c>
      <c r="L4190">
        <v>2</v>
      </c>
      <c r="M4190">
        <v>13.39</v>
      </c>
      <c r="N4190">
        <v>681654</v>
      </c>
      <c r="O4190">
        <v>1</v>
      </c>
    </row>
    <row r="4191" spans="1:15">
      <c r="A4191" t="s">
        <v>4217</v>
      </c>
      <c r="B4191" t="s">
        <v>16</v>
      </c>
      <c r="C4191">
        <v>5</v>
      </c>
      <c r="D4191">
        <v>46685554</v>
      </c>
      <c r="E4191">
        <v>1</v>
      </c>
      <c r="F4191">
        <v>12</v>
      </c>
      <c r="G4191">
        <v>477</v>
      </c>
      <c r="H4191">
        <v>762672</v>
      </c>
      <c r="I4191">
        <v>607283</v>
      </c>
      <c r="J4191" t="s">
        <v>17</v>
      </c>
      <c r="K4191" t="s">
        <v>22</v>
      </c>
      <c r="L4191">
        <v>4</v>
      </c>
      <c r="M4191">
        <v>75.84</v>
      </c>
      <c r="N4191">
        <v>709141</v>
      </c>
      <c r="O4191">
        <v>1</v>
      </c>
    </row>
    <row r="4192" spans="1:15">
      <c r="A4192" t="s">
        <v>4218</v>
      </c>
      <c r="B4192" t="s">
        <v>27</v>
      </c>
      <c r="C4192">
        <v>2</v>
      </c>
      <c r="D4192">
        <v>29182538</v>
      </c>
      <c r="E4192">
        <v>2</v>
      </c>
      <c r="F4192">
        <v>8</v>
      </c>
      <c r="G4192">
        <v>284</v>
      </c>
      <c r="H4192">
        <v>96517016</v>
      </c>
      <c r="I4192">
        <v>606169</v>
      </c>
      <c r="J4192" t="s">
        <v>21</v>
      </c>
      <c r="K4192" t="s">
        <v>18</v>
      </c>
      <c r="L4192">
        <v>1</v>
      </c>
      <c r="M4192">
        <v>19.37</v>
      </c>
      <c r="N4192">
        <v>13905</v>
      </c>
      <c r="O4192">
        <v>1</v>
      </c>
    </row>
    <row r="4193" spans="1:15">
      <c r="A4193" t="s">
        <v>4219</v>
      </c>
      <c r="B4193" t="s">
        <v>20</v>
      </c>
      <c r="C4193">
        <v>2</v>
      </c>
      <c r="D4193">
        <v>13244303</v>
      </c>
      <c r="E4193">
        <v>2</v>
      </c>
      <c r="F4193">
        <v>19</v>
      </c>
      <c r="G4193">
        <v>900</v>
      </c>
      <c r="H4193">
        <v>51033541</v>
      </c>
      <c r="I4193">
        <v>129304</v>
      </c>
      <c r="J4193" t="s">
        <v>21</v>
      </c>
      <c r="K4193" t="s">
        <v>30</v>
      </c>
      <c r="L4193">
        <v>3</v>
      </c>
      <c r="M4193">
        <v>13.65</v>
      </c>
      <c r="N4193">
        <v>586649</v>
      </c>
      <c r="O4193">
        <v>1</v>
      </c>
    </row>
    <row r="4194" spans="1:15">
      <c r="A4194" t="s">
        <v>4220</v>
      </c>
      <c r="B4194" t="s">
        <v>32</v>
      </c>
      <c r="C4194">
        <v>12</v>
      </c>
      <c r="D4194">
        <v>39916044</v>
      </c>
      <c r="E4194">
        <v>4</v>
      </c>
      <c r="F4194">
        <v>29</v>
      </c>
      <c r="G4194">
        <v>764</v>
      </c>
      <c r="H4194">
        <v>28635459</v>
      </c>
      <c r="I4194">
        <v>196057</v>
      </c>
      <c r="J4194" t="s">
        <v>25</v>
      </c>
      <c r="K4194" t="s">
        <v>18</v>
      </c>
      <c r="L4194">
        <v>9</v>
      </c>
      <c r="M4194">
        <v>80.3</v>
      </c>
      <c r="N4194">
        <v>240092</v>
      </c>
      <c r="O4194">
        <v>1</v>
      </c>
    </row>
    <row r="4195" spans="1:15">
      <c r="A4195" t="s">
        <v>4221</v>
      </c>
      <c r="B4195" t="s">
        <v>16</v>
      </c>
      <c r="C4195">
        <v>3</v>
      </c>
      <c r="D4195">
        <v>34331996</v>
      </c>
      <c r="E4195">
        <v>4</v>
      </c>
      <c r="F4195">
        <v>29</v>
      </c>
      <c r="G4195">
        <v>772</v>
      </c>
      <c r="H4195">
        <v>55299119</v>
      </c>
      <c r="I4195">
        <v>517572</v>
      </c>
      <c r="J4195" t="s">
        <v>17</v>
      </c>
      <c r="K4195" t="s">
        <v>18</v>
      </c>
      <c r="L4195">
        <v>2</v>
      </c>
      <c r="M4195">
        <v>40.17</v>
      </c>
      <c r="N4195">
        <v>318878</v>
      </c>
      <c r="O4195">
        <v>1</v>
      </c>
    </row>
    <row r="4196" spans="1:15">
      <c r="A4196" t="s">
        <v>4222</v>
      </c>
      <c r="B4196" t="s">
        <v>27</v>
      </c>
      <c r="C4196">
        <v>10</v>
      </c>
      <c r="D4196">
        <v>12220736</v>
      </c>
      <c r="E4196">
        <v>4</v>
      </c>
      <c r="F4196">
        <v>4</v>
      </c>
      <c r="G4196">
        <v>201</v>
      </c>
      <c r="H4196">
        <v>50882718</v>
      </c>
      <c r="I4196">
        <v>669269</v>
      </c>
      <c r="J4196" t="s">
        <v>17</v>
      </c>
      <c r="K4196" t="s">
        <v>18</v>
      </c>
      <c r="L4196">
        <v>2</v>
      </c>
      <c r="M4196">
        <v>48.69</v>
      </c>
      <c r="N4196">
        <v>313033</v>
      </c>
      <c r="O4196">
        <v>1</v>
      </c>
    </row>
    <row r="4197" spans="1:15">
      <c r="A4197" t="s">
        <v>4223</v>
      </c>
      <c r="B4197" t="s">
        <v>20</v>
      </c>
      <c r="C4197">
        <v>0</v>
      </c>
      <c r="D4197">
        <v>46791843</v>
      </c>
      <c r="E4197">
        <v>2</v>
      </c>
      <c r="F4197">
        <v>29</v>
      </c>
      <c r="G4197">
        <v>856</v>
      </c>
      <c r="H4197">
        <v>31628536</v>
      </c>
      <c r="I4197">
        <v>531424</v>
      </c>
      <c r="J4197" t="s">
        <v>25</v>
      </c>
      <c r="K4197" t="s">
        <v>22</v>
      </c>
      <c r="L4197">
        <v>3</v>
      </c>
      <c r="M4197">
        <v>83.74</v>
      </c>
      <c r="N4197">
        <v>388253</v>
      </c>
      <c r="O4197">
        <v>1</v>
      </c>
    </row>
    <row r="4198" spans="1:15">
      <c r="A4198" t="s">
        <v>4224</v>
      </c>
      <c r="B4198" t="s">
        <v>32</v>
      </c>
      <c r="C4198">
        <v>9</v>
      </c>
      <c r="D4198">
        <v>47234896</v>
      </c>
      <c r="E4198">
        <v>3</v>
      </c>
      <c r="F4198">
        <v>29</v>
      </c>
      <c r="G4198">
        <v>258</v>
      </c>
      <c r="H4198">
        <v>28715754</v>
      </c>
      <c r="I4198">
        <v>837033</v>
      </c>
      <c r="J4198" t="s">
        <v>21</v>
      </c>
      <c r="K4198" t="s">
        <v>30</v>
      </c>
      <c r="L4198">
        <v>3</v>
      </c>
      <c r="M4198">
        <v>18.77</v>
      </c>
      <c r="N4198">
        <v>701688</v>
      </c>
      <c r="O4198">
        <v>1</v>
      </c>
    </row>
    <row r="4199" spans="1:15">
      <c r="A4199" t="s">
        <v>4225</v>
      </c>
      <c r="B4199" t="s">
        <v>24</v>
      </c>
      <c r="C4199">
        <v>3</v>
      </c>
      <c r="D4199">
        <v>11432848</v>
      </c>
      <c r="E4199">
        <v>2</v>
      </c>
      <c r="F4199">
        <v>2</v>
      </c>
      <c r="G4199">
        <v>9</v>
      </c>
      <c r="H4199">
        <v>10118460</v>
      </c>
      <c r="I4199">
        <v>175160</v>
      </c>
      <c r="J4199" t="s">
        <v>17</v>
      </c>
      <c r="K4199" t="s">
        <v>18</v>
      </c>
      <c r="L4199">
        <v>6</v>
      </c>
      <c r="M4199">
        <v>31.05</v>
      </c>
      <c r="N4199">
        <v>519970</v>
      </c>
      <c r="O4199">
        <v>1</v>
      </c>
    </row>
    <row r="4200" spans="1:15">
      <c r="A4200" t="s">
        <v>4226</v>
      </c>
      <c r="B4200" t="s">
        <v>24</v>
      </c>
      <c r="C4200">
        <v>1</v>
      </c>
      <c r="D4200">
        <v>4067173</v>
      </c>
      <c r="E4200">
        <v>4</v>
      </c>
      <c r="F4200">
        <v>2</v>
      </c>
      <c r="G4200">
        <v>306</v>
      </c>
      <c r="H4200">
        <v>60986855</v>
      </c>
      <c r="I4200">
        <v>123526</v>
      </c>
      <c r="J4200" t="s">
        <v>25</v>
      </c>
      <c r="K4200" t="s">
        <v>30</v>
      </c>
      <c r="L4200">
        <v>7</v>
      </c>
      <c r="M4200">
        <v>70.290000000000006</v>
      </c>
      <c r="N4200">
        <v>604285</v>
      </c>
      <c r="O4200">
        <v>1</v>
      </c>
    </row>
    <row r="4201" spans="1:15">
      <c r="A4201" t="s">
        <v>4227</v>
      </c>
      <c r="B4201" t="s">
        <v>32</v>
      </c>
      <c r="C4201">
        <v>12</v>
      </c>
      <c r="D4201">
        <v>2869050</v>
      </c>
      <c r="E4201">
        <v>1</v>
      </c>
      <c r="F4201">
        <v>15</v>
      </c>
      <c r="G4201">
        <v>853</v>
      </c>
      <c r="H4201">
        <v>60936028</v>
      </c>
      <c r="I4201">
        <v>868665</v>
      </c>
      <c r="J4201" t="s">
        <v>25</v>
      </c>
      <c r="K4201" t="s">
        <v>18</v>
      </c>
      <c r="L4201">
        <v>5</v>
      </c>
      <c r="M4201">
        <v>53.8</v>
      </c>
      <c r="N4201">
        <v>674439</v>
      </c>
      <c r="O4201">
        <v>1</v>
      </c>
    </row>
    <row r="4202" spans="1:15">
      <c r="A4202" t="s">
        <v>4228</v>
      </c>
      <c r="B4202" t="s">
        <v>29</v>
      </c>
      <c r="C4202">
        <v>7</v>
      </c>
      <c r="D4202">
        <v>21826432</v>
      </c>
      <c r="E4202">
        <v>4</v>
      </c>
      <c r="F4202">
        <v>11</v>
      </c>
      <c r="G4202">
        <v>512</v>
      </c>
      <c r="H4202">
        <v>96500400</v>
      </c>
      <c r="I4202">
        <v>232824</v>
      </c>
      <c r="J4202" t="s">
        <v>17</v>
      </c>
      <c r="K4202" t="s">
        <v>18</v>
      </c>
      <c r="L4202">
        <v>1</v>
      </c>
      <c r="M4202">
        <v>66.040000000000006</v>
      </c>
      <c r="N4202">
        <v>198966</v>
      </c>
      <c r="O4202">
        <v>1</v>
      </c>
    </row>
    <row r="4203" spans="1:15">
      <c r="A4203" t="s">
        <v>4229</v>
      </c>
      <c r="B4203" t="s">
        <v>32</v>
      </c>
      <c r="C4203">
        <v>8</v>
      </c>
      <c r="D4203">
        <v>40302076</v>
      </c>
      <c r="E4203">
        <v>4</v>
      </c>
      <c r="F4203">
        <v>24</v>
      </c>
      <c r="G4203">
        <v>10</v>
      </c>
      <c r="H4203">
        <v>64251983</v>
      </c>
      <c r="I4203">
        <v>325644</v>
      </c>
      <c r="J4203" t="s">
        <v>25</v>
      </c>
      <c r="K4203" t="s">
        <v>18</v>
      </c>
      <c r="L4203">
        <v>8</v>
      </c>
      <c r="M4203">
        <v>48.31</v>
      </c>
      <c r="N4203">
        <v>150944</v>
      </c>
      <c r="O4203">
        <v>1</v>
      </c>
    </row>
    <row r="4204" spans="1:15">
      <c r="A4204" t="s">
        <v>4230</v>
      </c>
      <c r="B4204" t="s">
        <v>27</v>
      </c>
      <c r="C4204">
        <v>14</v>
      </c>
      <c r="D4204">
        <v>36434754</v>
      </c>
      <c r="E4204">
        <v>4</v>
      </c>
      <c r="F4204">
        <v>16</v>
      </c>
      <c r="G4204">
        <v>556</v>
      </c>
      <c r="H4204">
        <v>24512304</v>
      </c>
      <c r="I4204">
        <v>584074</v>
      </c>
      <c r="J4204" t="s">
        <v>21</v>
      </c>
      <c r="K4204" t="s">
        <v>22</v>
      </c>
      <c r="L4204">
        <v>8</v>
      </c>
      <c r="M4204">
        <v>52.69</v>
      </c>
      <c r="N4204">
        <v>213906</v>
      </c>
      <c r="O4204">
        <v>1</v>
      </c>
    </row>
    <row r="4205" spans="1:15">
      <c r="A4205" t="s">
        <v>4231</v>
      </c>
      <c r="B4205" t="s">
        <v>27</v>
      </c>
      <c r="C4205">
        <v>11</v>
      </c>
      <c r="D4205">
        <v>18485607</v>
      </c>
      <c r="E4205">
        <v>1</v>
      </c>
      <c r="F4205">
        <v>17</v>
      </c>
      <c r="G4205">
        <v>323</v>
      </c>
      <c r="H4205">
        <v>55703142</v>
      </c>
      <c r="I4205">
        <v>129733</v>
      </c>
      <c r="J4205" t="s">
        <v>25</v>
      </c>
      <c r="K4205" t="s">
        <v>22</v>
      </c>
      <c r="L4205">
        <v>4</v>
      </c>
      <c r="M4205">
        <v>94.27</v>
      </c>
      <c r="N4205">
        <v>939301</v>
      </c>
      <c r="O4205">
        <v>1</v>
      </c>
    </row>
    <row r="4206" spans="1:15">
      <c r="A4206" t="s">
        <v>4232</v>
      </c>
      <c r="B4206" t="s">
        <v>29</v>
      </c>
      <c r="C4206">
        <v>1</v>
      </c>
      <c r="D4206">
        <v>14815194</v>
      </c>
      <c r="E4206">
        <v>4</v>
      </c>
      <c r="F4206">
        <v>19</v>
      </c>
      <c r="G4206">
        <v>956</v>
      </c>
      <c r="H4206">
        <v>7053234</v>
      </c>
      <c r="I4206">
        <v>349002</v>
      </c>
      <c r="J4206" t="s">
        <v>17</v>
      </c>
      <c r="K4206" t="s">
        <v>18</v>
      </c>
      <c r="L4206">
        <v>5</v>
      </c>
      <c r="M4206">
        <v>63.48</v>
      </c>
      <c r="N4206">
        <v>161377</v>
      </c>
      <c r="O4206">
        <v>1</v>
      </c>
    </row>
    <row r="4207" spans="1:15">
      <c r="A4207" t="s">
        <v>4233</v>
      </c>
      <c r="B4207" t="s">
        <v>29</v>
      </c>
      <c r="C4207">
        <v>14</v>
      </c>
      <c r="D4207">
        <v>12499994</v>
      </c>
      <c r="E4207">
        <v>1</v>
      </c>
      <c r="F4207">
        <v>12</v>
      </c>
      <c r="G4207">
        <v>566</v>
      </c>
      <c r="H4207">
        <v>30919147</v>
      </c>
      <c r="I4207">
        <v>127047</v>
      </c>
      <c r="J4207" t="s">
        <v>17</v>
      </c>
      <c r="K4207" t="s">
        <v>18</v>
      </c>
      <c r="L4207">
        <v>6</v>
      </c>
      <c r="M4207">
        <v>15.53</v>
      </c>
      <c r="N4207">
        <v>846171</v>
      </c>
      <c r="O4207">
        <v>1</v>
      </c>
    </row>
    <row r="4208" spans="1:15">
      <c r="A4208" t="s">
        <v>4234</v>
      </c>
      <c r="B4208" t="s">
        <v>32</v>
      </c>
      <c r="C4208">
        <v>1</v>
      </c>
      <c r="D4208">
        <v>40472623</v>
      </c>
      <c r="E4208">
        <v>4</v>
      </c>
      <c r="F4208">
        <v>4</v>
      </c>
      <c r="G4208">
        <v>96</v>
      </c>
      <c r="H4208">
        <v>91962964</v>
      </c>
      <c r="I4208">
        <v>226136</v>
      </c>
      <c r="J4208" t="s">
        <v>25</v>
      </c>
      <c r="K4208" t="s">
        <v>30</v>
      </c>
      <c r="L4208">
        <v>4</v>
      </c>
      <c r="M4208">
        <v>67.180000000000007</v>
      </c>
      <c r="N4208">
        <v>222619</v>
      </c>
      <c r="O4208">
        <v>1</v>
      </c>
    </row>
    <row r="4209" spans="1:15">
      <c r="A4209" t="s">
        <v>4235</v>
      </c>
      <c r="B4209" t="s">
        <v>27</v>
      </c>
      <c r="C4209">
        <v>14</v>
      </c>
      <c r="D4209">
        <v>2470977</v>
      </c>
      <c r="E4209">
        <v>3</v>
      </c>
      <c r="F4209">
        <v>6</v>
      </c>
      <c r="G4209">
        <v>595</v>
      </c>
      <c r="H4209">
        <v>97208367</v>
      </c>
      <c r="I4209">
        <v>591517</v>
      </c>
      <c r="J4209" t="s">
        <v>21</v>
      </c>
      <c r="K4209" t="s">
        <v>18</v>
      </c>
      <c r="L4209">
        <v>4</v>
      </c>
      <c r="M4209">
        <v>22.01</v>
      </c>
      <c r="N4209">
        <v>560251</v>
      </c>
      <c r="O4209">
        <v>1</v>
      </c>
    </row>
    <row r="4210" spans="1:15">
      <c r="A4210" t="s">
        <v>4236</v>
      </c>
      <c r="B4210" t="s">
        <v>32</v>
      </c>
      <c r="C4210">
        <v>7</v>
      </c>
      <c r="D4210">
        <v>24628450</v>
      </c>
      <c r="E4210">
        <v>1</v>
      </c>
      <c r="F4210">
        <v>29</v>
      </c>
      <c r="G4210">
        <v>930</v>
      </c>
      <c r="H4210">
        <v>39575419</v>
      </c>
      <c r="I4210">
        <v>676767</v>
      </c>
      <c r="J4210" t="s">
        <v>21</v>
      </c>
      <c r="K4210" t="s">
        <v>22</v>
      </c>
      <c r="L4210">
        <v>3</v>
      </c>
      <c r="M4210">
        <v>46.38</v>
      </c>
      <c r="N4210">
        <v>454030</v>
      </c>
      <c r="O4210">
        <v>1</v>
      </c>
    </row>
    <row r="4211" spans="1:15">
      <c r="A4211" t="s">
        <v>4237</v>
      </c>
      <c r="B4211" t="s">
        <v>29</v>
      </c>
      <c r="C4211">
        <v>9</v>
      </c>
      <c r="D4211">
        <v>28249878</v>
      </c>
      <c r="E4211">
        <v>3</v>
      </c>
      <c r="F4211">
        <v>18</v>
      </c>
      <c r="G4211">
        <v>361</v>
      </c>
      <c r="H4211">
        <v>65406042</v>
      </c>
      <c r="I4211">
        <v>92568</v>
      </c>
      <c r="J4211" t="s">
        <v>25</v>
      </c>
      <c r="K4211" t="s">
        <v>18</v>
      </c>
      <c r="L4211">
        <v>1</v>
      </c>
      <c r="M4211">
        <v>36.5</v>
      </c>
      <c r="N4211">
        <v>105287</v>
      </c>
      <c r="O4211">
        <v>1</v>
      </c>
    </row>
    <row r="4212" spans="1:15">
      <c r="A4212" t="s">
        <v>4238</v>
      </c>
      <c r="B4212" t="s">
        <v>20</v>
      </c>
      <c r="C4212">
        <v>6</v>
      </c>
      <c r="D4212">
        <v>37936739</v>
      </c>
      <c r="E4212">
        <v>2</v>
      </c>
      <c r="F4212">
        <v>29</v>
      </c>
      <c r="G4212">
        <v>668</v>
      </c>
      <c r="H4212">
        <v>84041827</v>
      </c>
      <c r="I4212">
        <v>472255</v>
      </c>
      <c r="J4212" t="s">
        <v>17</v>
      </c>
      <c r="K4212" t="s">
        <v>18</v>
      </c>
      <c r="L4212">
        <v>3</v>
      </c>
      <c r="M4212">
        <v>18.690000000000001</v>
      </c>
      <c r="N4212">
        <v>276831</v>
      </c>
      <c r="O4212">
        <v>1</v>
      </c>
    </row>
    <row r="4213" spans="1:15">
      <c r="A4213" t="s">
        <v>4239</v>
      </c>
      <c r="B4213" t="s">
        <v>38</v>
      </c>
      <c r="C4213">
        <v>1</v>
      </c>
      <c r="D4213">
        <v>19518929</v>
      </c>
      <c r="E4213">
        <v>1</v>
      </c>
      <c r="F4213">
        <v>15</v>
      </c>
      <c r="G4213">
        <v>517</v>
      </c>
      <c r="H4213">
        <v>21493652</v>
      </c>
      <c r="I4213">
        <v>832990</v>
      </c>
      <c r="J4213" t="s">
        <v>17</v>
      </c>
      <c r="K4213" t="s">
        <v>18</v>
      </c>
      <c r="L4213">
        <v>7</v>
      </c>
      <c r="M4213">
        <v>89.33</v>
      </c>
      <c r="N4213">
        <v>659127</v>
      </c>
      <c r="O4213">
        <v>1</v>
      </c>
    </row>
    <row r="4214" spans="1:15">
      <c r="A4214" t="s">
        <v>4240</v>
      </c>
      <c r="B4214" t="s">
        <v>32</v>
      </c>
      <c r="C4214">
        <v>12</v>
      </c>
      <c r="D4214">
        <v>5641153</v>
      </c>
      <c r="E4214">
        <v>3</v>
      </c>
      <c r="F4214">
        <v>27</v>
      </c>
      <c r="G4214">
        <v>282</v>
      </c>
      <c r="H4214">
        <v>76264330</v>
      </c>
      <c r="I4214">
        <v>920061</v>
      </c>
      <c r="J4214" t="s">
        <v>21</v>
      </c>
      <c r="K4214" t="s">
        <v>18</v>
      </c>
      <c r="L4214">
        <v>3</v>
      </c>
      <c r="M4214">
        <v>77.84</v>
      </c>
      <c r="N4214">
        <v>854989</v>
      </c>
      <c r="O4214">
        <v>1</v>
      </c>
    </row>
    <row r="4215" spans="1:15">
      <c r="A4215" t="s">
        <v>4241</v>
      </c>
      <c r="B4215" t="s">
        <v>16</v>
      </c>
      <c r="C4215">
        <v>8</v>
      </c>
      <c r="D4215">
        <v>44552617</v>
      </c>
      <c r="E4215">
        <v>3</v>
      </c>
      <c r="F4215">
        <v>4</v>
      </c>
      <c r="G4215">
        <v>258</v>
      </c>
      <c r="H4215">
        <v>79218373</v>
      </c>
      <c r="I4215">
        <v>147814</v>
      </c>
      <c r="J4215" t="s">
        <v>21</v>
      </c>
      <c r="K4215" t="s">
        <v>22</v>
      </c>
      <c r="L4215">
        <v>1</v>
      </c>
      <c r="M4215">
        <v>32.19</v>
      </c>
      <c r="N4215">
        <v>715371</v>
      </c>
      <c r="O4215">
        <v>1</v>
      </c>
    </row>
    <row r="4216" spans="1:15">
      <c r="A4216" t="s">
        <v>4242</v>
      </c>
      <c r="B4216" t="s">
        <v>38</v>
      </c>
      <c r="C4216">
        <v>0</v>
      </c>
      <c r="D4216">
        <v>22325697</v>
      </c>
      <c r="E4216">
        <v>2</v>
      </c>
      <c r="F4216">
        <v>6</v>
      </c>
      <c r="G4216">
        <v>685</v>
      </c>
      <c r="H4216">
        <v>79389894</v>
      </c>
      <c r="I4216">
        <v>620220</v>
      </c>
      <c r="J4216" t="s">
        <v>17</v>
      </c>
      <c r="K4216" t="s">
        <v>22</v>
      </c>
      <c r="L4216">
        <v>3</v>
      </c>
      <c r="M4216">
        <v>61.51</v>
      </c>
      <c r="N4216">
        <v>474087</v>
      </c>
      <c r="O4216">
        <v>1</v>
      </c>
    </row>
    <row r="4217" spans="1:15">
      <c r="A4217" t="s">
        <v>4243</v>
      </c>
      <c r="B4217" t="s">
        <v>27</v>
      </c>
      <c r="C4217">
        <v>14</v>
      </c>
      <c r="D4217">
        <v>42578265</v>
      </c>
      <c r="E4217">
        <v>4</v>
      </c>
      <c r="F4217">
        <v>13</v>
      </c>
      <c r="G4217">
        <v>263</v>
      </c>
      <c r="H4217">
        <v>71286385</v>
      </c>
      <c r="I4217">
        <v>5593</v>
      </c>
      <c r="J4217" t="s">
        <v>21</v>
      </c>
      <c r="K4217" t="s">
        <v>22</v>
      </c>
      <c r="L4217">
        <v>7</v>
      </c>
      <c r="M4217">
        <v>58.35</v>
      </c>
      <c r="N4217">
        <v>33437</v>
      </c>
      <c r="O4217">
        <v>1</v>
      </c>
    </row>
    <row r="4218" spans="1:15">
      <c r="A4218" t="s">
        <v>4244</v>
      </c>
      <c r="B4218" t="s">
        <v>38</v>
      </c>
      <c r="C4218">
        <v>1</v>
      </c>
      <c r="D4218">
        <v>34167085</v>
      </c>
      <c r="E4218">
        <v>2</v>
      </c>
      <c r="F4218">
        <v>13</v>
      </c>
      <c r="G4218">
        <v>822</v>
      </c>
      <c r="H4218">
        <v>81012545</v>
      </c>
      <c r="I4218">
        <v>327900</v>
      </c>
      <c r="J4218" t="s">
        <v>25</v>
      </c>
      <c r="K4218" t="s">
        <v>22</v>
      </c>
      <c r="L4218">
        <v>6</v>
      </c>
      <c r="M4218">
        <v>71.23</v>
      </c>
      <c r="N4218">
        <v>168770</v>
      </c>
      <c r="O4218">
        <v>1</v>
      </c>
    </row>
    <row r="4219" spans="1:15">
      <c r="A4219" t="s">
        <v>4245</v>
      </c>
      <c r="B4219" t="s">
        <v>20</v>
      </c>
      <c r="C4219">
        <v>5</v>
      </c>
      <c r="D4219">
        <v>34758687</v>
      </c>
      <c r="E4219">
        <v>2</v>
      </c>
      <c r="F4219">
        <v>13</v>
      </c>
      <c r="G4219">
        <v>509</v>
      </c>
      <c r="H4219">
        <v>85744749</v>
      </c>
      <c r="I4219">
        <v>980485</v>
      </c>
      <c r="J4219" t="s">
        <v>21</v>
      </c>
      <c r="K4219" t="s">
        <v>30</v>
      </c>
      <c r="L4219">
        <v>6</v>
      </c>
      <c r="M4219">
        <v>99.63</v>
      </c>
      <c r="N4219">
        <v>696257</v>
      </c>
      <c r="O4219">
        <v>1</v>
      </c>
    </row>
    <row r="4220" spans="1:15">
      <c r="A4220" t="s">
        <v>4246</v>
      </c>
      <c r="B4220" t="s">
        <v>16</v>
      </c>
      <c r="C4220">
        <v>1</v>
      </c>
      <c r="D4220">
        <v>15085602</v>
      </c>
      <c r="E4220">
        <v>4</v>
      </c>
      <c r="F4220">
        <v>9</v>
      </c>
      <c r="G4220">
        <v>73</v>
      </c>
      <c r="H4220">
        <v>5803907</v>
      </c>
      <c r="I4220">
        <v>662309</v>
      </c>
      <c r="J4220" t="s">
        <v>17</v>
      </c>
      <c r="K4220" t="s">
        <v>22</v>
      </c>
      <c r="L4220">
        <v>4</v>
      </c>
      <c r="M4220">
        <v>53.39</v>
      </c>
      <c r="N4220">
        <v>400356</v>
      </c>
      <c r="O4220">
        <v>1</v>
      </c>
    </row>
    <row r="4221" spans="1:15">
      <c r="A4221" t="s">
        <v>4247</v>
      </c>
      <c r="B4221" t="s">
        <v>20</v>
      </c>
      <c r="C4221">
        <v>14</v>
      </c>
      <c r="D4221">
        <v>2615330</v>
      </c>
      <c r="E4221">
        <v>3</v>
      </c>
      <c r="F4221">
        <v>2</v>
      </c>
      <c r="G4221">
        <v>130</v>
      </c>
      <c r="H4221">
        <v>33566436</v>
      </c>
      <c r="I4221">
        <v>837869</v>
      </c>
      <c r="J4221" t="s">
        <v>21</v>
      </c>
      <c r="K4221" t="s">
        <v>30</v>
      </c>
      <c r="L4221">
        <v>5</v>
      </c>
      <c r="M4221">
        <v>76.819999999999993</v>
      </c>
      <c r="N4221">
        <v>280114</v>
      </c>
      <c r="O4221">
        <v>1</v>
      </c>
    </row>
    <row r="4222" spans="1:15">
      <c r="A4222" t="s">
        <v>4248</v>
      </c>
      <c r="B4222" t="s">
        <v>20</v>
      </c>
      <c r="C4222">
        <v>9</v>
      </c>
      <c r="D4222">
        <v>31612816</v>
      </c>
      <c r="E4222">
        <v>4</v>
      </c>
      <c r="F4222">
        <v>8</v>
      </c>
      <c r="G4222">
        <v>319</v>
      </c>
      <c r="H4222">
        <v>78878855</v>
      </c>
      <c r="I4222">
        <v>281623</v>
      </c>
      <c r="J4222" t="s">
        <v>17</v>
      </c>
      <c r="K4222" t="s">
        <v>18</v>
      </c>
      <c r="L4222">
        <v>3</v>
      </c>
      <c r="M4222">
        <v>22.73</v>
      </c>
      <c r="N4222">
        <v>791758</v>
      </c>
      <c r="O4222">
        <v>1</v>
      </c>
    </row>
    <row r="4223" spans="1:15">
      <c r="A4223" t="s">
        <v>4249</v>
      </c>
      <c r="B4223" t="s">
        <v>24</v>
      </c>
      <c r="C4223">
        <v>12</v>
      </c>
      <c r="D4223">
        <v>34431419</v>
      </c>
      <c r="E4223">
        <v>3</v>
      </c>
      <c r="F4223">
        <v>29</v>
      </c>
      <c r="G4223">
        <v>720</v>
      </c>
      <c r="H4223">
        <v>71043391</v>
      </c>
      <c r="I4223">
        <v>187158</v>
      </c>
      <c r="J4223" t="s">
        <v>21</v>
      </c>
      <c r="K4223" t="s">
        <v>18</v>
      </c>
      <c r="L4223">
        <v>6</v>
      </c>
      <c r="M4223">
        <v>61.32</v>
      </c>
      <c r="N4223">
        <v>27476</v>
      </c>
      <c r="O4223">
        <v>1</v>
      </c>
    </row>
    <row r="4224" spans="1:15">
      <c r="A4224" t="s">
        <v>4250</v>
      </c>
      <c r="B4224" t="s">
        <v>27</v>
      </c>
      <c r="C4224">
        <v>3</v>
      </c>
      <c r="D4224">
        <v>3164403</v>
      </c>
      <c r="E4224">
        <v>1</v>
      </c>
      <c r="F4224">
        <v>13</v>
      </c>
      <c r="G4224">
        <v>979</v>
      </c>
      <c r="H4224">
        <v>49391856</v>
      </c>
      <c r="I4224">
        <v>78686</v>
      </c>
      <c r="J4224" t="s">
        <v>25</v>
      </c>
      <c r="K4224" t="s">
        <v>30</v>
      </c>
      <c r="L4224">
        <v>1</v>
      </c>
      <c r="M4224">
        <v>21.71</v>
      </c>
      <c r="N4224">
        <v>291470</v>
      </c>
      <c r="O4224">
        <v>1</v>
      </c>
    </row>
    <row r="4225" spans="1:15">
      <c r="A4225" t="s">
        <v>4251</v>
      </c>
      <c r="B4225" t="s">
        <v>38</v>
      </c>
      <c r="C4225">
        <v>1</v>
      </c>
      <c r="D4225">
        <v>22942990</v>
      </c>
      <c r="E4225">
        <v>4</v>
      </c>
      <c r="F4225">
        <v>28</v>
      </c>
      <c r="G4225">
        <v>718</v>
      </c>
      <c r="H4225">
        <v>27545007</v>
      </c>
      <c r="I4225">
        <v>226744</v>
      </c>
      <c r="J4225" t="s">
        <v>25</v>
      </c>
      <c r="K4225" t="s">
        <v>22</v>
      </c>
      <c r="L4225">
        <v>4</v>
      </c>
      <c r="M4225">
        <v>54.36</v>
      </c>
      <c r="N4225">
        <v>435196</v>
      </c>
      <c r="O4225">
        <v>1</v>
      </c>
    </row>
    <row r="4226" spans="1:15">
      <c r="A4226" t="s">
        <v>4252</v>
      </c>
      <c r="B4226" t="s">
        <v>32</v>
      </c>
      <c r="C4226">
        <v>5</v>
      </c>
      <c r="D4226">
        <v>2195896</v>
      </c>
      <c r="E4226">
        <v>2</v>
      </c>
      <c r="F4226">
        <v>16</v>
      </c>
      <c r="G4226">
        <v>424</v>
      </c>
      <c r="H4226">
        <v>29356824</v>
      </c>
      <c r="I4226">
        <v>178132</v>
      </c>
      <c r="J4226" t="s">
        <v>21</v>
      </c>
      <c r="K4226" t="s">
        <v>18</v>
      </c>
      <c r="L4226">
        <v>1</v>
      </c>
      <c r="M4226">
        <v>86.93</v>
      </c>
      <c r="N4226">
        <v>613820</v>
      </c>
      <c r="O4226">
        <v>1</v>
      </c>
    </row>
    <row r="4227" spans="1:15">
      <c r="A4227" t="s">
        <v>4253</v>
      </c>
      <c r="B4227" t="s">
        <v>20</v>
      </c>
      <c r="C4227">
        <v>8</v>
      </c>
      <c r="D4227">
        <v>18289817</v>
      </c>
      <c r="E4227">
        <v>3</v>
      </c>
      <c r="F4227">
        <v>1</v>
      </c>
      <c r="G4227">
        <v>234</v>
      </c>
      <c r="H4227">
        <v>87304483</v>
      </c>
      <c r="I4227">
        <v>362817</v>
      </c>
      <c r="J4227" t="s">
        <v>25</v>
      </c>
      <c r="K4227" t="s">
        <v>22</v>
      </c>
      <c r="L4227">
        <v>6</v>
      </c>
      <c r="M4227">
        <v>36.94</v>
      </c>
      <c r="N4227">
        <v>961147</v>
      </c>
      <c r="O4227">
        <v>1</v>
      </c>
    </row>
    <row r="4228" spans="1:15">
      <c r="A4228" t="s">
        <v>4254</v>
      </c>
      <c r="B4228" t="s">
        <v>29</v>
      </c>
      <c r="C4228">
        <v>13</v>
      </c>
      <c r="D4228">
        <v>20363089</v>
      </c>
      <c r="E4228">
        <v>1</v>
      </c>
      <c r="F4228">
        <v>22</v>
      </c>
      <c r="G4228">
        <v>422</v>
      </c>
      <c r="H4228">
        <v>46239902</v>
      </c>
      <c r="I4228">
        <v>261238</v>
      </c>
      <c r="J4228" t="s">
        <v>17</v>
      </c>
      <c r="K4228" t="s">
        <v>18</v>
      </c>
      <c r="L4228">
        <v>7</v>
      </c>
      <c r="M4228">
        <v>50.21</v>
      </c>
      <c r="N4228">
        <v>381158</v>
      </c>
      <c r="O4228">
        <v>1</v>
      </c>
    </row>
    <row r="4229" spans="1:15">
      <c r="A4229" t="s">
        <v>4255</v>
      </c>
      <c r="B4229" t="s">
        <v>38</v>
      </c>
      <c r="C4229">
        <v>10</v>
      </c>
      <c r="D4229">
        <v>19203945</v>
      </c>
      <c r="E4229">
        <v>2</v>
      </c>
      <c r="F4229">
        <v>1</v>
      </c>
      <c r="G4229">
        <v>149</v>
      </c>
      <c r="H4229">
        <v>10188097</v>
      </c>
      <c r="I4229">
        <v>756589</v>
      </c>
      <c r="J4229" t="s">
        <v>21</v>
      </c>
      <c r="K4229" t="s">
        <v>22</v>
      </c>
      <c r="L4229">
        <v>2</v>
      </c>
      <c r="M4229">
        <v>17.14</v>
      </c>
      <c r="N4229">
        <v>689696</v>
      </c>
      <c r="O4229">
        <v>1</v>
      </c>
    </row>
    <row r="4230" spans="1:15">
      <c r="A4230" t="s">
        <v>4256</v>
      </c>
      <c r="B4230" t="s">
        <v>32</v>
      </c>
      <c r="C4230">
        <v>8</v>
      </c>
      <c r="D4230">
        <v>42304523</v>
      </c>
      <c r="E4230">
        <v>4</v>
      </c>
      <c r="F4230">
        <v>8</v>
      </c>
      <c r="G4230">
        <v>161</v>
      </c>
      <c r="H4230">
        <v>30102040</v>
      </c>
      <c r="I4230">
        <v>217343</v>
      </c>
      <c r="J4230" t="s">
        <v>25</v>
      </c>
      <c r="K4230" t="s">
        <v>30</v>
      </c>
      <c r="L4230">
        <v>4</v>
      </c>
      <c r="M4230">
        <v>91.37</v>
      </c>
      <c r="N4230">
        <v>159531</v>
      </c>
      <c r="O4230">
        <v>1</v>
      </c>
    </row>
    <row r="4231" spans="1:15">
      <c r="A4231" t="s">
        <v>4257</v>
      </c>
      <c r="B4231" t="s">
        <v>38</v>
      </c>
      <c r="C4231">
        <v>4</v>
      </c>
      <c r="D4231">
        <v>11525037</v>
      </c>
      <c r="E4231">
        <v>1</v>
      </c>
      <c r="F4231">
        <v>28</v>
      </c>
      <c r="G4231">
        <v>246</v>
      </c>
      <c r="H4231">
        <v>92540584</v>
      </c>
      <c r="I4231">
        <v>904495</v>
      </c>
      <c r="J4231" t="s">
        <v>25</v>
      </c>
      <c r="K4231" t="s">
        <v>22</v>
      </c>
      <c r="L4231">
        <v>5</v>
      </c>
      <c r="M4231">
        <v>31.58</v>
      </c>
      <c r="N4231">
        <v>315016</v>
      </c>
      <c r="O4231">
        <v>1</v>
      </c>
    </row>
    <row r="4232" spans="1:15">
      <c r="A4232" t="s">
        <v>4258</v>
      </c>
      <c r="B4232" t="s">
        <v>38</v>
      </c>
      <c r="C4232">
        <v>0</v>
      </c>
      <c r="D4232">
        <v>21639231</v>
      </c>
      <c r="E4232">
        <v>4</v>
      </c>
      <c r="F4232">
        <v>28</v>
      </c>
      <c r="G4232">
        <v>399</v>
      </c>
      <c r="H4232">
        <v>40889739</v>
      </c>
      <c r="I4232">
        <v>872130</v>
      </c>
      <c r="J4232" t="s">
        <v>21</v>
      </c>
      <c r="K4232" t="s">
        <v>22</v>
      </c>
      <c r="L4232">
        <v>6</v>
      </c>
      <c r="M4232">
        <v>55.07</v>
      </c>
      <c r="N4232">
        <v>970091</v>
      </c>
      <c r="O4232">
        <v>1</v>
      </c>
    </row>
    <row r="4233" spans="1:15">
      <c r="A4233" t="s">
        <v>4259</v>
      </c>
      <c r="B4233" t="s">
        <v>29</v>
      </c>
      <c r="C4233">
        <v>14</v>
      </c>
      <c r="D4233">
        <v>38497924</v>
      </c>
      <c r="E4233">
        <v>1</v>
      </c>
      <c r="F4233">
        <v>23</v>
      </c>
      <c r="G4233">
        <v>405</v>
      </c>
      <c r="H4233">
        <v>42058027</v>
      </c>
      <c r="I4233">
        <v>205057</v>
      </c>
      <c r="J4233" t="s">
        <v>25</v>
      </c>
      <c r="K4233" t="s">
        <v>30</v>
      </c>
      <c r="L4233">
        <v>6</v>
      </c>
      <c r="M4233">
        <v>63.64</v>
      </c>
      <c r="N4233">
        <v>668617</v>
      </c>
      <c r="O4233">
        <v>1</v>
      </c>
    </row>
    <row r="4234" spans="1:15">
      <c r="A4234" t="s">
        <v>4260</v>
      </c>
      <c r="B4234" t="s">
        <v>20</v>
      </c>
      <c r="C4234">
        <v>8</v>
      </c>
      <c r="D4234">
        <v>21827736</v>
      </c>
      <c r="E4234">
        <v>4</v>
      </c>
      <c r="F4234">
        <v>13</v>
      </c>
      <c r="G4234">
        <v>373</v>
      </c>
      <c r="H4234">
        <v>86577158</v>
      </c>
      <c r="I4234">
        <v>409440</v>
      </c>
      <c r="J4234" t="s">
        <v>25</v>
      </c>
      <c r="K4234" t="s">
        <v>30</v>
      </c>
      <c r="L4234">
        <v>7</v>
      </c>
      <c r="M4234">
        <v>88.99</v>
      </c>
      <c r="N4234">
        <v>790158</v>
      </c>
      <c r="O4234">
        <v>1</v>
      </c>
    </row>
    <row r="4235" spans="1:15">
      <c r="A4235" t="s">
        <v>4261</v>
      </c>
      <c r="B4235" t="s">
        <v>29</v>
      </c>
      <c r="C4235">
        <v>13</v>
      </c>
      <c r="D4235">
        <v>39763932</v>
      </c>
      <c r="E4235">
        <v>1</v>
      </c>
      <c r="F4235">
        <v>25</v>
      </c>
      <c r="G4235">
        <v>639</v>
      </c>
      <c r="H4235">
        <v>37705563</v>
      </c>
      <c r="I4235">
        <v>601378</v>
      </c>
      <c r="J4235" t="s">
        <v>17</v>
      </c>
      <c r="K4235" t="s">
        <v>18</v>
      </c>
      <c r="L4235">
        <v>7</v>
      </c>
      <c r="M4235">
        <v>79.900000000000006</v>
      </c>
      <c r="N4235">
        <v>876504</v>
      </c>
      <c r="O4235">
        <v>1</v>
      </c>
    </row>
    <row r="4236" spans="1:15">
      <c r="A4236" t="s">
        <v>4262</v>
      </c>
      <c r="B4236" t="s">
        <v>24</v>
      </c>
      <c r="C4236">
        <v>2</v>
      </c>
      <c r="D4236">
        <v>27451719</v>
      </c>
      <c r="E4236">
        <v>4</v>
      </c>
      <c r="F4236">
        <v>21</v>
      </c>
      <c r="G4236">
        <v>445</v>
      </c>
      <c r="H4236">
        <v>37895142</v>
      </c>
      <c r="I4236">
        <v>443365</v>
      </c>
      <c r="J4236" t="s">
        <v>21</v>
      </c>
      <c r="K4236" t="s">
        <v>30</v>
      </c>
      <c r="L4236">
        <v>7</v>
      </c>
      <c r="M4236">
        <v>82.32</v>
      </c>
      <c r="N4236">
        <v>140139</v>
      </c>
      <c r="O4236">
        <v>1</v>
      </c>
    </row>
    <row r="4237" spans="1:15">
      <c r="A4237" t="s">
        <v>4263</v>
      </c>
      <c r="B4237" t="s">
        <v>29</v>
      </c>
      <c r="C4237">
        <v>4</v>
      </c>
      <c r="D4237">
        <v>36280070</v>
      </c>
      <c r="E4237">
        <v>1</v>
      </c>
      <c r="F4237">
        <v>14</v>
      </c>
      <c r="G4237">
        <v>719</v>
      </c>
      <c r="H4237">
        <v>18853239</v>
      </c>
      <c r="I4237">
        <v>144013</v>
      </c>
      <c r="J4237" t="s">
        <v>25</v>
      </c>
      <c r="K4237" t="s">
        <v>22</v>
      </c>
      <c r="L4237">
        <v>7</v>
      </c>
      <c r="M4237">
        <v>72.819999999999993</v>
      </c>
      <c r="N4237">
        <v>463675</v>
      </c>
      <c r="O4237">
        <v>1</v>
      </c>
    </row>
    <row r="4238" spans="1:15">
      <c r="A4238" t="s">
        <v>4264</v>
      </c>
      <c r="B4238" t="s">
        <v>29</v>
      </c>
      <c r="C4238">
        <v>0</v>
      </c>
      <c r="D4238">
        <v>16379548</v>
      </c>
      <c r="E4238">
        <v>4</v>
      </c>
      <c r="F4238">
        <v>4</v>
      </c>
      <c r="G4238">
        <v>23</v>
      </c>
      <c r="H4238">
        <v>39151059</v>
      </c>
      <c r="I4238">
        <v>621504</v>
      </c>
      <c r="J4238" t="s">
        <v>25</v>
      </c>
      <c r="K4238" t="s">
        <v>18</v>
      </c>
      <c r="L4238">
        <v>2</v>
      </c>
      <c r="M4238">
        <v>87.17</v>
      </c>
      <c r="N4238">
        <v>982446</v>
      </c>
      <c r="O4238">
        <v>1</v>
      </c>
    </row>
    <row r="4239" spans="1:15">
      <c r="A4239" t="s">
        <v>4265</v>
      </c>
      <c r="B4239" t="s">
        <v>29</v>
      </c>
      <c r="C4239">
        <v>11</v>
      </c>
      <c r="D4239">
        <v>48583218</v>
      </c>
      <c r="E4239">
        <v>3</v>
      </c>
      <c r="F4239">
        <v>12</v>
      </c>
      <c r="G4239">
        <v>807</v>
      </c>
      <c r="H4239">
        <v>82736492</v>
      </c>
      <c r="I4239">
        <v>609071</v>
      </c>
      <c r="J4239" t="s">
        <v>25</v>
      </c>
      <c r="K4239" t="s">
        <v>30</v>
      </c>
      <c r="L4239">
        <v>4</v>
      </c>
      <c r="M4239">
        <v>65.23</v>
      </c>
      <c r="N4239">
        <v>169595</v>
      </c>
      <c r="O4239">
        <v>1</v>
      </c>
    </row>
    <row r="4240" spans="1:15">
      <c r="A4240" t="s">
        <v>4266</v>
      </c>
      <c r="B4240" t="s">
        <v>27</v>
      </c>
      <c r="C4240">
        <v>13</v>
      </c>
      <c r="D4240">
        <v>20062532</v>
      </c>
      <c r="E4240">
        <v>4</v>
      </c>
      <c r="F4240">
        <v>27</v>
      </c>
      <c r="G4240">
        <v>969</v>
      </c>
      <c r="H4240">
        <v>47662839</v>
      </c>
      <c r="I4240">
        <v>506600</v>
      </c>
      <c r="J4240" t="s">
        <v>25</v>
      </c>
      <c r="K4240" t="s">
        <v>22</v>
      </c>
      <c r="L4240">
        <v>5</v>
      </c>
      <c r="M4240">
        <v>15.88</v>
      </c>
      <c r="N4240">
        <v>76248</v>
      </c>
      <c r="O4240">
        <v>1</v>
      </c>
    </row>
    <row r="4241" spans="1:15">
      <c r="A4241" t="s">
        <v>4267</v>
      </c>
      <c r="B4241" t="s">
        <v>16</v>
      </c>
      <c r="C4241">
        <v>4</v>
      </c>
      <c r="D4241">
        <v>2992318</v>
      </c>
      <c r="E4241">
        <v>4</v>
      </c>
      <c r="F4241">
        <v>20</v>
      </c>
      <c r="G4241">
        <v>716</v>
      </c>
      <c r="H4241">
        <v>26221361</v>
      </c>
      <c r="I4241">
        <v>182680</v>
      </c>
      <c r="J4241" t="s">
        <v>21</v>
      </c>
      <c r="K4241" t="s">
        <v>22</v>
      </c>
      <c r="L4241">
        <v>3</v>
      </c>
      <c r="M4241">
        <v>9.2200000000000006</v>
      </c>
      <c r="N4241">
        <v>663506</v>
      </c>
      <c r="O4241">
        <v>1</v>
      </c>
    </row>
    <row r="4242" spans="1:15">
      <c r="A4242" t="s">
        <v>4268</v>
      </c>
      <c r="B4242" t="s">
        <v>20</v>
      </c>
      <c r="C4242">
        <v>9</v>
      </c>
      <c r="D4242">
        <v>46709577</v>
      </c>
      <c r="E4242">
        <v>4</v>
      </c>
      <c r="F4242">
        <v>14</v>
      </c>
      <c r="G4242">
        <v>477</v>
      </c>
      <c r="H4242">
        <v>56702619</v>
      </c>
      <c r="I4242">
        <v>384414</v>
      </c>
      <c r="J4242" t="s">
        <v>25</v>
      </c>
      <c r="K4242" t="s">
        <v>22</v>
      </c>
      <c r="L4242">
        <v>9</v>
      </c>
      <c r="M4242">
        <v>90.16</v>
      </c>
      <c r="N4242">
        <v>420306</v>
      </c>
      <c r="O4242">
        <v>1</v>
      </c>
    </row>
    <row r="4243" spans="1:15">
      <c r="A4243" t="s">
        <v>4269</v>
      </c>
      <c r="B4243" t="s">
        <v>27</v>
      </c>
      <c r="C4243">
        <v>1</v>
      </c>
      <c r="D4243">
        <v>23243758</v>
      </c>
      <c r="E4243">
        <v>1</v>
      </c>
      <c r="F4243">
        <v>23</v>
      </c>
      <c r="G4243">
        <v>812</v>
      </c>
      <c r="H4243">
        <v>79025949</v>
      </c>
      <c r="I4243">
        <v>318896</v>
      </c>
      <c r="J4243" t="s">
        <v>21</v>
      </c>
      <c r="K4243" t="s">
        <v>18</v>
      </c>
      <c r="L4243">
        <v>1</v>
      </c>
      <c r="M4243">
        <v>81.290000000000006</v>
      </c>
      <c r="N4243">
        <v>688996</v>
      </c>
      <c r="O4243">
        <v>1</v>
      </c>
    </row>
    <row r="4244" spans="1:15">
      <c r="A4244" t="s">
        <v>4270</v>
      </c>
      <c r="B4244" t="s">
        <v>38</v>
      </c>
      <c r="C4244">
        <v>8</v>
      </c>
      <c r="D4244">
        <v>25682879</v>
      </c>
      <c r="E4244">
        <v>4</v>
      </c>
      <c r="F4244">
        <v>8</v>
      </c>
      <c r="G4244">
        <v>233</v>
      </c>
      <c r="H4244">
        <v>29679294</v>
      </c>
      <c r="I4244">
        <v>167245</v>
      </c>
      <c r="J4244" t="s">
        <v>21</v>
      </c>
      <c r="K4244" t="s">
        <v>30</v>
      </c>
      <c r="L4244">
        <v>5</v>
      </c>
      <c r="M4244">
        <v>70.430000000000007</v>
      </c>
      <c r="N4244">
        <v>464240</v>
      </c>
      <c r="O4244">
        <v>1</v>
      </c>
    </row>
    <row r="4245" spans="1:15">
      <c r="A4245" t="s">
        <v>4271</v>
      </c>
      <c r="B4245" t="s">
        <v>16</v>
      </c>
      <c r="C4245">
        <v>1</v>
      </c>
      <c r="D4245">
        <v>27361805</v>
      </c>
      <c r="E4245">
        <v>1</v>
      </c>
      <c r="F4245">
        <v>19</v>
      </c>
      <c r="G4245">
        <v>384</v>
      </c>
      <c r="H4245">
        <v>37846507</v>
      </c>
      <c r="I4245">
        <v>448090</v>
      </c>
      <c r="J4245" t="s">
        <v>21</v>
      </c>
      <c r="K4245" t="s">
        <v>22</v>
      </c>
      <c r="L4245">
        <v>6</v>
      </c>
      <c r="M4245">
        <v>85.01</v>
      </c>
      <c r="N4245">
        <v>584669</v>
      </c>
      <c r="O4245">
        <v>1</v>
      </c>
    </row>
    <row r="4246" spans="1:15">
      <c r="A4246" t="s">
        <v>4272</v>
      </c>
      <c r="B4246" t="s">
        <v>20</v>
      </c>
      <c r="C4246">
        <v>7</v>
      </c>
      <c r="D4246">
        <v>34696811</v>
      </c>
      <c r="E4246">
        <v>3</v>
      </c>
      <c r="F4246">
        <v>3</v>
      </c>
      <c r="G4246">
        <v>754</v>
      </c>
      <c r="H4246">
        <v>12697262</v>
      </c>
      <c r="I4246">
        <v>805217</v>
      </c>
      <c r="J4246" t="s">
        <v>21</v>
      </c>
      <c r="K4246" t="s">
        <v>30</v>
      </c>
      <c r="L4246">
        <v>4</v>
      </c>
      <c r="M4246">
        <v>3.7</v>
      </c>
      <c r="N4246">
        <v>616043</v>
      </c>
      <c r="O4246">
        <v>1</v>
      </c>
    </row>
    <row r="4247" spans="1:15">
      <c r="A4247" t="s">
        <v>4273</v>
      </c>
      <c r="B4247" t="s">
        <v>38</v>
      </c>
      <c r="C4247">
        <v>4</v>
      </c>
      <c r="D4247">
        <v>45633133</v>
      </c>
      <c r="E4247">
        <v>3</v>
      </c>
      <c r="F4247">
        <v>24</v>
      </c>
      <c r="G4247">
        <v>223</v>
      </c>
      <c r="H4247">
        <v>14469571</v>
      </c>
      <c r="I4247">
        <v>748068</v>
      </c>
      <c r="J4247" t="s">
        <v>25</v>
      </c>
      <c r="K4247" t="s">
        <v>18</v>
      </c>
      <c r="L4247">
        <v>9</v>
      </c>
      <c r="M4247">
        <v>71.94</v>
      </c>
      <c r="N4247">
        <v>537189</v>
      </c>
      <c r="O4247">
        <v>1</v>
      </c>
    </row>
    <row r="4248" spans="1:15">
      <c r="A4248" t="s">
        <v>4274</v>
      </c>
      <c r="B4248" t="s">
        <v>16</v>
      </c>
      <c r="C4248">
        <v>12</v>
      </c>
      <c r="D4248">
        <v>12221169</v>
      </c>
      <c r="E4248">
        <v>2</v>
      </c>
      <c r="F4248">
        <v>20</v>
      </c>
      <c r="G4248">
        <v>381</v>
      </c>
      <c r="H4248">
        <v>97843745</v>
      </c>
      <c r="I4248">
        <v>409596</v>
      </c>
      <c r="J4248" t="s">
        <v>21</v>
      </c>
      <c r="K4248" t="s">
        <v>18</v>
      </c>
      <c r="L4248">
        <v>1</v>
      </c>
      <c r="M4248">
        <v>8.2899999999999991</v>
      </c>
      <c r="N4248">
        <v>123904</v>
      </c>
      <c r="O4248">
        <v>1</v>
      </c>
    </row>
    <row r="4249" spans="1:15">
      <c r="A4249" t="s">
        <v>4275</v>
      </c>
      <c r="B4249" t="s">
        <v>24</v>
      </c>
      <c r="C4249">
        <v>11</v>
      </c>
      <c r="D4249">
        <v>34270570</v>
      </c>
      <c r="E4249">
        <v>3</v>
      </c>
      <c r="F4249">
        <v>8</v>
      </c>
      <c r="G4249">
        <v>664</v>
      </c>
      <c r="H4249">
        <v>32348722</v>
      </c>
      <c r="I4249">
        <v>661562</v>
      </c>
      <c r="J4249" t="s">
        <v>25</v>
      </c>
      <c r="K4249" t="s">
        <v>22</v>
      </c>
      <c r="L4249">
        <v>6</v>
      </c>
      <c r="M4249">
        <v>97.17</v>
      </c>
      <c r="N4249">
        <v>426330</v>
      </c>
      <c r="O4249">
        <v>1</v>
      </c>
    </row>
    <row r="4250" spans="1:15">
      <c r="A4250" t="s">
        <v>4276</v>
      </c>
      <c r="B4250" t="s">
        <v>20</v>
      </c>
      <c r="C4250">
        <v>0</v>
      </c>
      <c r="D4250">
        <v>32228153</v>
      </c>
      <c r="E4250">
        <v>1</v>
      </c>
      <c r="F4250">
        <v>14</v>
      </c>
      <c r="G4250">
        <v>269</v>
      </c>
      <c r="H4250">
        <v>5795391</v>
      </c>
      <c r="I4250">
        <v>277011</v>
      </c>
      <c r="J4250" t="s">
        <v>21</v>
      </c>
      <c r="K4250" t="s">
        <v>30</v>
      </c>
      <c r="L4250">
        <v>1</v>
      </c>
      <c r="M4250">
        <v>29.18</v>
      </c>
      <c r="N4250">
        <v>686894</v>
      </c>
      <c r="O4250">
        <v>1</v>
      </c>
    </row>
    <row r="4251" spans="1:15">
      <c r="A4251" t="s">
        <v>4277</v>
      </c>
      <c r="B4251" t="s">
        <v>29</v>
      </c>
      <c r="C4251">
        <v>13</v>
      </c>
      <c r="D4251">
        <v>12200522</v>
      </c>
      <c r="E4251">
        <v>2</v>
      </c>
      <c r="F4251">
        <v>9</v>
      </c>
      <c r="G4251">
        <v>350</v>
      </c>
      <c r="H4251">
        <v>46101447</v>
      </c>
      <c r="I4251">
        <v>543507</v>
      </c>
      <c r="J4251" t="s">
        <v>21</v>
      </c>
      <c r="K4251" t="s">
        <v>30</v>
      </c>
      <c r="L4251">
        <v>8</v>
      </c>
      <c r="M4251">
        <v>88.05</v>
      </c>
      <c r="N4251">
        <v>655400</v>
      </c>
      <c r="O4251">
        <v>1</v>
      </c>
    </row>
    <row r="4252" spans="1:15">
      <c r="A4252" t="s">
        <v>4278</v>
      </c>
      <c r="B4252" t="s">
        <v>32</v>
      </c>
      <c r="C4252">
        <v>0</v>
      </c>
      <c r="D4252">
        <v>28818279</v>
      </c>
      <c r="E4252">
        <v>4</v>
      </c>
      <c r="F4252">
        <v>10</v>
      </c>
      <c r="G4252">
        <v>914</v>
      </c>
      <c r="H4252">
        <v>11259104</v>
      </c>
      <c r="I4252">
        <v>356878</v>
      </c>
      <c r="J4252" t="s">
        <v>25</v>
      </c>
      <c r="K4252" t="s">
        <v>18</v>
      </c>
      <c r="L4252">
        <v>3</v>
      </c>
      <c r="M4252">
        <v>37.479999999999997</v>
      </c>
      <c r="N4252">
        <v>292447</v>
      </c>
      <c r="O4252">
        <v>1</v>
      </c>
    </row>
    <row r="4253" spans="1:15">
      <c r="A4253" t="s">
        <v>4279</v>
      </c>
      <c r="B4253" t="s">
        <v>29</v>
      </c>
      <c r="C4253">
        <v>6</v>
      </c>
      <c r="D4253">
        <v>4130599</v>
      </c>
      <c r="E4253">
        <v>2</v>
      </c>
      <c r="F4253">
        <v>0</v>
      </c>
      <c r="G4253">
        <v>843</v>
      </c>
      <c r="H4253">
        <v>76251894</v>
      </c>
      <c r="I4253">
        <v>693208</v>
      </c>
      <c r="J4253" t="s">
        <v>17</v>
      </c>
      <c r="K4253" t="s">
        <v>22</v>
      </c>
      <c r="L4253">
        <v>3</v>
      </c>
      <c r="M4253">
        <v>39.049999999999997</v>
      </c>
      <c r="N4253">
        <v>531391</v>
      </c>
      <c r="O4253">
        <v>1</v>
      </c>
    </row>
    <row r="4254" spans="1:15">
      <c r="A4254" t="s">
        <v>4280</v>
      </c>
      <c r="B4254" t="s">
        <v>20</v>
      </c>
      <c r="C4254">
        <v>11</v>
      </c>
      <c r="D4254">
        <v>45744294</v>
      </c>
      <c r="E4254">
        <v>3</v>
      </c>
      <c r="F4254">
        <v>8</v>
      </c>
      <c r="G4254">
        <v>463</v>
      </c>
      <c r="H4254">
        <v>63575530</v>
      </c>
      <c r="I4254">
        <v>901444</v>
      </c>
      <c r="J4254" t="s">
        <v>25</v>
      </c>
      <c r="K4254" t="s">
        <v>30</v>
      </c>
      <c r="L4254">
        <v>4</v>
      </c>
      <c r="M4254">
        <v>12.26</v>
      </c>
      <c r="N4254">
        <v>909888</v>
      </c>
      <c r="O4254">
        <v>1</v>
      </c>
    </row>
    <row r="4255" spans="1:15">
      <c r="A4255" t="s">
        <v>4281</v>
      </c>
      <c r="B4255" t="s">
        <v>20</v>
      </c>
      <c r="C4255">
        <v>14</v>
      </c>
      <c r="D4255">
        <v>20440068</v>
      </c>
      <c r="E4255">
        <v>2</v>
      </c>
      <c r="F4255">
        <v>4</v>
      </c>
      <c r="G4255">
        <v>910</v>
      </c>
      <c r="H4255">
        <v>47510257</v>
      </c>
      <c r="I4255">
        <v>371196</v>
      </c>
      <c r="J4255" t="s">
        <v>21</v>
      </c>
      <c r="K4255" t="s">
        <v>30</v>
      </c>
      <c r="L4255">
        <v>7</v>
      </c>
      <c r="M4255">
        <v>89.77</v>
      </c>
      <c r="N4255">
        <v>990921</v>
      </c>
      <c r="O4255">
        <v>1</v>
      </c>
    </row>
    <row r="4256" spans="1:15">
      <c r="A4256" t="s">
        <v>4282</v>
      </c>
      <c r="B4256" t="s">
        <v>29</v>
      </c>
      <c r="C4256">
        <v>13</v>
      </c>
      <c r="D4256">
        <v>13240818</v>
      </c>
      <c r="E4256">
        <v>2</v>
      </c>
      <c r="F4256">
        <v>2</v>
      </c>
      <c r="G4256">
        <v>998</v>
      </c>
      <c r="H4256">
        <v>17919639</v>
      </c>
      <c r="I4256">
        <v>509352</v>
      </c>
      <c r="J4256" t="s">
        <v>17</v>
      </c>
      <c r="K4256" t="s">
        <v>18</v>
      </c>
      <c r="L4256">
        <v>8</v>
      </c>
      <c r="M4256">
        <v>57.73</v>
      </c>
      <c r="N4256">
        <v>351617</v>
      </c>
      <c r="O4256">
        <v>1</v>
      </c>
    </row>
    <row r="4257" spans="1:15">
      <c r="A4257" t="s">
        <v>4283</v>
      </c>
      <c r="B4257" t="s">
        <v>32</v>
      </c>
      <c r="C4257">
        <v>3</v>
      </c>
      <c r="D4257">
        <v>34891359</v>
      </c>
      <c r="E4257">
        <v>4</v>
      </c>
      <c r="F4257">
        <v>22</v>
      </c>
      <c r="G4257">
        <v>941</v>
      </c>
      <c r="H4257">
        <v>43523571</v>
      </c>
      <c r="I4257">
        <v>436920</v>
      </c>
      <c r="J4257" t="s">
        <v>17</v>
      </c>
      <c r="K4257" t="s">
        <v>18</v>
      </c>
      <c r="L4257">
        <v>4</v>
      </c>
      <c r="M4257">
        <v>55.06</v>
      </c>
      <c r="N4257">
        <v>124445</v>
      </c>
      <c r="O4257">
        <v>1</v>
      </c>
    </row>
    <row r="4258" spans="1:15">
      <c r="A4258" t="s">
        <v>4284</v>
      </c>
      <c r="B4258" t="s">
        <v>38</v>
      </c>
      <c r="C4258">
        <v>9</v>
      </c>
      <c r="D4258">
        <v>22400281</v>
      </c>
      <c r="E4258">
        <v>2</v>
      </c>
      <c r="F4258">
        <v>8</v>
      </c>
      <c r="G4258">
        <v>353</v>
      </c>
      <c r="H4258">
        <v>20932209</v>
      </c>
      <c r="I4258">
        <v>76925</v>
      </c>
      <c r="J4258" t="s">
        <v>25</v>
      </c>
      <c r="K4258" t="s">
        <v>30</v>
      </c>
      <c r="L4258">
        <v>3</v>
      </c>
      <c r="M4258">
        <v>57.84</v>
      </c>
      <c r="N4258">
        <v>429657</v>
      </c>
      <c r="O4258">
        <v>1</v>
      </c>
    </row>
    <row r="4259" spans="1:15">
      <c r="A4259" t="s">
        <v>4285</v>
      </c>
      <c r="B4259" t="s">
        <v>20</v>
      </c>
      <c r="C4259">
        <v>6</v>
      </c>
      <c r="D4259">
        <v>22107317</v>
      </c>
      <c r="E4259">
        <v>4</v>
      </c>
      <c r="F4259">
        <v>23</v>
      </c>
      <c r="G4259">
        <v>630</v>
      </c>
      <c r="H4259">
        <v>18277714</v>
      </c>
      <c r="I4259">
        <v>443522</v>
      </c>
      <c r="J4259" t="s">
        <v>25</v>
      </c>
      <c r="K4259" t="s">
        <v>22</v>
      </c>
      <c r="L4259">
        <v>3</v>
      </c>
      <c r="M4259">
        <v>45.69</v>
      </c>
      <c r="N4259">
        <v>937301</v>
      </c>
      <c r="O4259">
        <v>1</v>
      </c>
    </row>
    <row r="4260" spans="1:15">
      <c r="A4260" t="s">
        <v>4286</v>
      </c>
      <c r="B4260" t="s">
        <v>32</v>
      </c>
      <c r="C4260">
        <v>4</v>
      </c>
      <c r="D4260">
        <v>47101043</v>
      </c>
      <c r="E4260">
        <v>4</v>
      </c>
      <c r="F4260">
        <v>5</v>
      </c>
      <c r="G4260">
        <v>837</v>
      </c>
      <c r="H4260">
        <v>41896287</v>
      </c>
      <c r="I4260">
        <v>227290</v>
      </c>
      <c r="J4260" t="s">
        <v>21</v>
      </c>
      <c r="K4260" t="s">
        <v>18</v>
      </c>
      <c r="L4260">
        <v>7</v>
      </c>
      <c r="M4260">
        <v>8.5500000000000007</v>
      </c>
      <c r="N4260">
        <v>113418</v>
      </c>
      <c r="O4260">
        <v>1</v>
      </c>
    </row>
    <row r="4261" spans="1:15">
      <c r="A4261" t="s">
        <v>4287</v>
      </c>
      <c r="B4261" t="s">
        <v>32</v>
      </c>
      <c r="C4261">
        <v>2</v>
      </c>
      <c r="D4261">
        <v>20995181</v>
      </c>
      <c r="E4261">
        <v>2</v>
      </c>
      <c r="F4261">
        <v>1</v>
      </c>
      <c r="G4261">
        <v>993</v>
      </c>
      <c r="H4261">
        <v>36236228</v>
      </c>
      <c r="I4261">
        <v>533905</v>
      </c>
      <c r="J4261" t="s">
        <v>21</v>
      </c>
      <c r="K4261" t="s">
        <v>22</v>
      </c>
      <c r="L4261">
        <v>4</v>
      </c>
      <c r="M4261">
        <v>53.24</v>
      </c>
      <c r="N4261">
        <v>344693</v>
      </c>
      <c r="O4261">
        <v>1</v>
      </c>
    </row>
    <row r="4262" spans="1:15">
      <c r="A4262" t="s">
        <v>4288</v>
      </c>
      <c r="B4262" t="s">
        <v>29</v>
      </c>
      <c r="C4262">
        <v>7</v>
      </c>
      <c r="D4262">
        <v>3170714</v>
      </c>
      <c r="E4262">
        <v>2</v>
      </c>
      <c r="F4262">
        <v>4</v>
      </c>
      <c r="G4262">
        <v>882</v>
      </c>
      <c r="H4262">
        <v>68434122</v>
      </c>
      <c r="I4262">
        <v>309903</v>
      </c>
      <c r="J4262" t="s">
        <v>21</v>
      </c>
      <c r="K4262" t="s">
        <v>18</v>
      </c>
      <c r="L4262">
        <v>2</v>
      </c>
      <c r="M4262">
        <v>94.64</v>
      </c>
      <c r="N4262">
        <v>133481</v>
      </c>
      <c r="O4262">
        <v>1</v>
      </c>
    </row>
    <row r="4263" spans="1:15">
      <c r="A4263" t="s">
        <v>4289</v>
      </c>
      <c r="B4263" t="s">
        <v>27</v>
      </c>
      <c r="C4263">
        <v>0</v>
      </c>
      <c r="D4263">
        <v>1083313</v>
      </c>
      <c r="E4263">
        <v>2</v>
      </c>
      <c r="F4263">
        <v>22</v>
      </c>
      <c r="G4263">
        <v>744</v>
      </c>
      <c r="H4263">
        <v>78976851</v>
      </c>
      <c r="I4263">
        <v>552818</v>
      </c>
      <c r="J4263" t="s">
        <v>21</v>
      </c>
      <c r="K4263" t="s">
        <v>18</v>
      </c>
      <c r="L4263">
        <v>4</v>
      </c>
      <c r="M4263">
        <v>52.1</v>
      </c>
      <c r="N4263">
        <v>487027</v>
      </c>
      <c r="O4263">
        <v>1</v>
      </c>
    </row>
    <row r="4264" spans="1:15">
      <c r="A4264" t="s">
        <v>4290</v>
      </c>
      <c r="B4264" t="s">
        <v>32</v>
      </c>
      <c r="C4264">
        <v>14</v>
      </c>
      <c r="D4264">
        <v>38273239</v>
      </c>
      <c r="E4264">
        <v>4</v>
      </c>
      <c r="F4264">
        <v>16</v>
      </c>
      <c r="G4264">
        <v>571</v>
      </c>
      <c r="H4264">
        <v>1581420</v>
      </c>
      <c r="I4264">
        <v>796274</v>
      </c>
      <c r="J4264" t="s">
        <v>25</v>
      </c>
      <c r="K4264" t="s">
        <v>30</v>
      </c>
      <c r="L4264">
        <v>1</v>
      </c>
      <c r="M4264">
        <v>91.53</v>
      </c>
      <c r="N4264">
        <v>785782</v>
      </c>
      <c r="O4264">
        <v>1</v>
      </c>
    </row>
    <row r="4265" spans="1:15">
      <c r="A4265" t="s">
        <v>4291</v>
      </c>
      <c r="B4265" t="s">
        <v>27</v>
      </c>
      <c r="C4265">
        <v>2</v>
      </c>
      <c r="D4265">
        <v>46673766</v>
      </c>
      <c r="E4265">
        <v>1</v>
      </c>
      <c r="F4265">
        <v>15</v>
      </c>
      <c r="G4265">
        <v>749</v>
      </c>
      <c r="H4265">
        <v>5563847</v>
      </c>
      <c r="I4265">
        <v>946549</v>
      </c>
      <c r="J4265" t="s">
        <v>25</v>
      </c>
      <c r="K4265" t="s">
        <v>30</v>
      </c>
      <c r="L4265">
        <v>1</v>
      </c>
      <c r="M4265">
        <v>76.2</v>
      </c>
      <c r="N4265">
        <v>242212</v>
      </c>
      <c r="O4265">
        <v>1</v>
      </c>
    </row>
    <row r="4266" spans="1:15">
      <c r="A4266" t="s">
        <v>4292</v>
      </c>
      <c r="B4266" t="s">
        <v>16</v>
      </c>
      <c r="C4266">
        <v>10</v>
      </c>
      <c r="D4266">
        <v>12958319</v>
      </c>
      <c r="E4266">
        <v>2</v>
      </c>
      <c r="F4266">
        <v>21</v>
      </c>
      <c r="G4266">
        <v>644</v>
      </c>
      <c r="H4266">
        <v>92092754</v>
      </c>
      <c r="I4266">
        <v>992474</v>
      </c>
      <c r="J4266" t="s">
        <v>25</v>
      </c>
      <c r="K4266" t="s">
        <v>30</v>
      </c>
      <c r="L4266">
        <v>2</v>
      </c>
      <c r="M4266">
        <v>59.67</v>
      </c>
      <c r="N4266">
        <v>159001</v>
      </c>
      <c r="O4266">
        <v>1</v>
      </c>
    </row>
    <row r="4267" spans="1:15">
      <c r="A4267" t="s">
        <v>4293</v>
      </c>
      <c r="B4267" t="s">
        <v>16</v>
      </c>
      <c r="C4267">
        <v>9</v>
      </c>
      <c r="D4267">
        <v>24048405</v>
      </c>
      <c r="E4267">
        <v>2</v>
      </c>
      <c r="F4267">
        <v>9</v>
      </c>
      <c r="G4267">
        <v>316</v>
      </c>
      <c r="H4267">
        <v>32770605</v>
      </c>
      <c r="I4267">
        <v>67640</v>
      </c>
      <c r="J4267" t="s">
        <v>21</v>
      </c>
      <c r="K4267" t="s">
        <v>18</v>
      </c>
      <c r="L4267">
        <v>5</v>
      </c>
      <c r="M4267">
        <v>63.36</v>
      </c>
      <c r="N4267">
        <v>947867</v>
      </c>
      <c r="O4267">
        <v>1</v>
      </c>
    </row>
    <row r="4268" spans="1:15">
      <c r="A4268" t="s">
        <v>4294</v>
      </c>
      <c r="B4268" t="s">
        <v>24</v>
      </c>
      <c r="C4268">
        <v>10</v>
      </c>
      <c r="D4268">
        <v>12658506</v>
      </c>
      <c r="E4268">
        <v>1</v>
      </c>
      <c r="F4268">
        <v>27</v>
      </c>
      <c r="G4268">
        <v>144</v>
      </c>
      <c r="H4268">
        <v>50273340</v>
      </c>
      <c r="I4268">
        <v>110796</v>
      </c>
      <c r="J4268" t="s">
        <v>17</v>
      </c>
      <c r="K4268" t="s">
        <v>30</v>
      </c>
      <c r="L4268">
        <v>8</v>
      </c>
      <c r="M4268">
        <v>82.28</v>
      </c>
      <c r="N4268">
        <v>391839</v>
      </c>
      <c r="O4268">
        <v>1</v>
      </c>
    </row>
    <row r="4269" spans="1:15">
      <c r="A4269" t="s">
        <v>4295</v>
      </c>
      <c r="B4269" t="s">
        <v>29</v>
      </c>
      <c r="C4269">
        <v>6</v>
      </c>
      <c r="D4269">
        <v>4202976</v>
      </c>
      <c r="E4269">
        <v>2</v>
      </c>
      <c r="F4269">
        <v>20</v>
      </c>
      <c r="G4269">
        <v>585</v>
      </c>
      <c r="H4269">
        <v>64511875</v>
      </c>
      <c r="I4269">
        <v>969015</v>
      </c>
      <c r="J4269" t="s">
        <v>25</v>
      </c>
      <c r="K4269" t="s">
        <v>22</v>
      </c>
      <c r="L4269">
        <v>5</v>
      </c>
      <c r="M4269">
        <v>15.43</v>
      </c>
      <c r="N4269">
        <v>885108</v>
      </c>
      <c r="O4269">
        <v>1</v>
      </c>
    </row>
    <row r="4270" spans="1:15">
      <c r="A4270" t="s">
        <v>4296</v>
      </c>
      <c r="B4270" t="s">
        <v>16</v>
      </c>
      <c r="C4270">
        <v>0</v>
      </c>
      <c r="D4270">
        <v>48477500</v>
      </c>
      <c r="E4270">
        <v>3</v>
      </c>
      <c r="F4270">
        <v>10</v>
      </c>
      <c r="G4270">
        <v>512</v>
      </c>
      <c r="H4270">
        <v>11273315</v>
      </c>
      <c r="I4270">
        <v>206364</v>
      </c>
      <c r="J4270" t="s">
        <v>17</v>
      </c>
      <c r="K4270" t="s">
        <v>30</v>
      </c>
      <c r="L4270">
        <v>3</v>
      </c>
      <c r="M4270">
        <v>39.36</v>
      </c>
      <c r="N4270">
        <v>605829</v>
      </c>
      <c r="O4270">
        <v>1</v>
      </c>
    </row>
    <row r="4271" spans="1:15">
      <c r="A4271" t="s">
        <v>4297</v>
      </c>
      <c r="B4271" t="s">
        <v>24</v>
      </c>
      <c r="C4271">
        <v>14</v>
      </c>
      <c r="D4271">
        <v>18675944</v>
      </c>
      <c r="E4271">
        <v>2</v>
      </c>
      <c r="F4271">
        <v>14</v>
      </c>
      <c r="G4271">
        <v>906</v>
      </c>
      <c r="H4271">
        <v>14655066</v>
      </c>
      <c r="I4271">
        <v>579863</v>
      </c>
      <c r="J4271" t="s">
        <v>25</v>
      </c>
      <c r="K4271" t="s">
        <v>22</v>
      </c>
      <c r="L4271">
        <v>4</v>
      </c>
      <c r="M4271">
        <v>80.760000000000005</v>
      </c>
      <c r="N4271">
        <v>936003</v>
      </c>
      <c r="O4271">
        <v>1</v>
      </c>
    </row>
    <row r="4272" spans="1:15">
      <c r="A4272" t="s">
        <v>4298</v>
      </c>
      <c r="B4272" t="s">
        <v>27</v>
      </c>
      <c r="C4272">
        <v>3</v>
      </c>
      <c r="D4272">
        <v>41244279</v>
      </c>
      <c r="E4272">
        <v>4</v>
      </c>
      <c r="F4272">
        <v>12</v>
      </c>
      <c r="G4272">
        <v>790</v>
      </c>
      <c r="H4272">
        <v>87346149</v>
      </c>
      <c r="I4272">
        <v>330511</v>
      </c>
      <c r="J4272" t="s">
        <v>17</v>
      </c>
      <c r="K4272" t="s">
        <v>30</v>
      </c>
      <c r="L4272">
        <v>5</v>
      </c>
      <c r="M4272">
        <v>77.06</v>
      </c>
      <c r="N4272">
        <v>16679</v>
      </c>
      <c r="O4272">
        <v>1</v>
      </c>
    </row>
    <row r="4273" spans="1:15">
      <c r="A4273" t="s">
        <v>4299</v>
      </c>
      <c r="B4273" t="s">
        <v>20</v>
      </c>
      <c r="C4273">
        <v>1</v>
      </c>
      <c r="D4273">
        <v>30431958</v>
      </c>
      <c r="E4273">
        <v>3</v>
      </c>
      <c r="F4273">
        <v>17</v>
      </c>
      <c r="G4273">
        <v>58</v>
      </c>
      <c r="H4273">
        <v>55756309</v>
      </c>
      <c r="I4273">
        <v>106592</v>
      </c>
      <c r="J4273" t="s">
        <v>21</v>
      </c>
      <c r="K4273" t="s">
        <v>30</v>
      </c>
      <c r="L4273">
        <v>7</v>
      </c>
      <c r="M4273">
        <v>89.55</v>
      </c>
      <c r="N4273">
        <v>159709</v>
      </c>
      <c r="O4273">
        <v>1</v>
      </c>
    </row>
    <row r="4274" spans="1:15">
      <c r="A4274" t="s">
        <v>4300</v>
      </c>
      <c r="B4274" t="s">
        <v>32</v>
      </c>
      <c r="C4274">
        <v>13</v>
      </c>
      <c r="D4274">
        <v>1769328</v>
      </c>
      <c r="E4274">
        <v>4</v>
      </c>
      <c r="F4274">
        <v>15</v>
      </c>
      <c r="G4274">
        <v>538</v>
      </c>
      <c r="H4274">
        <v>97054704</v>
      </c>
      <c r="I4274">
        <v>826570</v>
      </c>
      <c r="J4274" t="s">
        <v>25</v>
      </c>
      <c r="K4274" t="s">
        <v>18</v>
      </c>
      <c r="L4274">
        <v>6</v>
      </c>
      <c r="M4274">
        <v>33.380000000000003</v>
      </c>
      <c r="N4274">
        <v>299642</v>
      </c>
      <c r="O4274">
        <v>1</v>
      </c>
    </row>
    <row r="4275" spans="1:15">
      <c r="A4275" t="s">
        <v>4301</v>
      </c>
      <c r="B4275" t="s">
        <v>24</v>
      </c>
      <c r="C4275">
        <v>10</v>
      </c>
      <c r="D4275">
        <v>27960012</v>
      </c>
      <c r="E4275">
        <v>4</v>
      </c>
      <c r="F4275">
        <v>27</v>
      </c>
      <c r="G4275">
        <v>837</v>
      </c>
      <c r="H4275">
        <v>34800065</v>
      </c>
      <c r="I4275">
        <v>615112</v>
      </c>
      <c r="J4275" t="s">
        <v>21</v>
      </c>
      <c r="K4275" t="s">
        <v>22</v>
      </c>
      <c r="L4275">
        <v>4</v>
      </c>
      <c r="M4275">
        <v>34.19</v>
      </c>
      <c r="N4275">
        <v>112853</v>
      </c>
      <c r="O4275">
        <v>1</v>
      </c>
    </row>
    <row r="4276" spans="1:15">
      <c r="A4276" t="s">
        <v>4302</v>
      </c>
      <c r="B4276" t="s">
        <v>29</v>
      </c>
      <c r="C4276">
        <v>3</v>
      </c>
      <c r="D4276">
        <v>5572450</v>
      </c>
      <c r="E4276">
        <v>4</v>
      </c>
      <c r="F4276">
        <v>5</v>
      </c>
      <c r="G4276">
        <v>471</v>
      </c>
      <c r="H4276">
        <v>86953162</v>
      </c>
      <c r="I4276">
        <v>403339</v>
      </c>
      <c r="J4276" t="s">
        <v>25</v>
      </c>
      <c r="K4276" t="s">
        <v>30</v>
      </c>
      <c r="L4276">
        <v>5</v>
      </c>
      <c r="M4276">
        <v>67.87</v>
      </c>
      <c r="N4276">
        <v>81128</v>
      </c>
      <c r="O4276">
        <v>1</v>
      </c>
    </row>
    <row r="4277" spans="1:15">
      <c r="A4277" t="s">
        <v>4303</v>
      </c>
      <c r="B4277" t="s">
        <v>29</v>
      </c>
      <c r="C4277">
        <v>12</v>
      </c>
      <c r="D4277">
        <v>1336298</v>
      </c>
      <c r="E4277">
        <v>2</v>
      </c>
      <c r="F4277">
        <v>14</v>
      </c>
      <c r="G4277">
        <v>887</v>
      </c>
      <c r="H4277">
        <v>91411897</v>
      </c>
      <c r="I4277">
        <v>186059</v>
      </c>
      <c r="J4277" t="s">
        <v>25</v>
      </c>
      <c r="K4277" t="s">
        <v>30</v>
      </c>
      <c r="L4277">
        <v>1</v>
      </c>
      <c r="M4277">
        <v>32.950000000000003</v>
      </c>
      <c r="N4277">
        <v>851488</v>
      </c>
      <c r="O4277">
        <v>1</v>
      </c>
    </row>
    <row r="4278" spans="1:15">
      <c r="A4278" t="s">
        <v>4304</v>
      </c>
      <c r="B4278" t="s">
        <v>24</v>
      </c>
      <c r="C4278">
        <v>11</v>
      </c>
      <c r="D4278">
        <v>48965971</v>
      </c>
      <c r="E4278">
        <v>2</v>
      </c>
      <c r="F4278">
        <v>27</v>
      </c>
      <c r="G4278">
        <v>919</v>
      </c>
      <c r="H4278">
        <v>89711800</v>
      </c>
      <c r="I4278">
        <v>514241</v>
      </c>
      <c r="J4278" t="s">
        <v>17</v>
      </c>
      <c r="K4278" t="s">
        <v>30</v>
      </c>
      <c r="L4278">
        <v>1</v>
      </c>
      <c r="M4278">
        <v>39.54</v>
      </c>
      <c r="N4278">
        <v>327102</v>
      </c>
      <c r="O4278">
        <v>1</v>
      </c>
    </row>
    <row r="4279" spans="1:15">
      <c r="A4279" t="s">
        <v>4305</v>
      </c>
      <c r="B4279" t="s">
        <v>16</v>
      </c>
      <c r="C4279">
        <v>9</v>
      </c>
      <c r="D4279">
        <v>27218378</v>
      </c>
      <c r="E4279">
        <v>1</v>
      </c>
      <c r="F4279">
        <v>6</v>
      </c>
      <c r="G4279">
        <v>208</v>
      </c>
      <c r="H4279">
        <v>17081215</v>
      </c>
      <c r="I4279">
        <v>533663</v>
      </c>
      <c r="J4279" t="s">
        <v>25</v>
      </c>
      <c r="K4279" t="s">
        <v>22</v>
      </c>
      <c r="L4279">
        <v>3</v>
      </c>
      <c r="M4279">
        <v>24.32</v>
      </c>
      <c r="N4279">
        <v>713273</v>
      </c>
      <c r="O4279">
        <v>1</v>
      </c>
    </row>
    <row r="4280" spans="1:15">
      <c r="A4280" t="s">
        <v>4306</v>
      </c>
      <c r="B4280" t="s">
        <v>27</v>
      </c>
      <c r="C4280">
        <v>8</v>
      </c>
      <c r="D4280">
        <v>38968000</v>
      </c>
      <c r="E4280">
        <v>3</v>
      </c>
      <c r="F4280">
        <v>16</v>
      </c>
      <c r="G4280">
        <v>823</v>
      </c>
      <c r="H4280">
        <v>57963013</v>
      </c>
      <c r="I4280">
        <v>389251</v>
      </c>
      <c r="J4280" t="s">
        <v>25</v>
      </c>
      <c r="K4280" t="s">
        <v>18</v>
      </c>
      <c r="L4280">
        <v>8</v>
      </c>
      <c r="M4280">
        <v>73.66</v>
      </c>
      <c r="N4280">
        <v>872808</v>
      </c>
      <c r="O4280">
        <v>1</v>
      </c>
    </row>
    <row r="4281" spans="1:15">
      <c r="A4281" t="s">
        <v>4307</v>
      </c>
      <c r="B4281" t="s">
        <v>16</v>
      </c>
      <c r="C4281">
        <v>2</v>
      </c>
      <c r="D4281">
        <v>31987007</v>
      </c>
      <c r="E4281">
        <v>2</v>
      </c>
      <c r="F4281">
        <v>21</v>
      </c>
      <c r="G4281">
        <v>547</v>
      </c>
      <c r="H4281">
        <v>68801415</v>
      </c>
      <c r="I4281">
        <v>727700</v>
      </c>
      <c r="J4281" t="s">
        <v>25</v>
      </c>
      <c r="K4281" t="s">
        <v>18</v>
      </c>
      <c r="L4281">
        <v>3</v>
      </c>
      <c r="M4281">
        <v>38.1</v>
      </c>
      <c r="N4281">
        <v>730178</v>
      </c>
      <c r="O4281">
        <v>1</v>
      </c>
    </row>
    <row r="4282" spans="1:15">
      <c r="A4282" t="s">
        <v>4308</v>
      </c>
      <c r="B4282" t="s">
        <v>29</v>
      </c>
      <c r="C4282">
        <v>10</v>
      </c>
      <c r="D4282">
        <v>18428550</v>
      </c>
      <c r="E4282">
        <v>1</v>
      </c>
      <c r="F4282">
        <v>25</v>
      </c>
      <c r="G4282">
        <v>707</v>
      </c>
      <c r="H4282">
        <v>25129173</v>
      </c>
      <c r="I4282">
        <v>942573</v>
      </c>
      <c r="J4282" t="s">
        <v>17</v>
      </c>
      <c r="K4282" t="s">
        <v>22</v>
      </c>
      <c r="L4282">
        <v>6</v>
      </c>
      <c r="M4282">
        <v>10.26</v>
      </c>
      <c r="N4282">
        <v>853908</v>
      </c>
      <c r="O4282">
        <v>1</v>
      </c>
    </row>
    <row r="4283" spans="1:15">
      <c r="A4283" t="s">
        <v>4309</v>
      </c>
      <c r="B4283" t="s">
        <v>27</v>
      </c>
      <c r="C4283">
        <v>14</v>
      </c>
      <c r="D4283">
        <v>2601693</v>
      </c>
      <c r="E4283">
        <v>1</v>
      </c>
      <c r="F4283">
        <v>0</v>
      </c>
      <c r="G4283">
        <v>143</v>
      </c>
      <c r="H4283">
        <v>52425079</v>
      </c>
      <c r="I4283">
        <v>679328</v>
      </c>
      <c r="J4283" t="s">
        <v>25</v>
      </c>
      <c r="K4283" t="s">
        <v>18</v>
      </c>
      <c r="L4283">
        <v>2</v>
      </c>
      <c r="M4283">
        <v>32.32</v>
      </c>
      <c r="N4283">
        <v>651595</v>
      </c>
      <c r="O4283">
        <v>1</v>
      </c>
    </row>
    <row r="4284" spans="1:15">
      <c r="A4284" t="s">
        <v>4310</v>
      </c>
      <c r="B4284" t="s">
        <v>38</v>
      </c>
      <c r="C4284">
        <v>3</v>
      </c>
      <c r="D4284">
        <v>11784624</v>
      </c>
      <c r="E4284">
        <v>2</v>
      </c>
      <c r="F4284">
        <v>3</v>
      </c>
      <c r="G4284">
        <v>954</v>
      </c>
      <c r="H4284">
        <v>93416124</v>
      </c>
      <c r="I4284">
        <v>771023</v>
      </c>
      <c r="J4284" t="s">
        <v>21</v>
      </c>
      <c r="K4284" t="s">
        <v>30</v>
      </c>
      <c r="L4284">
        <v>7</v>
      </c>
      <c r="M4284">
        <v>64.14</v>
      </c>
      <c r="N4284">
        <v>345259</v>
      </c>
      <c r="O4284">
        <v>1</v>
      </c>
    </row>
    <row r="4285" spans="1:15">
      <c r="A4285" t="s">
        <v>4311</v>
      </c>
      <c r="B4285" t="s">
        <v>32</v>
      </c>
      <c r="C4285">
        <v>2</v>
      </c>
      <c r="D4285">
        <v>2841303</v>
      </c>
      <c r="E4285">
        <v>4</v>
      </c>
      <c r="F4285">
        <v>6</v>
      </c>
      <c r="G4285">
        <v>402</v>
      </c>
      <c r="H4285">
        <v>54250940</v>
      </c>
      <c r="I4285">
        <v>706098</v>
      </c>
      <c r="J4285" t="s">
        <v>17</v>
      </c>
      <c r="K4285" t="s">
        <v>22</v>
      </c>
      <c r="L4285">
        <v>8</v>
      </c>
      <c r="M4285">
        <v>6.72</v>
      </c>
      <c r="N4285">
        <v>144084</v>
      </c>
      <c r="O4285">
        <v>1</v>
      </c>
    </row>
    <row r="4286" spans="1:15">
      <c r="A4286" t="s">
        <v>4312</v>
      </c>
      <c r="B4286" t="s">
        <v>20</v>
      </c>
      <c r="C4286">
        <v>1</v>
      </c>
      <c r="D4286">
        <v>15702172</v>
      </c>
      <c r="E4286">
        <v>4</v>
      </c>
      <c r="F4286">
        <v>24</v>
      </c>
      <c r="G4286">
        <v>454</v>
      </c>
      <c r="H4286">
        <v>11189869</v>
      </c>
      <c r="I4286">
        <v>624364</v>
      </c>
      <c r="J4286" t="s">
        <v>25</v>
      </c>
      <c r="K4286" t="s">
        <v>18</v>
      </c>
      <c r="L4286">
        <v>6</v>
      </c>
      <c r="M4286">
        <v>45.47</v>
      </c>
      <c r="N4286">
        <v>194756</v>
      </c>
      <c r="O4286">
        <v>1</v>
      </c>
    </row>
    <row r="4287" spans="1:15">
      <c r="A4287" t="s">
        <v>4313</v>
      </c>
      <c r="B4287" t="s">
        <v>20</v>
      </c>
      <c r="C4287">
        <v>5</v>
      </c>
      <c r="D4287">
        <v>38282924</v>
      </c>
      <c r="E4287">
        <v>4</v>
      </c>
      <c r="F4287">
        <v>3</v>
      </c>
      <c r="G4287">
        <v>890</v>
      </c>
      <c r="H4287">
        <v>41816618</v>
      </c>
      <c r="I4287">
        <v>546876</v>
      </c>
      <c r="J4287" t="s">
        <v>21</v>
      </c>
      <c r="K4287" t="s">
        <v>18</v>
      </c>
      <c r="L4287">
        <v>9</v>
      </c>
      <c r="M4287">
        <v>36.799999999999997</v>
      </c>
      <c r="N4287">
        <v>339569</v>
      </c>
      <c r="O4287">
        <v>1</v>
      </c>
    </row>
    <row r="4288" spans="1:15">
      <c r="A4288" t="s">
        <v>4314</v>
      </c>
      <c r="B4288" t="s">
        <v>29</v>
      </c>
      <c r="C4288">
        <v>13</v>
      </c>
      <c r="D4288">
        <v>32686708</v>
      </c>
      <c r="E4288">
        <v>4</v>
      </c>
      <c r="F4288">
        <v>20</v>
      </c>
      <c r="G4288">
        <v>171</v>
      </c>
      <c r="H4288">
        <v>89437901</v>
      </c>
      <c r="I4288">
        <v>122264</v>
      </c>
      <c r="J4288" t="s">
        <v>25</v>
      </c>
      <c r="K4288" t="s">
        <v>22</v>
      </c>
      <c r="L4288">
        <v>9</v>
      </c>
      <c r="M4288">
        <v>10.84</v>
      </c>
      <c r="N4288">
        <v>795739</v>
      </c>
      <c r="O4288">
        <v>1</v>
      </c>
    </row>
    <row r="4289" spans="1:15">
      <c r="A4289" t="s">
        <v>4315</v>
      </c>
      <c r="B4289" t="s">
        <v>24</v>
      </c>
      <c r="C4289">
        <v>13</v>
      </c>
      <c r="D4289">
        <v>34780801</v>
      </c>
      <c r="E4289">
        <v>2</v>
      </c>
      <c r="F4289">
        <v>22</v>
      </c>
      <c r="G4289">
        <v>643</v>
      </c>
      <c r="H4289">
        <v>89415176</v>
      </c>
      <c r="I4289">
        <v>175500</v>
      </c>
      <c r="J4289" t="s">
        <v>17</v>
      </c>
      <c r="K4289" t="s">
        <v>30</v>
      </c>
      <c r="L4289">
        <v>1</v>
      </c>
      <c r="M4289">
        <v>68.53</v>
      </c>
      <c r="N4289">
        <v>296710</v>
      </c>
      <c r="O4289">
        <v>1</v>
      </c>
    </row>
    <row r="4290" spans="1:15">
      <c r="A4290" t="s">
        <v>4316</v>
      </c>
      <c r="B4290" t="s">
        <v>27</v>
      </c>
      <c r="C4290">
        <v>6</v>
      </c>
      <c r="D4290">
        <v>19261924</v>
      </c>
      <c r="E4290">
        <v>2</v>
      </c>
      <c r="F4290">
        <v>17</v>
      </c>
      <c r="G4290">
        <v>51</v>
      </c>
      <c r="H4290">
        <v>58885409</v>
      </c>
      <c r="I4290">
        <v>542584</v>
      </c>
      <c r="J4290" t="s">
        <v>21</v>
      </c>
      <c r="K4290" t="s">
        <v>30</v>
      </c>
      <c r="L4290">
        <v>2</v>
      </c>
      <c r="M4290">
        <v>69.48</v>
      </c>
      <c r="N4290">
        <v>483254</v>
      </c>
      <c r="O4290">
        <v>1</v>
      </c>
    </row>
    <row r="4291" spans="1:15">
      <c r="A4291" t="s">
        <v>4317</v>
      </c>
      <c r="B4291" t="s">
        <v>38</v>
      </c>
      <c r="C4291">
        <v>11</v>
      </c>
      <c r="D4291">
        <v>11016774</v>
      </c>
      <c r="E4291">
        <v>4</v>
      </c>
      <c r="F4291">
        <v>17</v>
      </c>
      <c r="G4291">
        <v>332</v>
      </c>
      <c r="H4291">
        <v>10197429</v>
      </c>
      <c r="I4291">
        <v>220158</v>
      </c>
      <c r="J4291" t="s">
        <v>17</v>
      </c>
      <c r="K4291" t="s">
        <v>30</v>
      </c>
      <c r="L4291">
        <v>6</v>
      </c>
      <c r="M4291">
        <v>88.81</v>
      </c>
      <c r="N4291">
        <v>660108</v>
      </c>
      <c r="O4291">
        <v>1</v>
      </c>
    </row>
    <row r="4292" spans="1:15">
      <c r="A4292" t="s">
        <v>4318</v>
      </c>
      <c r="B4292" t="s">
        <v>27</v>
      </c>
      <c r="C4292">
        <v>2</v>
      </c>
      <c r="D4292">
        <v>37003052</v>
      </c>
      <c r="E4292">
        <v>2</v>
      </c>
      <c r="F4292">
        <v>5</v>
      </c>
      <c r="G4292">
        <v>43</v>
      </c>
      <c r="H4292">
        <v>39009039</v>
      </c>
      <c r="I4292">
        <v>69164</v>
      </c>
      <c r="J4292" t="s">
        <v>25</v>
      </c>
      <c r="K4292" t="s">
        <v>30</v>
      </c>
      <c r="L4292">
        <v>1</v>
      </c>
      <c r="M4292">
        <v>47.72</v>
      </c>
      <c r="N4292">
        <v>654332</v>
      </c>
      <c r="O4292">
        <v>1</v>
      </c>
    </row>
    <row r="4293" spans="1:15">
      <c r="A4293" t="s">
        <v>4319</v>
      </c>
      <c r="B4293" t="s">
        <v>16</v>
      </c>
      <c r="C4293">
        <v>6</v>
      </c>
      <c r="D4293">
        <v>23190519</v>
      </c>
      <c r="E4293">
        <v>4</v>
      </c>
      <c r="F4293">
        <v>2</v>
      </c>
      <c r="G4293">
        <v>805</v>
      </c>
      <c r="H4293">
        <v>83986025</v>
      </c>
      <c r="I4293">
        <v>911798</v>
      </c>
      <c r="J4293" t="s">
        <v>17</v>
      </c>
      <c r="K4293" t="s">
        <v>18</v>
      </c>
      <c r="L4293">
        <v>2</v>
      </c>
      <c r="M4293">
        <v>48.54</v>
      </c>
      <c r="N4293">
        <v>794641</v>
      </c>
      <c r="O4293">
        <v>1</v>
      </c>
    </row>
    <row r="4294" spans="1:15">
      <c r="A4294" t="s">
        <v>4320</v>
      </c>
      <c r="B4294" t="s">
        <v>16</v>
      </c>
      <c r="C4294">
        <v>10</v>
      </c>
      <c r="D4294">
        <v>27219825</v>
      </c>
      <c r="E4294">
        <v>3</v>
      </c>
      <c r="F4294">
        <v>10</v>
      </c>
      <c r="G4294">
        <v>954</v>
      </c>
      <c r="H4294">
        <v>13860443</v>
      </c>
      <c r="I4294">
        <v>337349</v>
      </c>
      <c r="J4294" t="s">
        <v>21</v>
      </c>
      <c r="K4294" t="s">
        <v>22</v>
      </c>
      <c r="L4294">
        <v>3</v>
      </c>
      <c r="M4294">
        <v>93.57</v>
      </c>
      <c r="N4294">
        <v>131422</v>
      </c>
      <c r="O4294">
        <v>1</v>
      </c>
    </row>
    <row r="4295" spans="1:15">
      <c r="A4295" t="s">
        <v>4321</v>
      </c>
      <c r="B4295" t="s">
        <v>27</v>
      </c>
      <c r="C4295">
        <v>13</v>
      </c>
      <c r="D4295">
        <v>15960892</v>
      </c>
      <c r="E4295">
        <v>1</v>
      </c>
      <c r="F4295">
        <v>12</v>
      </c>
      <c r="G4295">
        <v>133</v>
      </c>
      <c r="H4295">
        <v>89606950</v>
      </c>
      <c r="I4295">
        <v>892340</v>
      </c>
      <c r="J4295" t="s">
        <v>17</v>
      </c>
      <c r="K4295" t="s">
        <v>22</v>
      </c>
      <c r="L4295">
        <v>1</v>
      </c>
      <c r="M4295">
        <v>96.46</v>
      </c>
      <c r="N4295">
        <v>368104</v>
      </c>
      <c r="O4295">
        <v>1</v>
      </c>
    </row>
    <row r="4296" spans="1:15">
      <c r="A4296" t="s">
        <v>4322</v>
      </c>
      <c r="B4296" t="s">
        <v>27</v>
      </c>
      <c r="C4296">
        <v>9</v>
      </c>
      <c r="D4296">
        <v>15454834</v>
      </c>
      <c r="E4296">
        <v>2</v>
      </c>
      <c r="F4296">
        <v>8</v>
      </c>
      <c r="G4296">
        <v>474</v>
      </c>
      <c r="H4296">
        <v>13853667</v>
      </c>
      <c r="I4296">
        <v>923533</v>
      </c>
      <c r="J4296" t="s">
        <v>25</v>
      </c>
      <c r="K4296" t="s">
        <v>22</v>
      </c>
      <c r="L4296">
        <v>2</v>
      </c>
      <c r="M4296">
        <v>34.840000000000003</v>
      </c>
      <c r="N4296">
        <v>263070</v>
      </c>
      <c r="O4296">
        <v>1</v>
      </c>
    </row>
    <row r="4297" spans="1:15">
      <c r="A4297" t="s">
        <v>4323</v>
      </c>
      <c r="B4297" t="s">
        <v>16</v>
      </c>
      <c r="C4297">
        <v>8</v>
      </c>
      <c r="D4297">
        <v>44689799</v>
      </c>
      <c r="E4297">
        <v>3</v>
      </c>
      <c r="F4297">
        <v>18</v>
      </c>
      <c r="G4297">
        <v>792</v>
      </c>
      <c r="H4297">
        <v>38433456</v>
      </c>
      <c r="I4297">
        <v>236307</v>
      </c>
      <c r="J4297" t="s">
        <v>21</v>
      </c>
      <c r="K4297" t="s">
        <v>22</v>
      </c>
      <c r="L4297">
        <v>4</v>
      </c>
      <c r="M4297">
        <v>70.260000000000005</v>
      </c>
      <c r="N4297">
        <v>343728</v>
      </c>
      <c r="O4297">
        <v>1</v>
      </c>
    </row>
    <row r="4298" spans="1:15">
      <c r="A4298" t="s">
        <v>4324</v>
      </c>
      <c r="B4298" t="s">
        <v>32</v>
      </c>
      <c r="C4298">
        <v>9</v>
      </c>
      <c r="D4298">
        <v>4162160</v>
      </c>
      <c r="E4298">
        <v>1</v>
      </c>
      <c r="F4298">
        <v>14</v>
      </c>
      <c r="G4298">
        <v>833</v>
      </c>
      <c r="H4298">
        <v>91967436</v>
      </c>
      <c r="I4298">
        <v>305139</v>
      </c>
      <c r="J4298" t="s">
        <v>21</v>
      </c>
      <c r="K4298" t="s">
        <v>30</v>
      </c>
      <c r="L4298">
        <v>9</v>
      </c>
      <c r="M4298">
        <v>99.28</v>
      </c>
      <c r="N4298">
        <v>176588</v>
      </c>
      <c r="O4298">
        <v>1</v>
      </c>
    </row>
    <row r="4299" spans="1:15">
      <c r="A4299" t="s">
        <v>4325</v>
      </c>
      <c r="B4299" t="s">
        <v>24</v>
      </c>
      <c r="C4299">
        <v>9</v>
      </c>
      <c r="D4299">
        <v>32841663</v>
      </c>
      <c r="E4299">
        <v>2</v>
      </c>
      <c r="F4299">
        <v>21</v>
      </c>
      <c r="G4299">
        <v>208</v>
      </c>
      <c r="H4299">
        <v>73663377</v>
      </c>
      <c r="I4299">
        <v>825097</v>
      </c>
      <c r="J4299" t="s">
        <v>21</v>
      </c>
      <c r="K4299" t="s">
        <v>18</v>
      </c>
      <c r="L4299">
        <v>7</v>
      </c>
      <c r="M4299">
        <v>64.010000000000005</v>
      </c>
      <c r="N4299">
        <v>862662</v>
      </c>
      <c r="O4299">
        <v>1</v>
      </c>
    </row>
    <row r="4300" spans="1:15">
      <c r="A4300" t="s">
        <v>4326</v>
      </c>
      <c r="B4300" t="s">
        <v>16</v>
      </c>
      <c r="C4300">
        <v>1</v>
      </c>
      <c r="D4300">
        <v>36349382</v>
      </c>
      <c r="E4300">
        <v>2</v>
      </c>
      <c r="F4300">
        <v>23</v>
      </c>
      <c r="G4300">
        <v>323</v>
      </c>
      <c r="H4300">
        <v>66371679</v>
      </c>
      <c r="I4300">
        <v>38902</v>
      </c>
      <c r="J4300" t="s">
        <v>25</v>
      </c>
      <c r="K4300" t="s">
        <v>18</v>
      </c>
      <c r="L4300">
        <v>3</v>
      </c>
      <c r="M4300">
        <v>89.52</v>
      </c>
      <c r="N4300">
        <v>925249</v>
      </c>
      <c r="O4300">
        <v>1</v>
      </c>
    </row>
    <row r="4301" spans="1:15">
      <c r="A4301" t="s">
        <v>4327</v>
      </c>
      <c r="B4301" t="s">
        <v>29</v>
      </c>
      <c r="C4301">
        <v>11</v>
      </c>
      <c r="D4301">
        <v>49144406</v>
      </c>
      <c r="E4301">
        <v>2</v>
      </c>
      <c r="F4301">
        <v>1</v>
      </c>
      <c r="G4301">
        <v>880</v>
      </c>
      <c r="H4301">
        <v>75016049</v>
      </c>
      <c r="I4301">
        <v>918842</v>
      </c>
      <c r="J4301" t="s">
        <v>25</v>
      </c>
      <c r="K4301" t="s">
        <v>22</v>
      </c>
      <c r="L4301">
        <v>7</v>
      </c>
      <c r="M4301">
        <v>68.959999999999994</v>
      </c>
      <c r="N4301">
        <v>369063</v>
      </c>
      <c r="O4301">
        <v>1</v>
      </c>
    </row>
    <row r="4302" spans="1:15">
      <c r="A4302" t="s">
        <v>4328</v>
      </c>
      <c r="B4302" t="s">
        <v>32</v>
      </c>
      <c r="C4302">
        <v>0</v>
      </c>
      <c r="D4302">
        <v>6701800</v>
      </c>
      <c r="E4302">
        <v>2</v>
      </c>
      <c r="F4302">
        <v>21</v>
      </c>
      <c r="G4302">
        <v>972</v>
      </c>
      <c r="H4302">
        <v>72915697</v>
      </c>
      <c r="I4302">
        <v>466628</v>
      </c>
      <c r="J4302" t="s">
        <v>17</v>
      </c>
      <c r="K4302" t="s">
        <v>22</v>
      </c>
      <c r="L4302">
        <v>6</v>
      </c>
      <c r="M4302">
        <v>49.86</v>
      </c>
      <c r="N4302">
        <v>337086</v>
      </c>
      <c r="O4302">
        <v>1</v>
      </c>
    </row>
    <row r="4303" spans="1:15">
      <c r="A4303" t="s">
        <v>4329</v>
      </c>
      <c r="B4303" t="s">
        <v>20</v>
      </c>
      <c r="C4303">
        <v>6</v>
      </c>
      <c r="D4303">
        <v>4685151</v>
      </c>
      <c r="E4303">
        <v>3</v>
      </c>
      <c r="F4303">
        <v>11</v>
      </c>
      <c r="G4303">
        <v>607</v>
      </c>
      <c r="H4303">
        <v>50613359</v>
      </c>
      <c r="I4303">
        <v>265151</v>
      </c>
      <c r="J4303" t="s">
        <v>17</v>
      </c>
      <c r="K4303" t="s">
        <v>30</v>
      </c>
      <c r="L4303">
        <v>1</v>
      </c>
      <c r="M4303">
        <v>35.6</v>
      </c>
      <c r="N4303">
        <v>708163</v>
      </c>
      <c r="O4303">
        <v>1</v>
      </c>
    </row>
    <row r="4304" spans="1:15">
      <c r="A4304" t="s">
        <v>4330</v>
      </c>
      <c r="B4304" t="s">
        <v>38</v>
      </c>
      <c r="C4304">
        <v>6</v>
      </c>
      <c r="D4304">
        <v>24399834</v>
      </c>
      <c r="E4304">
        <v>2</v>
      </c>
      <c r="F4304">
        <v>16</v>
      </c>
      <c r="G4304">
        <v>220</v>
      </c>
      <c r="H4304">
        <v>39626855</v>
      </c>
      <c r="I4304">
        <v>192449</v>
      </c>
      <c r="J4304" t="s">
        <v>21</v>
      </c>
      <c r="K4304" t="s">
        <v>22</v>
      </c>
      <c r="L4304">
        <v>8</v>
      </c>
      <c r="M4304">
        <v>16.93</v>
      </c>
      <c r="N4304">
        <v>58542</v>
      </c>
      <c r="O4304">
        <v>1</v>
      </c>
    </row>
    <row r="4305" spans="1:15">
      <c r="A4305" t="s">
        <v>4331</v>
      </c>
      <c r="B4305" t="s">
        <v>27</v>
      </c>
      <c r="C4305">
        <v>11</v>
      </c>
      <c r="D4305">
        <v>37928207</v>
      </c>
      <c r="E4305">
        <v>1</v>
      </c>
      <c r="F4305">
        <v>22</v>
      </c>
      <c r="G4305">
        <v>682</v>
      </c>
      <c r="H4305">
        <v>87044250</v>
      </c>
      <c r="I4305">
        <v>395729</v>
      </c>
      <c r="J4305" t="s">
        <v>25</v>
      </c>
      <c r="K4305" t="s">
        <v>22</v>
      </c>
      <c r="L4305">
        <v>2</v>
      </c>
      <c r="M4305">
        <v>98.57</v>
      </c>
      <c r="N4305">
        <v>959402</v>
      </c>
      <c r="O4305">
        <v>1</v>
      </c>
    </row>
    <row r="4306" spans="1:15">
      <c r="A4306" t="s">
        <v>4332</v>
      </c>
      <c r="B4306" t="s">
        <v>38</v>
      </c>
      <c r="C4306">
        <v>11</v>
      </c>
      <c r="D4306">
        <v>23777566</v>
      </c>
      <c r="E4306">
        <v>3</v>
      </c>
      <c r="F4306">
        <v>2</v>
      </c>
      <c r="G4306">
        <v>31</v>
      </c>
      <c r="H4306">
        <v>62534656</v>
      </c>
      <c r="I4306">
        <v>632802</v>
      </c>
      <c r="J4306" t="s">
        <v>25</v>
      </c>
      <c r="K4306" t="s">
        <v>18</v>
      </c>
      <c r="L4306">
        <v>2</v>
      </c>
      <c r="M4306">
        <v>71.41</v>
      </c>
      <c r="N4306">
        <v>761320</v>
      </c>
      <c r="O4306">
        <v>1</v>
      </c>
    </row>
    <row r="4307" spans="1:15">
      <c r="A4307" t="s">
        <v>4333</v>
      </c>
      <c r="B4307" t="s">
        <v>38</v>
      </c>
      <c r="C4307">
        <v>6</v>
      </c>
      <c r="D4307">
        <v>30340314</v>
      </c>
      <c r="E4307">
        <v>4</v>
      </c>
      <c r="F4307">
        <v>28</v>
      </c>
      <c r="G4307">
        <v>70</v>
      </c>
      <c r="H4307">
        <v>84107737</v>
      </c>
      <c r="I4307">
        <v>779760</v>
      </c>
      <c r="J4307" t="s">
        <v>21</v>
      </c>
      <c r="K4307" t="s">
        <v>30</v>
      </c>
      <c r="L4307">
        <v>8</v>
      </c>
      <c r="M4307">
        <v>31.38</v>
      </c>
      <c r="N4307">
        <v>407791</v>
      </c>
      <c r="O4307">
        <v>1</v>
      </c>
    </row>
    <row r="4308" spans="1:15">
      <c r="A4308" t="s">
        <v>4334</v>
      </c>
      <c r="B4308" t="s">
        <v>32</v>
      </c>
      <c r="C4308">
        <v>3</v>
      </c>
      <c r="D4308">
        <v>42928721</v>
      </c>
      <c r="E4308">
        <v>1</v>
      </c>
      <c r="F4308">
        <v>1</v>
      </c>
      <c r="G4308">
        <v>681</v>
      </c>
      <c r="H4308">
        <v>51066925</v>
      </c>
      <c r="I4308">
        <v>591346</v>
      </c>
      <c r="J4308" t="s">
        <v>17</v>
      </c>
      <c r="K4308" t="s">
        <v>22</v>
      </c>
      <c r="L4308">
        <v>1</v>
      </c>
      <c r="M4308">
        <v>7.22</v>
      </c>
      <c r="N4308">
        <v>558648</v>
      </c>
      <c r="O4308">
        <v>1</v>
      </c>
    </row>
    <row r="4309" spans="1:15">
      <c r="A4309" t="s">
        <v>4335</v>
      </c>
      <c r="B4309" t="s">
        <v>32</v>
      </c>
      <c r="C4309">
        <v>12</v>
      </c>
      <c r="D4309">
        <v>5023322</v>
      </c>
      <c r="E4309">
        <v>4</v>
      </c>
      <c r="F4309">
        <v>9</v>
      </c>
      <c r="G4309">
        <v>678</v>
      </c>
      <c r="H4309">
        <v>75781828</v>
      </c>
      <c r="I4309">
        <v>61702</v>
      </c>
      <c r="J4309" t="s">
        <v>21</v>
      </c>
      <c r="K4309" t="s">
        <v>30</v>
      </c>
      <c r="L4309">
        <v>3</v>
      </c>
      <c r="M4309">
        <v>10.72</v>
      </c>
      <c r="N4309">
        <v>998758</v>
      </c>
      <c r="O4309">
        <v>1</v>
      </c>
    </row>
    <row r="4310" spans="1:15">
      <c r="A4310" t="s">
        <v>4336</v>
      </c>
      <c r="B4310" t="s">
        <v>27</v>
      </c>
      <c r="C4310">
        <v>1</v>
      </c>
      <c r="D4310">
        <v>45415809</v>
      </c>
      <c r="E4310">
        <v>1</v>
      </c>
      <c r="F4310">
        <v>10</v>
      </c>
      <c r="G4310">
        <v>235</v>
      </c>
      <c r="H4310">
        <v>90899961</v>
      </c>
      <c r="I4310">
        <v>989932</v>
      </c>
      <c r="J4310" t="s">
        <v>21</v>
      </c>
      <c r="K4310" t="s">
        <v>30</v>
      </c>
      <c r="L4310">
        <v>6</v>
      </c>
      <c r="M4310">
        <v>97.21</v>
      </c>
      <c r="N4310">
        <v>136349</v>
      </c>
      <c r="O4310">
        <v>1</v>
      </c>
    </row>
    <row r="4311" spans="1:15">
      <c r="A4311" t="s">
        <v>4337</v>
      </c>
      <c r="B4311" t="s">
        <v>20</v>
      </c>
      <c r="C4311">
        <v>10</v>
      </c>
      <c r="D4311">
        <v>11743033</v>
      </c>
      <c r="E4311">
        <v>2</v>
      </c>
      <c r="F4311">
        <v>23</v>
      </c>
      <c r="G4311">
        <v>784</v>
      </c>
      <c r="H4311">
        <v>14645154</v>
      </c>
      <c r="I4311">
        <v>787661</v>
      </c>
      <c r="J4311" t="s">
        <v>17</v>
      </c>
      <c r="K4311" t="s">
        <v>18</v>
      </c>
      <c r="L4311">
        <v>3</v>
      </c>
      <c r="M4311">
        <v>96.62</v>
      </c>
      <c r="N4311">
        <v>635410</v>
      </c>
      <c r="O4311">
        <v>1</v>
      </c>
    </row>
    <row r="4312" spans="1:15">
      <c r="A4312" t="s">
        <v>4338</v>
      </c>
      <c r="B4312" t="s">
        <v>32</v>
      </c>
      <c r="C4312">
        <v>11</v>
      </c>
      <c r="D4312">
        <v>41358609</v>
      </c>
      <c r="E4312">
        <v>3</v>
      </c>
      <c r="F4312">
        <v>20</v>
      </c>
      <c r="G4312">
        <v>460</v>
      </c>
      <c r="H4312">
        <v>26415578</v>
      </c>
      <c r="I4312">
        <v>719527</v>
      </c>
      <c r="J4312" t="s">
        <v>17</v>
      </c>
      <c r="K4312" t="s">
        <v>18</v>
      </c>
      <c r="L4312">
        <v>3</v>
      </c>
      <c r="M4312">
        <v>73.849999999999994</v>
      </c>
      <c r="N4312">
        <v>381009</v>
      </c>
      <c r="O4312">
        <v>1</v>
      </c>
    </row>
    <row r="4313" spans="1:15">
      <c r="A4313" t="s">
        <v>4339</v>
      </c>
      <c r="B4313" t="s">
        <v>29</v>
      </c>
      <c r="C4313">
        <v>5</v>
      </c>
      <c r="D4313">
        <v>40330009</v>
      </c>
      <c r="E4313">
        <v>3</v>
      </c>
      <c r="F4313">
        <v>10</v>
      </c>
      <c r="G4313">
        <v>214</v>
      </c>
      <c r="H4313">
        <v>29183077</v>
      </c>
      <c r="I4313">
        <v>348378</v>
      </c>
      <c r="J4313" t="s">
        <v>21</v>
      </c>
      <c r="K4313" t="s">
        <v>30</v>
      </c>
      <c r="L4313">
        <v>9</v>
      </c>
      <c r="M4313">
        <v>95.31</v>
      </c>
      <c r="N4313">
        <v>669426</v>
      </c>
      <c r="O4313">
        <v>1</v>
      </c>
    </row>
    <row r="4314" spans="1:15">
      <c r="A4314" t="s">
        <v>4340</v>
      </c>
      <c r="B4314" t="s">
        <v>24</v>
      </c>
      <c r="C4314">
        <v>12</v>
      </c>
      <c r="D4314">
        <v>33428239</v>
      </c>
      <c r="E4314">
        <v>4</v>
      </c>
      <c r="F4314">
        <v>25</v>
      </c>
      <c r="G4314">
        <v>504</v>
      </c>
      <c r="H4314">
        <v>95516433</v>
      </c>
      <c r="I4314">
        <v>619386</v>
      </c>
      <c r="J4314" t="s">
        <v>17</v>
      </c>
      <c r="K4314" t="s">
        <v>18</v>
      </c>
      <c r="L4314">
        <v>9</v>
      </c>
      <c r="M4314">
        <v>9.5</v>
      </c>
      <c r="N4314">
        <v>417945</v>
      </c>
      <c r="O4314">
        <v>1</v>
      </c>
    </row>
    <row r="4315" spans="1:15">
      <c r="A4315" t="s">
        <v>4341</v>
      </c>
      <c r="B4315" t="s">
        <v>16</v>
      </c>
      <c r="C4315">
        <v>1</v>
      </c>
      <c r="D4315">
        <v>47564073</v>
      </c>
      <c r="E4315">
        <v>3</v>
      </c>
      <c r="F4315">
        <v>25</v>
      </c>
      <c r="G4315">
        <v>214</v>
      </c>
      <c r="H4315">
        <v>97102682</v>
      </c>
      <c r="I4315">
        <v>774337</v>
      </c>
      <c r="J4315" t="s">
        <v>21</v>
      </c>
      <c r="K4315" t="s">
        <v>22</v>
      </c>
      <c r="L4315">
        <v>8</v>
      </c>
      <c r="M4315">
        <v>67.91</v>
      </c>
      <c r="N4315">
        <v>915039</v>
      </c>
      <c r="O4315">
        <v>1</v>
      </c>
    </row>
    <row r="4316" spans="1:15">
      <c r="A4316" t="s">
        <v>4342</v>
      </c>
      <c r="B4316" t="s">
        <v>27</v>
      </c>
      <c r="C4316">
        <v>11</v>
      </c>
      <c r="D4316">
        <v>33803985</v>
      </c>
      <c r="E4316">
        <v>3</v>
      </c>
      <c r="F4316">
        <v>5</v>
      </c>
      <c r="G4316">
        <v>705</v>
      </c>
      <c r="H4316">
        <v>14646777</v>
      </c>
      <c r="I4316">
        <v>637569</v>
      </c>
      <c r="J4316" t="s">
        <v>25</v>
      </c>
      <c r="K4316" t="s">
        <v>18</v>
      </c>
      <c r="L4316">
        <v>7</v>
      </c>
      <c r="M4316">
        <v>55.85</v>
      </c>
      <c r="N4316">
        <v>405630</v>
      </c>
      <c r="O4316">
        <v>1</v>
      </c>
    </row>
    <row r="4317" spans="1:15">
      <c r="A4317" t="s">
        <v>4343</v>
      </c>
      <c r="B4317" t="s">
        <v>16</v>
      </c>
      <c r="C4317">
        <v>13</v>
      </c>
      <c r="D4317">
        <v>11949777</v>
      </c>
      <c r="E4317">
        <v>4</v>
      </c>
      <c r="F4317">
        <v>18</v>
      </c>
      <c r="G4317">
        <v>148</v>
      </c>
      <c r="H4317">
        <v>27591394</v>
      </c>
      <c r="I4317">
        <v>138968</v>
      </c>
      <c r="J4317" t="s">
        <v>21</v>
      </c>
      <c r="K4317" t="s">
        <v>18</v>
      </c>
      <c r="L4317">
        <v>8</v>
      </c>
      <c r="M4317">
        <v>67.3</v>
      </c>
      <c r="N4317">
        <v>221071</v>
      </c>
      <c r="O4317">
        <v>1</v>
      </c>
    </row>
    <row r="4318" spans="1:15">
      <c r="A4318" t="s">
        <v>4344</v>
      </c>
      <c r="B4318" t="s">
        <v>29</v>
      </c>
      <c r="C4318">
        <v>14</v>
      </c>
      <c r="D4318">
        <v>12022855</v>
      </c>
      <c r="E4318">
        <v>4</v>
      </c>
      <c r="F4318">
        <v>22</v>
      </c>
      <c r="G4318">
        <v>142</v>
      </c>
      <c r="H4318">
        <v>18293457</v>
      </c>
      <c r="I4318">
        <v>294778</v>
      </c>
      <c r="J4318" t="s">
        <v>21</v>
      </c>
      <c r="K4318" t="s">
        <v>18</v>
      </c>
      <c r="L4318">
        <v>5</v>
      </c>
      <c r="M4318">
        <v>30.71</v>
      </c>
      <c r="N4318">
        <v>235979</v>
      </c>
      <c r="O4318">
        <v>1</v>
      </c>
    </row>
    <row r="4319" spans="1:15">
      <c r="A4319" t="s">
        <v>4345</v>
      </c>
      <c r="B4319" t="s">
        <v>29</v>
      </c>
      <c r="C4319">
        <v>14</v>
      </c>
      <c r="D4319">
        <v>19303438</v>
      </c>
      <c r="E4319">
        <v>3</v>
      </c>
      <c r="F4319">
        <v>13</v>
      </c>
      <c r="G4319">
        <v>631</v>
      </c>
      <c r="H4319">
        <v>54592109</v>
      </c>
      <c r="I4319">
        <v>827505</v>
      </c>
      <c r="J4319" t="s">
        <v>17</v>
      </c>
      <c r="K4319" t="s">
        <v>22</v>
      </c>
      <c r="L4319">
        <v>5</v>
      </c>
      <c r="M4319">
        <v>39.270000000000003</v>
      </c>
      <c r="N4319">
        <v>632462</v>
      </c>
      <c r="O4319">
        <v>1</v>
      </c>
    </row>
    <row r="4320" spans="1:15">
      <c r="A4320" t="s">
        <v>4346</v>
      </c>
      <c r="B4320" t="s">
        <v>24</v>
      </c>
      <c r="C4320">
        <v>3</v>
      </c>
      <c r="D4320">
        <v>27407561</v>
      </c>
      <c r="E4320">
        <v>4</v>
      </c>
      <c r="F4320">
        <v>28</v>
      </c>
      <c r="G4320">
        <v>204</v>
      </c>
      <c r="H4320">
        <v>29749869</v>
      </c>
      <c r="I4320">
        <v>827508</v>
      </c>
      <c r="J4320" t="s">
        <v>17</v>
      </c>
      <c r="K4320" t="s">
        <v>30</v>
      </c>
      <c r="L4320">
        <v>6</v>
      </c>
      <c r="M4320">
        <v>94.68</v>
      </c>
      <c r="N4320">
        <v>382298</v>
      </c>
      <c r="O4320">
        <v>1</v>
      </c>
    </row>
    <row r="4321" spans="1:15">
      <c r="A4321" t="s">
        <v>4347</v>
      </c>
      <c r="B4321" t="s">
        <v>38</v>
      </c>
      <c r="C4321">
        <v>9</v>
      </c>
      <c r="D4321">
        <v>5714755</v>
      </c>
      <c r="E4321">
        <v>4</v>
      </c>
      <c r="F4321">
        <v>25</v>
      </c>
      <c r="G4321">
        <v>694</v>
      </c>
      <c r="H4321">
        <v>50779929</v>
      </c>
      <c r="I4321">
        <v>202413</v>
      </c>
      <c r="J4321" t="s">
        <v>17</v>
      </c>
      <c r="K4321" t="s">
        <v>18</v>
      </c>
      <c r="L4321">
        <v>2</v>
      </c>
      <c r="M4321">
        <v>40.159999999999997</v>
      </c>
      <c r="N4321">
        <v>207207</v>
      </c>
      <c r="O4321">
        <v>1</v>
      </c>
    </row>
    <row r="4322" spans="1:15">
      <c r="A4322" t="s">
        <v>4348</v>
      </c>
      <c r="B4322" t="s">
        <v>38</v>
      </c>
      <c r="C4322">
        <v>12</v>
      </c>
      <c r="D4322">
        <v>30018262</v>
      </c>
      <c r="E4322">
        <v>2</v>
      </c>
      <c r="F4322">
        <v>16</v>
      </c>
      <c r="G4322">
        <v>462</v>
      </c>
      <c r="H4322">
        <v>86592856</v>
      </c>
      <c r="I4322">
        <v>373870</v>
      </c>
      <c r="J4322" t="s">
        <v>17</v>
      </c>
      <c r="K4322" t="s">
        <v>30</v>
      </c>
      <c r="L4322">
        <v>8</v>
      </c>
      <c r="M4322">
        <v>53.38</v>
      </c>
      <c r="N4322">
        <v>289505</v>
      </c>
      <c r="O4322">
        <v>1</v>
      </c>
    </row>
    <row r="4323" spans="1:15">
      <c r="A4323" t="s">
        <v>4349</v>
      </c>
      <c r="B4323" t="s">
        <v>16</v>
      </c>
      <c r="C4323">
        <v>13</v>
      </c>
      <c r="D4323">
        <v>5017393</v>
      </c>
      <c r="E4323">
        <v>1</v>
      </c>
      <c r="F4323">
        <v>28</v>
      </c>
      <c r="G4323">
        <v>749</v>
      </c>
      <c r="H4323">
        <v>19951301</v>
      </c>
      <c r="I4323">
        <v>105039</v>
      </c>
      <c r="J4323" t="s">
        <v>17</v>
      </c>
      <c r="K4323" t="s">
        <v>18</v>
      </c>
      <c r="L4323">
        <v>5</v>
      </c>
      <c r="M4323">
        <v>40.94</v>
      </c>
      <c r="N4323">
        <v>448450</v>
      </c>
      <c r="O4323">
        <v>1</v>
      </c>
    </row>
    <row r="4324" spans="1:15">
      <c r="A4324" t="s">
        <v>4350</v>
      </c>
      <c r="B4324" t="s">
        <v>27</v>
      </c>
      <c r="C4324">
        <v>7</v>
      </c>
      <c r="D4324">
        <v>22035372</v>
      </c>
      <c r="E4324">
        <v>1</v>
      </c>
      <c r="F4324">
        <v>21</v>
      </c>
      <c r="G4324">
        <v>948</v>
      </c>
      <c r="H4324">
        <v>95559304</v>
      </c>
      <c r="I4324">
        <v>845957</v>
      </c>
      <c r="J4324" t="s">
        <v>17</v>
      </c>
      <c r="K4324" t="s">
        <v>22</v>
      </c>
      <c r="L4324">
        <v>4</v>
      </c>
      <c r="M4324">
        <v>43.33</v>
      </c>
      <c r="N4324">
        <v>372571</v>
      </c>
      <c r="O4324">
        <v>1</v>
      </c>
    </row>
    <row r="4325" spans="1:15">
      <c r="A4325" t="s">
        <v>4351</v>
      </c>
      <c r="B4325" t="s">
        <v>24</v>
      </c>
      <c r="C4325">
        <v>4</v>
      </c>
      <c r="D4325">
        <v>11646026</v>
      </c>
      <c r="E4325">
        <v>3</v>
      </c>
      <c r="F4325">
        <v>9</v>
      </c>
      <c r="G4325">
        <v>152</v>
      </c>
      <c r="H4325">
        <v>9064651</v>
      </c>
      <c r="I4325">
        <v>47116</v>
      </c>
      <c r="J4325" t="s">
        <v>17</v>
      </c>
      <c r="K4325" t="s">
        <v>18</v>
      </c>
      <c r="L4325">
        <v>2</v>
      </c>
      <c r="M4325">
        <v>62.49</v>
      </c>
      <c r="N4325">
        <v>308768</v>
      </c>
      <c r="O4325">
        <v>1</v>
      </c>
    </row>
    <row r="4326" spans="1:15">
      <c r="A4326" t="s">
        <v>4352</v>
      </c>
      <c r="B4326" t="s">
        <v>38</v>
      </c>
      <c r="C4326">
        <v>12</v>
      </c>
      <c r="D4326">
        <v>46523786</v>
      </c>
      <c r="E4326">
        <v>4</v>
      </c>
      <c r="F4326">
        <v>6</v>
      </c>
      <c r="G4326">
        <v>314</v>
      </c>
      <c r="H4326">
        <v>92859240</v>
      </c>
      <c r="I4326">
        <v>759288</v>
      </c>
      <c r="J4326" t="s">
        <v>25</v>
      </c>
      <c r="K4326" t="s">
        <v>22</v>
      </c>
      <c r="L4326">
        <v>7</v>
      </c>
      <c r="M4326">
        <v>39.130000000000003</v>
      </c>
      <c r="N4326">
        <v>555022</v>
      </c>
      <c r="O4326">
        <v>1</v>
      </c>
    </row>
    <row r="4327" spans="1:15">
      <c r="A4327" t="s">
        <v>4353</v>
      </c>
      <c r="B4327" t="s">
        <v>32</v>
      </c>
      <c r="C4327">
        <v>8</v>
      </c>
      <c r="D4327">
        <v>8864558</v>
      </c>
      <c r="E4327">
        <v>1</v>
      </c>
      <c r="F4327">
        <v>18</v>
      </c>
      <c r="G4327">
        <v>933</v>
      </c>
      <c r="H4327">
        <v>51720645</v>
      </c>
      <c r="I4327">
        <v>299620</v>
      </c>
      <c r="J4327" t="s">
        <v>21</v>
      </c>
      <c r="K4327" t="s">
        <v>18</v>
      </c>
      <c r="L4327">
        <v>8</v>
      </c>
      <c r="M4327">
        <v>38.659999999999997</v>
      </c>
      <c r="N4327">
        <v>182007</v>
      </c>
      <c r="O4327">
        <v>1</v>
      </c>
    </row>
    <row r="4328" spans="1:15">
      <c r="A4328" t="s">
        <v>4354</v>
      </c>
      <c r="B4328" t="s">
        <v>24</v>
      </c>
      <c r="C4328">
        <v>11</v>
      </c>
      <c r="D4328">
        <v>7560068</v>
      </c>
      <c r="E4328">
        <v>2</v>
      </c>
      <c r="F4328">
        <v>28</v>
      </c>
      <c r="G4328">
        <v>487</v>
      </c>
      <c r="H4328">
        <v>47966788</v>
      </c>
      <c r="I4328">
        <v>353633</v>
      </c>
      <c r="J4328" t="s">
        <v>17</v>
      </c>
      <c r="K4328" t="s">
        <v>30</v>
      </c>
      <c r="L4328">
        <v>7</v>
      </c>
      <c r="M4328">
        <v>49.24</v>
      </c>
      <c r="N4328">
        <v>32469</v>
      </c>
      <c r="O4328">
        <v>1</v>
      </c>
    </row>
    <row r="4329" spans="1:15">
      <c r="A4329" t="s">
        <v>4355</v>
      </c>
      <c r="B4329" t="s">
        <v>27</v>
      </c>
      <c r="C4329">
        <v>4</v>
      </c>
      <c r="D4329">
        <v>27281316</v>
      </c>
      <c r="E4329">
        <v>1</v>
      </c>
      <c r="F4329">
        <v>26</v>
      </c>
      <c r="G4329">
        <v>254</v>
      </c>
      <c r="H4329">
        <v>36812784</v>
      </c>
      <c r="I4329">
        <v>680315</v>
      </c>
      <c r="J4329" t="s">
        <v>25</v>
      </c>
      <c r="K4329" t="s">
        <v>22</v>
      </c>
      <c r="L4329">
        <v>9</v>
      </c>
      <c r="M4329">
        <v>41.74</v>
      </c>
      <c r="N4329">
        <v>966390</v>
      </c>
      <c r="O4329">
        <v>1</v>
      </c>
    </row>
    <row r="4330" spans="1:15">
      <c r="A4330" t="s">
        <v>4356</v>
      </c>
      <c r="B4330" t="s">
        <v>38</v>
      </c>
      <c r="C4330">
        <v>1</v>
      </c>
      <c r="D4330">
        <v>15468256</v>
      </c>
      <c r="E4330">
        <v>3</v>
      </c>
      <c r="F4330">
        <v>12</v>
      </c>
      <c r="G4330">
        <v>222</v>
      </c>
      <c r="H4330">
        <v>89309346</v>
      </c>
      <c r="I4330">
        <v>386234</v>
      </c>
      <c r="J4330" t="s">
        <v>17</v>
      </c>
      <c r="K4330" t="s">
        <v>18</v>
      </c>
      <c r="L4330">
        <v>3</v>
      </c>
      <c r="M4330">
        <v>89.99</v>
      </c>
      <c r="N4330">
        <v>730765</v>
      </c>
      <c r="O4330">
        <v>1</v>
      </c>
    </row>
    <row r="4331" spans="1:15">
      <c r="A4331" t="s">
        <v>4357</v>
      </c>
      <c r="B4331" t="s">
        <v>29</v>
      </c>
      <c r="C4331">
        <v>0</v>
      </c>
      <c r="D4331">
        <v>37531794</v>
      </c>
      <c r="E4331">
        <v>2</v>
      </c>
      <c r="F4331">
        <v>3</v>
      </c>
      <c r="G4331">
        <v>700</v>
      </c>
      <c r="H4331">
        <v>49538024</v>
      </c>
      <c r="I4331">
        <v>143480</v>
      </c>
      <c r="J4331" t="s">
        <v>25</v>
      </c>
      <c r="K4331" t="s">
        <v>18</v>
      </c>
      <c r="L4331">
        <v>9</v>
      </c>
      <c r="M4331">
        <v>77.430000000000007</v>
      </c>
      <c r="N4331">
        <v>967592</v>
      </c>
      <c r="O4331">
        <v>1</v>
      </c>
    </row>
    <row r="4332" spans="1:15">
      <c r="A4332" t="s">
        <v>4358</v>
      </c>
      <c r="B4332" t="s">
        <v>20</v>
      </c>
      <c r="C4332">
        <v>9</v>
      </c>
      <c r="D4332">
        <v>5593112</v>
      </c>
      <c r="E4332">
        <v>4</v>
      </c>
      <c r="F4332">
        <v>28</v>
      </c>
      <c r="G4332">
        <v>225</v>
      </c>
      <c r="H4332">
        <v>48335955</v>
      </c>
      <c r="I4332">
        <v>792867</v>
      </c>
      <c r="J4332" t="s">
        <v>17</v>
      </c>
      <c r="K4332" t="s">
        <v>22</v>
      </c>
      <c r="L4332">
        <v>6</v>
      </c>
      <c r="M4332">
        <v>75.86</v>
      </c>
      <c r="N4332">
        <v>794236</v>
      </c>
      <c r="O4332">
        <v>1</v>
      </c>
    </row>
    <row r="4333" spans="1:15">
      <c r="A4333" t="s">
        <v>4359</v>
      </c>
      <c r="B4333" t="s">
        <v>16</v>
      </c>
      <c r="C4333">
        <v>13</v>
      </c>
      <c r="D4333">
        <v>28680673</v>
      </c>
      <c r="E4333">
        <v>4</v>
      </c>
      <c r="F4333">
        <v>24</v>
      </c>
      <c r="G4333">
        <v>876</v>
      </c>
      <c r="H4333">
        <v>79321324</v>
      </c>
      <c r="I4333">
        <v>552318</v>
      </c>
      <c r="J4333" t="s">
        <v>17</v>
      </c>
      <c r="K4333" t="s">
        <v>18</v>
      </c>
      <c r="L4333">
        <v>1</v>
      </c>
      <c r="M4333">
        <v>91.42</v>
      </c>
      <c r="N4333">
        <v>257216</v>
      </c>
      <c r="O4333">
        <v>1</v>
      </c>
    </row>
    <row r="4334" spans="1:15">
      <c r="A4334" t="s">
        <v>4360</v>
      </c>
      <c r="B4334" t="s">
        <v>38</v>
      </c>
      <c r="C4334">
        <v>1</v>
      </c>
      <c r="D4334">
        <v>26148660</v>
      </c>
      <c r="E4334">
        <v>1</v>
      </c>
      <c r="F4334">
        <v>23</v>
      </c>
      <c r="G4334">
        <v>891</v>
      </c>
      <c r="H4334">
        <v>88804514</v>
      </c>
      <c r="I4334">
        <v>507332</v>
      </c>
      <c r="J4334" t="s">
        <v>25</v>
      </c>
      <c r="K4334" t="s">
        <v>18</v>
      </c>
      <c r="L4334">
        <v>6</v>
      </c>
      <c r="M4334">
        <v>25.6</v>
      </c>
      <c r="N4334">
        <v>526216</v>
      </c>
      <c r="O4334">
        <v>1</v>
      </c>
    </row>
    <row r="4335" spans="1:15">
      <c r="A4335" t="s">
        <v>4361</v>
      </c>
      <c r="B4335" t="s">
        <v>27</v>
      </c>
      <c r="C4335">
        <v>0</v>
      </c>
      <c r="D4335">
        <v>30698103</v>
      </c>
      <c r="E4335">
        <v>1</v>
      </c>
      <c r="F4335">
        <v>20</v>
      </c>
      <c r="G4335">
        <v>571</v>
      </c>
      <c r="H4335">
        <v>2087335</v>
      </c>
      <c r="I4335">
        <v>619088</v>
      </c>
      <c r="J4335" t="s">
        <v>21</v>
      </c>
      <c r="K4335" t="s">
        <v>18</v>
      </c>
      <c r="L4335">
        <v>9</v>
      </c>
      <c r="M4335">
        <v>18.91</v>
      </c>
      <c r="N4335">
        <v>834315</v>
      </c>
      <c r="O4335">
        <v>1</v>
      </c>
    </row>
    <row r="4336" spans="1:15">
      <c r="A4336" t="s">
        <v>4362</v>
      </c>
      <c r="B4336" t="s">
        <v>16</v>
      </c>
      <c r="C4336">
        <v>13</v>
      </c>
      <c r="D4336">
        <v>19860849</v>
      </c>
      <c r="E4336">
        <v>1</v>
      </c>
      <c r="F4336">
        <v>21</v>
      </c>
      <c r="G4336">
        <v>67</v>
      </c>
      <c r="H4336">
        <v>12895961</v>
      </c>
      <c r="I4336">
        <v>15772</v>
      </c>
      <c r="J4336" t="s">
        <v>25</v>
      </c>
      <c r="K4336" t="s">
        <v>22</v>
      </c>
      <c r="L4336">
        <v>3</v>
      </c>
      <c r="M4336">
        <v>44.16</v>
      </c>
      <c r="N4336">
        <v>762633</v>
      </c>
      <c r="O4336">
        <v>1</v>
      </c>
    </row>
    <row r="4337" spans="1:15">
      <c r="A4337" t="s">
        <v>4363</v>
      </c>
      <c r="B4337" t="s">
        <v>16</v>
      </c>
      <c r="C4337">
        <v>7</v>
      </c>
      <c r="D4337">
        <v>16272372</v>
      </c>
      <c r="E4337">
        <v>4</v>
      </c>
      <c r="F4337">
        <v>14</v>
      </c>
      <c r="G4337">
        <v>290</v>
      </c>
      <c r="H4337">
        <v>99478295</v>
      </c>
      <c r="I4337">
        <v>532440</v>
      </c>
      <c r="J4337" t="s">
        <v>21</v>
      </c>
      <c r="K4337" t="s">
        <v>22</v>
      </c>
      <c r="L4337">
        <v>2</v>
      </c>
      <c r="M4337">
        <v>20.78</v>
      </c>
      <c r="N4337">
        <v>915266</v>
      </c>
      <c r="O4337">
        <v>1</v>
      </c>
    </row>
    <row r="4338" spans="1:15">
      <c r="A4338" t="s">
        <v>4364</v>
      </c>
      <c r="B4338" t="s">
        <v>32</v>
      </c>
      <c r="C4338">
        <v>11</v>
      </c>
      <c r="D4338">
        <v>17056585</v>
      </c>
      <c r="E4338">
        <v>3</v>
      </c>
      <c r="F4338">
        <v>13</v>
      </c>
      <c r="G4338">
        <v>476</v>
      </c>
      <c r="H4338">
        <v>82689749</v>
      </c>
      <c r="I4338">
        <v>495005</v>
      </c>
      <c r="J4338" t="s">
        <v>21</v>
      </c>
      <c r="K4338" t="s">
        <v>18</v>
      </c>
      <c r="L4338">
        <v>6</v>
      </c>
      <c r="M4338">
        <v>90.55</v>
      </c>
      <c r="N4338">
        <v>239597</v>
      </c>
      <c r="O4338">
        <v>1</v>
      </c>
    </row>
    <row r="4339" spans="1:15">
      <c r="A4339" t="s">
        <v>4365</v>
      </c>
      <c r="B4339" t="s">
        <v>20</v>
      </c>
      <c r="C4339">
        <v>9</v>
      </c>
      <c r="D4339">
        <v>8585044</v>
      </c>
      <c r="E4339">
        <v>1</v>
      </c>
      <c r="F4339">
        <v>12</v>
      </c>
      <c r="G4339">
        <v>340</v>
      </c>
      <c r="H4339">
        <v>54395365</v>
      </c>
      <c r="I4339">
        <v>492122</v>
      </c>
      <c r="J4339" t="s">
        <v>17</v>
      </c>
      <c r="K4339" t="s">
        <v>22</v>
      </c>
      <c r="L4339">
        <v>9</v>
      </c>
      <c r="M4339">
        <v>62.91</v>
      </c>
      <c r="N4339">
        <v>902961</v>
      </c>
      <c r="O4339">
        <v>1</v>
      </c>
    </row>
    <row r="4340" spans="1:15">
      <c r="A4340" t="s">
        <v>4366</v>
      </c>
      <c r="B4340" t="s">
        <v>16</v>
      </c>
      <c r="C4340">
        <v>5</v>
      </c>
      <c r="D4340">
        <v>27406827</v>
      </c>
      <c r="E4340">
        <v>2</v>
      </c>
      <c r="F4340">
        <v>2</v>
      </c>
      <c r="G4340">
        <v>920</v>
      </c>
      <c r="H4340">
        <v>54577738</v>
      </c>
      <c r="I4340">
        <v>172572</v>
      </c>
      <c r="J4340" t="s">
        <v>17</v>
      </c>
      <c r="K4340" t="s">
        <v>22</v>
      </c>
      <c r="L4340">
        <v>3</v>
      </c>
      <c r="M4340">
        <v>31.69</v>
      </c>
      <c r="N4340">
        <v>59444</v>
      </c>
      <c r="O4340">
        <v>1</v>
      </c>
    </row>
    <row r="4341" spans="1:15">
      <c r="A4341" t="s">
        <v>4367</v>
      </c>
      <c r="B4341" t="s">
        <v>32</v>
      </c>
      <c r="C4341">
        <v>0</v>
      </c>
      <c r="D4341">
        <v>21914736</v>
      </c>
      <c r="E4341">
        <v>3</v>
      </c>
      <c r="F4341">
        <v>17</v>
      </c>
      <c r="G4341">
        <v>347</v>
      </c>
      <c r="H4341">
        <v>56836623</v>
      </c>
      <c r="I4341">
        <v>638627</v>
      </c>
      <c r="J4341" t="s">
        <v>17</v>
      </c>
      <c r="K4341" t="s">
        <v>30</v>
      </c>
      <c r="L4341">
        <v>9</v>
      </c>
      <c r="M4341">
        <v>7.47</v>
      </c>
      <c r="N4341">
        <v>196693</v>
      </c>
      <c r="O4341">
        <v>1</v>
      </c>
    </row>
    <row r="4342" spans="1:15">
      <c r="A4342" t="s">
        <v>4368</v>
      </c>
      <c r="B4342" t="s">
        <v>29</v>
      </c>
      <c r="C4342">
        <v>13</v>
      </c>
      <c r="D4342">
        <v>35975354</v>
      </c>
      <c r="E4342">
        <v>3</v>
      </c>
      <c r="F4342">
        <v>3</v>
      </c>
      <c r="G4342">
        <v>977</v>
      </c>
      <c r="H4342">
        <v>90527446</v>
      </c>
      <c r="I4342">
        <v>266514</v>
      </c>
      <c r="J4342" t="s">
        <v>17</v>
      </c>
      <c r="K4342" t="s">
        <v>30</v>
      </c>
      <c r="L4342">
        <v>7</v>
      </c>
      <c r="M4342">
        <v>52.14</v>
      </c>
      <c r="N4342">
        <v>568806</v>
      </c>
      <c r="O4342">
        <v>1</v>
      </c>
    </row>
    <row r="4343" spans="1:15">
      <c r="A4343" t="s">
        <v>4369</v>
      </c>
      <c r="B4343" t="s">
        <v>32</v>
      </c>
      <c r="C4343">
        <v>11</v>
      </c>
      <c r="D4343">
        <v>9626395</v>
      </c>
      <c r="E4343">
        <v>1</v>
      </c>
      <c r="F4343">
        <v>13</v>
      </c>
      <c r="G4343">
        <v>986</v>
      </c>
      <c r="H4343">
        <v>21277431</v>
      </c>
      <c r="I4343">
        <v>499871</v>
      </c>
      <c r="J4343" t="s">
        <v>17</v>
      </c>
      <c r="K4343" t="s">
        <v>18</v>
      </c>
      <c r="L4343">
        <v>4</v>
      </c>
      <c r="M4343">
        <v>7.47</v>
      </c>
      <c r="N4343">
        <v>626746</v>
      </c>
      <c r="O4343">
        <v>1</v>
      </c>
    </row>
    <row r="4344" spans="1:15">
      <c r="A4344" t="s">
        <v>4370</v>
      </c>
      <c r="B4344" t="s">
        <v>16</v>
      </c>
      <c r="C4344">
        <v>3</v>
      </c>
      <c r="D4344">
        <v>20046862</v>
      </c>
      <c r="E4344">
        <v>4</v>
      </c>
      <c r="F4344">
        <v>7</v>
      </c>
      <c r="G4344">
        <v>30</v>
      </c>
      <c r="H4344">
        <v>20401492</v>
      </c>
      <c r="I4344">
        <v>750292</v>
      </c>
      <c r="J4344" t="s">
        <v>17</v>
      </c>
      <c r="K4344" t="s">
        <v>22</v>
      </c>
      <c r="L4344">
        <v>7</v>
      </c>
      <c r="M4344">
        <v>15.54</v>
      </c>
      <c r="N4344">
        <v>808437</v>
      </c>
      <c r="O4344">
        <v>1</v>
      </c>
    </row>
    <row r="4345" spans="1:15">
      <c r="A4345" t="s">
        <v>4371</v>
      </c>
      <c r="B4345" t="s">
        <v>32</v>
      </c>
      <c r="C4345">
        <v>13</v>
      </c>
      <c r="D4345">
        <v>5656859</v>
      </c>
      <c r="E4345">
        <v>4</v>
      </c>
      <c r="F4345">
        <v>6</v>
      </c>
      <c r="G4345">
        <v>592</v>
      </c>
      <c r="H4345">
        <v>45852465</v>
      </c>
      <c r="I4345">
        <v>106151</v>
      </c>
      <c r="J4345" t="s">
        <v>17</v>
      </c>
      <c r="K4345" t="s">
        <v>22</v>
      </c>
      <c r="L4345">
        <v>2</v>
      </c>
      <c r="M4345">
        <v>71.010000000000005</v>
      </c>
      <c r="N4345">
        <v>996578</v>
      </c>
      <c r="O4345">
        <v>1</v>
      </c>
    </row>
    <row r="4346" spans="1:15">
      <c r="A4346" t="s">
        <v>4372</v>
      </c>
      <c r="B4346" t="s">
        <v>27</v>
      </c>
      <c r="C4346">
        <v>5</v>
      </c>
      <c r="D4346">
        <v>24374722</v>
      </c>
      <c r="E4346">
        <v>3</v>
      </c>
      <c r="F4346">
        <v>18</v>
      </c>
      <c r="G4346">
        <v>661</v>
      </c>
      <c r="H4346">
        <v>73865105</v>
      </c>
      <c r="I4346">
        <v>314467</v>
      </c>
      <c r="J4346" t="s">
        <v>25</v>
      </c>
      <c r="K4346" t="s">
        <v>22</v>
      </c>
      <c r="L4346">
        <v>8</v>
      </c>
      <c r="M4346">
        <v>77.900000000000006</v>
      </c>
      <c r="N4346">
        <v>603251</v>
      </c>
      <c r="O4346">
        <v>1</v>
      </c>
    </row>
    <row r="4347" spans="1:15">
      <c r="A4347" t="s">
        <v>4373</v>
      </c>
      <c r="B4347" t="s">
        <v>24</v>
      </c>
      <c r="C4347">
        <v>7</v>
      </c>
      <c r="D4347">
        <v>29006429</v>
      </c>
      <c r="E4347">
        <v>3</v>
      </c>
      <c r="F4347">
        <v>11</v>
      </c>
      <c r="G4347">
        <v>846</v>
      </c>
      <c r="H4347">
        <v>10884097</v>
      </c>
      <c r="I4347">
        <v>267309</v>
      </c>
      <c r="J4347" t="s">
        <v>21</v>
      </c>
      <c r="K4347" t="s">
        <v>22</v>
      </c>
      <c r="L4347">
        <v>4</v>
      </c>
      <c r="M4347">
        <v>74.97</v>
      </c>
      <c r="N4347">
        <v>58443</v>
      </c>
      <c r="O4347">
        <v>1</v>
      </c>
    </row>
    <row r="4348" spans="1:15">
      <c r="A4348" t="s">
        <v>4374</v>
      </c>
      <c r="B4348" t="s">
        <v>38</v>
      </c>
      <c r="C4348">
        <v>2</v>
      </c>
      <c r="D4348">
        <v>4502958</v>
      </c>
      <c r="E4348">
        <v>2</v>
      </c>
      <c r="F4348">
        <v>11</v>
      </c>
      <c r="G4348">
        <v>379</v>
      </c>
      <c r="H4348">
        <v>95570674</v>
      </c>
      <c r="I4348">
        <v>810392</v>
      </c>
      <c r="J4348" t="s">
        <v>17</v>
      </c>
      <c r="K4348" t="s">
        <v>22</v>
      </c>
      <c r="L4348">
        <v>2</v>
      </c>
      <c r="M4348">
        <v>8.5500000000000007</v>
      </c>
      <c r="N4348">
        <v>646761</v>
      </c>
      <c r="O4348">
        <v>1</v>
      </c>
    </row>
    <row r="4349" spans="1:15">
      <c r="A4349" t="s">
        <v>4375</v>
      </c>
      <c r="B4349" t="s">
        <v>32</v>
      </c>
      <c r="C4349">
        <v>10</v>
      </c>
      <c r="D4349">
        <v>12876438</v>
      </c>
      <c r="E4349">
        <v>2</v>
      </c>
      <c r="F4349">
        <v>15</v>
      </c>
      <c r="G4349">
        <v>919</v>
      </c>
      <c r="H4349">
        <v>3495778</v>
      </c>
      <c r="I4349">
        <v>132928</v>
      </c>
      <c r="J4349" t="s">
        <v>25</v>
      </c>
      <c r="K4349" t="s">
        <v>30</v>
      </c>
      <c r="L4349">
        <v>2</v>
      </c>
      <c r="M4349">
        <v>53.27</v>
      </c>
      <c r="N4349">
        <v>69662</v>
      </c>
      <c r="O4349">
        <v>1</v>
      </c>
    </row>
    <row r="4350" spans="1:15">
      <c r="A4350" t="s">
        <v>4376</v>
      </c>
      <c r="B4350" t="s">
        <v>27</v>
      </c>
      <c r="C4350">
        <v>0</v>
      </c>
      <c r="D4350">
        <v>33305890</v>
      </c>
      <c r="E4350">
        <v>1</v>
      </c>
      <c r="F4350">
        <v>5</v>
      </c>
      <c r="G4350">
        <v>482</v>
      </c>
      <c r="H4350">
        <v>73053178</v>
      </c>
      <c r="I4350">
        <v>727585</v>
      </c>
      <c r="J4350" t="s">
        <v>21</v>
      </c>
      <c r="K4350" t="s">
        <v>22</v>
      </c>
      <c r="L4350">
        <v>7</v>
      </c>
      <c r="M4350">
        <v>25.57</v>
      </c>
      <c r="N4350">
        <v>281929</v>
      </c>
      <c r="O4350">
        <v>1</v>
      </c>
    </row>
    <row r="4351" spans="1:15">
      <c r="A4351" t="s">
        <v>4377</v>
      </c>
      <c r="B4351" t="s">
        <v>29</v>
      </c>
      <c r="C4351">
        <v>9</v>
      </c>
      <c r="D4351">
        <v>37249731</v>
      </c>
      <c r="E4351">
        <v>1</v>
      </c>
      <c r="F4351">
        <v>23</v>
      </c>
      <c r="G4351">
        <v>822</v>
      </c>
      <c r="H4351">
        <v>25816518</v>
      </c>
      <c r="I4351">
        <v>350194</v>
      </c>
      <c r="J4351" t="s">
        <v>21</v>
      </c>
      <c r="K4351" t="s">
        <v>22</v>
      </c>
      <c r="L4351">
        <v>5</v>
      </c>
      <c r="M4351">
        <v>56.16</v>
      </c>
      <c r="N4351">
        <v>612515</v>
      </c>
      <c r="O4351">
        <v>1</v>
      </c>
    </row>
    <row r="4352" spans="1:15">
      <c r="A4352" t="s">
        <v>4378</v>
      </c>
      <c r="B4352" t="s">
        <v>20</v>
      </c>
      <c r="C4352">
        <v>12</v>
      </c>
      <c r="D4352">
        <v>18347571</v>
      </c>
      <c r="E4352">
        <v>2</v>
      </c>
      <c r="F4352">
        <v>2</v>
      </c>
      <c r="G4352">
        <v>136</v>
      </c>
      <c r="H4352">
        <v>44027985</v>
      </c>
      <c r="I4352">
        <v>368500</v>
      </c>
      <c r="J4352" t="s">
        <v>21</v>
      </c>
      <c r="K4352" t="s">
        <v>18</v>
      </c>
      <c r="L4352">
        <v>4</v>
      </c>
      <c r="M4352">
        <v>14.36</v>
      </c>
      <c r="N4352">
        <v>482085</v>
      </c>
      <c r="O4352">
        <v>1</v>
      </c>
    </row>
    <row r="4353" spans="1:15">
      <c r="A4353" t="s">
        <v>4379</v>
      </c>
      <c r="B4353" t="s">
        <v>24</v>
      </c>
      <c r="C4353">
        <v>9</v>
      </c>
      <c r="D4353">
        <v>36155869</v>
      </c>
      <c r="E4353">
        <v>1</v>
      </c>
      <c r="F4353">
        <v>5</v>
      </c>
      <c r="G4353">
        <v>259</v>
      </c>
      <c r="H4353">
        <v>10500873</v>
      </c>
      <c r="I4353">
        <v>406633</v>
      </c>
      <c r="J4353" t="s">
        <v>25</v>
      </c>
      <c r="K4353" t="s">
        <v>18</v>
      </c>
      <c r="L4353">
        <v>4</v>
      </c>
      <c r="M4353">
        <v>15.81</v>
      </c>
      <c r="N4353">
        <v>147013</v>
      </c>
      <c r="O4353">
        <v>1</v>
      </c>
    </row>
    <row r="4354" spans="1:15">
      <c r="A4354" t="s">
        <v>4380</v>
      </c>
      <c r="B4354" t="s">
        <v>29</v>
      </c>
      <c r="C4354">
        <v>8</v>
      </c>
      <c r="D4354">
        <v>426974</v>
      </c>
      <c r="E4354">
        <v>2</v>
      </c>
      <c r="F4354">
        <v>1</v>
      </c>
      <c r="G4354">
        <v>60</v>
      </c>
      <c r="H4354">
        <v>2933602</v>
      </c>
      <c r="I4354">
        <v>431812</v>
      </c>
      <c r="J4354" t="s">
        <v>17</v>
      </c>
      <c r="K4354" t="s">
        <v>30</v>
      </c>
      <c r="L4354">
        <v>1</v>
      </c>
      <c r="M4354">
        <v>97.97</v>
      </c>
      <c r="N4354">
        <v>319648</v>
      </c>
      <c r="O4354">
        <v>1</v>
      </c>
    </row>
    <row r="4355" spans="1:15">
      <c r="A4355" t="s">
        <v>4381</v>
      </c>
      <c r="B4355" t="s">
        <v>27</v>
      </c>
      <c r="C4355">
        <v>7</v>
      </c>
      <c r="D4355">
        <v>48444018</v>
      </c>
      <c r="E4355">
        <v>3</v>
      </c>
      <c r="F4355">
        <v>26</v>
      </c>
      <c r="G4355">
        <v>976</v>
      </c>
      <c r="H4355">
        <v>14655062</v>
      </c>
      <c r="I4355">
        <v>369974</v>
      </c>
      <c r="J4355" t="s">
        <v>25</v>
      </c>
      <c r="K4355" t="s">
        <v>22</v>
      </c>
      <c r="L4355">
        <v>5</v>
      </c>
      <c r="M4355">
        <v>78.459999999999994</v>
      </c>
      <c r="N4355">
        <v>235731</v>
      </c>
      <c r="O4355">
        <v>1</v>
      </c>
    </row>
    <row r="4356" spans="1:15">
      <c r="A4356" t="s">
        <v>4382</v>
      </c>
      <c r="B4356" t="s">
        <v>20</v>
      </c>
      <c r="C4356">
        <v>7</v>
      </c>
      <c r="D4356">
        <v>44342046</v>
      </c>
      <c r="E4356">
        <v>2</v>
      </c>
      <c r="F4356">
        <v>28</v>
      </c>
      <c r="G4356">
        <v>612</v>
      </c>
      <c r="H4356">
        <v>35226080</v>
      </c>
      <c r="I4356">
        <v>97151</v>
      </c>
      <c r="J4356" t="s">
        <v>25</v>
      </c>
      <c r="K4356" t="s">
        <v>22</v>
      </c>
      <c r="L4356">
        <v>3</v>
      </c>
      <c r="M4356">
        <v>4.41</v>
      </c>
      <c r="N4356">
        <v>604752</v>
      </c>
      <c r="O4356">
        <v>1</v>
      </c>
    </row>
    <row r="4357" spans="1:15">
      <c r="A4357" t="s">
        <v>4383</v>
      </c>
      <c r="B4357" t="s">
        <v>29</v>
      </c>
      <c r="C4357">
        <v>0</v>
      </c>
      <c r="D4357">
        <v>9045932</v>
      </c>
      <c r="E4357">
        <v>3</v>
      </c>
      <c r="F4357">
        <v>20</v>
      </c>
      <c r="G4357">
        <v>468</v>
      </c>
      <c r="H4357">
        <v>7910936</v>
      </c>
      <c r="I4357">
        <v>551276</v>
      </c>
      <c r="J4357" t="s">
        <v>17</v>
      </c>
      <c r="K4357" t="s">
        <v>22</v>
      </c>
      <c r="L4357">
        <v>5</v>
      </c>
      <c r="M4357">
        <v>93.03</v>
      </c>
      <c r="N4357">
        <v>838657</v>
      </c>
      <c r="O4357">
        <v>1</v>
      </c>
    </row>
    <row r="4358" spans="1:15">
      <c r="A4358" t="s">
        <v>4384</v>
      </c>
      <c r="B4358" t="s">
        <v>27</v>
      </c>
      <c r="C4358">
        <v>2</v>
      </c>
      <c r="D4358">
        <v>14882156</v>
      </c>
      <c r="E4358">
        <v>3</v>
      </c>
      <c r="F4358">
        <v>19</v>
      </c>
      <c r="G4358">
        <v>124</v>
      </c>
      <c r="H4358">
        <v>41801556</v>
      </c>
      <c r="I4358">
        <v>109026</v>
      </c>
      <c r="J4358" t="s">
        <v>21</v>
      </c>
      <c r="K4358" t="s">
        <v>22</v>
      </c>
      <c r="L4358">
        <v>2</v>
      </c>
      <c r="M4358">
        <v>51.37</v>
      </c>
      <c r="N4358">
        <v>492330</v>
      </c>
      <c r="O4358">
        <v>1</v>
      </c>
    </row>
    <row r="4359" spans="1:15">
      <c r="A4359" t="s">
        <v>4385</v>
      </c>
      <c r="B4359" t="s">
        <v>16</v>
      </c>
      <c r="C4359">
        <v>7</v>
      </c>
      <c r="D4359">
        <v>21944688</v>
      </c>
      <c r="E4359">
        <v>1</v>
      </c>
      <c r="F4359">
        <v>0</v>
      </c>
      <c r="G4359">
        <v>700</v>
      </c>
      <c r="H4359">
        <v>65503697</v>
      </c>
      <c r="I4359">
        <v>457958</v>
      </c>
      <c r="J4359" t="s">
        <v>17</v>
      </c>
      <c r="K4359" t="s">
        <v>30</v>
      </c>
      <c r="L4359">
        <v>4</v>
      </c>
      <c r="M4359">
        <v>1.35</v>
      </c>
      <c r="N4359">
        <v>46777</v>
      </c>
      <c r="O4359">
        <v>1</v>
      </c>
    </row>
    <row r="4360" spans="1:15">
      <c r="A4360" t="s">
        <v>4386</v>
      </c>
      <c r="B4360" t="s">
        <v>29</v>
      </c>
      <c r="C4360">
        <v>13</v>
      </c>
      <c r="D4360">
        <v>19833211</v>
      </c>
      <c r="E4360">
        <v>2</v>
      </c>
      <c r="F4360">
        <v>22</v>
      </c>
      <c r="G4360">
        <v>576</v>
      </c>
      <c r="H4360">
        <v>86601100</v>
      </c>
      <c r="I4360">
        <v>807307</v>
      </c>
      <c r="J4360" t="s">
        <v>17</v>
      </c>
      <c r="K4360" t="s">
        <v>22</v>
      </c>
      <c r="L4360">
        <v>7</v>
      </c>
      <c r="M4360">
        <v>68.31</v>
      </c>
      <c r="N4360">
        <v>304667</v>
      </c>
      <c r="O4360">
        <v>1</v>
      </c>
    </row>
    <row r="4361" spans="1:15">
      <c r="A4361" t="s">
        <v>4387</v>
      </c>
      <c r="B4361" t="s">
        <v>27</v>
      </c>
      <c r="C4361">
        <v>3</v>
      </c>
      <c r="D4361">
        <v>43860732</v>
      </c>
      <c r="E4361">
        <v>3</v>
      </c>
      <c r="F4361">
        <v>15</v>
      </c>
      <c r="G4361">
        <v>62</v>
      </c>
      <c r="H4361">
        <v>46699670</v>
      </c>
      <c r="I4361">
        <v>934562</v>
      </c>
      <c r="J4361" t="s">
        <v>17</v>
      </c>
      <c r="K4361" t="s">
        <v>22</v>
      </c>
      <c r="L4361">
        <v>4</v>
      </c>
      <c r="M4361">
        <v>2.77</v>
      </c>
      <c r="N4361">
        <v>420651</v>
      </c>
      <c r="O4361">
        <v>1</v>
      </c>
    </row>
    <row r="4362" spans="1:15">
      <c r="A4362" t="s">
        <v>4388</v>
      </c>
      <c r="B4362" t="s">
        <v>38</v>
      </c>
      <c r="C4362">
        <v>3</v>
      </c>
      <c r="D4362">
        <v>26719953</v>
      </c>
      <c r="E4362">
        <v>2</v>
      </c>
      <c r="F4362">
        <v>23</v>
      </c>
      <c r="G4362">
        <v>359</v>
      </c>
      <c r="H4362">
        <v>99076114</v>
      </c>
      <c r="I4362">
        <v>932379</v>
      </c>
      <c r="J4362" t="s">
        <v>21</v>
      </c>
      <c r="K4362" t="s">
        <v>30</v>
      </c>
      <c r="L4362">
        <v>4</v>
      </c>
      <c r="M4362">
        <v>89.48</v>
      </c>
      <c r="N4362">
        <v>556985</v>
      </c>
      <c r="O4362">
        <v>1</v>
      </c>
    </row>
    <row r="4363" spans="1:15">
      <c r="A4363" t="s">
        <v>4389</v>
      </c>
      <c r="B4363" t="s">
        <v>16</v>
      </c>
      <c r="C4363">
        <v>4</v>
      </c>
      <c r="D4363">
        <v>24794389</v>
      </c>
      <c r="E4363">
        <v>4</v>
      </c>
      <c r="F4363">
        <v>24</v>
      </c>
      <c r="G4363">
        <v>948</v>
      </c>
      <c r="H4363">
        <v>59370727</v>
      </c>
      <c r="I4363">
        <v>69114</v>
      </c>
      <c r="J4363" t="s">
        <v>25</v>
      </c>
      <c r="K4363" t="s">
        <v>18</v>
      </c>
      <c r="L4363">
        <v>5</v>
      </c>
      <c r="M4363">
        <v>79.430000000000007</v>
      </c>
      <c r="N4363">
        <v>156070</v>
      </c>
      <c r="O4363">
        <v>1</v>
      </c>
    </row>
    <row r="4364" spans="1:15">
      <c r="A4364" t="s">
        <v>4390</v>
      </c>
      <c r="B4364" t="s">
        <v>32</v>
      </c>
      <c r="C4364">
        <v>5</v>
      </c>
      <c r="D4364">
        <v>19649863</v>
      </c>
      <c r="E4364">
        <v>2</v>
      </c>
      <c r="F4364">
        <v>6</v>
      </c>
      <c r="G4364">
        <v>385</v>
      </c>
      <c r="H4364">
        <v>4911291</v>
      </c>
      <c r="I4364">
        <v>24591</v>
      </c>
      <c r="J4364" t="s">
        <v>25</v>
      </c>
      <c r="K4364" t="s">
        <v>30</v>
      </c>
      <c r="L4364">
        <v>7</v>
      </c>
      <c r="M4364">
        <v>90.98</v>
      </c>
      <c r="N4364">
        <v>7200</v>
      </c>
      <c r="O4364">
        <v>1</v>
      </c>
    </row>
    <row r="4365" spans="1:15">
      <c r="A4365" t="s">
        <v>4391</v>
      </c>
      <c r="B4365" t="s">
        <v>16</v>
      </c>
      <c r="C4365">
        <v>7</v>
      </c>
      <c r="D4365">
        <v>40905888</v>
      </c>
      <c r="E4365">
        <v>1</v>
      </c>
      <c r="F4365">
        <v>22</v>
      </c>
      <c r="G4365">
        <v>407</v>
      </c>
      <c r="H4365">
        <v>42493590</v>
      </c>
      <c r="I4365">
        <v>501586</v>
      </c>
      <c r="J4365" t="s">
        <v>25</v>
      </c>
      <c r="K4365" t="s">
        <v>18</v>
      </c>
      <c r="L4365">
        <v>7</v>
      </c>
      <c r="M4365">
        <v>23.64</v>
      </c>
      <c r="N4365">
        <v>956814</v>
      </c>
      <c r="O4365">
        <v>1</v>
      </c>
    </row>
    <row r="4366" spans="1:15">
      <c r="A4366" t="s">
        <v>4392</v>
      </c>
      <c r="B4366" t="s">
        <v>20</v>
      </c>
      <c r="C4366">
        <v>10</v>
      </c>
      <c r="D4366">
        <v>5029039</v>
      </c>
      <c r="E4366">
        <v>4</v>
      </c>
      <c r="F4366">
        <v>6</v>
      </c>
      <c r="G4366">
        <v>51</v>
      </c>
      <c r="H4366">
        <v>44122441</v>
      </c>
      <c r="I4366">
        <v>519895</v>
      </c>
      <c r="J4366" t="s">
        <v>21</v>
      </c>
      <c r="K4366" t="s">
        <v>18</v>
      </c>
      <c r="L4366">
        <v>5</v>
      </c>
      <c r="M4366">
        <v>0.92</v>
      </c>
      <c r="N4366">
        <v>604737</v>
      </c>
      <c r="O4366">
        <v>1</v>
      </c>
    </row>
    <row r="4367" spans="1:15">
      <c r="A4367" t="s">
        <v>4393</v>
      </c>
      <c r="B4367" t="s">
        <v>38</v>
      </c>
      <c r="C4367">
        <v>3</v>
      </c>
      <c r="D4367">
        <v>41609420</v>
      </c>
      <c r="E4367">
        <v>2</v>
      </c>
      <c r="F4367">
        <v>17</v>
      </c>
      <c r="G4367">
        <v>974</v>
      </c>
      <c r="H4367">
        <v>3189064</v>
      </c>
      <c r="I4367">
        <v>499949</v>
      </c>
      <c r="J4367" t="s">
        <v>25</v>
      </c>
      <c r="K4367" t="s">
        <v>30</v>
      </c>
      <c r="L4367">
        <v>4</v>
      </c>
      <c r="M4367">
        <v>40.15</v>
      </c>
      <c r="N4367">
        <v>572879</v>
      </c>
      <c r="O4367">
        <v>1</v>
      </c>
    </row>
    <row r="4368" spans="1:15">
      <c r="A4368" t="s">
        <v>4394</v>
      </c>
      <c r="B4368" t="s">
        <v>16</v>
      </c>
      <c r="C4368">
        <v>13</v>
      </c>
      <c r="D4368">
        <v>16156066</v>
      </c>
      <c r="E4368">
        <v>2</v>
      </c>
      <c r="F4368">
        <v>8</v>
      </c>
      <c r="G4368">
        <v>785</v>
      </c>
      <c r="H4368">
        <v>76596747</v>
      </c>
      <c r="I4368">
        <v>348408</v>
      </c>
      <c r="J4368" t="s">
        <v>21</v>
      </c>
      <c r="K4368" t="s">
        <v>30</v>
      </c>
      <c r="L4368">
        <v>1</v>
      </c>
      <c r="M4368">
        <v>14.48</v>
      </c>
      <c r="N4368">
        <v>501116</v>
      </c>
      <c r="O4368">
        <v>1</v>
      </c>
    </row>
    <row r="4369" spans="1:15">
      <c r="A4369" t="s">
        <v>4395</v>
      </c>
      <c r="B4369" t="s">
        <v>27</v>
      </c>
      <c r="C4369">
        <v>3</v>
      </c>
      <c r="D4369">
        <v>46067983</v>
      </c>
      <c r="E4369">
        <v>1</v>
      </c>
      <c r="F4369">
        <v>21</v>
      </c>
      <c r="G4369">
        <v>310</v>
      </c>
      <c r="H4369">
        <v>14752416</v>
      </c>
      <c r="I4369">
        <v>361024</v>
      </c>
      <c r="J4369" t="s">
        <v>25</v>
      </c>
      <c r="K4369" t="s">
        <v>30</v>
      </c>
      <c r="L4369">
        <v>8</v>
      </c>
      <c r="M4369">
        <v>7.1</v>
      </c>
      <c r="N4369">
        <v>521291</v>
      </c>
      <c r="O4369">
        <v>1</v>
      </c>
    </row>
    <row r="4370" spans="1:15">
      <c r="A4370" t="s">
        <v>4396</v>
      </c>
      <c r="B4370" t="s">
        <v>16</v>
      </c>
      <c r="C4370">
        <v>8</v>
      </c>
      <c r="D4370">
        <v>256216</v>
      </c>
      <c r="E4370">
        <v>1</v>
      </c>
      <c r="F4370">
        <v>25</v>
      </c>
      <c r="G4370">
        <v>414</v>
      </c>
      <c r="H4370">
        <v>3663528</v>
      </c>
      <c r="I4370">
        <v>837655</v>
      </c>
      <c r="J4370" t="s">
        <v>21</v>
      </c>
      <c r="K4370" t="s">
        <v>30</v>
      </c>
      <c r="L4370">
        <v>2</v>
      </c>
      <c r="M4370">
        <v>79.91</v>
      </c>
      <c r="N4370">
        <v>515651</v>
      </c>
      <c r="O4370">
        <v>1</v>
      </c>
    </row>
    <row r="4371" spans="1:15">
      <c r="A4371" t="s">
        <v>4397</v>
      </c>
      <c r="B4371" t="s">
        <v>20</v>
      </c>
      <c r="C4371">
        <v>1</v>
      </c>
      <c r="D4371">
        <v>8803835</v>
      </c>
      <c r="E4371">
        <v>4</v>
      </c>
      <c r="F4371">
        <v>27</v>
      </c>
      <c r="G4371">
        <v>659</v>
      </c>
      <c r="H4371">
        <v>23716731</v>
      </c>
      <c r="I4371">
        <v>889625</v>
      </c>
      <c r="J4371" t="s">
        <v>25</v>
      </c>
      <c r="K4371" t="s">
        <v>30</v>
      </c>
      <c r="L4371">
        <v>1</v>
      </c>
      <c r="M4371">
        <v>51.95</v>
      </c>
      <c r="N4371">
        <v>575565</v>
      </c>
      <c r="O4371">
        <v>1</v>
      </c>
    </row>
    <row r="4372" spans="1:15">
      <c r="A4372" t="s">
        <v>4398</v>
      </c>
      <c r="B4372" t="s">
        <v>24</v>
      </c>
      <c r="C4372">
        <v>2</v>
      </c>
      <c r="D4372">
        <v>1579414</v>
      </c>
      <c r="E4372">
        <v>1</v>
      </c>
      <c r="F4372">
        <v>25</v>
      </c>
      <c r="G4372">
        <v>20</v>
      </c>
      <c r="H4372">
        <v>68893683</v>
      </c>
      <c r="I4372">
        <v>854217</v>
      </c>
      <c r="J4372" t="s">
        <v>25</v>
      </c>
      <c r="K4372" t="s">
        <v>22</v>
      </c>
      <c r="L4372">
        <v>6</v>
      </c>
      <c r="M4372">
        <v>20.88</v>
      </c>
      <c r="N4372">
        <v>473231</v>
      </c>
      <c r="O4372">
        <v>1</v>
      </c>
    </row>
    <row r="4373" spans="1:15">
      <c r="A4373" t="s">
        <v>4399</v>
      </c>
      <c r="B4373" t="s">
        <v>38</v>
      </c>
      <c r="C4373">
        <v>6</v>
      </c>
      <c r="D4373">
        <v>49946259</v>
      </c>
      <c r="E4373">
        <v>1</v>
      </c>
      <c r="F4373">
        <v>25</v>
      </c>
      <c r="G4373">
        <v>68</v>
      </c>
      <c r="H4373">
        <v>62804002</v>
      </c>
      <c r="I4373">
        <v>970396</v>
      </c>
      <c r="J4373" t="s">
        <v>25</v>
      </c>
      <c r="K4373" t="s">
        <v>18</v>
      </c>
      <c r="L4373">
        <v>5</v>
      </c>
      <c r="M4373">
        <v>24.37</v>
      </c>
      <c r="N4373">
        <v>886242</v>
      </c>
      <c r="O4373">
        <v>1</v>
      </c>
    </row>
    <row r="4374" spans="1:15">
      <c r="A4374" t="s">
        <v>4400</v>
      </c>
      <c r="B4374" t="s">
        <v>32</v>
      </c>
      <c r="C4374">
        <v>3</v>
      </c>
      <c r="D4374">
        <v>20915930</v>
      </c>
      <c r="E4374">
        <v>3</v>
      </c>
      <c r="F4374">
        <v>12</v>
      </c>
      <c r="G4374">
        <v>390</v>
      </c>
      <c r="H4374">
        <v>96271393</v>
      </c>
      <c r="I4374">
        <v>637860</v>
      </c>
      <c r="J4374" t="s">
        <v>21</v>
      </c>
      <c r="K4374" t="s">
        <v>22</v>
      </c>
      <c r="L4374">
        <v>2</v>
      </c>
      <c r="M4374">
        <v>17.440000000000001</v>
      </c>
      <c r="N4374">
        <v>114440</v>
      </c>
      <c r="O4374">
        <v>1</v>
      </c>
    </row>
    <row r="4375" spans="1:15">
      <c r="A4375" t="s">
        <v>4401</v>
      </c>
      <c r="B4375" t="s">
        <v>27</v>
      </c>
      <c r="C4375">
        <v>12</v>
      </c>
      <c r="D4375">
        <v>661865</v>
      </c>
      <c r="E4375">
        <v>2</v>
      </c>
      <c r="F4375">
        <v>11</v>
      </c>
      <c r="G4375">
        <v>568</v>
      </c>
      <c r="H4375">
        <v>41278193</v>
      </c>
      <c r="I4375">
        <v>63417</v>
      </c>
      <c r="J4375" t="s">
        <v>17</v>
      </c>
      <c r="K4375" t="s">
        <v>22</v>
      </c>
      <c r="L4375">
        <v>3</v>
      </c>
      <c r="M4375">
        <v>19.11</v>
      </c>
      <c r="N4375">
        <v>495269</v>
      </c>
      <c r="O4375">
        <v>1</v>
      </c>
    </row>
    <row r="4376" spans="1:15">
      <c r="A4376" t="s">
        <v>4402</v>
      </c>
      <c r="B4376" t="s">
        <v>24</v>
      </c>
      <c r="C4376">
        <v>7</v>
      </c>
      <c r="D4376">
        <v>42653229</v>
      </c>
      <c r="E4376">
        <v>2</v>
      </c>
      <c r="F4376">
        <v>10</v>
      </c>
      <c r="G4376">
        <v>188</v>
      </c>
      <c r="H4376">
        <v>51084309</v>
      </c>
      <c r="I4376">
        <v>356837</v>
      </c>
      <c r="J4376" t="s">
        <v>21</v>
      </c>
      <c r="K4376" t="s">
        <v>22</v>
      </c>
      <c r="L4376">
        <v>3</v>
      </c>
      <c r="M4376">
        <v>52.2</v>
      </c>
      <c r="N4376">
        <v>240995</v>
      </c>
      <c r="O4376">
        <v>1</v>
      </c>
    </row>
    <row r="4377" spans="1:15">
      <c r="A4377" t="s">
        <v>4403</v>
      </c>
      <c r="B4377" t="s">
        <v>27</v>
      </c>
      <c r="C4377">
        <v>6</v>
      </c>
      <c r="D4377">
        <v>5572466</v>
      </c>
      <c r="E4377">
        <v>4</v>
      </c>
      <c r="F4377">
        <v>3</v>
      </c>
      <c r="G4377">
        <v>26</v>
      </c>
      <c r="H4377">
        <v>27999539</v>
      </c>
      <c r="I4377">
        <v>393941</v>
      </c>
      <c r="J4377" t="s">
        <v>25</v>
      </c>
      <c r="K4377" t="s">
        <v>22</v>
      </c>
      <c r="L4377">
        <v>3</v>
      </c>
      <c r="M4377">
        <v>94.15</v>
      </c>
      <c r="N4377">
        <v>893225</v>
      </c>
      <c r="O4377">
        <v>1</v>
      </c>
    </row>
    <row r="4378" spans="1:15">
      <c r="A4378" t="s">
        <v>4404</v>
      </c>
      <c r="B4378" t="s">
        <v>27</v>
      </c>
      <c r="C4378">
        <v>11</v>
      </c>
      <c r="D4378">
        <v>40503411</v>
      </c>
      <c r="E4378">
        <v>3</v>
      </c>
      <c r="F4378">
        <v>23</v>
      </c>
      <c r="G4378">
        <v>767</v>
      </c>
      <c r="H4378">
        <v>65781507</v>
      </c>
      <c r="I4378">
        <v>525175</v>
      </c>
      <c r="J4378" t="s">
        <v>21</v>
      </c>
      <c r="K4378" t="s">
        <v>30</v>
      </c>
      <c r="L4378">
        <v>3</v>
      </c>
      <c r="M4378">
        <v>3.15</v>
      </c>
      <c r="N4378">
        <v>898884</v>
      </c>
      <c r="O4378">
        <v>1</v>
      </c>
    </row>
    <row r="4379" spans="1:15">
      <c r="A4379" t="s">
        <v>4405</v>
      </c>
      <c r="B4379" t="s">
        <v>16</v>
      </c>
      <c r="C4379">
        <v>2</v>
      </c>
      <c r="D4379">
        <v>29365989</v>
      </c>
      <c r="E4379">
        <v>2</v>
      </c>
      <c r="F4379">
        <v>22</v>
      </c>
      <c r="G4379">
        <v>972</v>
      </c>
      <c r="H4379">
        <v>23161452</v>
      </c>
      <c r="I4379">
        <v>986302</v>
      </c>
      <c r="J4379" t="s">
        <v>25</v>
      </c>
      <c r="K4379" t="s">
        <v>22</v>
      </c>
      <c r="L4379">
        <v>1</v>
      </c>
      <c r="M4379">
        <v>18.91</v>
      </c>
      <c r="N4379">
        <v>22292</v>
      </c>
      <c r="O4379">
        <v>1</v>
      </c>
    </row>
    <row r="4380" spans="1:15">
      <c r="A4380" t="s">
        <v>4406</v>
      </c>
      <c r="B4380" t="s">
        <v>24</v>
      </c>
      <c r="C4380">
        <v>0</v>
      </c>
      <c r="D4380">
        <v>26179015</v>
      </c>
      <c r="E4380">
        <v>3</v>
      </c>
      <c r="F4380">
        <v>13</v>
      </c>
      <c r="G4380">
        <v>412</v>
      </c>
      <c r="H4380">
        <v>22986793</v>
      </c>
      <c r="I4380">
        <v>270790</v>
      </c>
      <c r="J4380" t="s">
        <v>21</v>
      </c>
      <c r="K4380" t="s">
        <v>22</v>
      </c>
      <c r="L4380">
        <v>5</v>
      </c>
      <c r="M4380">
        <v>52.47</v>
      </c>
      <c r="N4380">
        <v>931785</v>
      </c>
      <c r="O4380">
        <v>1</v>
      </c>
    </row>
    <row r="4381" spans="1:15">
      <c r="A4381" t="s">
        <v>4407</v>
      </c>
      <c r="B4381" t="s">
        <v>32</v>
      </c>
      <c r="C4381">
        <v>2</v>
      </c>
      <c r="D4381">
        <v>44963808</v>
      </c>
      <c r="E4381">
        <v>4</v>
      </c>
      <c r="F4381">
        <v>0</v>
      </c>
      <c r="G4381">
        <v>133</v>
      </c>
      <c r="H4381">
        <v>17031147</v>
      </c>
      <c r="I4381">
        <v>364891</v>
      </c>
      <c r="J4381" t="s">
        <v>21</v>
      </c>
      <c r="K4381" t="s">
        <v>18</v>
      </c>
      <c r="L4381">
        <v>9</v>
      </c>
      <c r="M4381">
        <v>22.73</v>
      </c>
      <c r="N4381">
        <v>127476</v>
      </c>
      <c r="O4381">
        <v>1</v>
      </c>
    </row>
    <row r="4382" spans="1:15">
      <c r="A4382" t="s">
        <v>4408</v>
      </c>
      <c r="B4382" t="s">
        <v>38</v>
      </c>
      <c r="C4382">
        <v>8</v>
      </c>
      <c r="D4382">
        <v>24641169</v>
      </c>
      <c r="E4382">
        <v>2</v>
      </c>
      <c r="F4382">
        <v>4</v>
      </c>
      <c r="G4382">
        <v>114</v>
      </c>
      <c r="H4382">
        <v>91186346</v>
      </c>
      <c r="I4382">
        <v>428835</v>
      </c>
      <c r="J4382" t="s">
        <v>21</v>
      </c>
      <c r="K4382" t="s">
        <v>18</v>
      </c>
      <c r="L4382">
        <v>2</v>
      </c>
      <c r="M4382">
        <v>43.62</v>
      </c>
      <c r="N4382">
        <v>337953</v>
      </c>
      <c r="O4382">
        <v>1</v>
      </c>
    </row>
    <row r="4383" spans="1:15">
      <c r="A4383" t="s">
        <v>4409</v>
      </c>
      <c r="B4383" t="s">
        <v>16</v>
      </c>
      <c r="C4383">
        <v>4</v>
      </c>
      <c r="D4383">
        <v>1564322</v>
      </c>
      <c r="E4383">
        <v>2</v>
      </c>
      <c r="F4383">
        <v>20</v>
      </c>
      <c r="G4383">
        <v>903</v>
      </c>
      <c r="H4383">
        <v>33782340</v>
      </c>
      <c r="I4383">
        <v>332420</v>
      </c>
      <c r="J4383" t="s">
        <v>21</v>
      </c>
      <c r="K4383" t="s">
        <v>18</v>
      </c>
      <c r="L4383">
        <v>1</v>
      </c>
      <c r="M4383">
        <v>78.06</v>
      </c>
      <c r="N4383">
        <v>191289</v>
      </c>
      <c r="O4383">
        <v>1</v>
      </c>
    </row>
    <row r="4384" spans="1:15">
      <c r="A4384" t="s">
        <v>4410</v>
      </c>
      <c r="B4384" t="s">
        <v>16</v>
      </c>
      <c r="C4384">
        <v>13</v>
      </c>
      <c r="D4384">
        <v>10756767</v>
      </c>
      <c r="E4384">
        <v>1</v>
      </c>
      <c r="F4384">
        <v>20</v>
      </c>
      <c r="G4384">
        <v>978</v>
      </c>
      <c r="H4384">
        <v>40157094</v>
      </c>
      <c r="I4384">
        <v>352355</v>
      </c>
      <c r="J4384" t="s">
        <v>25</v>
      </c>
      <c r="K4384" t="s">
        <v>18</v>
      </c>
      <c r="L4384">
        <v>6</v>
      </c>
      <c r="M4384">
        <v>78.95</v>
      </c>
      <c r="N4384">
        <v>119813</v>
      </c>
      <c r="O4384">
        <v>1</v>
      </c>
    </row>
    <row r="4385" spans="1:15">
      <c r="A4385" t="s">
        <v>4411</v>
      </c>
      <c r="B4385" t="s">
        <v>29</v>
      </c>
      <c r="C4385">
        <v>11</v>
      </c>
      <c r="D4385">
        <v>10675350</v>
      </c>
      <c r="E4385">
        <v>3</v>
      </c>
      <c r="F4385">
        <v>28</v>
      </c>
      <c r="G4385">
        <v>662</v>
      </c>
      <c r="H4385">
        <v>36215730</v>
      </c>
      <c r="I4385">
        <v>602921</v>
      </c>
      <c r="J4385" t="s">
        <v>17</v>
      </c>
      <c r="K4385" t="s">
        <v>30</v>
      </c>
      <c r="L4385">
        <v>8</v>
      </c>
      <c r="M4385">
        <v>84.54</v>
      </c>
      <c r="N4385">
        <v>617741</v>
      </c>
      <c r="O4385">
        <v>1</v>
      </c>
    </row>
    <row r="4386" spans="1:15">
      <c r="A4386" t="s">
        <v>4412</v>
      </c>
      <c r="B4386" t="s">
        <v>16</v>
      </c>
      <c r="C4386">
        <v>9</v>
      </c>
      <c r="D4386">
        <v>13811188</v>
      </c>
      <c r="E4386">
        <v>4</v>
      </c>
      <c r="F4386">
        <v>11</v>
      </c>
      <c r="G4386">
        <v>236</v>
      </c>
      <c r="H4386">
        <v>74673960</v>
      </c>
      <c r="I4386">
        <v>709576</v>
      </c>
      <c r="J4386" t="s">
        <v>21</v>
      </c>
      <c r="K4386" t="s">
        <v>22</v>
      </c>
      <c r="L4386">
        <v>3</v>
      </c>
      <c r="M4386">
        <v>17.68</v>
      </c>
      <c r="N4386">
        <v>994314</v>
      </c>
      <c r="O4386">
        <v>1</v>
      </c>
    </row>
    <row r="4387" spans="1:15">
      <c r="A4387" t="s">
        <v>4413</v>
      </c>
      <c r="B4387" t="s">
        <v>20</v>
      </c>
      <c r="C4387">
        <v>5</v>
      </c>
      <c r="D4387">
        <v>5417394</v>
      </c>
      <c r="E4387">
        <v>3</v>
      </c>
      <c r="F4387">
        <v>2</v>
      </c>
      <c r="G4387">
        <v>162</v>
      </c>
      <c r="H4387">
        <v>74298977</v>
      </c>
      <c r="I4387">
        <v>503293</v>
      </c>
      <c r="J4387" t="s">
        <v>21</v>
      </c>
      <c r="K4387" t="s">
        <v>30</v>
      </c>
      <c r="L4387">
        <v>9</v>
      </c>
      <c r="M4387">
        <v>72.77</v>
      </c>
      <c r="N4387">
        <v>231480</v>
      </c>
      <c r="O4387">
        <v>1</v>
      </c>
    </row>
    <row r="4388" spans="1:15">
      <c r="A4388" t="s">
        <v>4414</v>
      </c>
      <c r="B4388" t="s">
        <v>16</v>
      </c>
      <c r="C4388">
        <v>4</v>
      </c>
      <c r="D4388">
        <v>29054474</v>
      </c>
      <c r="E4388">
        <v>2</v>
      </c>
      <c r="F4388">
        <v>10</v>
      </c>
      <c r="G4388">
        <v>353</v>
      </c>
      <c r="H4388">
        <v>40556472</v>
      </c>
      <c r="I4388">
        <v>818967</v>
      </c>
      <c r="J4388" t="s">
        <v>25</v>
      </c>
      <c r="K4388" t="s">
        <v>18</v>
      </c>
      <c r="L4388">
        <v>4</v>
      </c>
      <c r="M4388">
        <v>75.98</v>
      </c>
      <c r="N4388">
        <v>181398</v>
      </c>
      <c r="O4388">
        <v>1</v>
      </c>
    </row>
    <row r="4389" spans="1:15">
      <c r="A4389" t="s">
        <v>4415</v>
      </c>
      <c r="B4389" t="s">
        <v>24</v>
      </c>
      <c r="C4389">
        <v>3</v>
      </c>
      <c r="D4389">
        <v>33486868</v>
      </c>
      <c r="E4389">
        <v>4</v>
      </c>
      <c r="F4389">
        <v>19</v>
      </c>
      <c r="G4389">
        <v>416</v>
      </c>
      <c r="H4389">
        <v>74514536</v>
      </c>
      <c r="I4389">
        <v>697302</v>
      </c>
      <c r="J4389" t="s">
        <v>17</v>
      </c>
      <c r="K4389" t="s">
        <v>22</v>
      </c>
      <c r="L4389">
        <v>9</v>
      </c>
      <c r="M4389">
        <v>65.86</v>
      </c>
      <c r="N4389">
        <v>107572</v>
      </c>
      <c r="O4389">
        <v>1</v>
      </c>
    </row>
    <row r="4390" spans="1:15">
      <c r="A4390" t="s">
        <v>4416</v>
      </c>
      <c r="B4390" t="s">
        <v>16</v>
      </c>
      <c r="C4390">
        <v>12</v>
      </c>
      <c r="D4390">
        <v>6051869</v>
      </c>
      <c r="E4390">
        <v>3</v>
      </c>
      <c r="F4390">
        <v>29</v>
      </c>
      <c r="G4390">
        <v>422</v>
      </c>
      <c r="H4390">
        <v>43360628</v>
      </c>
      <c r="I4390">
        <v>64964</v>
      </c>
      <c r="J4390" t="s">
        <v>21</v>
      </c>
      <c r="K4390" t="s">
        <v>18</v>
      </c>
      <c r="L4390">
        <v>2</v>
      </c>
      <c r="M4390">
        <v>24.17</v>
      </c>
      <c r="N4390">
        <v>767644</v>
      </c>
      <c r="O4390">
        <v>1</v>
      </c>
    </row>
    <row r="4391" spans="1:15">
      <c r="A4391" t="s">
        <v>4417</v>
      </c>
      <c r="B4391" t="s">
        <v>27</v>
      </c>
      <c r="C4391">
        <v>13</v>
      </c>
      <c r="D4391">
        <v>46573013</v>
      </c>
      <c r="E4391">
        <v>3</v>
      </c>
      <c r="F4391">
        <v>6</v>
      </c>
      <c r="G4391">
        <v>687</v>
      </c>
      <c r="H4391">
        <v>62772308</v>
      </c>
      <c r="I4391">
        <v>975121</v>
      </c>
      <c r="J4391" t="s">
        <v>25</v>
      </c>
      <c r="K4391" t="s">
        <v>30</v>
      </c>
      <c r="L4391">
        <v>5</v>
      </c>
      <c r="M4391">
        <v>10.26</v>
      </c>
      <c r="N4391">
        <v>830009</v>
      </c>
      <c r="O4391">
        <v>1</v>
      </c>
    </row>
    <row r="4392" spans="1:15">
      <c r="A4392" t="s">
        <v>4418</v>
      </c>
      <c r="B4392" t="s">
        <v>20</v>
      </c>
      <c r="C4392">
        <v>12</v>
      </c>
      <c r="D4392">
        <v>36147749</v>
      </c>
      <c r="E4392">
        <v>1</v>
      </c>
      <c r="F4392">
        <v>2</v>
      </c>
      <c r="G4392">
        <v>132</v>
      </c>
      <c r="H4392">
        <v>17999897</v>
      </c>
      <c r="I4392">
        <v>914634</v>
      </c>
      <c r="J4392" t="s">
        <v>21</v>
      </c>
      <c r="K4392" t="s">
        <v>18</v>
      </c>
      <c r="L4392">
        <v>5</v>
      </c>
      <c r="M4392">
        <v>7.36</v>
      </c>
      <c r="N4392">
        <v>679710</v>
      </c>
      <c r="O4392">
        <v>1</v>
      </c>
    </row>
    <row r="4393" spans="1:15">
      <c r="A4393" t="s">
        <v>4419</v>
      </c>
      <c r="B4393" t="s">
        <v>27</v>
      </c>
      <c r="C4393">
        <v>5</v>
      </c>
      <c r="D4393">
        <v>5264515</v>
      </c>
      <c r="E4393">
        <v>2</v>
      </c>
      <c r="F4393">
        <v>15</v>
      </c>
      <c r="G4393">
        <v>553</v>
      </c>
      <c r="H4393">
        <v>27277978</v>
      </c>
      <c r="I4393">
        <v>642711</v>
      </c>
      <c r="J4393" t="s">
        <v>17</v>
      </c>
      <c r="K4393" t="s">
        <v>22</v>
      </c>
      <c r="L4393">
        <v>1</v>
      </c>
      <c r="M4393">
        <v>57.73</v>
      </c>
      <c r="N4393">
        <v>84919</v>
      </c>
      <c r="O4393">
        <v>1</v>
      </c>
    </row>
    <row r="4394" spans="1:15">
      <c r="A4394" t="s">
        <v>4420</v>
      </c>
      <c r="B4394" t="s">
        <v>32</v>
      </c>
      <c r="C4394">
        <v>5</v>
      </c>
      <c r="D4394">
        <v>42819209</v>
      </c>
      <c r="E4394">
        <v>1</v>
      </c>
      <c r="F4394">
        <v>5</v>
      </c>
      <c r="G4394">
        <v>37</v>
      </c>
      <c r="H4394">
        <v>38682164</v>
      </c>
      <c r="I4394">
        <v>602100</v>
      </c>
      <c r="J4394" t="s">
        <v>17</v>
      </c>
      <c r="K4394" t="s">
        <v>22</v>
      </c>
      <c r="L4394">
        <v>4</v>
      </c>
      <c r="M4394">
        <v>16.05</v>
      </c>
      <c r="N4394">
        <v>951332</v>
      </c>
      <c r="O4394">
        <v>1</v>
      </c>
    </row>
    <row r="4395" spans="1:15">
      <c r="A4395" t="s">
        <v>4421</v>
      </c>
      <c r="B4395" t="s">
        <v>16</v>
      </c>
      <c r="C4395">
        <v>2</v>
      </c>
      <c r="D4395">
        <v>28013061</v>
      </c>
      <c r="E4395">
        <v>3</v>
      </c>
      <c r="F4395">
        <v>25</v>
      </c>
      <c r="G4395">
        <v>740</v>
      </c>
      <c r="H4395">
        <v>84295313</v>
      </c>
      <c r="I4395">
        <v>718848</v>
      </c>
      <c r="J4395" t="s">
        <v>25</v>
      </c>
      <c r="K4395" t="s">
        <v>18</v>
      </c>
      <c r="L4395">
        <v>6</v>
      </c>
      <c r="M4395">
        <v>49.94</v>
      </c>
      <c r="N4395">
        <v>278462</v>
      </c>
      <c r="O4395">
        <v>1</v>
      </c>
    </row>
    <row r="4396" spans="1:15">
      <c r="A4396" t="s">
        <v>4422</v>
      </c>
      <c r="B4396" t="s">
        <v>16</v>
      </c>
      <c r="C4396">
        <v>12</v>
      </c>
      <c r="D4396">
        <v>14170251</v>
      </c>
      <c r="E4396">
        <v>3</v>
      </c>
      <c r="F4396">
        <v>27</v>
      </c>
      <c r="G4396">
        <v>796</v>
      </c>
      <c r="H4396">
        <v>37223888</v>
      </c>
      <c r="I4396">
        <v>596062</v>
      </c>
      <c r="J4396" t="s">
        <v>25</v>
      </c>
      <c r="K4396" t="s">
        <v>30</v>
      </c>
      <c r="L4396">
        <v>5</v>
      </c>
      <c r="M4396">
        <v>80.08</v>
      </c>
      <c r="N4396">
        <v>228325</v>
      </c>
      <c r="O4396">
        <v>1</v>
      </c>
    </row>
    <row r="4397" spans="1:15">
      <c r="A4397" t="s">
        <v>4423</v>
      </c>
      <c r="B4397" t="s">
        <v>32</v>
      </c>
      <c r="C4397">
        <v>13</v>
      </c>
      <c r="D4397">
        <v>2006058</v>
      </c>
      <c r="E4397">
        <v>3</v>
      </c>
      <c r="F4397">
        <v>3</v>
      </c>
      <c r="G4397">
        <v>169</v>
      </c>
      <c r="H4397">
        <v>1764719</v>
      </c>
      <c r="I4397">
        <v>464949</v>
      </c>
      <c r="J4397" t="s">
        <v>25</v>
      </c>
      <c r="K4397" t="s">
        <v>30</v>
      </c>
      <c r="L4397">
        <v>9</v>
      </c>
      <c r="M4397">
        <v>85.71</v>
      </c>
      <c r="N4397">
        <v>681212</v>
      </c>
      <c r="O4397">
        <v>1</v>
      </c>
    </row>
    <row r="4398" spans="1:15">
      <c r="A4398" t="s">
        <v>4424</v>
      </c>
      <c r="B4398" t="s">
        <v>38</v>
      </c>
      <c r="C4398">
        <v>13</v>
      </c>
      <c r="D4398">
        <v>16352724</v>
      </c>
      <c r="E4398">
        <v>2</v>
      </c>
      <c r="F4398">
        <v>20</v>
      </c>
      <c r="G4398">
        <v>742</v>
      </c>
      <c r="H4398">
        <v>66179858</v>
      </c>
      <c r="I4398">
        <v>544673</v>
      </c>
      <c r="J4398" t="s">
        <v>21</v>
      </c>
      <c r="K4398" t="s">
        <v>22</v>
      </c>
      <c r="L4398">
        <v>7</v>
      </c>
      <c r="M4398">
        <v>77.040000000000006</v>
      </c>
      <c r="N4398">
        <v>947511</v>
      </c>
      <c r="O4398">
        <v>1</v>
      </c>
    </row>
    <row r="4399" spans="1:15">
      <c r="A4399" t="s">
        <v>4425</v>
      </c>
      <c r="B4399" t="s">
        <v>24</v>
      </c>
      <c r="C4399">
        <v>6</v>
      </c>
      <c r="D4399">
        <v>36860591</v>
      </c>
      <c r="E4399">
        <v>4</v>
      </c>
      <c r="F4399">
        <v>25</v>
      </c>
      <c r="G4399">
        <v>568</v>
      </c>
      <c r="H4399">
        <v>50158689</v>
      </c>
      <c r="I4399">
        <v>728709</v>
      </c>
      <c r="J4399" t="s">
        <v>25</v>
      </c>
      <c r="K4399" t="s">
        <v>30</v>
      </c>
      <c r="L4399">
        <v>9</v>
      </c>
      <c r="M4399">
        <v>41.5</v>
      </c>
      <c r="N4399">
        <v>401632</v>
      </c>
      <c r="O4399">
        <v>1</v>
      </c>
    </row>
    <row r="4400" spans="1:15">
      <c r="A4400" t="s">
        <v>4426</v>
      </c>
      <c r="B4400" t="s">
        <v>24</v>
      </c>
      <c r="C4400">
        <v>9</v>
      </c>
      <c r="D4400">
        <v>31249460</v>
      </c>
      <c r="E4400">
        <v>3</v>
      </c>
      <c r="F4400">
        <v>29</v>
      </c>
      <c r="G4400">
        <v>589</v>
      </c>
      <c r="H4400">
        <v>90837138</v>
      </c>
      <c r="I4400">
        <v>370407</v>
      </c>
      <c r="J4400" t="s">
        <v>17</v>
      </c>
      <c r="K4400" t="s">
        <v>22</v>
      </c>
      <c r="L4400">
        <v>8</v>
      </c>
      <c r="M4400">
        <v>90.27</v>
      </c>
      <c r="N4400">
        <v>736308</v>
      </c>
      <c r="O4400">
        <v>1</v>
      </c>
    </row>
    <row r="4401" spans="1:15">
      <c r="A4401" t="s">
        <v>4427</v>
      </c>
      <c r="B4401" t="s">
        <v>24</v>
      </c>
      <c r="C4401">
        <v>12</v>
      </c>
      <c r="D4401">
        <v>34333664</v>
      </c>
      <c r="E4401">
        <v>4</v>
      </c>
      <c r="F4401">
        <v>23</v>
      </c>
      <c r="G4401">
        <v>150</v>
      </c>
      <c r="H4401">
        <v>85593126</v>
      </c>
      <c r="I4401">
        <v>467106</v>
      </c>
      <c r="J4401" t="s">
        <v>17</v>
      </c>
      <c r="K4401" t="s">
        <v>18</v>
      </c>
      <c r="L4401">
        <v>8</v>
      </c>
      <c r="M4401">
        <v>85.58</v>
      </c>
      <c r="N4401">
        <v>971732</v>
      </c>
      <c r="O4401">
        <v>1</v>
      </c>
    </row>
    <row r="4402" spans="1:15">
      <c r="A4402" t="s">
        <v>4428</v>
      </c>
      <c r="B4402" t="s">
        <v>16</v>
      </c>
      <c r="C4402">
        <v>10</v>
      </c>
      <c r="D4402">
        <v>7987541</v>
      </c>
      <c r="E4402">
        <v>2</v>
      </c>
      <c r="F4402">
        <v>23</v>
      </c>
      <c r="G4402">
        <v>175</v>
      </c>
      <c r="H4402">
        <v>88576106</v>
      </c>
      <c r="I4402">
        <v>774006</v>
      </c>
      <c r="J4402" t="s">
        <v>17</v>
      </c>
      <c r="K4402" t="s">
        <v>30</v>
      </c>
      <c r="L4402">
        <v>2</v>
      </c>
      <c r="M4402">
        <v>51.92</v>
      </c>
      <c r="N4402">
        <v>667162</v>
      </c>
      <c r="O4402">
        <v>1</v>
      </c>
    </row>
    <row r="4403" spans="1:15">
      <c r="A4403" t="s">
        <v>4429</v>
      </c>
      <c r="B4403" t="s">
        <v>29</v>
      </c>
      <c r="C4403">
        <v>9</v>
      </c>
      <c r="D4403">
        <v>22130715</v>
      </c>
      <c r="E4403">
        <v>1</v>
      </c>
      <c r="F4403">
        <v>27</v>
      </c>
      <c r="G4403">
        <v>958</v>
      </c>
      <c r="H4403">
        <v>43119673</v>
      </c>
      <c r="I4403">
        <v>769408</v>
      </c>
      <c r="J4403" t="s">
        <v>25</v>
      </c>
      <c r="K4403" t="s">
        <v>22</v>
      </c>
      <c r="L4403">
        <v>4</v>
      </c>
      <c r="M4403">
        <v>53.17</v>
      </c>
      <c r="N4403">
        <v>260617</v>
      </c>
      <c r="O4403">
        <v>1</v>
      </c>
    </row>
    <row r="4404" spans="1:15">
      <c r="A4404" t="s">
        <v>4430</v>
      </c>
      <c r="B4404" t="s">
        <v>20</v>
      </c>
      <c r="C4404">
        <v>4</v>
      </c>
      <c r="D4404">
        <v>47009877</v>
      </c>
      <c r="E4404">
        <v>2</v>
      </c>
      <c r="F4404">
        <v>12</v>
      </c>
      <c r="G4404">
        <v>851</v>
      </c>
      <c r="H4404">
        <v>35691814</v>
      </c>
      <c r="I4404">
        <v>668836</v>
      </c>
      <c r="J4404" t="s">
        <v>17</v>
      </c>
      <c r="K4404" t="s">
        <v>22</v>
      </c>
      <c r="L4404">
        <v>6</v>
      </c>
      <c r="M4404">
        <v>90.25</v>
      </c>
      <c r="N4404">
        <v>138985</v>
      </c>
      <c r="O4404">
        <v>1</v>
      </c>
    </row>
    <row r="4405" spans="1:15">
      <c r="A4405" t="s">
        <v>4431</v>
      </c>
      <c r="B4405" t="s">
        <v>27</v>
      </c>
      <c r="C4405">
        <v>1</v>
      </c>
      <c r="D4405">
        <v>7413907</v>
      </c>
      <c r="E4405">
        <v>4</v>
      </c>
      <c r="F4405">
        <v>20</v>
      </c>
      <c r="G4405">
        <v>621</v>
      </c>
      <c r="H4405">
        <v>46088622</v>
      </c>
      <c r="I4405">
        <v>287170</v>
      </c>
      <c r="J4405" t="s">
        <v>17</v>
      </c>
      <c r="K4405" t="s">
        <v>22</v>
      </c>
      <c r="L4405">
        <v>5</v>
      </c>
      <c r="M4405">
        <v>90.65</v>
      </c>
      <c r="N4405">
        <v>702373</v>
      </c>
      <c r="O4405">
        <v>1</v>
      </c>
    </row>
    <row r="4406" spans="1:15">
      <c r="A4406" t="s">
        <v>4432</v>
      </c>
      <c r="B4406" t="s">
        <v>24</v>
      </c>
      <c r="C4406">
        <v>14</v>
      </c>
      <c r="D4406">
        <v>3937626</v>
      </c>
      <c r="E4406">
        <v>3</v>
      </c>
      <c r="F4406">
        <v>5</v>
      </c>
      <c r="G4406">
        <v>881</v>
      </c>
      <c r="H4406">
        <v>34087452</v>
      </c>
      <c r="I4406">
        <v>617959</v>
      </c>
      <c r="J4406" t="s">
        <v>21</v>
      </c>
      <c r="K4406" t="s">
        <v>30</v>
      </c>
      <c r="L4406">
        <v>3</v>
      </c>
      <c r="M4406">
        <v>80.22</v>
      </c>
      <c r="N4406">
        <v>853994</v>
      </c>
      <c r="O4406">
        <v>1</v>
      </c>
    </row>
    <row r="4407" spans="1:15">
      <c r="A4407" t="s">
        <v>4433</v>
      </c>
      <c r="B4407" t="s">
        <v>20</v>
      </c>
      <c r="C4407">
        <v>12</v>
      </c>
      <c r="D4407">
        <v>27912528</v>
      </c>
      <c r="E4407">
        <v>4</v>
      </c>
      <c r="F4407">
        <v>5</v>
      </c>
      <c r="G4407">
        <v>763</v>
      </c>
      <c r="H4407">
        <v>97182935</v>
      </c>
      <c r="I4407">
        <v>728165</v>
      </c>
      <c r="J4407" t="s">
        <v>21</v>
      </c>
      <c r="K4407" t="s">
        <v>18</v>
      </c>
      <c r="L4407">
        <v>7</v>
      </c>
      <c r="M4407">
        <v>69.900000000000006</v>
      </c>
      <c r="N4407">
        <v>927570</v>
      </c>
      <c r="O4407">
        <v>1</v>
      </c>
    </row>
    <row r="4408" spans="1:15">
      <c r="A4408" t="s">
        <v>4434</v>
      </c>
      <c r="B4408" t="s">
        <v>27</v>
      </c>
      <c r="C4408">
        <v>3</v>
      </c>
      <c r="D4408">
        <v>22050297</v>
      </c>
      <c r="E4408">
        <v>2</v>
      </c>
      <c r="F4408">
        <v>19</v>
      </c>
      <c r="G4408">
        <v>669</v>
      </c>
      <c r="H4408">
        <v>12589314</v>
      </c>
      <c r="I4408">
        <v>58361</v>
      </c>
      <c r="J4408" t="s">
        <v>25</v>
      </c>
      <c r="K4408" t="s">
        <v>30</v>
      </c>
      <c r="L4408">
        <v>9</v>
      </c>
      <c r="M4408">
        <v>23.52</v>
      </c>
      <c r="N4408">
        <v>745995</v>
      </c>
      <c r="O4408">
        <v>1</v>
      </c>
    </row>
    <row r="4409" spans="1:15">
      <c r="A4409" t="s">
        <v>4435</v>
      </c>
      <c r="B4409" t="s">
        <v>32</v>
      </c>
      <c r="C4409">
        <v>12</v>
      </c>
      <c r="D4409">
        <v>22098058</v>
      </c>
      <c r="E4409">
        <v>1</v>
      </c>
      <c r="F4409">
        <v>0</v>
      </c>
      <c r="G4409">
        <v>669</v>
      </c>
      <c r="H4409">
        <v>99283766</v>
      </c>
      <c r="I4409">
        <v>200152</v>
      </c>
      <c r="J4409" t="s">
        <v>25</v>
      </c>
      <c r="K4409" t="s">
        <v>22</v>
      </c>
      <c r="L4409">
        <v>7</v>
      </c>
      <c r="M4409">
        <v>67.83</v>
      </c>
      <c r="N4409">
        <v>391158</v>
      </c>
      <c r="O4409">
        <v>1</v>
      </c>
    </row>
    <row r="4410" spans="1:15">
      <c r="A4410" t="s">
        <v>4436</v>
      </c>
      <c r="B4410" t="s">
        <v>32</v>
      </c>
      <c r="C4410">
        <v>3</v>
      </c>
      <c r="D4410">
        <v>34598346</v>
      </c>
      <c r="E4410">
        <v>2</v>
      </c>
      <c r="F4410">
        <v>5</v>
      </c>
      <c r="G4410">
        <v>558</v>
      </c>
      <c r="H4410">
        <v>23824115</v>
      </c>
      <c r="I4410">
        <v>534846</v>
      </c>
      <c r="J4410" t="s">
        <v>25</v>
      </c>
      <c r="K4410" t="s">
        <v>22</v>
      </c>
      <c r="L4410">
        <v>5</v>
      </c>
      <c r="M4410">
        <v>20.149999999999999</v>
      </c>
      <c r="N4410">
        <v>753117</v>
      </c>
      <c r="O4410">
        <v>1</v>
      </c>
    </row>
    <row r="4411" spans="1:15">
      <c r="A4411" t="s">
        <v>4437</v>
      </c>
      <c r="B4411" t="s">
        <v>20</v>
      </c>
      <c r="C4411">
        <v>2</v>
      </c>
      <c r="D4411">
        <v>29140053</v>
      </c>
      <c r="E4411">
        <v>3</v>
      </c>
      <c r="F4411">
        <v>10</v>
      </c>
      <c r="G4411">
        <v>873</v>
      </c>
      <c r="H4411">
        <v>38203194</v>
      </c>
      <c r="I4411">
        <v>118690</v>
      </c>
      <c r="J4411" t="s">
        <v>21</v>
      </c>
      <c r="K4411" t="s">
        <v>18</v>
      </c>
      <c r="L4411">
        <v>6</v>
      </c>
      <c r="M4411">
        <v>86.08</v>
      </c>
      <c r="N4411">
        <v>374209</v>
      </c>
      <c r="O4411">
        <v>1</v>
      </c>
    </row>
    <row r="4412" spans="1:15">
      <c r="A4412" t="s">
        <v>4438</v>
      </c>
      <c r="B4412" t="s">
        <v>20</v>
      </c>
      <c r="C4412">
        <v>14</v>
      </c>
      <c r="D4412">
        <v>12998250</v>
      </c>
      <c r="E4412">
        <v>3</v>
      </c>
      <c r="F4412">
        <v>29</v>
      </c>
      <c r="G4412">
        <v>313</v>
      </c>
      <c r="H4412">
        <v>5151797</v>
      </c>
      <c r="I4412">
        <v>366113</v>
      </c>
      <c r="J4412" t="s">
        <v>21</v>
      </c>
      <c r="K4412" t="s">
        <v>22</v>
      </c>
      <c r="L4412">
        <v>1</v>
      </c>
      <c r="M4412">
        <v>5.99</v>
      </c>
      <c r="N4412">
        <v>424733</v>
      </c>
      <c r="O4412">
        <v>1</v>
      </c>
    </row>
    <row r="4413" spans="1:15">
      <c r="A4413" t="s">
        <v>4439</v>
      </c>
      <c r="B4413" t="s">
        <v>32</v>
      </c>
      <c r="C4413">
        <v>3</v>
      </c>
      <c r="D4413">
        <v>26553520</v>
      </c>
      <c r="E4413">
        <v>2</v>
      </c>
      <c r="F4413">
        <v>10</v>
      </c>
      <c r="G4413">
        <v>794</v>
      </c>
      <c r="H4413">
        <v>84692065</v>
      </c>
      <c r="I4413">
        <v>908833</v>
      </c>
      <c r="J4413" t="s">
        <v>17</v>
      </c>
      <c r="K4413" t="s">
        <v>18</v>
      </c>
      <c r="L4413">
        <v>4</v>
      </c>
      <c r="M4413">
        <v>62.84</v>
      </c>
      <c r="N4413">
        <v>67559</v>
      </c>
      <c r="O4413">
        <v>1</v>
      </c>
    </row>
    <row r="4414" spans="1:15">
      <c r="A4414" t="s">
        <v>4440</v>
      </c>
      <c r="B4414" t="s">
        <v>27</v>
      </c>
      <c r="C4414">
        <v>2</v>
      </c>
      <c r="D4414">
        <v>15248648</v>
      </c>
      <c r="E4414">
        <v>3</v>
      </c>
      <c r="F4414">
        <v>1</v>
      </c>
      <c r="G4414">
        <v>48</v>
      </c>
      <c r="H4414">
        <v>78607228</v>
      </c>
      <c r="I4414">
        <v>731712</v>
      </c>
      <c r="J4414" t="s">
        <v>21</v>
      </c>
      <c r="K4414" t="s">
        <v>30</v>
      </c>
      <c r="L4414">
        <v>8</v>
      </c>
      <c r="M4414">
        <v>79.98</v>
      </c>
      <c r="N4414">
        <v>70183</v>
      </c>
      <c r="O4414">
        <v>1</v>
      </c>
    </row>
    <row r="4415" spans="1:15">
      <c r="A4415" t="s">
        <v>4441</v>
      </c>
      <c r="B4415" t="s">
        <v>29</v>
      </c>
      <c r="C4415">
        <v>6</v>
      </c>
      <c r="D4415">
        <v>8790743</v>
      </c>
      <c r="E4415">
        <v>3</v>
      </c>
      <c r="F4415">
        <v>15</v>
      </c>
      <c r="G4415">
        <v>478</v>
      </c>
      <c r="H4415">
        <v>86295195</v>
      </c>
      <c r="I4415">
        <v>536049</v>
      </c>
      <c r="J4415" t="s">
        <v>25</v>
      </c>
      <c r="K4415" t="s">
        <v>18</v>
      </c>
      <c r="L4415">
        <v>7</v>
      </c>
      <c r="M4415">
        <v>3.17</v>
      </c>
      <c r="N4415">
        <v>149310</v>
      </c>
      <c r="O4415">
        <v>1</v>
      </c>
    </row>
    <row r="4416" spans="1:15">
      <c r="A4416" t="s">
        <v>4442</v>
      </c>
      <c r="B4416" t="s">
        <v>32</v>
      </c>
      <c r="C4416">
        <v>6</v>
      </c>
      <c r="D4416">
        <v>13005942</v>
      </c>
      <c r="E4416">
        <v>3</v>
      </c>
      <c r="F4416">
        <v>24</v>
      </c>
      <c r="G4416">
        <v>449</v>
      </c>
      <c r="H4416">
        <v>81086439</v>
      </c>
      <c r="I4416">
        <v>307353</v>
      </c>
      <c r="J4416" t="s">
        <v>21</v>
      </c>
      <c r="K4416" t="s">
        <v>30</v>
      </c>
      <c r="L4416">
        <v>4</v>
      </c>
      <c r="M4416">
        <v>60.99</v>
      </c>
      <c r="N4416">
        <v>138996</v>
      </c>
      <c r="O4416">
        <v>1</v>
      </c>
    </row>
    <row r="4417" spans="1:15">
      <c r="A4417" t="s">
        <v>4443</v>
      </c>
      <c r="B4417" t="s">
        <v>29</v>
      </c>
      <c r="C4417">
        <v>0</v>
      </c>
      <c r="D4417">
        <v>26966904</v>
      </c>
      <c r="E4417">
        <v>4</v>
      </c>
      <c r="F4417">
        <v>0</v>
      </c>
      <c r="G4417">
        <v>57</v>
      </c>
      <c r="H4417">
        <v>22898184</v>
      </c>
      <c r="I4417">
        <v>272351</v>
      </c>
      <c r="J4417" t="s">
        <v>17</v>
      </c>
      <c r="K4417" t="s">
        <v>30</v>
      </c>
      <c r="L4417">
        <v>4</v>
      </c>
      <c r="M4417">
        <v>66.72</v>
      </c>
      <c r="N4417">
        <v>675476</v>
      </c>
      <c r="O4417">
        <v>1</v>
      </c>
    </row>
    <row r="4418" spans="1:15">
      <c r="A4418" t="s">
        <v>4444</v>
      </c>
      <c r="B4418" t="s">
        <v>20</v>
      </c>
      <c r="C4418">
        <v>14</v>
      </c>
      <c r="D4418">
        <v>22124638</v>
      </c>
      <c r="E4418">
        <v>3</v>
      </c>
      <c r="F4418">
        <v>28</v>
      </c>
      <c r="G4418">
        <v>197</v>
      </c>
      <c r="H4418">
        <v>74173506</v>
      </c>
      <c r="I4418">
        <v>541835</v>
      </c>
      <c r="J4418" t="s">
        <v>25</v>
      </c>
      <c r="K4418" t="s">
        <v>22</v>
      </c>
      <c r="L4418">
        <v>8</v>
      </c>
      <c r="M4418">
        <v>80.260000000000005</v>
      </c>
      <c r="N4418">
        <v>219904</v>
      </c>
      <c r="O4418">
        <v>1</v>
      </c>
    </row>
    <row r="4419" spans="1:15">
      <c r="A4419" t="s">
        <v>4445</v>
      </c>
      <c r="B4419" t="s">
        <v>24</v>
      </c>
      <c r="C4419">
        <v>11</v>
      </c>
      <c r="D4419">
        <v>41365115</v>
      </c>
      <c r="E4419">
        <v>1</v>
      </c>
      <c r="F4419">
        <v>22</v>
      </c>
      <c r="G4419">
        <v>780</v>
      </c>
      <c r="H4419">
        <v>71632420</v>
      </c>
      <c r="I4419">
        <v>56817</v>
      </c>
      <c r="J4419" t="s">
        <v>21</v>
      </c>
      <c r="K4419" t="s">
        <v>22</v>
      </c>
      <c r="L4419">
        <v>2</v>
      </c>
      <c r="M4419">
        <v>49.34</v>
      </c>
      <c r="N4419">
        <v>472986</v>
      </c>
      <c r="O4419">
        <v>1</v>
      </c>
    </row>
    <row r="4420" spans="1:15">
      <c r="A4420" t="s">
        <v>4446</v>
      </c>
      <c r="B4420" t="s">
        <v>16</v>
      </c>
      <c r="C4420">
        <v>10</v>
      </c>
      <c r="D4420">
        <v>6715412</v>
      </c>
      <c r="E4420">
        <v>4</v>
      </c>
      <c r="F4420">
        <v>29</v>
      </c>
      <c r="G4420">
        <v>353</v>
      </c>
      <c r="H4420">
        <v>29485707</v>
      </c>
      <c r="I4420">
        <v>250826</v>
      </c>
      <c r="J4420" t="s">
        <v>25</v>
      </c>
      <c r="K4420" t="s">
        <v>30</v>
      </c>
      <c r="L4420">
        <v>5</v>
      </c>
      <c r="M4420">
        <v>56.9</v>
      </c>
      <c r="N4420">
        <v>666758</v>
      </c>
      <c r="O4420">
        <v>1</v>
      </c>
    </row>
    <row r="4421" spans="1:15">
      <c r="A4421" t="s">
        <v>4447</v>
      </c>
      <c r="B4421" t="s">
        <v>29</v>
      </c>
      <c r="C4421">
        <v>11</v>
      </c>
      <c r="D4421">
        <v>2683728</v>
      </c>
      <c r="E4421">
        <v>3</v>
      </c>
      <c r="F4421">
        <v>7</v>
      </c>
      <c r="G4421">
        <v>374</v>
      </c>
      <c r="H4421">
        <v>10558845</v>
      </c>
      <c r="I4421">
        <v>555243</v>
      </c>
      <c r="J4421" t="s">
        <v>25</v>
      </c>
      <c r="K4421" t="s">
        <v>18</v>
      </c>
      <c r="L4421">
        <v>2</v>
      </c>
      <c r="M4421">
        <v>13.36</v>
      </c>
      <c r="N4421">
        <v>488858</v>
      </c>
      <c r="O4421">
        <v>1</v>
      </c>
    </row>
    <row r="4422" spans="1:15">
      <c r="A4422" t="s">
        <v>4448</v>
      </c>
      <c r="B4422" t="s">
        <v>32</v>
      </c>
      <c r="C4422">
        <v>14</v>
      </c>
      <c r="D4422">
        <v>16047905</v>
      </c>
      <c r="E4422">
        <v>3</v>
      </c>
      <c r="F4422">
        <v>28</v>
      </c>
      <c r="G4422">
        <v>276</v>
      </c>
      <c r="H4422">
        <v>22133698</v>
      </c>
      <c r="I4422">
        <v>737359</v>
      </c>
      <c r="J4422" t="s">
        <v>17</v>
      </c>
      <c r="K4422" t="s">
        <v>18</v>
      </c>
      <c r="L4422">
        <v>4</v>
      </c>
      <c r="M4422">
        <v>31.14</v>
      </c>
      <c r="N4422">
        <v>638940</v>
      </c>
      <c r="O4422">
        <v>1</v>
      </c>
    </row>
    <row r="4423" spans="1:15">
      <c r="A4423" t="s">
        <v>4449</v>
      </c>
      <c r="B4423" t="s">
        <v>38</v>
      </c>
      <c r="C4423">
        <v>4</v>
      </c>
      <c r="D4423">
        <v>39693047</v>
      </c>
      <c r="E4423">
        <v>1</v>
      </c>
      <c r="F4423">
        <v>23</v>
      </c>
      <c r="G4423">
        <v>663</v>
      </c>
      <c r="H4423">
        <v>13441626</v>
      </c>
      <c r="I4423">
        <v>472078</v>
      </c>
      <c r="J4423" t="s">
        <v>21</v>
      </c>
      <c r="K4423" t="s">
        <v>18</v>
      </c>
      <c r="L4423">
        <v>6</v>
      </c>
      <c r="M4423">
        <v>90.86</v>
      </c>
      <c r="N4423">
        <v>945141</v>
      </c>
      <c r="O4423">
        <v>1</v>
      </c>
    </row>
    <row r="4424" spans="1:15">
      <c r="A4424" t="s">
        <v>4450</v>
      </c>
      <c r="B4424" t="s">
        <v>29</v>
      </c>
      <c r="C4424">
        <v>3</v>
      </c>
      <c r="D4424">
        <v>6870717</v>
      </c>
      <c r="E4424">
        <v>2</v>
      </c>
      <c r="F4424">
        <v>27</v>
      </c>
      <c r="G4424">
        <v>866</v>
      </c>
      <c r="H4424">
        <v>65352663</v>
      </c>
      <c r="I4424">
        <v>90877</v>
      </c>
      <c r="J4424" t="s">
        <v>21</v>
      </c>
      <c r="K4424" t="s">
        <v>18</v>
      </c>
      <c r="L4424">
        <v>4</v>
      </c>
      <c r="M4424">
        <v>55.51</v>
      </c>
      <c r="N4424">
        <v>444322</v>
      </c>
      <c r="O4424">
        <v>1</v>
      </c>
    </row>
    <row r="4425" spans="1:15">
      <c r="A4425" t="s">
        <v>4451</v>
      </c>
      <c r="B4425" t="s">
        <v>32</v>
      </c>
      <c r="C4425">
        <v>2</v>
      </c>
      <c r="D4425">
        <v>18701096</v>
      </c>
      <c r="E4425">
        <v>1</v>
      </c>
      <c r="F4425">
        <v>8</v>
      </c>
      <c r="G4425">
        <v>195</v>
      </c>
      <c r="H4425">
        <v>43917383</v>
      </c>
      <c r="I4425">
        <v>477389</v>
      </c>
      <c r="J4425" t="s">
        <v>17</v>
      </c>
      <c r="K4425" t="s">
        <v>30</v>
      </c>
      <c r="L4425">
        <v>2</v>
      </c>
      <c r="M4425">
        <v>31.51</v>
      </c>
      <c r="N4425">
        <v>406769</v>
      </c>
      <c r="O4425">
        <v>1</v>
      </c>
    </row>
    <row r="4426" spans="1:15">
      <c r="A4426" t="s">
        <v>4452</v>
      </c>
      <c r="B4426" t="s">
        <v>29</v>
      </c>
      <c r="C4426">
        <v>13</v>
      </c>
      <c r="D4426">
        <v>31021019</v>
      </c>
      <c r="E4426">
        <v>1</v>
      </c>
      <c r="F4426">
        <v>3</v>
      </c>
      <c r="G4426">
        <v>275</v>
      </c>
      <c r="H4426">
        <v>26938238</v>
      </c>
      <c r="I4426">
        <v>510096</v>
      </c>
      <c r="J4426" t="s">
        <v>25</v>
      </c>
      <c r="K4426" t="s">
        <v>22</v>
      </c>
      <c r="L4426">
        <v>7</v>
      </c>
      <c r="M4426">
        <v>45.08</v>
      </c>
      <c r="N4426">
        <v>906881</v>
      </c>
      <c r="O4426">
        <v>1</v>
      </c>
    </row>
    <row r="4427" spans="1:15">
      <c r="A4427" t="s">
        <v>4453</v>
      </c>
      <c r="B4427" t="s">
        <v>24</v>
      </c>
      <c r="C4427">
        <v>1</v>
      </c>
      <c r="D4427">
        <v>28429521</v>
      </c>
      <c r="E4427">
        <v>1</v>
      </c>
      <c r="F4427">
        <v>23</v>
      </c>
      <c r="G4427">
        <v>503</v>
      </c>
      <c r="H4427">
        <v>72388759</v>
      </c>
      <c r="I4427">
        <v>458530</v>
      </c>
      <c r="J4427" t="s">
        <v>17</v>
      </c>
      <c r="K4427" t="s">
        <v>22</v>
      </c>
      <c r="L4427">
        <v>6</v>
      </c>
      <c r="M4427">
        <v>6.28</v>
      </c>
      <c r="N4427">
        <v>902560</v>
      </c>
      <c r="O4427">
        <v>1</v>
      </c>
    </row>
    <row r="4428" spans="1:15">
      <c r="A4428" t="s">
        <v>4454</v>
      </c>
      <c r="B4428" t="s">
        <v>24</v>
      </c>
      <c r="C4428">
        <v>8</v>
      </c>
      <c r="D4428">
        <v>34166319</v>
      </c>
      <c r="E4428">
        <v>2</v>
      </c>
      <c r="F4428">
        <v>8</v>
      </c>
      <c r="G4428">
        <v>899</v>
      </c>
      <c r="H4428">
        <v>83552894</v>
      </c>
      <c r="I4428">
        <v>869241</v>
      </c>
      <c r="J4428" t="s">
        <v>21</v>
      </c>
      <c r="K4428" t="s">
        <v>30</v>
      </c>
      <c r="L4428">
        <v>4</v>
      </c>
      <c r="M4428">
        <v>7.05</v>
      </c>
      <c r="N4428">
        <v>349843</v>
      </c>
      <c r="O4428">
        <v>1</v>
      </c>
    </row>
    <row r="4429" spans="1:15">
      <c r="A4429" t="s">
        <v>4455</v>
      </c>
      <c r="B4429" t="s">
        <v>29</v>
      </c>
      <c r="C4429">
        <v>9</v>
      </c>
      <c r="D4429">
        <v>6221534</v>
      </c>
      <c r="E4429">
        <v>4</v>
      </c>
      <c r="F4429">
        <v>23</v>
      </c>
      <c r="G4429">
        <v>414</v>
      </c>
      <c r="H4429">
        <v>5584955</v>
      </c>
      <c r="I4429">
        <v>678626</v>
      </c>
      <c r="J4429" t="s">
        <v>21</v>
      </c>
      <c r="K4429" t="s">
        <v>18</v>
      </c>
      <c r="L4429">
        <v>2</v>
      </c>
      <c r="M4429">
        <v>35.69</v>
      </c>
      <c r="N4429">
        <v>645133</v>
      </c>
      <c r="O4429">
        <v>1</v>
      </c>
    </row>
    <row r="4430" spans="1:15">
      <c r="A4430" t="s">
        <v>4456</v>
      </c>
      <c r="B4430" t="s">
        <v>20</v>
      </c>
      <c r="C4430">
        <v>2</v>
      </c>
      <c r="D4430">
        <v>22629482</v>
      </c>
      <c r="E4430">
        <v>3</v>
      </c>
      <c r="F4430">
        <v>29</v>
      </c>
      <c r="G4430">
        <v>538</v>
      </c>
      <c r="H4430">
        <v>56337035</v>
      </c>
      <c r="I4430">
        <v>624816</v>
      </c>
      <c r="J4430" t="s">
        <v>21</v>
      </c>
      <c r="K4430" t="s">
        <v>18</v>
      </c>
      <c r="L4430">
        <v>2</v>
      </c>
      <c r="M4430">
        <v>10.31</v>
      </c>
      <c r="N4430">
        <v>480006</v>
      </c>
      <c r="O4430">
        <v>1</v>
      </c>
    </row>
    <row r="4431" spans="1:15">
      <c r="A4431" t="s">
        <v>4457</v>
      </c>
      <c r="B4431" t="s">
        <v>20</v>
      </c>
      <c r="C4431">
        <v>9</v>
      </c>
      <c r="D4431">
        <v>12860366</v>
      </c>
      <c r="E4431">
        <v>2</v>
      </c>
      <c r="F4431">
        <v>6</v>
      </c>
      <c r="G4431">
        <v>121</v>
      </c>
      <c r="H4431">
        <v>6034166</v>
      </c>
      <c r="I4431">
        <v>602381</v>
      </c>
      <c r="J4431" t="s">
        <v>25</v>
      </c>
      <c r="K4431" t="s">
        <v>30</v>
      </c>
      <c r="L4431">
        <v>1</v>
      </c>
      <c r="M4431">
        <v>53.95</v>
      </c>
      <c r="N4431">
        <v>996021</v>
      </c>
      <c r="O4431">
        <v>1</v>
      </c>
    </row>
    <row r="4432" spans="1:15">
      <c r="A4432" t="s">
        <v>4458</v>
      </c>
      <c r="B4432" t="s">
        <v>38</v>
      </c>
      <c r="C4432">
        <v>8</v>
      </c>
      <c r="D4432">
        <v>44024438</v>
      </c>
      <c r="E4432">
        <v>2</v>
      </c>
      <c r="F4432">
        <v>27</v>
      </c>
      <c r="G4432">
        <v>769</v>
      </c>
      <c r="H4432">
        <v>68945185</v>
      </c>
      <c r="I4432">
        <v>374808</v>
      </c>
      <c r="J4432" t="s">
        <v>17</v>
      </c>
      <c r="K4432" t="s">
        <v>30</v>
      </c>
      <c r="L4432">
        <v>5</v>
      </c>
      <c r="M4432">
        <v>76.33</v>
      </c>
      <c r="N4432">
        <v>43977</v>
      </c>
      <c r="O4432">
        <v>1</v>
      </c>
    </row>
    <row r="4433" spans="1:15">
      <c r="A4433" t="s">
        <v>4459</v>
      </c>
      <c r="B4433" t="s">
        <v>38</v>
      </c>
      <c r="C4433">
        <v>14</v>
      </c>
      <c r="D4433">
        <v>1185416</v>
      </c>
      <c r="E4433">
        <v>2</v>
      </c>
      <c r="F4433">
        <v>18</v>
      </c>
      <c r="G4433">
        <v>983</v>
      </c>
      <c r="H4433">
        <v>21161067</v>
      </c>
      <c r="I4433">
        <v>746051</v>
      </c>
      <c r="J4433" t="s">
        <v>25</v>
      </c>
      <c r="K4433" t="s">
        <v>30</v>
      </c>
      <c r="L4433">
        <v>6</v>
      </c>
      <c r="M4433">
        <v>26.86</v>
      </c>
      <c r="N4433">
        <v>957295</v>
      </c>
      <c r="O4433">
        <v>1</v>
      </c>
    </row>
    <row r="4434" spans="1:15">
      <c r="A4434" t="s">
        <v>4460</v>
      </c>
      <c r="B4434" t="s">
        <v>29</v>
      </c>
      <c r="C4434">
        <v>7</v>
      </c>
      <c r="D4434">
        <v>31724153</v>
      </c>
      <c r="E4434">
        <v>1</v>
      </c>
      <c r="F4434">
        <v>8</v>
      </c>
      <c r="G4434">
        <v>368</v>
      </c>
      <c r="H4434">
        <v>62923559</v>
      </c>
      <c r="I4434">
        <v>74562</v>
      </c>
      <c r="J4434" t="s">
        <v>25</v>
      </c>
      <c r="K4434" t="s">
        <v>30</v>
      </c>
      <c r="L4434">
        <v>8</v>
      </c>
      <c r="M4434">
        <v>24.41</v>
      </c>
      <c r="N4434">
        <v>465616</v>
      </c>
      <c r="O4434">
        <v>1</v>
      </c>
    </row>
    <row r="4435" spans="1:15">
      <c r="A4435" t="s">
        <v>4461</v>
      </c>
      <c r="B4435" t="s">
        <v>16</v>
      </c>
      <c r="C4435">
        <v>13</v>
      </c>
      <c r="D4435">
        <v>6167915</v>
      </c>
      <c r="E4435">
        <v>3</v>
      </c>
      <c r="F4435">
        <v>25</v>
      </c>
      <c r="G4435">
        <v>517</v>
      </c>
      <c r="H4435">
        <v>48703756</v>
      </c>
      <c r="I4435">
        <v>240251</v>
      </c>
      <c r="J4435" t="s">
        <v>17</v>
      </c>
      <c r="K4435" t="s">
        <v>22</v>
      </c>
      <c r="L4435">
        <v>8</v>
      </c>
      <c r="M4435">
        <v>93.48</v>
      </c>
      <c r="N4435">
        <v>115739</v>
      </c>
      <c r="O4435">
        <v>1</v>
      </c>
    </row>
    <row r="4436" spans="1:15">
      <c r="A4436" t="s">
        <v>4462</v>
      </c>
      <c r="B4436" t="s">
        <v>38</v>
      </c>
      <c r="C4436">
        <v>7</v>
      </c>
      <c r="D4436">
        <v>46806090</v>
      </c>
      <c r="E4436">
        <v>4</v>
      </c>
      <c r="F4436">
        <v>3</v>
      </c>
      <c r="G4436">
        <v>753</v>
      </c>
      <c r="H4436">
        <v>65056169</v>
      </c>
      <c r="I4436">
        <v>374351</v>
      </c>
      <c r="J4436" t="s">
        <v>21</v>
      </c>
      <c r="K4436" t="s">
        <v>30</v>
      </c>
      <c r="L4436">
        <v>3</v>
      </c>
      <c r="M4436">
        <v>59.37</v>
      </c>
      <c r="N4436">
        <v>94249</v>
      </c>
      <c r="O4436">
        <v>1</v>
      </c>
    </row>
    <row r="4437" spans="1:15">
      <c r="A4437" t="s">
        <v>4463</v>
      </c>
      <c r="B4437" t="s">
        <v>38</v>
      </c>
      <c r="C4437">
        <v>11</v>
      </c>
      <c r="D4437">
        <v>42373614</v>
      </c>
      <c r="E4437">
        <v>1</v>
      </c>
      <c r="F4437">
        <v>4</v>
      </c>
      <c r="G4437">
        <v>44</v>
      </c>
      <c r="H4437">
        <v>4138948</v>
      </c>
      <c r="I4437">
        <v>550903</v>
      </c>
      <c r="J4437" t="s">
        <v>17</v>
      </c>
      <c r="K4437" t="s">
        <v>30</v>
      </c>
      <c r="L4437">
        <v>2</v>
      </c>
      <c r="M4437">
        <v>31.8</v>
      </c>
      <c r="N4437">
        <v>990265</v>
      </c>
      <c r="O4437">
        <v>1</v>
      </c>
    </row>
    <row r="4438" spans="1:15">
      <c r="A4438" t="s">
        <v>4464</v>
      </c>
      <c r="B4438" t="s">
        <v>24</v>
      </c>
      <c r="C4438">
        <v>11</v>
      </c>
      <c r="D4438">
        <v>12016606</v>
      </c>
      <c r="E4438">
        <v>1</v>
      </c>
      <c r="F4438">
        <v>4</v>
      </c>
      <c r="G4438">
        <v>258</v>
      </c>
      <c r="H4438">
        <v>93213037</v>
      </c>
      <c r="I4438">
        <v>733696</v>
      </c>
      <c r="J4438" t="s">
        <v>25</v>
      </c>
      <c r="K4438" t="s">
        <v>18</v>
      </c>
      <c r="L4438">
        <v>8</v>
      </c>
      <c r="M4438">
        <v>14.6</v>
      </c>
      <c r="N4438">
        <v>890266</v>
      </c>
      <c r="O4438">
        <v>1</v>
      </c>
    </row>
    <row r="4439" spans="1:15">
      <c r="A4439" t="s">
        <v>4465</v>
      </c>
      <c r="B4439" t="s">
        <v>29</v>
      </c>
      <c r="C4439">
        <v>0</v>
      </c>
      <c r="D4439">
        <v>32970405</v>
      </c>
      <c r="E4439">
        <v>1</v>
      </c>
      <c r="F4439">
        <v>2</v>
      </c>
      <c r="G4439">
        <v>456</v>
      </c>
      <c r="H4439">
        <v>32180029</v>
      </c>
      <c r="I4439">
        <v>484003</v>
      </c>
      <c r="J4439" t="s">
        <v>17</v>
      </c>
      <c r="K4439" t="s">
        <v>30</v>
      </c>
      <c r="L4439">
        <v>2</v>
      </c>
      <c r="M4439">
        <v>6.73</v>
      </c>
      <c r="N4439">
        <v>821666</v>
      </c>
      <c r="O4439">
        <v>1</v>
      </c>
    </row>
    <row r="4440" spans="1:15">
      <c r="A4440" t="s">
        <v>4466</v>
      </c>
      <c r="B4440" t="s">
        <v>16</v>
      </c>
      <c r="C4440">
        <v>12</v>
      </c>
      <c r="D4440">
        <v>17210467</v>
      </c>
      <c r="E4440">
        <v>1</v>
      </c>
      <c r="F4440">
        <v>28</v>
      </c>
      <c r="G4440">
        <v>148</v>
      </c>
      <c r="H4440">
        <v>5452700</v>
      </c>
      <c r="I4440">
        <v>120810</v>
      </c>
      <c r="J4440" t="s">
        <v>25</v>
      </c>
      <c r="K4440" t="s">
        <v>22</v>
      </c>
      <c r="L4440">
        <v>3</v>
      </c>
      <c r="M4440">
        <v>8.9499999999999993</v>
      </c>
      <c r="N4440">
        <v>266934</v>
      </c>
      <c r="O4440">
        <v>1</v>
      </c>
    </row>
    <row r="4441" spans="1:15">
      <c r="A4441" t="s">
        <v>4467</v>
      </c>
      <c r="B4441" t="s">
        <v>32</v>
      </c>
      <c r="C4441">
        <v>7</v>
      </c>
      <c r="D4441">
        <v>12817681</v>
      </c>
      <c r="E4441">
        <v>3</v>
      </c>
      <c r="F4441">
        <v>9</v>
      </c>
      <c r="G4441">
        <v>409</v>
      </c>
      <c r="H4441">
        <v>11782268</v>
      </c>
      <c r="I4441">
        <v>662929</v>
      </c>
      <c r="J4441" t="s">
        <v>21</v>
      </c>
      <c r="K4441" t="s">
        <v>30</v>
      </c>
      <c r="L4441">
        <v>2</v>
      </c>
      <c r="M4441">
        <v>88.68</v>
      </c>
      <c r="N4441">
        <v>531494</v>
      </c>
      <c r="O4441">
        <v>1</v>
      </c>
    </row>
    <row r="4442" spans="1:15">
      <c r="A4442" t="s">
        <v>4468</v>
      </c>
      <c r="B4442" t="s">
        <v>20</v>
      </c>
      <c r="C4442">
        <v>9</v>
      </c>
      <c r="D4442">
        <v>47900768</v>
      </c>
      <c r="E4442">
        <v>1</v>
      </c>
      <c r="F4442">
        <v>11</v>
      </c>
      <c r="G4442">
        <v>347</v>
      </c>
      <c r="H4442">
        <v>75783308</v>
      </c>
      <c r="I4442">
        <v>176843</v>
      </c>
      <c r="J4442" t="s">
        <v>17</v>
      </c>
      <c r="K4442" t="s">
        <v>22</v>
      </c>
      <c r="L4442">
        <v>1</v>
      </c>
      <c r="M4442">
        <v>85.6</v>
      </c>
      <c r="N4442">
        <v>26043</v>
      </c>
      <c r="O4442">
        <v>1</v>
      </c>
    </row>
    <row r="4443" spans="1:15">
      <c r="A4443" t="s">
        <v>4469</v>
      </c>
      <c r="B4443" t="s">
        <v>20</v>
      </c>
      <c r="C4443">
        <v>9</v>
      </c>
      <c r="D4443">
        <v>39636495</v>
      </c>
      <c r="E4443">
        <v>3</v>
      </c>
      <c r="F4443">
        <v>22</v>
      </c>
      <c r="G4443">
        <v>578</v>
      </c>
      <c r="H4443">
        <v>91962217</v>
      </c>
      <c r="I4443">
        <v>596722</v>
      </c>
      <c r="J4443" t="s">
        <v>21</v>
      </c>
      <c r="K4443" t="s">
        <v>18</v>
      </c>
      <c r="L4443">
        <v>1</v>
      </c>
      <c r="M4443">
        <v>54.65</v>
      </c>
      <c r="N4443">
        <v>731288</v>
      </c>
      <c r="O4443">
        <v>1</v>
      </c>
    </row>
    <row r="4444" spans="1:15">
      <c r="A4444" t="s">
        <v>4470</v>
      </c>
      <c r="B4444" t="s">
        <v>32</v>
      </c>
      <c r="C4444">
        <v>0</v>
      </c>
      <c r="D4444">
        <v>43017599</v>
      </c>
      <c r="E4444">
        <v>2</v>
      </c>
      <c r="F4444">
        <v>19</v>
      </c>
      <c r="G4444">
        <v>57</v>
      </c>
      <c r="H4444">
        <v>33748713</v>
      </c>
      <c r="I4444">
        <v>763874</v>
      </c>
      <c r="J4444" t="s">
        <v>17</v>
      </c>
      <c r="K4444" t="s">
        <v>18</v>
      </c>
      <c r="L4444">
        <v>5</v>
      </c>
      <c r="M4444">
        <v>12.2</v>
      </c>
      <c r="N4444">
        <v>456905</v>
      </c>
      <c r="O4444">
        <v>1</v>
      </c>
    </row>
    <row r="4445" spans="1:15">
      <c r="A4445" t="s">
        <v>4471</v>
      </c>
      <c r="B4445" t="s">
        <v>16</v>
      </c>
      <c r="C4445">
        <v>1</v>
      </c>
      <c r="D4445">
        <v>16423931</v>
      </c>
      <c r="E4445">
        <v>2</v>
      </c>
      <c r="F4445">
        <v>11</v>
      </c>
      <c r="G4445">
        <v>620</v>
      </c>
      <c r="H4445">
        <v>80278576</v>
      </c>
      <c r="I4445">
        <v>773454</v>
      </c>
      <c r="J4445" t="s">
        <v>25</v>
      </c>
      <c r="K4445" t="s">
        <v>22</v>
      </c>
      <c r="L4445">
        <v>4</v>
      </c>
      <c r="M4445">
        <v>59.68</v>
      </c>
      <c r="N4445">
        <v>117422</v>
      </c>
      <c r="O4445">
        <v>1</v>
      </c>
    </row>
    <row r="4446" spans="1:15">
      <c r="A4446" t="s">
        <v>4472</v>
      </c>
      <c r="B4446" t="s">
        <v>29</v>
      </c>
      <c r="C4446">
        <v>9</v>
      </c>
      <c r="D4446">
        <v>1759971</v>
      </c>
      <c r="E4446">
        <v>2</v>
      </c>
      <c r="F4446">
        <v>8</v>
      </c>
      <c r="G4446">
        <v>163</v>
      </c>
      <c r="H4446">
        <v>99574349</v>
      </c>
      <c r="I4446">
        <v>396280</v>
      </c>
      <c r="J4446" t="s">
        <v>21</v>
      </c>
      <c r="K4446" t="s">
        <v>18</v>
      </c>
      <c r="L4446">
        <v>4</v>
      </c>
      <c r="M4446">
        <v>43.84</v>
      </c>
      <c r="N4446">
        <v>280502</v>
      </c>
      <c r="O4446">
        <v>1</v>
      </c>
    </row>
    <row r="4447" spans="1:15">
      <c r="A4447" t="s">
        <v>4473</v>
      </c>
      <c r="B4447" t="s">
        <v>29</v>
      </c>
      <c r="C4447">
        <v>13</v>
      </c>
      <c r="D4447">
        <v>23851593</v>
      </c>
      <c r="E4447">
        <v>3</v>
      </c>
      <c r="F4447">
        <v>6</v>
      </c>
      <c r="G4447">
        <v>641</v>
      </c>
      <c r="H4447">
        <v>79041612</v>
      </c>
      <c r="I4447">
        <v>397714</v>
      </c>
      <c r="J4447" t="s">
        <v>17</v>
      </c>
      <c r="K4447" t="s">
        <v>30</v>
      </c>
      <c r="L4447">
        <v>6</v>
      </c>
      <c r="M4447">
        <v>41.75</v>
      </c>
      <c r="N4447">
        <v>195986</v>
      </c>
      <c r="O4447">
        <v>1</v>
      </c>
    </row>
    <row r="4448" spans="1:15">
      <c r="A4448" t="s">
        <v>4474</v>
      </c>
      <c r="B4448" t="s">
        <v>20</v>
      </c>
      <c r="C4448">
        <v>14</v>
      </c>
      <c r="D4448">
        <v>45866474</v>
      </c>
      <c r="E4448">
        <v>4</v>
      </c>
      <c r="F4448">
        <v>5</v>
      </c>
      <c r="G4448">
        <v>973</v>
      </c>
      <c r="H4448">
        <v>39206673</v>
      </c>
      <c r="I4448">
        <v>985992</v>
      </c>
      <c r="J4448" t="s">
        <v>17</v>
      </c>
      <c r="K4448" t="s">
        <v>30</v>
      </c>
      <c r="L4448">
        <v>5</v>
      </c>
      <c r="M4448">
        <v>16.309999999999999</v>
      </c>
      <c r="N4448">
        <v>296384</v>
      </c>
      <c r="O4448">
        <v>1</v>
      </c>
    </row>
    <row r="4449" spans="1:15">
      <c r="A4449" t="s">
        <v>4475</v>
      </c>
      <c r="B4449" t="s">
        <v>29</v>
      </c>
      <c r="C4449">
        <v>4</v>
      </c>
      <c r="D4449">
        <v>11240829</v>
      </c>
      <c r="E4449">
        <v>3</v>
      </c>
      <c r="F4449">
        <v>25</v>
      </c>
      <c r="G4449">
        <v>489</v>
      </c>
      <c r="H4449">
        <v>52428580</v>
      </c>
      <c r="I4449">
        <v>202106</v>
      </c>
      <c r="J4449" t="s">
        <v>21</v>
      </c>
      <c r="K4449" t="s">
        <v>30</v>
      </c>
      <c r="L4449">
        <v>2</v>
      </c>
      <c r="M4449">
        <v>55.98</v>
      </c>
      <c r="N4449">
        <v>714576</v>
      </c>
      <c r="O4449">
        <v>1</v>
      </c>
    </row>
    <row r="4450" spans="1:15">
      <c r="A4450" t="s">
        <v>4476</v>
      </c>
      <c r="B4450" t="s">
        <v>29</v>
      </c>
      <c r="C4450">
        <v>9</v>
      </c>
      <c r="D4450">
        <v>13219617</v>
      </c>
      <c r="E4450">
        <v>2</v>
      </c>
      <c r="F4450">
        <v>2</v>
      </c>
      <c r="G4450">
        <v>111</v>
      </c>
      <c r="H4450">
        <v>6035180</v>
      </c>
      <c r="I4450">
        <v>373840</v>
      </c>
      <c r="J4450" t="s">
        <v>25</v>
      </c>
      <c r="K4450" t="s">
        <v>30</v>
      </c>
      <c r="L4450">
        <v>1</v>
      </c>
      <c r="M4450">
        <v>54.98</v>
      </c>
      <c r="N4450">
        <v>613158</v>
      </c>
      <c r="O4450">
        <v>1</v>
      </c>
    </row>
    <row r="4451" spans="1:15">
      <c r="A4451" t="s">
        <v>4477</v>
      </c>
      <c r="B4451" t="s">
        <v>29</v>
      </c>
      <c r="C4451">
        <v>5</v>
      </c>
      <c r="D4451">
        <v>19830312</v>
      </c>
      <c r="E4451">
        <v>3</v>
      </c>
      <c r="F4451">
        <v>14</v>
      </c>
      <c r="G4451">
        <v>233</v>
      </c>
      <c r="H4451">
        <v>80613516</v>
      </c>
      <c r="I4451">
        <v>79774</v>
      </c>
      <c r="J4451" t="s">
        <v>21</v>
      </c>
      <c r="K4451" t="s">
        <v>18</v>
      </c>
      <c r="L4451">
        <v>6</v>
      </c>
      <c r="M4451">
        <v>46.26</v>
      </c>
      <c r="N4451">
        <v>856763</v>
      </c>
      <c r="O4451">
        <v>1</v>
      </c>
    </row>
    <row r="4452" spans="1:15">
      <c r="A4452" t="s">
        <v>4478</v>
      </c>
      <c r="B4452" t="s">
        <v>16</v>
      </c>
      <c r="C4452">
        <v>1</v>
      </c>
      <c r="D4452">
        <v>46609541</v>
      </c>
      <c r="E4452">
        <v>2</v>
      </c>
      <c r="F4452">
        <v>24</v>
      </c>
      <c r="G4452">
        <v>489</v>
      </c>
      <c r="H4452">
        <v>98435261</v>
      </c>
      <c r="I4452">
        <v>579968</v>
      </c>
      <c r="J4452" t="s">
        <v>21</v>
      </c>
      <c r="K4452" t="s">
        <v>22</v>
      </c>
      <c r="L4452">
        <v>9</v>
      </c>
      <c r="M4452">
        <v>66.3</v>
      </c>
      <c r="N4452">
        <v>726428</v>
      </c>
      <c r="O4452">
        <v>1</v>
      </c>
    </row>
    <row r="4453" spans="1:15">
      <c r="A4453" t="s">
        <v>4479</v>
      </c>
      <c r="B4453" t="s">
        <v>20</v>
      </c>
      <c r="C4453">
        <v>0</v>
      </c>
      <c r="D4453">
        <v>33408569</v>
      </c>
      <c r="E4453">
        <v>1</v>
      </c>
      <c r="F4453">
        <v>8</v>
      </c>
      <c r="G4453">
        <v>575</v>
      </c>
      <c r="H4453">
        <v>64407382</v>
      </c>
      <c r="I4453">
        <v>789351</v>
      </c>
      <c r="J4453" t="s">
        <v>25</v>
      </c>
      <c r="K4453" t="s">
        <v>30</v>
      </c>
      <c r="L4453">
        <v>4</v>
      </c>
      <c r="M4453">
        <v>26.93</v>
      </c>
      <c r="N4453">
        <v>57916</v>
      </c>
      <c r="O4453">
        <v>1</v>
      </c>
    </row>
    <row r="4454" spans="1:15">
      <c r="A4454" t="s">
        <v>4480</v>
      </c>
      <c r="B4454" t="s">
        <v>38</v>
      </c>
      <c r="C4454">
        <v>5</v>
      </c>
      <c r="D4454">
        <v>1585935</v>
      </c>
      <c r="E4454">
        <v>1</v>
      </c>
      <c r="F4454">
        <v>16</v>
      </c>
      <c r="G4454">
        <v>556</v>
      </c>
      <c r="H4454">
        <v>39278592</v>
      </c>
      <c r="I4454">
        <v>718396</v>
      </c>
      <c r="J4454" t="s">
        <v>25</v>
      </c>
      <c r="K4454" t="s">
        <v>18</v>
      </c>
      <c r="L4454">
        <v>3</v>
      </c>
      <c r="M4454">
        <v>0.63</v>
      </c>
      <c r="N4454">
        <v>609053</v>
      </c>
      <c r="O4454">
        <v>1</v>
      </c>
    </row>
    <row r="4455" spans="1:15">
      <c r="A4455" t="s">
        <v>4481</v>
      </c>
      <c r="B4455" t="s">
        <v>16</v>
      </c>
      <c r="C4455">
        <v>7</v>
      </c>
      <c r="D4455">
        <v>43120284</v>
      </c>
      <c r="E4455">
        <v>3</v>
      </c>
      <c r="F4455">
        <v>2</v>
      </c>
      <c r="G4455">
        <v>167</v>
      </c>
      <c r="H4455">
        <v>59284879</v>
      </c>
      <c r="I4455">
        <v>308117</v>
      </c>
      <c r="J4455" t="s">
        <v>21</v>
      </c>
      <c r="K4455" t="s">
        <v>22</v>
      </c>
      <c r="L4455">
        <v>2</v>
      </c>
      <c r="M4455">
        <v>40.090000000000003</v>
      </c>
      <c r="N4455">
        <v>423029</v>
      </c>
      <c r="O4455">
        <v>1</v>
      </c>
    </row>
    <row r="4456" spans="1:15">
      <c r="A4456" t="s">
        <v>4482</v>
      </c>
      <c r="B4456" t="s">
        <v>20</v>
      </c>
      <c r="C4456">
        <v>1</v>
      </c>
      <c r="D4456">
        <v>35834906</v>
      </c>
      <c r="E4456">
        <v>2</v>
      </c>
      <c r="F4456">
        <v>24</v>
      </c>
      <c r="G4456">
        <v>925</v>
      </c>
      <c r="H4456">
        <v>21542249</v>
      </c>
      <c r="I4456">
        <v>383600</v>
      </c>
      <c r="J4456" t="s">
        <v>21</v>
      </c>
      <c r="K4456" t="s">
        <v>18</v>
      </c>
      <c r="L4456">
        <v>1</v>
      </c>
      <c r="M4456">
        <v>76.430000000000007</v>
      </c>
      <c r="N4456">
        <v>651469</v>
      </c>
      <c r="O4456">
        <v>1</v>
      </c>
    </row>
    <row r="4457" spans="1:15">
      <c r="A4457" t="s">
        <v>4483</v>
      </c>
      <c r="B4457" t="s">
        <v>29</v>
      </c>
      <c r="C4457">
        <v>14</v>
      </c>
      <c r="D4457">
        <v>44368865</v>
      </c>
      <c r="E4457">
        <v>1</v>
      </c>
      <c r="F4457">
        <v>23</v>
      </c>
      <c r="G4457">
        <v>837</v>
      </c>
      <c r="H4457">
        <v>29723311</v>
      </c>
      <c r="I4457">
        <v>492046</v>
      </c>
      <c r="J4457" t="s">
        <v>25</v>
      </c>
      <c r="K4457" t="s">
        <v>30</v>
      </c>
      <c r="L4457">
        <v>8</v>
      </c>
      <c r="M4457">
        <v>47.68</v>
      </c>
      <c r="N4457">
        <v>905186</v>
      </c>
      <c r="O4457">
        <v>1</v>
      </c>
    </row>
    <row r="4458" spans="1:15">
      <c r="A4458" t="s">
        <v>4484</v>
      </c>
      <c r="B4458" t="s">
        <v>27</v>
      </c>
      <c r="C4458">
        <v>1</v>
      </c>
      <c r="D4458">
        <v>42755166</v>
      </c>
      <c r="E4458">
        <v>3</v>
      </c>
      <c r="F4458">
        <v>26</v>
      </c>
      <c r="G4458">
        <v>378</v>
      </c>
      <c r="H4458">
        <v>59974388</v>
      </c>
      <c r="I4458">
        <v>563436</v>
      </c>
      <c r="J4458" t="s">
        <v>21</v>
      </c>
      <c r="K4458" t="s">
        <v>18</v>
      </c>
      <c r="L4458">
        <v>4</v>
      </c>
      <c r="M4458">
        <v>0.95</v>
      </c>
      <c r="N4458">
        <v>639650</v>
      </c>
      <c r="O4458">
        <v>1</v>
      </c>
    </row>
    <row r="4459" spans="1:15">
      <c r="A4459" t="s">
        <v>4485</v>
      </c>
      <c r="B4459" t="s">
        <v>16</v>
      </c>
      <c r="C4459">
        <v>7</v>
      </c>
      <c r="D4459">
        <v>1969285</v>
      </c>
      <c r="E4459">
        <v>2</v>
      </c>
      <c r="F4459">
        <v>8</v>
      </c>
      <c r="G4459">
        <v>386</v>
      </c>
      <c r="H4459">
        <v>85420560</v>
      </c>
      <c r="I4459">
        <v>822174</v>
      </c>
      <c r="J4459" t="s">
        <v>25</v>
      </c>
      <c r="K4459" t="s">
        <v>18</v>
      </c>
      <c r="L4459">
        <v>2</v>
      </c>
      <c r="M4459">
        <v>41.03</v>
      </c>
      <c r="N4459">
        <v>311310</v>
      </c>
      <c r="O4459">
        <v>1</v>
      </c>
    </row>
    <row r="4460" spans="1:15">
      <c r="A4460" t="s">
        <v>4486</v>
      </c>
      <c r="B4460" t="s">
        <v>38</v>
      </c>
      <c r="C4460">
        <v>7</v>
      </c>
      <c r="D4460">
        <v>3488571</v>
      </c>
      <c r="E4460">
        <v>3</v>
      </c>
      <c r="F4460">
        <v>0</v>
      </c>
      <c r="G4460">
        <v>627</v>
      </c>
      <c r="H4460">
        <v>35694051</v>
      </c>
      <c r="I4460">
        <v>998472</v>
      </c>
      <c r="J4460" t="s">
        <v>21</v>
      </c>
      <c r="K4460" t="s">
        <v>18</v>
      </c>
      <c r="L4460">
        <v>3</v>
      </c>
      <c r="M4460">
        <v>70.22</v>
      </c>
      <c r="N4460">
        <v>526947</v>
      </c>
      <c r="O4460">
        <v>1</v>
      </c>
    </row>
    <row r="4461" spans="1:15">
      <c r="A4461" t="s">
        <v>4487</v>
      </c>
      <c r="B4461" t="s">
        <v>27</v>
      </c>
      <c r="C4461">
        <v>1</v>
      </c>
      <c r="D4461">
        <v>47388294</v>
      </c>
      <c r="E4461">
        <v>1</v>
      </c>
      <c r="F4461">
        <v>20</v>
      </c>
      <c r="G4461">
        <v>615</v>
      </c>
      <c r="H4461">
        <v>96316059</v>
      </c>
      <c r="I4461">
        <v>555204</v>
      </c>
      <c r="J4461" t="s">
        <v>17</v>
      </c>
      <c r="K4461" t="s">
        <v>22</v>
      </c>
      <c r="L4461">
        <v>3</v>
      </c>
      <c r="M4461">
        <v>36.380000000000003</v>
      </c>
      <c r="N4461">
        <v>169185</v>
      </c>
      <c r="O4461">
        <v>1</v>
      </c>
    </row>
    <row r="4462" spans="1:15">
      <c r="A4462" t="s">
        <v>4488</v>
      </c>
      <c r="B4462" t="s">
        <v>32</v>
      </c>
      <c r="C4462">
        <v>7</v>
      </c>
      <c r="D4462">
        <v>26975026</v>
      </c>
      <c r="E4462">
        <v>4</v>
      </c>
      <c r="F4462">
        <v>15</v>
      </c>
      <c r="G4462">
        <v>542</v>
      </c>
      <c r="H4462">
        <v>96793412</v>
      </c>
      <c r="I4462">
        <v>571071</v>
      </c>
      <c r="J4462" t="s">
        <v>17</v>
      </c>
      <c r="K4462" t="s">
        <v>18</v>
      </c>
      <c r="L4462">
        <v>3</v>
      </c>
      <c r="M4462">
        <v>18.34</v>
      </c>
      <c r="N4462">
        <v>490129</v>
      </c>
      <c r="O4462">
        <v>1</v>
      </c>
    </row>
    <row r="4463" spans="1:15">
      <c r="A4463" t="s">
        <v>4489</v>
      </c>
      <c r="B4463" t="s">
        <v>20</v>
      </c>
      <c r="C4463">
        <v>14</v>
      </c>
      <c r="D4463">
        <v>40119242</v>
      </c>
      <c r="E4463">
        <v>1</v>
      </c>
      <c r="F4463">
        <v>26</v>
      </c>
      <c r="G4463">
        <v>313</v>
      </c>
      <c r="H4463">
        <v>67955707</v>
      </c>
      <c r="I4463">
        <v>387988</v>
      </c>
      <c r="J4463" t="s">
        <v>17</v>
      </c>
      <c r="K4463" t="s">
        <v>18</v>
      </c>
      <c r="L4463">
        <v>3</v>
      </c>
      <c r="M4463">
        <v>69.64</v>
      </c>
      <c r="N4463">
        <v>90042</v>
      </c>
      <c r="O4463">
        <v>1</v>
      </c>
    </row>
    <row r="4464" spans="1:15">
      <c r="A4464" t="s">
        <v>4490</v>
      </c>
      <c r="B4464" t="s">
        <v>29</v>
      </c>
      <c r="C4464">
        <v>3</v>
      </c>
      <c r="D4464">
        <v>41083113</v>
      </c>
      <c r="E4464">
        <v>1</v>
      </c>
      <c r="F4464">
        <v>24</v>
      </c>
      <c r="G4464">
        <v>906</v>
      </c>
      <c r="H4464">
        <v>46295275</v>
      </c>
      <c r="I4464">
        <v>509032</v>
      </c>
      <c r="J4464" t="s">
        <v>21</v>
      </c>
      <c r="K4464" t="s">
        <v>18</v>
      </c>
      <c r="L4464">
        <v>2</v>
      </c>
      <c r="M4464">
        <v>44.45</v>
      </c>
      <c r="N4464">
        <v>123118</v>
      </c>
      <c r="O4464">
        <v>1</v>
      </c>
    </row>
    <row r="4465" spans="1:15">
      <c r="A4465" t="s">
        <v>4491</v>
      </c>
      <c r="B4465" t="s">
        <v>16</v>
      </c>
      <c r="C4465">
        <v>2</v>
      </c>
      <c r="D4465">
        <v>21998793</v>
      </c>
      <c r="E4465">
        <v>3</v>
      </c>
      <c r="F4465">
        <v>14</v>
      </c>
      <c r="G4465">
        <v>134</v>
      </c>
      <c r="H4465">
        <v>72970382</v>
      </c>
      <c r="I4465">
        <v>154388</v>
      </c>
      <c r="J4465" t="s">
        <v>17</v>
      </c>
      <c r="K4465" t="s">
        <v>30</v>
      </c>
      <c r="L4465">
        <v>6</v>
      </c>
      <c r="M4465">
        <v>26.32</v>
      </c>
      <c r="N4465">
        <v>192823</v>
      </c>
      <c r="O4465">
        <v>1</v>
      </c>
    </row>
    <row r="4466" spans="1:15">
      <c r="A4466" t="s">
        <v>4492</v>
      </c>
      <c r="B4466" t="s">
        <v>38</v>
      </c>
      <c r="C4466">
        <v>8</v>
      </c>
      <c r="D4466">
        <v>2736578</v>
      </c>
      <c r="E4466">
        <v>4</v>
      </c>
      <c r="F4466">
        <v>3</v>
      </c>
      <c r="G4466">
        <v>516</v>
      </c>
      <c r="H4466">
        <v>41241101</v>
      </c>
      <c r="I4466">
        <v>35568</v>
      </c>
      <c r="J4466" t="s">
        <v>25</v>
      </c>
      <c r="K4466" t="s">
        <v>30</v>
      </c>
      <c r="L4466">
        <v>4</v>
      </c>
      <c r="M4466">
        <v>87.56</v>
      </c>
      <c r="N4466">
        <v>676392</v>
      </c>
      <c r="O4466">
        <v>1</v>
      </c>
    </row>
    <row r="4467" spans="1:15">
      <c r="A4467" t="s">
        <v>4493</v>
      </c>
      <c r="B4467" t="s">
        <v>16</v>
      </c>
      <c r="C4467">
        <v>8</v>
      </c>
      <c r="D4467">
        <v>33785903</v>
      </c>
      <c r="E4467">
        <v>3</v>
      </c>
      <c r="F4467">
        <v>10</v>
      </c>
      <c r="G4467">
        <v>984</v>
      </c>
      <c r="H4467">
        <v>44110658</v>
      </c>
      <c r="I4467">
        <v>448021</v>
      </c>
      <c r="J4467" t="s">
        <v>17</v>
      </c>
      <c r="K4467" t="s">
        <v>22</v>
      </c>
      <c r="L4467">
        <v>1</v>
      </c>
      <c r="M4467">
        <v>48.34</v>
      </c>
      <c r="N4467">
        <v>400595</v>
      </c>
      <c r="O4467">
        <v>1</v>
      </c>
    </row>
    <row r="4468" spans="1:15">
      <c r="A4468" t="s">
        <v>4494</v>
      </c>
      <c r="B4468" t="s">
        <v>16</v>
      </c>
      <c r="C4468">
        <v>7</v>
      </c>
      <c r="D4468">
        <v>24694466</v>
      </c>
      <c r="E4468">
        <v>4</v>
      </c>
      <c r="F4468">
        <v>14</v>
      </c>
      <c r="G4468">
        <v>185</v>
      </c>
      <c r="H4468">
        <v>15144119</v>
      </c>
      <c r="I4468">
        <v>17764</v>
      </c>
      <c r="J4468" t="s">
        <v>21</v>
      </c>
      <c r="K4468" t="s">
        <v>22</v>
      </c>
      <c r="L4468">
        <v>4</v>
      </c>
      <c r="M4468">
        <v>65.430000000000007</v>
      </c>
      <c r="N4468">
        <v>480653</v>
      </c>
      <c r="O4468">
        <v>1</v>
      </c>
    </row>
    <row r="4469" spans="1:15">
      <c r="A4469" t="s">
        <v>4495</v>
      </c>
      <c r="B4469" t="s">
        <v>38</v>
      </c>
      <c r="C4469">
        <v>7</v>
      </c>
      <c r="D4469">
        <v>38005243</v>
      </c>
      <c r="E4469">
        <v>1</v>
      </c>
      <c r="F4469">
        <v>22</v>
      </c>
      <c r="G4469">
        <v>30</v>
      </c>
      <c r="H4469">
        <v>27296884</v>
      </c>
      <c r="I4469">
        <v>200463</v>
      </c>
      <c r="J4469" t="s">
        <v>25</v>
      </c>
      <c r="K4469" t="s">
        <v>30</v>
      </c>
      <c r="L4469">
        <v>1</v>
      </c>
      <c r="M4469">
        <v>53.14</v>
      </c>
      <c r="N4469">
        <v>46686</v>
      </c>
      <c r="O4469">
        <v>1</v>
      </c>
    </row>
    <row r="4470" spans="1:15">
      <c r="A4470" t="s">
        <v>4496</v>
      </c>
      <c r="B4470" t="s">
        <v>38</v>
      </c>
      <c r="C4470">
        <v>12</v>
      </c>
      <c r="D4470">
        <v>10211798</v>
      </c>
      <c r="E4470">
        <v>1</v>
      </c>
      <c r="F4470">
        <v>9</v>
      </c>
      <c r="G4470">
        <v>868</v>
      </c>
      <c r="H4470">
        <v>74023348</v>
      </c>
      <c r="I4470">
        <v>276917</v>
      </c>
      <c r="J4470" t="s">
        <v>17</v>
      </c>
      <c r="K4470" t="s">
        <v>22</v>
      </c>
      <c r="L4470">
        <v>7</v>
      </c>
      <c r="M4470">
        <v>55.67</v>
      </c>
      <c r="N4470">
        <v>54616</v>
      </c>
      <c r="O4470">
        <v>1</v>
      </c>
    </row>
    <row r="4471" spans="1:15">
      <c r="A4471" t="s">
        <v>4497</v>
      </c>
      <c r="B4471" t="s">
        <v>20</v>
      </c>
      <c r="C4471">
        <v>3</v>
      </c>
      <c r="D4471">
        <v>32184765</v>
      </c>
      <c r="E4471">
        <v>2</v>
      </c>
      <c r="F4471">
        <v>13</v>
      </c>
      <c r="G4471">
        <v>821</v>
      </c>
      <c r="H4471">
        <v>21634637</v>
      </c>
      <c r="I4471">
        <v>989399</v>
      </c>
      <c r="J4471" t="s">
        <v>25</v>
      </c>
      <c r="K4471" t="s">
        <v>22</v>
      </c>
      <c r="L4471">
        <v>9</v>
      </c>
      <c r="M4471">
        <v>50.85</v>
      </c>
      <c r="N4471">
        <v>979843</v>
      </c>
      <c r="O4471">
        <v>1</v>
      </c>
    </row>
    <row r="4472" spans="1:15">
      <c r="A4472" t="s">
        <v>4498</v>
      </c>
      <c r="B4472" t="s">
        <v>27</v>
      </c>
      <c r="C4472">
        <v>14</v>
      </c>
      <c r="D4472">
        <v>12810444</v>
      </c>
      <c r="E4472">
        <v>3</v>
      </c>
      <c r="F4472">
        <v>18</v>
      </c>
      <c r="G4472">
        <v>683</v>
      </c>
      <c r="H4472">
        <v>85327427</v>
      </c>
      <c r="I4472">
        <v>72582</v>
      </c>
      <c r="J4472" t="s">
        <v>21</v>
      </c>
      <c r="K4472" t="s">
        <v>30</v>
      </c>
      <c r="L4472">
        <v>2</v>
      </c>
      <c r="M4472">
        <v>82.55</v>
      </c>
      <c r="N4472">
        <v>106068</v>
      </c>
      <c r="O4472">
        <v>1</v>
      </c>
    </row>
    <row r="4473" spans="1:15">
      <c r="A4473" t="s">
        <v>4499</v>
      </c>
      <c r="B4473" t="s">
        <v>20</v>
      </c>
      <c r="C4473">
        <v>12</v>
      </c>
      <c r="D4473">
        <v>17797017</v>
      </c>
      <c r="E4473">
        <v>2</v>
      </c>
      <c r="F4473">
        <v>7</v>
      </c>
      <c r="G4473">
        <v>599</v>
      </c>
      <c r="H4473">
        <v>28224081</v>
      </c>
      <c r="I4473">
        <v>547470</v>
      </c>
      <c r="J4473" t="s">
        <v>21</v>
      </c>
      <c r="K4473" t="s">
        <v>18</v>
      </c>
      <c r="L4473">
        <v>1</v>
      </c>
      <c r="M4473">
        <v>14.09</v>
      </c>
      <c r="N4473">
        <v>719473</v>
      </c>
      <c r="O4473">
        <v>1</v>
      </c>
    </row>
    <row r="4474" spans="1:15">
      <c r="A4474" t="s">
        <v>4500</v>
      </c>
      <c r="B4474" t="s">
        <v>27</v>
      </c>
      <c r="C4474">
        <v>9</v>
      </c>
      <c r="D4474">
        <v>48248322</v>
      </c>
      <c r="E4474">
        <v>1</v>
      </c>
      <c r="F4474">
        <v>11</v>
      </c>
      <c r="G4474">
        <v>159</v>
      </c>
      <c r="H4474">
        <v>71748877</v>
      </c>
      <c r="I4474">
        <v>433586</v>
      </c>
      <c r="J4474" t="s">
        <v>21</v>
      </c>
      <c r="K4474" t="s">
        <v>30</v>
      </c>
      <c r="L4474">
        <v>8</v>
      </c>
      <c r="M4474">
        <v>93.07</v>
      </c>
      <c r="N4474">
        <v>528016</v>
      </c>
      <c r="O4474">
        <v>1</v>
      </c>
    </row>
    <row r="4475" spans="1:15">
      <c r="A4475" t="s">
        <v>4501</v>
      </c>
      <c r="B4475" t="s">
        <v>32</v>
      </c>
      <c r="C4475">
        <v>2</v>
      </c>
      <c r="D4475">
        <v>10558574</v>
      </c>
      <c r="E4475">
        <v>1</v>
      </c>
      <c r="F4475">
        <v>26</v>
      </c>
      <c r="G4475">
        <v>26</v>
      </c>
      <c r="H4475">
        <v>43027358</v>
      </c>
      <c r="I4475">
        <v>579546</v>
      </c>
      <c r="J4475" t="s">
        <v>17</v>
      </c>
      <c r="K4475" t="s">
        <v>30</v>
      </c>
      <c r="L4475">
        <v>4</v>
      </c>
      <c r="M4475">
        <v>26.73</v>
      </c>
      <c r="N4475">
        <v>768648</v>
      </c>
      <c r="O4475">
        <v>1</v>
      </c>
    </row>
    <row r="4476" spans="1:15">
      <c r="A4476" t="s">
        <v>4502</v>
      </c>
      <c r="B4476" t="s">
        <v>27</v>
      </c>
      <c r="C4476">
        <v>3</v>
      </c>
      <c r="D4476">
        <v>38251544</v>
      </c>
      <c r="E4476">
        <v>1</v>
      </c>
      <c r="F4476">
        <v>26</v>
      </c>
      <c r="G4476">
        <v>679</v>
      </c>
      <c r="H4476">
        <v>57939766</v>
      </c>
      <c r="I4476">
        <v>757798</v>
      </c>
      <c r="J4476" t="s">
        <v>25</v>
      </c>
      <c r="K4476" t="s">
        <v>30</v>
      </c>
      <c r="L4476">
        <v>9</v>
      </c>
      <c r="M4476">
        <v>72.540000000000006</v>
      </c>
      <c r="N4476">
        <v>544443</v>
      </c>
      <c r="O4476">
        <v>1</v>
      </c>
    </row>
    <row r="4477" spans="1:15">
      <c r="A4477" t="s">
        <v>4503</v>
      </c>
      <c r="B4477" t="s">
        <v>24</v>
      </c>
      <c r="C4477">
        <v>9</v>
      </c>
      <c r="D4477">
        <v>19279473</v>
      </c>
      <c r="E4477">
        <v>3</v>
      </c>
      <c r="F4477">
        <v>16</v>
      </c>
      <c r="G4477">
        <v>662</v>
      </c>
      <c r="H4477">
        <v>65746978</v>
      </c>
      <c r="I4477">
        <v>831032</v>
      </c>
      <c r="J4477" t="s">
        <v>21</v>
      </c>
      <c r="K4477" t="s">
        <v>30</v>
      </c>
      <c r="L4477">
        <v>1</v>
      </c>
      <c r="M4477">
        <v>28.88</v>
      </c>
      <c r="N4477">
        <v>398619</v>
      </c>
      <c r="O4477">
        <v>1</v>
      </c>
    </row>
    <row r="4478" spans="1:15">
      <c r="A4478" t="s">
        <v>4504</v>
      </c>
      <c r="B4478" t="s">
        <v>27</v>
      </c>
      <c r="C4478">
        <v>12</v>
      </c>
      <c r="D4478">
        <v>23158003</v>
      </c>
      <c r="E4478">
        <v>4</v>
      </c>
      <c r="F4478">
        <v>13</v>
      </c>
      <c r="G4478">
        <v>222</v>
      </c>
      <c r="H4478">
        <v>25153028</v>
      </c>
      <c r="I4478">
        <v>89877</v>
      </c>
      <c r="J4478" t="s">
        <v>21</v>
      </c>
      <c r="K4478" t="s">
        <v>18</v>
      </c>
      <c r="L4478">
        <v>3</v>
      </c>
      <c r="M4478">
        <v>71.62</v>
      </c>
      <c r="N4478">
        <v>606228</v>
      </c>
      <c r="O4478">
        <v>1</v>
      </c>
    </row>
    <row r="4479" spans="1:15">
      <c r="A4479" t="s">
        <v>4505</v>
      </c>
      <c r="B4479" t="s">
        <v>20</v>
      </c>
      <c r="C4479">
        <v>8</v>
      </c>
      <c r="D4479">
        <v>18363344</v>
      </c>
      <c r="E4479">
        <v>3</v>
      </c>
      <c r="F4479">
        <v>19</v>
      </c>
      <c r="G4479">
        <v>192</v>
      </c>
      <c r="H4479">
        <v>28205911</v>
      </c>
      <c r="I4479">
        <v>166995</v>
      </c>
      <c r="J4479" t="s">
        <v>17</v>
      </c>
      <c r="K4479" t="s">
        <v>22</v>
      </c>
      <c r="L4479">
        <v>8</v>
      </c>
      <c r="M4479">
        <v>36.44</v>
      </c>
      <c r="N4479">
        <v>39142</v>
      </c>
      <c r="O4479">
        <v>1</v>
      </c>
    </row>
    <row r="4480" spans="1:15">
      <c r="A4480" t="s">
        <v>4506</v>
      </c>
      <c r="B4480" t="s">
        <v>16</v>
      </c>
      <c r="C4480">
        <v>8</v>
      </c>
      <c r="D4480">
        <v>26397777</v>
      </c>
      <c r="E4480">
        <v>1</v>
      </c>
      <c r="F4480">
        <v>25</v>
      </c>
      <c r="G4480">
        <v>999</v>
      </c>
      <c r="H4480">
        <v>36665280</v>
      </c>
      <c r="I4480">
        <v>655780</v>
      </c>
      <c r="J4480" t="s">
        <v>21</v>
      </c>
      <c r="K4480" t="s">
        <v>18</v>
      </c>
      <c r="L4480">
        <v>8</v>
      </c>
      <c r="M4480">
        <v>39.83</v>
      </c>
      <c r="N4480">
        <v>834524</v>
      </c>
      <c r="O4480">
        <v>1</v>
      </c>
    </row>
    <row r="4481" spans="1:15">
      <c r="A4481" t="s">
        <v>4507</v>
      </c>
      <c r="B4481" t="s">
        <v>24</v>
      </c>
      <c r="C4481">
        <v>13</v>
      </c>
      <c r="D4481">
        <v>14693649</v>
      </c>
      <c r="E4481">
        <v>4</v>
      </c>
      <c r="F4481">
        <v>21</v>
      </c>
      <c r="G4481">
        <v>941</v>
      </c>
      <c r="H4481">
        <v>31112145</v>
      </c>
      <c r="I4481">
        <v>177098</v>
      </c>
      <c r="J4481" t="s">
        <v>21</v>
      </c>
      <c r="K4481" t="s">
        <v>30</v>
      </c>
      <c r="L4481">
        <v>4</v>
      </c>
      <c r="M4481">
        <v>85.15</v>
      </c>
      <c r="N4481">
        <v>736273</v>
      </c>
      <c r="O4481">
        <v>1</v>
      </c>
    </row>
    <row r="4482" spans="1:15">
      <c r="A4482" t="s">
        <v>4508</v>
      </c>
      <c r="B4482" t="s">
        <v>24</v>
      </c>
      <c r="C4482">
        <v>10</v>
      </c>
      <c r="D4482">
        <v>26259905</v>
      </c>
      <c r="E4482">
        <v>1</v>
      </c>
      <c r="F4482">
        <v>19</v>
      </c>
      <c r="G4482">
        <v>379</v>
      </c>
      <c r="H4482">
        <v>15672872</v>
      </c>
      <c r="I4482">
        <v>110882</v>
      </c>
      <c r="J4482" t="s">
        <v>21</v>
      </c>
      <c r="K4482" t="s">
        <v>22</v>
      </c>
      <c r="L4482">
        <v>6</v>
      </c>
      <c r="M4482">
        <v>87.81</v>
      </c>
      <c r="N4482">
        <v>571406</v>
      </c>
      <c r="O4482">
        <v>1</v>
      </c>
    </row>
    <row r="4483" spans="1:15">
      <c r="A4483" t="s">
        <v>4509</v>
      </c>
      <c r="B4483" t="s">
        <v>27</v>
      </c>
      <c r="C4483">
        <v>14</v>
      </c>
      <c r="D4483">
        <v>30513877</v>
      </c>
      <c r="E4483">
        <v>2</v>
      </c>
      <c r="F4483">
        <v>13</v>
      </c>
      <c r="G4483">
        <v>863</v>
      </c>
      <c r="H4483">
        <v>82856120</v>
      </c>
      <c r="I4483">
        <v>255215</v>
      </c>
      <c r="J4483" t="s">
        <v>21</v>
      </c>
      <c r="K4483" t="s">
        <v>22</v>
      </c>
      <c r="L4483">
        <v>4</v>
      </c>
      <c r="M4483">
        <v>4.34</v>
      </c>
      <c r="N4483">
        <v>793002</v>
      </c>
      <c r="O4483">
        <v>1</v>
      </c>
    </row>
    <row r="4484" spans="1:15">
      <c r="A4484" t="s">
        <v>4510</v>
      </c>
      <c r="B4484" t="s">
        <v>24</v>
      </c>
      <c r="C4484">
        <v>8</v>
      </c>
      <c r="D4484">
        <v>3747379</v>
      </c>
      <c r="E4484">
        <v>1</v>
      </c>
      <c r="F4484">
        <v>29</v>
      </c>
      <c r="G4484">
        <v>366</v>
      </c>
      <c r="H4484">
        <v>27335077</v>
      </c>
      <c r="I4484">
        <v>741481</v>
      </c>
      <c r="J4484" t="s">
        <v>17</v>
      </c>
      <c r="K4484" t="s">
        <v>18</v>
      </c>
      <c r="L4484">
        <v>1</v>
      </c>
      <c r="M4484">
        <v>65.3</v>
      </c>
      <c r="N4484">
        <v>827936</v>
      </c>
      <c r="O4484">
        <v>1</v>
      </c>
    </row>
    <row r="4485" spans="1:15">
      <c r="A4485" t="s">
        <v>4511</v>
      </c>
      <c r="B4485" t="s">
        <v>32</v>
      </c>
      <c r="C4485">
        <v>10</v>
      </c>
      <c r="D4485">
        <v>36868491</v>
      </c>
      <c r="E4485">
        <v>1</v>
      </c>
      <c r="F4485">
        <v>8</v>
      </c>
      <c r="G4485">
        <v>209</v>
      </c>
      <c r="H4485">
        <v>20102497</v>
      </c>
      <c r="I4485">
        <v>341857</v>
      </c>
      <c r="J4485" t="s">
        <v>17</v>
      </c>
      <c r="K4485" t="s">
        <v>18</v>
      </c>
      <c r="L4485">
        <v>8</v>
      </c>
      <c r="M4485">
        <v>26.35</v>
      </c>
      <c r="N4485">
        <v>986882</v>
      </c>
      <c r="O4485">
        <v>1</v>
      </c>
    </row>
    <row r="4486" spans="1:15">
      <c r="A4486" t="s">
        <v>4512</v>
      </c>
      <c r="B4486" t="s">
        <v>38</v>
      </c>
      <c r="C4486">
        <v>8</v>
      </c>
      <c r="D4486">
        <v>28277761</v>
      </c>
      <c r="E4486">
        <v>3</v>
      </c>
      <c r="F4486">
        <v>18</v>
      </c>
      <c r="G4486">
        <v>331</v>
      </c>
      <c r="H4486">
        <v>328947</v>
      </c>
      <c r="I4486">
        <v>976208</v>
      </c>
      <c r="J4486" t="s">
        <v>17</v>
      </c>
      <c r="K4486" t="s">
        <v>18</v>
      </c>
      <c r="L4486">
        <v>4</v>
      </c>
      <c r="M4486">
        <v>68.510000000000005</v>
      </c>
      <c r="N4486">
        <v>950604</v>
      </c>
      <c r="O4486">
        <v>1</v>
      </c>
    </row>
    <row r="4487" spans="1:15">
      <c r="A4487" t="s">
        <v>4513</v>
      </c>
      <c r="B4487" t="s">
        <v>24</v>
      </c>
      <c r="C4487">
        <v>7</v>
      </c>
      <c r="D4487">
        <v>38684396</v>
      </c>
      <c r="E4487">
        <v>3</v>
      </c>
      <c r="F4487">
        <v>0</v>
      </c>
      <c r="G4487">
        <v>961</v>
      </c>
      <c r="H4487">
        <v>34947197</v>
      </c>
      <c r="I4487">
        <v>917112</v>
      </c>
      <c r="J4487" t="s">
        <v>17</v>
      </c>
      <c r="K4487" t="s">
        <v>18</v>
      </c>
      <c r="L4487">
        <v>2</v>
      </c>
      <c r="M4487">
        <v>66.37</v>
      </c>
      <c r="N4487">
        <v>870303</v>
      </c>
      <c r="O4487">
        <v>1</v>
      </c>
    </row>
    <row r="4488" spans="1:15">
      <c r="A4488" t="s">
        <v>4514</v>
      </c>
      <c r="B4488" t="s">
        <v>27</v>
      </c>
      <c r="C4488">
        <v>8</v>
      </c>
      <c r="D4488">
        <v>33279109</v>
      </c>
      <c r="E4488">
        <v>1</v>
      </c>
      <c r="F4488">
        <v>19</v>
      </c>
      <c r="G4488">
        <v>625</v>
      </c>
      <c r="H4488">
        <v>26366482</v>
      </c>
      <c r="I4488">
        <v>949557</v>
      </c>
      <c r="J4488" t="s">
        <v>17</v>
      </c>
      <c r="K4488" t="s">
        <v>18</v>
      </c>
      <c r="L4488">
        <v>9</v>
      </c>
      <c r="M4488">
        <v>6.93</v>
      </c>
      <c r="N4488">
        <v>74803</v>
      </c>
      <c r="O4488">
        <v>1</v>
      </c>
    </row>
    <row r="4489" spans="1:15">
      <c r="A4489" t="s">
        <v>4515</v>
      </c>
      <c r="B4489" t="s">
        <v>29</v>
      </c>
      <c r="C4489">
        <v>13</v>
      </c>
      <c r="D4489">
        <v>5229729</v>
      </c>
      <c r="E4489">
        <v>4</v>
      </c>
      <c r="F4489">
        <v>22</v>
      </c>
      <c r="G4489">
        <v>87</v>
      </c>
      <c r="H4489">
        <v>40369003</v>
      </c>
      <c r="I4489">
        <v>942988</v>
      </c>
      <c r="J4489" t="s">
        <v>17</v>
      </c>
      <c r="K4489" t="s">
        <v>22</v>
      </c>
      <c r="L4489">
        <v>5</v>
      </c>
      <c r="M4489">
        <v>25</v>
      </c>
      <c r="N4489">
        <v>235392</v>
      </c>
      <c r="O4489">
        <v>1</v>
      </c>
    </row>
    <row r="4490" spans="1:15">
      <c r="A4490" t="s">
        <v>4516</v>
      </c>
      <c r="B4490" t="s">
        <v>20</v>
      </c>
      <c r="C4490">
        <v>0</v>
      </c>
      <c r="D4490">
        <v>13963538</v>
      </c>
      <c r="E4490">
        <v>3</v>
      </c>
      <c r="F4490">
        <v>20</v>
      </c>
      <c r="G4490">
        <v>775</v>
      </c>
      <c r="H4490">
        <v>46275735</v>
      </c>
      <c r="I4490">
        <v>20038</v>
      </c>
      <c r="J4490" t="s">
        <v>21</v>
      </c>
      <c r="K4490" t="s">
        <v>22</v>
      </c>
      <c r="L4490">
        <v>9</v>
      </c>
      <c r="M4490">
        <v>42.28</v>
      </c>
      <c r="N4490">
        <v>169588</v>
      </c>
      <c r="O4490">
        <v>1</v>
      </c>
    </row>
    <row r="4491" spans="1:15">
      <c r="A4491" t="s">
        <v>4517</v>
      </c>
      <c r="B4491" t="s">
        <v>27</v>
      </c>
      <c r="C4491">
        <v>13</v>
      </c>
      <c r="D4491">
        <v>2527801</v>
      </c>
      <c r="E4491">
        <v>4</v>
      </c>
      <c r="F4491">
        <v>4</v>
      </c>
      <c r="G4491">
        <v>471</v>
      </c>
      <c r="H4491">
        <v>17380061</v>
      </c>
      <c r="I4491">
        <v>378004</v>
      </c>
      <c r="J4491" t="s">
        <v>17</v>
      </c>
      <c r="K4491" t="s">
        <v>30</v>
      </c>
      <c r="L4491">
        <v>5</v>
      </c>
      <c r="M4491">
        <v>58.31</v>
      </c>
      <c r="N4491">
        <v>878642</v>
      </c>
      <c r="O4491">
        <v>1</v>
      </c>
    </row>
    <row r="4492" spans="1:15">
      <c r="A4492" t="s">
        <v>4518</v>
      </c>
      <c r="B4492" t="s">
        <v>16</v>
      </c>
      <c r="C4492">
        <v>1</v>
      </c>
      <c r="D4492">
        <v>10549082</v>
      </c>
      <c r="E4492">
        <v>4</v>
      </c>
      <c r="F4492">
        <v>9</v>
      </c>
      <c r="G4492">
        <v>133</v>
      </c>
      <c r="H4492">
        <v>25684145</v>
      </c>
      <c r="I4492">
        <v>885148</v>
      </c>
      <c r="J4492" t="s">
        <v>25</v>
      </c>
      <c r="K4492" t="s">
        <v>30</v>
      </c>
      <c r="L4492">
        <v>6</v>
      </c>
      <c r="M4492">
        <v>57.25</v>
      </c>
      <c r="N4492">
        <v>88305</v>
      </c>
      <c r="O4492">
        <v>1</v>
      </c>
    </row>
    <row r="4493" spans="1:15">
      <c r="A4493" t="s">
        <v>4519</v>
      </c>
      <c r="B4493" t="s">
        <v>38</v>
      </c>
      <c r="C4493">
        <v>0</v>
      </c>
      <c r="D4493">
        <v>41732935</v>
      </c>
      <c r="E4493">
        <v>1</v>
      </c>
      <c r="F4493">
        <v>25</v>
      </c>
      <c r="G4493">
        <v>181</v>
      </c>
      <c r="H4493">
        <v>54610399</v>
      </c>
      <c r="I4493">
        <v>741544</v>
      </c>
      <c r="J4493" t="s">
        <v>17</v>
      </c>
      <c r="K4493" t="s">
        <v>30</v>
      </c>
      <c r="L4493">
        <v>4</v>
      </c>
      <c r="M4493">
        <v>40.94</v>
      </c>
      <c r="N4493">
        <v>198028</v>
      </c>
      <c r="O4493">
        <v>1</v>
      </c>
    </row>
    <row r="4494" spans="1:15">
      <c r="A4494" t="s">
        <v>4520</v>
      </c>
      <c r="B4494" t="s">
        <v>20</v>
      </c>
      <c r="C4494">
        <v>11</v>
      </c>
      <c r="D4494">
        <v>43915064</v>
      </c>
      <c r="E4494">
        <v>1</v>
      </c>
      <c r="F4494">
        <v>5</v>
      </c>
      <c r="G4494">
        <v>295</v>
      </c>
      <c r="H4494">
        <v>60580445</v>
      </c>
      <c r="I4494">
        <v>90609</v>
      </c>
      <c r="J4494" t="s">
        <v>17</v>
      </c>
      <c r="K4494" t="s">
        <v>30</v>
      </c>
      <c r="L4494">
        <v>2</v>
      </c>
      <c r="M4494">
        <v>57.44</v>
      </c>
      <c r="N4494">
        <v>381542</v>
      </c>
      <c r="O4494">
        <v>1</v>
      </c>
    </row>
    <row r="4495" spans="1:15">
      <c r="A4495" t="s">
        <v>4521</v>
      </c>
      <c r="B4495" t="s">
        <v>16</v>
      </c>
      <c r="C4495">
        <v>12</v>
      </c>
      <c r="D4495">
        <v>49258620</v>
      </c>
      <c r="E4495">
        <v>3</v>
      </c>
      <c r="F4495">
        <v>26</v>
      </c>
      <c r="G4495">
        <v>240</v>
      </c>
      <c r="H4495">
        <v>43173059</v>
      </c>
      <c r="I4495">
        <v>442383</v>
      </c>
      <c r="J4495" t="s">
        <v>25</v>
      </c>
      <c r="K4495" t="s">
        <v>30</v>
      </c>
      <c r="L4495">
        <v>2</v>
      </c>
      <c r="M4495">
        <v>59.81</v>
      </c>
      <c r="N4495">
        <v>805999</v>
      </c>
      <c r="O4495">
        <v>1</v>
      </c>
    </row>
    <row r="4496" spans="1:15">
      <c r="A4496" t="s">
        <v>4522</v>
      </c>
      <c r="B4496" t="s">
        <v>29</v>
      </c>
      <c r="C4496">
        <v>2</v>
      </c>
      <c r="D4496">
        <v>36065051</v>
      </c>
      <c r="E4496">
        <v>2</v>
      </c>
      <c r="F4496">
        <v>24</v>
      </c>
      <c r="G4496">
        <v>809</v>
      </c>
      <c r="H4496">
        <v>44877931</v>
      </c>
      <c r="I4496">
        <v>942067</v>
      </c>
      <c r="J4496" t="s">
        <v>21</v>
      </c>
      <c r="K4496" t="s">
        <v>30</v>
      </c>
      <c r="L4496">
        <v>4</v>
      </c>
      <c r="M4496">
        <v>1.46</v>
      </c>
      <c r="N4496">
        <v>70550</v>
      </c>
      <c r="O4496">
        <v>1</v>
      </c>
    </row>
    <row r="4497" spans="1:15">
      <c r="A4497" t="s">
        <v>4523</v>
      </c>
      <c r="B4497" t="s">
        <v>32</v>
      </c>
      <c r="C4497">
        <v>8</v>
      </c>
      <c r="D4497">
        <v>10962951</v>
      </c>
      <c r="E4497">
        <v>1</v>
      </c>
      <c r="F4497">
        <v>25</v>
      </c>
      <c r="G4497">
        <v>635</v>
      </c>
      <c r="H4497">
        <v>58181245</v>
      </c>
      <c r="I4497">
        <v>730876</v>
      </c>
      <c r="J4497" t="s">
        <v>21</v>
      </c>
      <c r="K4497" t="s">
        <v>18</v>
      </c>
      <c r="L4497">
        <v>7</v>
      </c>
      <c r="M4497">
        <v>6.81</v>
      </c>
      <c r="N4497">
        <v>8964</v>
      </c>
      <c r="O4497">
        <v>1</v>
      </c>
    </row>
    <row r="4498" spans="1:15">
      <c r="A4498" t="s">
        <v>4524</v>
      </c>
      <c r="B4498" t="s">
        <v>29</v>
      </c>
      <c r="C4498">
        <v>7</v>
      </c>
      <c r="D4498">
        <v>3955726</v>
      </c>
      <c r="E4498">
        <v>1</v>
      </c>
      <c r="F4498">
        <v>14</v>
      </c>
      <c r="G4498">
        <v>130</v>
      </c>
      <c r="H4498">
        <v>41813280</v>
      </c>
      <c r="I4498">
        <v>302385</v>
      </c>
      <c r="J4498" t="s">
        <v>17</v>
      </c>
      <c r="K4498" t="s">
        <v>22</v>
      </c>
      <c r="L4498">
        <v>7</v>
      </c>
      <c r="M4498">
        <v>58.69</v>
      </c>
      <c r="N4498">
        <v>921183</v>
      </c>
      <c r="O4498">
        <v>1</v>
      </c>
    </row>
    <row r="4499" spans="1:15">
      <c r="A4499" t="s">
        <v>4525</v>
      </c>
      <c r="B4499" t="s">
        <v>16</v>
      </c>
      <c r="C4499">
        <v>2</v>
      </c>
      <c r="D4499">
        <v>18692520</v>
      </c>
      <c r="E4499">
        <v>2</v>
      </c>
      <c r="F4499">
        <v>16</v>
      </c>
      <c r="G4499">
        <v>795</v>
      </c>
      <c r="H4499">
        <v>61401243</v>
      </c>
      <c r="I4499">
        <v>352652</v>
      </c>
      <c r="J4499" t="s">
        <v>17</v>
      </c>
      <c r="K4499" t="s">
        <v>22</v>
      </c>
      <c r="L4499">
        <v>8</v>
      </c>
      <c r="M4499">
        <v>62.41</v>
      </c>
      <c r="N4499">
        <v>57657</v>
      </c>
      <c r="O4499">
        <v>1</v>
      </c>
    </row>
    <row r="4500" spans="1:15">
      <c r="A4500" t="s">
        <v>4526</v>
      </c>
      <c r="B4500" t="s">
        <v>32</v>
      </c>
      <c r="C4500">
        <v>10</v>
      </c>
      <c r="D4500">
        <v>43094446</v>
      </c>
      <c r="E4500">
        <v>1</v>
      </c>
      <c r="F4500">
        <v>17</v>
      </c>
      <c r="G4500">
        <v>461</v>
      </c>
      <c r="H4500">
        <v>85750629</v>
      </c>
      <c r="I4500">
        <v>895955</v>
      </c>
      <c r="J4500" t="s">
        <v>17</v>
      </c>
      <c r="K4500" t="s">
        <v>18</v>
      </c>
      <c r="L4500">
        <v>7</v>
      </c>
      <c r="M4500">
        <v>89.56</v>
      </c>
      <c r="N4500">
        <v>812031</v>
      </c>
      <c r="O4500">
        <v>1</v>
      </c>
    </row>
    <row r="4501" spans="1:15">
      <c r="A4501" t="s">
        <v>4527</v>
      </c>
      <c r="B4501" t="s">
        <v>38</v>
      </c>
      <c r="C4501">
        <v>3</v>
      </c>
      <c r="D4501">
        <v>7435607</v>
      </c>
      <c r="E4501">
        <v>4</v>
      </c>
      <c r="F4501">
        <v>25</v>
      </c>
      <c r="G4501">
        <v>993</v>
      </c>
      <c r="H4501">
        <v>62289825</v>
      </c>
      <c r="I4501">
        <v>923193</v>
      </c>
      <c r="J4501" t="s">
        <v>17</v>
      </c>
      <c r="K4501" t="s">
        <v>18</v>
      </c>
      <c r="L4501">
        <v>1</v>
      </c>
      <c r="M4501">
        <v>35.590000000000003</v>
      </c>
      <c r="N4501">
        <v>241194</v>
      </c>
      <c r="O4501">
        <v>1</v>
      </c>
    </row>
    <row r="4502" spans="1:15">
      <c r="A4502" t="s">
        <v>4528</v>
      </c>
      <c r="B4502" t="s">
        <v>24</v>
      </c>
      <c r="C4502">
        <v>3</v>
      </c>
      <c r="D4502">
        <v>21078449</v>
      </c>
      <c r="E4502">
        <v>3</v>
      </c>
      <c r="F4502">
        <v>5</v>
      </c>
      <c r="G4502">
        <v>58</v>
      </c>
      <c r="H4502">
        <v>64038300</v>
      </c>
      <c r="I4502">
        <v>578970</v>
      </c>
      <c r="J4502" t="s">
        <v>17</v>
      </c>
      <c r="K4502" t="s">
        <v>22</v>
      </c>
      <c r="L4502">
        <v>1</v>
      </c>
      <c r="M4502">
        <v>32.39</v>
      </c>
      <c r="N4502">
        <v>253365</v>
      </c>
      <c r="O4502">
        <v>1</v>
      </c>
    </row>
    <row r="4503" spans="1:15">
      <c r="A4503" t="s">
        <v>4529</v>
      </c>
      <c r="B4503" t="s">
        <v>29</v>
      </c>
      <c r="C4503">
        <v>2</v>
      </c>
      <c r="D4503">
        <v>44124405</v>
      </c>
      <c r="E4503">
        <v>3</v>
      </c>
      <c r="F4503">
        <v>16</v>
      </c>
      <c r="G4503">
        <v>66</v>
      </c>
      <c r="H4503">
        <v>29445867</v>
      </c>
      <c r="I4503">
        <v>513078</v>
      </c>
      <c r="J4503" t="s">
        <v>21</v>
      </c>
      <c r="K4503" t="s">
        <v>30</v>
      </c>
      <c r="L4503">
        <v>8</v>
      </c>
      <c r="M4503">
        <v>45.45</v>
      </c>
      <c r="N4503">
        <v>916551</v>
      </c>
      <c r="O4503">
        <v>1</v>
      </c>
    </row>
    <row r="4504" spans="1:15">
      <c r="A4504" t="s">
        <v>4530</v>
      </c>
      <c r="B4504" t="s">
        <v>29</v>
      </c>
      <c r="C4504">
        <v>2</v>
      </c>
      <c r="D4504">
        <v>13381228</v>
      </c>
      <c r="E4504">
        <v>2</v>
      </c>
      <c r="F4504">
        <v>24</v>
      </c>
      <c r="G4504">
        <v>798</v>
      </c>
      <c r="H4504">
        <v>1074432</v>
      </c>
      <c r="I4504">
        <v>141053</v>
      </c>
      <c r="J4504" t="s">
        <v>25</v>
      </c>
      <c r="K4504" t="s">
        <v>22</v>
      </c>
      <c r="L4504">
        <v>4</v>
      </c>
      <c r="M4504">
        <v>93.83</v>
      </c>
      <c r="N4504">
        <v>247960</v>
      </c>
      <c r="O4504">
        <v>1</v>
      </c>
    </row>
    <row r="4505" spans="1:15">
      <c r="A4505" t="s">
        <v>4531</v>
      </c>
      <c r="B4505" t="s">
        <v>20</v>
      </c>
      <c r="C4505">
        <v>12</v>
      </c>
      <c r="D4505">
        <v>33588065</v>
      </c>
      <c r="E4505">
        <v>3</v>
      </c>
      <c r="F4505">
        <v>13</v>
      </c>
      <c r="G4505">
        <v>850</v>
      </c>
      <c r="H4505">
        <v>87751434</v>
      </c>
      <c r="I4505">
        <v>102305</v>
      </c>
      <c r="J4505" t="s">
        <v>21</v>
      </c>
      <c r="K4505" t="s">
        <v>22</v>
      </c>
      <c r="L4505">
        <v>8</v>
      </c>
      <c r="M4505">
        <v>69.099999999999994</v>
      </c>
      <c r="N4505">
        <v>630641</v>
      </c>
      <c r="O4505">
        <v>1</v>
      </c>
    </row>
    <row r="4506" spans="1:15">
      <c r="A4506" t="s">
        <v>4532</v>
      </c>
      <c r="B4506" t="s">
        <v>38</v>
      </c>
      <c r="C4506">
        <v>11</v>
      </c>
      <c r="D4506">
        <v>9108576</v>
      </c>
      <c r="E4506">
        <v>3</v>
      </c>
      <c r="F4506">
        <v>12</v>
      </c>
      <c r="G4506">
        <v>758</v>
      </c>
      <c r="H4506">
        <v>77530758</v>
      </c>
      <c r="I4506">
        <v>788454</v>
      </c>
      <c r="J4506" t="s">
        <v>25</v>
      </c>
      <c r="K4506" t="s">
        <v>30</v>
      </c>
      <c r="L4506">
        <v>2</v>
      </c>
      <c r="M4506">
        <v>66.8</v>
      </c>
      <c r="N4506">
        <v>314521</v>
      </c>
      <c r="O4506">
        <v>1</v>
      </c>
    </row>
    <row r="4507" spans="1:15">
      <c r="A4507" t="s">
        <v>4533</v>
      </c>
      <c r="B4507" t="s">
        <v>32</v>
      </c>
      <c r="C4507">
        <v>12</v>
      </c>
      <c r="D4507">
        <v>17833520</v>
      </c>
      <c r="E4507">
        <v>3</v>
      </c>
      <c r="F4507">
        <v>4</v>
      </c>
      <c r="G4507">
        <v>255</v>
      </c>
      <c r="H4507">
        <v>18131326</v>
      </c>
      <c r="I4507">
        <v>724168</v>
      </c>
      <c r="J4507" t="s">
        <v>21</v>
      </c>
      <c r="K4507" t="s">
        <v>22</v>
      </c>
      <c r="L4507">
        <v>7</v>
      </c>
      <c r="M4507">
        <v>77.510000000000005</v>
      </c>
      <c r="N4507">
        <v>507470</v>
      </c>
      <c r="O4507">
        <v>1</v>
      </c>
    </row>
    <row r="4508" spans="1:15">
      <c r="A4508" t="s">
        <v>4534</v>
      </c>
      <c r="B4508" t="s">
        <v>20</v>
      </c>
      <c r="C4508">
        <v>4</v>
      </c>
      <c r="D4508">
        <v>35514792</v>
      </c>
      <c r="E4508">
        <v>1</v>
      </c>
      <c r="F4508">
        <v>1</v>
      </c>
      <c r="G4508">
        <v>928</v>
      </c>
      <c r="H4508">
        <v>61741516</v>
      </c>
      <c r="I4508">
        <v>491846</v>
      </c>
      <c r="J4508" t="s">
        <v>21</v>
      </c>
      <c r="K4508" t="s">
        <v>30</v>
      </c>
      <c r="L4508">
        <v>6</v>
      </c>
      <c r="M4508">
        <v>71.569999999999993</v>
      </c>
      <c r="N4508">
        <v>581361</v>
      </c>
      <c r="O4508">
        <v>1</v>
      </c>
    </row>
    <row r="4509" spans="1:15">
      <c r="A4509" t="s">
        <v>4535</v>
      </c>
      <c r="B4509" t="s">
        <v>38</v>
      </c>
      <c r="C4509">
        <v>5</v>
      </c>
      <c r="D4509">
        <v>30813657</v>
      </c>
      <c r="E4509">
        <v>3</v>
      </c>
      <c r="F4509">
        <v>13</v>
      </c>
      <c r="G4509">
        <v>980</v>
      </c>
      <c r="H4509">
        <v>39818435</v>
      </c>
      <c r="I4509">
        <v>605946</v>
      </c>
      <c r="J4509" t="s">
        <v>17</v>
      </c>
      <c r="K4509" t="s">
        <v>30</v>
      </c>
      <c r="L4509">
        <v>1</v>
      </c>
      <c r="M4509">
        <v>2.9</v>
      </c>
      <c r="N4509">
        <v>308543</v>
      </c>
      <c r="O4509">
        <v>1</v>
      </c>
    </row>
    <row r="4510" spans="1:15">
      <c r="A4510" t="s">
        <v>4536</v>
      </c>
      <c r="B4510" t="s">
        <v>24</v>
      </c>
      <c r="C4510">
        <v>12</v>
      </c>
      <c r="D4510">
        <v>30687443</v>
      </c>
      <c r="E4510">
        <v>1</v>
      </c>
      <c r="F4510">
        <v>2</v>
      </c>
      <c r="G4510">
        <v>592</v>
      </c>
      <c r="H4510">
        <v>67802746</v>
      </c>
      <c r="I4510">
        <v>397565</v>
      </c>
      <c r="J4510" t="s">
        <v>21</v>
      </c>
      <c r="K4510" t="s">
        <v>22</v>
      </c>
      <c r="L4510">
        <v>6</v>
      </c>
      <c r="M4510">
        <v>48.53</v>
      </c>
      <c r="N4510">
        <v>638590</v>
      </c>
      <c r="O4510">
        <v>1</v>
      </c>
    </row>
    <row r="4511" spans="1:15">
      <c r="A4511" t="s">
        <v>4537</v>
      </c>
      <c r="B4511" t="s">
        <v>29</v>
      </c>
      <c r="C4511">
        <v>12</v>
      </c>
      <c r="D4511">
        <v>30094310</v>
      </c>
      <c r="E4511">
        <v>1</v>
      </c>
      <c r="F4511">
        <v>16</v>
      </c>
      <c r="G4511">
        <v>464</v>
      </c>
      <c r="H4511">
        <v>40317623</v>
      </c>
      <c r="I4511">
        <v>280141</v>
      </c>
      <c r="J4511" t="s">
        <v>25</v>
      </c>
      <c r="K4511" t="s">
        <v>18</v>
      </c>
      <c r="L4511">
        <v>2</v>
      </c>
      <c r="M4511">
        <v>30.85</v>
      </c>
      <c r="N4511">
        <v>994049</v>
      </c>
      <c r="O4511">
        <v>1</v>
      </c>
    </row>
    <row r="4512" spans="1:15">
      <c r="A4512" t="s">
        <v>4538</v>
      </c>
      <c r="B4512" t="s">
        <v>32</v>
      </c>
      <c r="C4512">
        <v>14</v>
      </c>
      <c r="D4512">
        <v>19260531</v>
      </c>
      <c r="E4512">
        <v>4</v>
      </c>
      <c r="F4512">
        <v>8</v>
      </c>
      <c r="G4512">
        <v>145</v>
      </c>
      <c r="H4512">
        <v>53143814</v>
      </c>
      <c r="I4512">
        <v>739601</v>
      </c>
      <c r="J4512" t="s">
        <v>21</v>
      </c>
      <c r="K4512" t="s">
        <v>22</v>
      </c>
      <c r="L4512">
        <v>9</v>
      </c>
      <c r="M4512">
        <v>1.02</v>
      </c>
      <c r="N4512">
        <v>102684</v>
      </c>
      <c r="O4512">
        <v>1</v>
      </c>
    </row>
    <row r="4513" spans="1:15">
      <c r="A4513" t="s">
        <v>4539</v>
      </c>
      <c r="B4513" t="s">
        <v>24</v>
      </c>
      <c r="C4513">
        <v>11</v>
      </c>
      <c r="D4513">
        <v>25714706</v>
      </c>
      <c r="E4513">
        <v>2</v>
      </c>
      <c r="F4513">
        <v>16</v>
      </c>
      <c r="G4513">
        <v>330</v>
      </c>
      <c r="H4513">
        <v>22421739</v>
      </c>
      <c r="I4513">
        <v>784797</v>
      </c>
      <c r="J4513" t="s">
        <v>21</v>
      </c>
      <c r="K4513" t="s">
        <v>18</v>
      </c>
      <c r="L4513">
        <v>7</v>
      </c>
      <c r="M4513">
        <v>2.21</v>
      </c>
      <c r="N4513">
        <v>430816</v>
      </c>
      <c r="O4513">
        <v>1</v>
      </c>
    </row>
    <row r="4514" spans="1:15">
      <c r="A4514" t="s">
        <v>4540</v>
      </c>
      <c r="B4514" t="s">
        <v>38</v>
      </c>
      <c r="C4514">
        <v>5</v>
      </c>
      <c r="D4514">
        <v>41663081</v>
      </c>
      <c r="E4514">
        <v>3</v>
      </c>
      <c r="F4514">
        <v>1</v>
      </c>
      <c r="G4514">
        <v>983</v>
      </c>
      <c r="H4514">
        <v>76230745</v>
      </c>
      <c r="I4514">
        <v>767818</v>
      </c>
      <c r="J4514" t="s">
        <v>17</v>
      </c>
      <c r="K4514" t="s">
        <v>30</v>
      </c>
      <c r="L4514">
        <v>5</v>
      </c>
      <c r="M4514">
        <v>78.22</v>
      </c>
      <c r="N4514">
        <v>963983</v>
      </c>
      <c r="O4514">
        <v>1</v>
      </c>
    </row>
    <row r="4515" spans="1:15">
      <c r="A4515" t="s">
        <v>4541</v>
      </c>
      <c r="B4515" t="s">
        <v>20</v>
      </c>
      <c r="C4515">
        <v>4</v>
      </c>
      <c r="D4515">
        <v>46110113</v>
      </c>
      <c r="E4515">
        <v>2</v>
      </c>
      <c r="F4515">
        <v>2</v>
      </c>
      <c r="G4515">
        <v>57</v>
      </c>
      <c r="H4515">
        <v>71505194</v>
      </c>
      <c r="I4515">
        <v>319456</v>
      </c>
      <c r="J4515" t="s">
        <v>25</v>
      </c>
      <c r="K4515" t="s">
        <v>30</v>
      </c>
      <c r="L4515">
        <v>9</v>
      </c>
      <c r="M4515">
        <v>39.85</v>
      </c>
      <c r="N4515">
        <v>240878</v>
      </c>
      <c r="O4515">
        <v>1</v>
      </c>
    </row>
    <row r="4516" spans="1:15">
      <c r="A4516" t="s">
        <v>4542</v>
      </c>
      <c r="B4516" t="s">
        <v>27</v>
      </c>
      <c r="C4516">
        <v>3</v>
      </c>
      <c r="D4516">
        <v>944775</v>
      </c>
      <c r="E4516">
        <v>2</v>
      </c>
      <c r="F4516">
        <v>13</v>
      </c>
      <c r="G4516">
        <v>501</v>
      </c>
      <c r="H4516">
        <v>21388799</v>
      </c>
      <c r="I4516">
        <v>453446</v>
      </c>
      <c r="J4516" t="s">
        <v>21</v>
      </c>
      <c r="K4516" t="s">
        <v>22</v>
      </c>
      <c r="L4516">
        <v>7</v>
      </c>
      <c r="M4516">
        <v>51.14</v>
      </c>
      <c r="N4516">
        <v>220264</v>
      </c>
      <c r="O4516">
        <v>1</v>
      </c>
    </row>
    <row r="4517" spans="1:15">
      <c r="A4517" t="s">
        <v>4543</v>
      </c>
      <c r="B4517" t="s">
        <v>16</v>
      </c>
      <c r="C4517">
        <v>7</v>
      </c>
      <c r="D4517">
        <v>17202717</v>
      </c>
      <c r="E4517">
        <v>1</v>
      </c>
      <c r="F4517">
        <v>24</v>
      </c>
      <c r="G4517">
        <v>204</v>
      </c>
      <c r="H4517">
        <v>70330429</v>
      </c>
      <c r="I4517">
        <v>406770</v>
      </c>
      <c r="J4517" t="s">
        <v>21</v>
      </c>
      <c r="K4517" t="s">
        <v>22</v>
      </c>
      <c r="L4517">
        <v>5</v>
      </c>
      <c r="M4517">
        <v>33.81</v>
      </c>
      <c r="N4517">
        <v>641090</v>
      </c>
      <c r="O4517">
        <v>1</v>
      </c>
    </row>
    <row r="4518" spans="1:15">
      <c r="A4518" t="s">
        <v>4544</v>
      </c>
      <c r="B4518" t="s">
        <v>20</v>
      </c>
      <c r="C4518">
        <v>6</v>
      </c>
      <c r="D4518">
        <v>31488308</v>
      </c>
      <c r="E4518">
        <v>4</v>
      </c>
      <c r="F4518">
        <v>21</v>
      </c>
      <c r="G4518">
        <v>21</v>
      </c>
      <c r="H4518">
        <v>19986998</v>
      </c>
      <c r="I4518">
        <v>411497</v>
      </c>
      <c r="J4518" t="s">
        <v>25</v>
      </c>
      <c r="K4518" t="s">
        <v>18</v>
      </c>
      <c r="L4518">
        <v>2</v>
      </c>
      <c r="M4518">
        <v>88.02</v>
      </c>
      <c r="N4518">
        <v>201642</v>
      </c>
      <c r="O4518">
        <v>1</v>
      </c>
    </row>
    <row r="4519" spans="1:15">
      <c r="A4519" t="s">
        <v>4545</v>
      </c>
      <c r="B4519" t="s">
        <v>16</v>
      </c>
      <c r="C4519">
        <v>1</v>
      </c>
      <c r="D4519">
        <v>39560834</v>
      </c>
      <c r="E4519">
        <v>3</v>
      </c>
      <c r="F4519">
        <v>25</v>
      </c>
      <c r="G4519">
        <v>388</v>
      </c>
      <c r="H4519">
        <v>28219641</v>
      </c>
      <c r="I4519">
        <v>484732</v>
      </c>
      <c r="J4519" t="s">
        <v>25</v>
      </c>
      <c r="K4519" t="s">
        <v>18</v>
      </c>
      <c r="L4519">
        <v>9</v>
      </c>
      <c r="M4519">
        <v>46.9</v>
      </c>
      <c r="N4519">
        <v>490488</v>
      </c>
      <c r="O4519">
        <v>1</v>
      </c>
    </row>
    <row r="4520" spans="1:15">
      <c r="A4520" t="s">
        <v>4546</v>
      </c>
      <c r="B4520" t="s">
        <v>32</v>
      </c>
      <c r="C4520">
        <v>0</v>
      </c>
      <c r="D4520">
        <v>38962091</v>
      </c>
      <c r="E4520">
        <v>3</v>
      </c>
      <c r="F4520">
        <v>0</v>
      </c>
      <c r="G4520">
        <v>268</v>
      </c>
      <c r="H4520">
        <v>24217414</v>
      </c>
      <c r="I4520">
        <v>178819</v>
      </c>
      <c r="J4520" t="s">
        <v>17</v>
      </c>
      <c r="K4520" t="s">
        <v>18</v>
      </c>
      <c r="L4520">
        <v>7</v>
      </c>
      <c r="M4520">
        <v>78.58</v>
      </c>
      <c r="N4520">
        <v>833454</v>
      </c>
      <c r="O4520">
        <v>1</v>
      </c>
    </row>
    <row r="4521" spans="1:15">
      <c r="A4521" t="s">
        <v>4547</v>
      </c>
      <c r="B4521" t="s">
        <v>32</v>
      </c>
      <c r="C4521">
        <v>6</v>
      </c>
      <c r="D4521">
        <v>9365814</v>
      </c>
      <c r="E4521">
        <v>3</v>
      </c>
      <c r="F4521">
        <v>23</v>
      </c>
      <c r="G4521">
        <v>4</v>
      </c>
      <c r="H4521">
        <v>57266719</v>
      </c>
      <c r="I4521">
        <v>423111</v>
      </c>
      <c r="J4521" t="s">
        <v>17</v>
      </c>
      <c r="K4521" t="s">
        <v>22</v>
      </c>
      <c r="L4521">
        <v>9</v>
      </c>
      <c r="M4521">
        <v>37.299999999999997</v>
      </c>
      <c r="N4521">
        <v>582064</v>
      </c>
      <c r="O4521">
        <v>1</v>
      </c>
    </row>
    <row r="4522" spans="1:15">
      <c r="A4522" t="s">
        <v>4548</v>
      </c>
      <c r="B4522" t="s">
        <v>20</v>
      </c>
      <c r="C4522">
        <v>14</v>
      </c>
      <c r="D4522">
        <v>41457350</v>
      </c>
      <c r="E4522">
        <v>3</v>
      </c>
      <c r="F4522">
        <v>13</v>
      </c>
      <c r="G4522">
        <v>588</v>
      </c>
      <c r="H4522">
        <v>20850638</v>
      </c>
      <c r="I4522">
        <v>930402</v>
      </c>
      <c r="J4522" t="s">
        <v>17</v>
      </c>
      <c r="K4522" t="s">
        <v>18</v>
      </c>
      <c r="L4522">
        <v>5</v>
      </c>
      <c r="M4522">
        <v>65.38</v>
      </c>
      <c r="N4522">
        <v>562011</v>
      </c>
      <c r="O4522">
        <v>1</v>
      </c>
    </row>
    <row r="4523" spans="1:15">
      <c r="A4523" t="s">
        <v>4549</v>
      </c>
      <c r="B4523" t="s">
        <v>29</v>
      </c>
      <c r="C4523">
        <v>10</v>
      </c>
      <c r="D4523">
        <v>21701553</v>
      </c>
      <c r="E4523">
        <v>3</v>
      </c>
      <c r="F4523">
        <v>6</v>
      </c>
      <c r="G4523">
        <v>359</v>
      </c>
      <c r="H4523">
        <v>48736805</v>
      </c>
      <c r="I4523">
        <v>739717</v>
      </c>
      <c r="J4523" t="s">
        <v>21</v>
      </c>
      <c r="K4523" t="s">
        <v>30</v>
      </c>
      <c r="L4523">
        <v>9</v>
      </c>
      <c r="M4523">
        <v>59.84</v>
      </c>
      <c r="N4523">
        <v>865388</v>
      </c>
      <c r="O4523">
        <v>1</v>
      </c>
    </row>
    <row r="4524" spans="1:15">
      <c r="A4524" t="s">
        <v>4550</v>
      </c>
      <c r="B4524" t="s">
        <v>20</v>
      </c>
      <c r="C4524">
        <v>14</v>
      </c>
      <c r="D4524">
        <v>19217792</v>
      </c>
      <c r="E4524">
        <v>2</v>
      </c>
      <c r="F4524">
        <v>1</v>
      </c>
      <c r="G4524">
        <v>200</v>
      </c>
      <c r="H4524">
        <v>93803059</v>
      </c>
      <c r="I4524">
        <v>311006</v>
      </c>
      <c r="J4524" t="s">
        <v>21</v>
      </c>
      <c r="K4524" t="s">
        <v>30</v>
      </c>
      <c r="L4524">
        <v>8</v>
      </c>
      <c r="M4524">
        <v>21.24</v>
      </c>
      <c r="N4524">
        <v>664299</v>
      </c>
      <c r="O4524">
        <v>1</v>
      </c>
    </row>
    <row r="4525" spans="1:15">
      <c r="A4525" t="s">
        <v>4551</v>
      </c>
      <c r="B4525" t="s">
        <v>29</v>
      </c>
      <c r="C4525">
        <v>13</v>
      </c>
      <c r="D4525">
        <v>19851924</v>
      </c>
      <c r="E4525">
        <v>1</v>
      </c>
      <c r="F4525">
        <v>18</v>
      </c>
      <c r="G4525">
        <v>613</v>
      </c>
      <c r="H4525">
        <v>12329426</v>
      </c>
      <c r="I4525">
        <v>205885</v>
      </c>
      <c r="J4525" t="s">
        <v>25</v>
      </c>
      <c r="K4525" t="s">
        <v>18</v>
      </c>
      <c r="L4525">
        <v>6</v>
      </c>
      <c r="M4525">
        <v>73.64</v>
      </c>
      <c r="N4525">
        <v>174194</v>
      </c>
      <c r="O4525">
        <v>1</v>
      </c>
    </row>
    <row r="4526" spans="1:15">
      <c r="A4526" t="s">
        <v>4552</v>
      </c>
      <c r="B4526" t="s">
        <v>29</v>
      </c>
      <c r="C4526">
        <v>10</v>
      </c>
      <c r="D4526">
        <v>43458892</v>
      </c>
      <c r="E4526">
        <v>1</v>
      </c>
      <c r="F4526">
        <v>15</v>
      </c>
      <c r="G4526">
        <v>997</v>
      </c>
      <c r="H4526">
        <v>22434510</v>
      </c>
      <c r="I4526">
        <v>49430</v>
      </c>
      <c r="J4526" t="s">
        <v>21</v>
      </c>
      <c r="K4526" t="s">
        <v>30</v>
      </c>
      <c r="L4526">
        <v>4</v>
      </c>
      <c r="M4526">
        <v>71.239999999999995</v>
      </c>
      <c r="N4526">
        <v>316466</v>
      </c>
      <c r="O4526">
        <v>1</v>
      </c>
    </row>
    <row r="4527" spans="1:15">
      <c r="A4527" t="s">
        <v>4553</v>
      </c>
      <c r="B4527" t="s">
        <v>38</v>
      </c>
      <c r="C4527">
        <v>14</v>
      </c>
      <c r="D4527">
        <v>31472259</v>
      </c>
      <c r="E4527">
        <v>2</v>
      </c>
      <c r="F4527">
        <v>2</v>
      </c>
      <c r="G4527">
        <v>825</v>
      </c>
      <c r="H4527">
        <v>49097106</v>
      </c>
      <c r="I4527">
        <v>699218</v>
      </c>
      <c r="J4527" t="s">
        <v>21</v>
      </c>
      <c r="K4527" t="s">
        <v>30</v>
      </c>
      <c r="L4527">
        <v>9</v>
      </c>
      <c r="M4527">
        <v>73.8</v>
      </c>
      <c r="N4527">
        <v>188069</v>
      </c>
      <c r="O4527">
        <v>1</v>
      </c>
    </row>
    <row r="4528" spans="1:15">
      <c r="A4528" t="s">
        <v>4554</v>
      </c>
      <c r="B4528" t="s">
        <v>20</v>
      </c>
      <c r="C4528">
        <v>10</v>
      </c>
      <c r="D4528">
        <v>10671607</v>
      </c>
      <c r="E4528">
        <v>4</v>
      </c>
      <c r="F4528">
        <v>25</v>
      </c>
      <c r="G4528">
        <v>777</v>
      </c>
      <c r="H4528">
        <v>69858274</v>
      </c>
      <c r="I4528">
        <v>891337</v>
      </c>
      <c r="J4528" t="s">
        <v>17</v>
      </c>
      <c r="K4528" t="s">
        <v>22</v>
      </c>
      <c r="L4528">
        <v>3</v>
      </c>
      <c r="M4528">
        <v>12.12</v>
      </c>
      <c r="N4528">
        <v>110273</v>
      </c>
      <c r="O4528">
        <v>1</v>
      </c>
    </row>
    <row r="4529" spans="1:15">
      <c r="A4529" t="s">
        <v>4555</v>
      </c>
      <c r="B4529" t="s">
        <v>27</v>
      </c>
      <c r="C4529">
        <v>14</v>
      </c>
      <c r="D4529">
        <v>47759862</v>
      </c>
      <c r="E4529">
        <v>3</v>
      </c>
      <c r="F4529">
        <v>3</v>
      </c>
      <c r="G4529">
        <v>817</v>
      </c>
      <c r="H4529">
        <v>45638798</v>
      </c>
      <c r="I4529">
        <v>765899</v>
      </c>
      <c r="J4529" t="s">
        <v>17</v>
      </c>
      <c r="K4529" t="s">
        <v>22</v>
      </c>
      <c r="L4529">
        <v>6</v>
      </c>
      <c r="M4529">
        <v>66.5</v>
      </c>
      <c r="N4529">
        <v>719632</v>
      </c>
      <c r="O4529">
        <v>1</v>
      </c>
    </row>
    <row r="4530" spans="1:15">
      <c r="A4530" t="s">
        <v>4556</v>
      </c>
      <c r="B4530" t="s">
        <v>20</v>
      </c>
      <c r="C4530">
        <v>13</v>
      </c>
      <c r="D4530">
        <v>29267721</v>
      </c>
      <c r="E4530">
        <v>3</v>
      </c>
      <c r="F4530">
        <v>24</v>
      </c>
      <c r="G4530">
        <v>379</v>
      </c>
      <c r="H4530">
        <v>44040233</v>
      </c>
      <c r="I4530">
        <v>284594</v>
      </c>
      <c r="J4530" t="s">
        <v>21</v>
      </c>
      <c r="K4530" t="s">
        <v>18</v>
      </c>
      <c r="L4530">
        <v>9</v>
      </c>
      <c r="M4530">
        <v>24.18</v>
      </c>
      <c r="N4530">
        <v>6620</v>
      </c>
      <c r="O4530">
        <v>1</v>
      </c>
    </row>
    <row r="4531" spans="1:15">
      <c r="A4531" t="s">
        <v>4557</v>
      </c>
      <c r="B4531" t="s">
        <v>29</v>
      </c>
      <c r="C4531">
        <v>12</v>
      </c>
      <c r="D4531">
        <v>22055827</v>
      </c>
      <c r="E4531">
        <v>3</v>
      </c>
      <c r="F4531">
        <v>28</v>
      </c>
      <c r="G4531">
        <v>761</v>
      </c>
      <c r="H4531">
        <v>57663069</v>
      </c>
      <c r="I4531">
        <v>517829</v>
      </c>
      <c r="J4531" t="s">
        <v>25</v>
      </c>
      <c r="K4531" t="s">
        <v>18</v>
      </c>
      <c r="L4531">
        <v>9</v>
      </c>
      <c r="M4531">
        <v>85.82</v>
      </c>
      <c r="N4531">
        <v>873282</v>
      </c>
      <c r="O4531">
        <v>1</v>
      </c>
    </row>
    <row r="4532" spans="1:15">
      <c r="A4532" t="s">
        <v>4558</v>
      </c>
      <c r="B4532" t="s">
        <v>38</v>
      </c>
      <c r="C4532">
        <v>11</v>
      </c>
      <c r="D4532">
        <v>42888895</v>
      </c>
      <c r="E4532">
        <v>4</v>
      </c>
      <c r="F4532">
        <v>5</v>
      </c>
      <c r="G4532">
        <v>804</v>
      </c>
      <c r="H4532">
        <v>24311794</v>
      </c>
      <c r="I4532">
        <v>540305</v>
      </c>
      <c r="J4532" t="s">
        <v>21</v>
      </c>
      <c r="K4532" t="s">
        <v>18</v>
      </c>
      <c r="L4532">
        <v>4</v>
      </c>
      <c r="M4532">
        <v>30.98</v>
      </c>
      <c r="N4532">
        <v>235983</v>
      </c>
      <c r="O4532">
        <v>1</v>
      </c>
    </row>
    <row r="4533" spans="1:15">
      <c r="A4533" t="s">
        <v>4559</v>
      </c>
      <c r="B4533" t="s">
        <v>29</v>
      </c>
      <c r="C4533">
        <v>12</v>
      </c>
      <c r="D4533">
        <v>24621705</v>
      </c>
      <c r="E4533">
        <v>2</v>
      </c>
      <c r="F4533">
        <v>8</v>
      </c>
      <c r="G4533">
        <v>949</v>
      </c>
      <c r="H4533">
        <v>45032136</v>
      </c>
      <c r="I4533">
        <v>418830</v>
      </c>
      <c r="J4533" t="s">
        <v>25</v>
      </c>
      <c r="K4533" t="s">
        <v>18</v>
      </c>
      <c r="L4533">
        <v>2</v>
      </c>
      <c r="M4533">
        <v>33.950000000000003</v>
      </c>
      <c r="N4533">
        <v>228215</v>
      </c>
      <c r="O4533">
        <v>1</v>
      </c>
    </row>
    <row r="4534" spans="1:15">
      <c r="A4534" t="s">
        <v>4560</v>
      </c>
      <c r="B4534" t="s">
        <v>27</v>
      </c>
      <c r="C4534">
        <v>6</v>
      </c>
      <c r="D4534">
        <v>9147281</v>
      </c>
      <c r="E4534">
        <v>1</v>
      </c>
      <c r="F4534">
        <v>21</v>
      </c>
      <c r="G4534">
        <v>431</v>
      </c>
      <c r="H4534">
        <v>40179004</v>
      </c>
      <c r="I4534">
        <v>190021</v>
      </c>
      <c r="J4534" t="s">
        <v>21</v>
      </c>
      <c r="K4534" t="s">
        <v>18</v>
      </c>
      <c r="L4534">
        <v>9</v>
      </c>
      <c r="M4534">
        <v>73.64</v>
      </c>
      <c r="N4534">
        <v>858084</v>
      </c>
      <c r="O4534">
        <v>1</v>
      </c>
    </row>
    <row r="4535" spans="1:15">
      <c r="A4535" t="s">
        <v>4561</v>
      </c>
      <c r="B4535" t="s">
        <v>38</v>
      </c>
      <c r="C4535">
        <v>11</v>
      </c>
      <c r="D4535">
        <v>29915484</v>
      </c>
      <c r="E4535">
        <v>1</v>
      </c>
      <c r="F4535">
        <v>24</v>
      </c>
      <c r="G4535">
        <v>624</v>
      </c>
      <c r="H4535">
        <v>71901494</v>
      </c>
      <c r="I4535">
        <v>768134</v>
      </c>
      <c r="J4535" t="s">
        <v>25</v>
      </c>
      <c r="K4535" t="s">
        <v>30</v>
      </c>
      <c r="L4535">
        <v>9</v>
      </c>
      <c r="M4535">
        <v>56.61</v>
      </c>
      <c r="N4535">
        <v>140279</v>
      </c>
      <c r="O4535">
        <v>1</v>
      </c>
    </row>
    <row r="4536" spans="1:15">
      <c r="A4536" t="s">
        <v>4562</v>
      </c>
      <c r="B4536" t="s">
        <v>38</v>
      </c>
      <c r="C4536">
        <v>12</v>
      </c>
      <c r="D4536">
        <v>8846295</v>
      </c>
      <c r="E4536">
        <v>2</v>
      </c>
      <c r="F4536">
        <v>28</v>
      </c>
      <c r="G4536">
        <v>877</v>
      </c>
      <c r="H4536">
        <v>79514338</v>
      </c>
      <c r="I4536">
        <v>113663</v>
      </c>
      <c r="J4536" t="s">
        <v>21</v>
      </c>
      <c r="K4536" t="s">
        <v>18</v>
      </c>
      <c r="L4536">
        <v>1</v>
      </c>
      <c r="M4536">
        <v>68.09</v>
      </c>
      <c r="N4536">
        <v>249129</v>
      </c>
      <c r="O4536">
        <v>1</v>
      </c>
    </row>
    <row r="4537" spans="1:15">
      <c r="A4537" t="s">
        <v>4563</v>
      </c>
      <c r="B4537" t="s">
        <v>20</v>
      </c>
      <c r="C4537">
        <v>3</v>
      </c>
      <c r="D4537">
        <v>23275589</v>
      </c>
      <c r="E4537">
        <v>4</v>
      </c>
      <c r="F4537">
        <v>6</v>
      </c>
      <c r="G4537">
        <v>770</v>
      </c>
      <c r="H4537">
        <v>43308835</v>
      </c>
      <c r="I4537">
        <v>786702</v>
      </c>
      <c r="J4537" t="s">
        <v>25</v>
      </c>
      <c r="K4537" t="s">
        <v>30</v>
      </c>
      <c r="L4537">
        <v>7</v>
      </c>
      <c r="M4537">
        <v>12.9</v>
      </c>
      <c r="N4537">
        <v>542603</v>
      </c>
      <c r="O4537">
        <v>1</v>
      </c>
    </row>
    <row r="4538" spans="1:15">
      <c r="A4538" t="s">
        <v>4564</v>
      </c>
      <c r="B4538" t="s">
        <v>16</v>
      </c>
      <c r="C4538">
        <v>9</v>
      </c>
      <c r="D4538">
        <v>26088747</v>
      </c>
      <c r="E4538">
        <v>1</v>
      </c>
      <c r="F4538">
        <v>16</v>
      </c>
      <c r="G4538">
        <v>207</v>
      </c>
      <c r="H4538">
        <v>16217221</v>
      </c>
      <c r="I4538">
        <v>625260</v>
      </c>
      <c r="J4538" t="s">
        <v>17</v>
      </c>
      <c r="K4538" t="s">
        <v>22</v>
      </c>
      <c r="L4538">
        <v>9</v>
      </c>
      <c r="M4538">
        <v>83.37</v>
      </c>
      <c r="N4538">
        <v>14100</v>
      </c>
      <c r="O4538">
        <v>1</v>
      </c>
    </row>
    <row r="4539" spans="1:15">
      <c r="A4539" t="s">
        <v>4565</v>
      </c>
      <c r="B4539" t="s">
        <v>16</v>
      </c>
      <c r="C4539">
        <v>13</v>
      </c>
      <c r="D4539">
        <v>42743162</v>
      </c>
      <c r="E4539">
        <v>1</v>
      </c>
      <c r="F4539">
        <v>22</v>
      </c>
      <c r="G4539">
        <v>301</v>
      </c>
      <c r="H4539">
        <v>53044745</v>
      </c>
      <c r="I4539">
        <v>268478</v>
      </c>
      <c r="J4539" t="s">
        <v>21</v>
      </c>
      <c r="K4539" t="s">
        <v>30</v>
      </c>
      <c r="L4539">
        <v>7</v>
      </c>
      <c r="M4539">
        <v>41.04</v>
      </c>
      <c r="N4539">
        <v>82623</v>
      </c>
      <c r="O4539">
        <v>1</v>
      </c>
    </row>
    <row r="4540" spans="1:15">
      <c r="A4540" t="s">
        <v>4566</v>
      </c>
      <c r="B4540" t="s">
        <v>29</v>
      </c>
      <c r="C4540">
        <v>11</v>
      </c>
      <c r="D4540">
        <v>17379575</v>
      </c>
      <c r="E4540">
        <v>4</v>
      </c>
      <c r="F4540">
        <v>9</v>
      </c>
      <c r="G4540">
        <v>918</v>
      </c>
      <c r="H4540">
        <v>8812801</v>
      </c>
      <c r="I4540">
        <v>292792</v>
      </c>
      <c r="J4540" t="s">
        <v>21</v>
      </c>
      <c r="K4540" t="s">
        <v>22</v>
      </c>
      <c r="L4540">
        <v>7</v>
      </c>
      <c r="M4540">
        <v>94.83</v>
      </c>
      <c r="N4540">
        <v>72267</v>
      </c>
      <c r="O4540">
        <v>1</v>
      </c>
    </row>
    <row r="4541" spans="1:15">
      <c r="A4541" t="s">
        <v>4567</v>
      </c>
      <c r="B4541" t="s">
        <v>38</v>
      </c>
      <c r="C4541">
        <v>4</v>
      </c>
      <c r="D4541">
        <v>10985728</v>
      </c>
      <c r="E4541">
        <v>2</v>
      </c>
      <c r="F4541">
        <v>3</v>
      </c>
      <c r="G4541">
        <v>190</v>
      </c>
      <c r="H4541">
        <v>97272852</v>
      </c>
      <c r="I4541">
        <v>370379</v>
      </c>
      <c r="J4541" t="s">
        <v>25</v>
      </c>
      <c r="K4541" t="s">
        <v>18</v>
      </c>
      <c r="L4541">
        <v>9</v>
      </c>
      <c r="M4541">
        <v>14.54</v>
      </c>
      <c r="N4541">
        <v>55134</v>
      </c>
      <c r="O4541">
        <v>1</v>
      </c>
    </row>
    <row r="4542" spans="1:15">
      <c r="A4542" t="s">
        <v>4568</v>
      </c>
      <c r="B4542" t="s">
        <v>24</v>
      </c>
      <c r="C4542">
        <v>3</v>
      </c>
      <c r="D4542">
        <v>9047664</v>
      </c>
      <c r="E4542">
        <v>4</v>
      </c>
      <c r="F4542">
        <v>28</v>
      </c>
      <c r="G4542">
        <v>663</v>
      </c>
      <c r="H4542">
        <v>32946888</v>
      </c>
      <c r="I4542">
        <v>126280</v>
      </c>
      <c r="J4542" t="s">
        <v>21</v>
      </c>
      <c r="K4542" t="s">
        <v>30</v>
      </c>
      <c r="L4542">
        <v>6</v>
      </c>
      <c r="M4542">
        <v>45.8</v>
      </c>
      <c r="N4542">
        <v>824602</v>
      </c>
      <c r="O4542">
        <v>1</v>
      </c>
    </row>
    <row r="4543" spans="1:15">
      <c r="A4543" t="s">
        <v>4569</v>
      </c>
      <c r="B4543" t="s">
        <v>20</v>
      </c>
      <c r="C4543">
        <v>6</v>
      </c>
      <c r="D4543">
        <v>36438646</v>
      </c>
      <c r="E4543">
        <v>4</v>
      </c>
      <c r="F4543">
        <v>7</v>
      </c>
      <c r="G4543">
        <v>66</v>
      </c>
      <c r="H4543">
        <v>38033635</v>
      </c>
      <c r="I4543">
        <v>970646</v>
      </c>
      <c r="J4543" t="s">
        <v>17</v>
      </c>
      <c r="K4543" t="s">
        <v>22</v>
      </c>
      <c r="L4543">
        <v>5</v>
      </c>
      <c r="M4543">
        <v>35.1</v>
      </c>
      <c r="N4543">
        <v>515717</v>
      </c>
      <c r="O4543">
        <v>1</v>
      </c>
    </row>
    <row r="4544" spans="1:15">
      <c r="A4544" t="s">
        <v>4570</v>
      </c>
      <c r="B4544" t="s">
        <v>24</v>
      </c>
      <c r="C4544">
        <v>7</v>
      </c>
      <c r="D4544">
        <v>6619711</v>
      </c>
      <c r="E4544">
        <v>4</v>
      </c>
      <c r="F4544">
        <v>4</v>
      </c>
      <c r="G4544">
        <v>347</v>
      </c>
      <c r="H4544">
        <v>30023272</v>
      </c>
      <c r="I4544">
        <v>262217</v>
      </c>
      <c r="J4544" t="s">
        <v>25</v>
      </c>
      <c r="K4544" t="s">
        <v>18</v>
      </c>
      <c r="L4544">
        <v>7</v>
      </c>
      <c r="M4544">
        <v>9.67</v>
      </c>
      <c r="N4544">
        <v>469471</v>
      </c>
      <c r="O4544">
        <v>1</v>
      </c>
    </row>
    <row r="4545" spans="1:15">
      <c r="A4545" t="s">
        <v>4571</v>
      </c>
      <c r="B4545" t="s">
        <v>38</v>
      </c>
      <c r="C4545">
        <v>10</v>
      </c>
      <c r="D4545">
        <v>23337445</v>
      </c>
      <c r="E4545">
        <v>2</v>
      </c>
      <c r="F4545">
        <v>25</v>
      </c>
      <c r="G4545">
        <v>67</v>
      </c>
      <c r="H4545">
        <v>61854806</v>
      </c>
      <c r="I4545">
        <v>434599</v>
      </c>
      <c r="J4545" t="s">
        <v>21</v>
      </c>
      <c r="K4545" t="s">
        <v>18</v>
      </c>
      <c r="L4545">
        <v>2</v>
      </c>
      <c r="M4545">
        <v>48.47</v>
      </c>
      <c r="N4545">
        <v>830956</v>
      </c>
      <c r="O4545">
        <v>1</v>
      </c>
    </row>
    <row r="4546" spans="1:15">
      <c r="A4546" t="s">
        <v>4572</v>
      </c>
      <c r="B4546" t="s">
        <v>24</v>
      </c>
      <c r="C4546">
        <v>8</v>
      </c>
      <c r="D4546">
        <v>2013022</v>
      </c>
      <c r="E4546">
        <v>4</v>
      </c>
      <c r="F4546">
        <v>18</v>
      </c>
      <c r="G4546">
        <v>534</v>
      </c>
      <c r="H4546">
        <v>50980666</v>
      </c>
      <c r="I4546">
        <v>192169</v>
      </c>
      <c r="J4546" t="s">
        <v>25</v>
      </c>
      <c r="K4546" t="s">
        <v>30</v>
      </c>
      <c r="L4546">
        <v>9</v>
      </c>
      <c r="M4546">
        <v>47.13</v>
      </c>
      <c r="N4546">
        <v>350484</v>
      </c>
      <c r="O4546">
        <v>1</v>
      </c>
    </row>
    <row r="4547" spans="1:15">
      <c r="A4547" t="s">
        <v>4573</v>
      </c>
      <c r="B4547" t="s">
        <v>20</v>
      </c>
      <c r="C4547">
        <v>9</v>
      </c>
      <c r="D4547">
        <v>1966518</v>
      </c>
      <c r="E4547">
        <v>2</v>
      </c>
      <c r="F4547">
        <v>14</v>
      </c>
      <c r="G4547">
        <v>773</v>
      </c>
      <c r="H4547">
        <v>9149075</v>
      </c>
      <c r="I4547">
        <v>888513</v>
      </c>
      <c r="J4547" t="s">
        <v>25</v>
      </c>
      <c r="K4547" t="s">
        <v>22</v>
      </c>
      <c r="L4547">
        <v>3</v>
      </c>
      <c r="M4547">
        <v>29.56</v>
      </c>
      <c r="N4547">
        <v>750978</v>
      </c>
      <c r="O4547">
        <v>1</v>
      </c>
    </row>
    <row r="4548" spans="1:15">
      <c r="A4548" t="s">
        <v>4574</v>
      </c>
      <c r="B4548" t="s">
        <v>16</v>
      </c>
      <c r="C4548">
        <v>10</v>
      </c>
      <c r="D4548">
        <v>8726073</v>
      </c>
      <c r="E4548">
        <v>2</v>
      </c>
      <c r="F4548">
        <v>28</v>
      </c>
      <c r="G4548">
        <v>287</v>
      </c>
      <c r="H4548">
        <v>6212129</v>
      </c>
      <c r="I4548">
        <v>847216</v>
      </c>
      <c r="J4548" t="s">
        <v>25</v>
      </c>
      <c r="K4548" t="s">
        <v>18</v>
      </c>
      <c r="L4548">
        <v>4</v>
      </c>
      <c r="M4548">
        <v>16.03</v>
      </c>
      <c r="N4548">
        <v>850086</v>
      </c>
      <c r="O4548">
        <v>1</v>
      </c>
    </row>
    <row r="4549" spans="1:15">
      <c r="A4549" t="s">
        <v>4575</v>
      </c>
      <c r="B4549" t="s">
        <v>38</v>
      </c>
      <c r="C4549">
        <v>2</v>
      </c>
      <c r="D4549">
        <v>28680653</v>
      </c>
      <c r="E4549">
        <v>3</v>
      </c>
      <c r="F4549">
        <v>26</v>
      </c>
      <c r="G4549">
        <v>608</v>
      </c>
      <c r="H4549">
        <v>43318606</v>
      </c>
      <c r="I4549">
        <v>517096</v>
      </c>
      <c r="J4549" t="s">
        <v>21</v>
      </c>
      <c r="K4549" t="s">
        <v>22</v>
      </c>
      <c r="L4549">
        <v>4</v>
      </c>
      <c r="M4549">
        <v>88.3</v>
      </c>
      <c r="N4549">
        <v>808243</v>
      </c>
      <c r="O4549">
        <v>1</v>
      </c>
    </row>
    <row r="4550" spans="1:15">
      <c r="A4550" t="s">
        <v>4576</v>
      </c>
      <c r="B4550" t="s">
        <v>32</v>
      </c>
      <c r="C4550">
        <v>4</v>
      </c>
      <c r="D4550">
        <v>38180811</v>
      </c>
      <c r="E4550">
        <v>1</v>
      </c>
      <c r="F4550">
        <v>17</v>
      </c>
      <c r="G4550">
        <v>962</v>
      </c>
      <c r="H4550">
        <v>16759075</v>
      </c>
      <c r="I4550">
        <v>483348</v>
      </c>
      <c r="J4550" t="s">
        <v>25</v>
      </c>
      <c r="K4550" t="s">
        <v>18</v>
      </c>
      <c r="L4550">
        <v>4</v>
      </c>
      <c r="M4550">
        <v>4.67</v>
      </c>
      <c r="N4550">
        <v>97689</v>
      </c>
      <c r="O4550">
        <v>1</v>
      </c>
    </row>
    <row r="4551" spans="1:15">
      <c r="A4551" t="s">
        <v>4577</v>
      </c>
      <c r="B4551" t="s">
        <v>20</v>
      </c>
      <c r="C4551">
        <v>11</v>
      </c>
      <c r="D4551">
        <v>28858841</v>
      </c>
      <c r="E4551">
        <v>3</v>
      </c>
      <c r="F4551">
        <v>28</v>
      </c>
      <c r="G4551">
        <v>810</v>
      </c>
      <c r="H4551">
        <v>79541924</v>
      </c>
      <c r="I4551">
        <v>931659</v>
      </c>
      <c r="J4551" t="s">
        <v>21</v>
      </c>
      <c r="K4551" t="s">
        <v>18</v>
      </c>
      <c r="L4551">
        <v>6</v>
      </c>
      <c r="M4551">
        <v>33.200000000000003</v>
      </c>
      <c r="N4551">
        <v>349268</v>
      </c>
      <c r="O4551">
        <v>1</v>
      </c>
    </row>
    <row r="4552" spans="1:15">
      <c r="A4552" t="s">
        <v>4578</v>
      </c>
      <c r="B4552" t="s">
        <v>38</v>
      </c>
      <c r="C4552">
        <v>14</v>
      </c>
      <c r="D4552">
        <v>15196358</v>
      </c>
      <c r="E4552">
        <v>1</v>
      </c>
      <c r="F4552">
        <v>23</v>
      </c>
      <c r="G4552">
        <v>910</v>
      </c>
      <c r="H4552">
        <v>98380697</v>
      </c>
      <c r="I4552">
        <v>7484</v>
      </c>
      <c r="J4552" t="s">
        <v>17</v>
      </c>
      <c r="K4552" t="s">
        <v>22</v>
      </c>
      <c r="L4552">
        <v>5</v>
      </c>
      <c r="M4552">
        <v>27.85</v>
      </c>
      <c r="N4552">
        <v>720577</v>
      </c>
      <c r="O4552">
        <v>1</v>
      </c>
    </row>
    <row r="4553" spans="1:15">
      <c r="A4553" t="s">
        <v>4579</v>
      </c>
      <c r="B4553" t="s">
        <v>38</v>
      </c>
      <c r="C4553">
        <v>9</v>
      </c>
      <c r="D4553">
        <v>23303272</v>
      </c>
      <c r="E4553">
        <v>2</v>
      </c>
      <c r="F4553">
        <v>27</v>
      </c>
      <c r="G4553">
        <v>915</v>
      </c>
      <c r="H4553">
        <v>27600651</v>
      </c>
      <c r="I4553">
        <v>550714</v>
      </c>
      <c r="J4553" t="s">
        <v>21</v>
      </c>
      <c r="K4553" t="s">
        <v>18</v>
      </c>
      <c r="L4553">
        <v>3</v>
      </c>
      <c r="M4553">
        <v>25.84</v>
      </c>
      <c r="N4553">
        <v>363219</v>
      </c>
      <c r="O4553">
        <v>1</v>
      </c>
    </row>
    <row r="4554" spans="1:15">
      <c r="A4554" t="s">
        <v>4580</v>
      </c>
      <c r="B4554" t="s">
        <v>29</v>
      </c>
      <c r="C4554">
        <v>6</v>
      </c>
      <c r="D4554">
        <v>39698197</v>
      </c>
      <c r="E4554">
        <v>1</v>
      </c>
      <c r="F4554">
        <v>28</v>
      </c>
      <c r="G4554">
        <v>439</v>
      </c>
      <c r="H4554">
        <v>11552843</v>
      </c>
      <c r="I4554">
        <v>563907</v>
      </c>
      <c r="J4554" t="s">
        <v>21</v>
      </c>
      <c r="K4554" t="s">
        <v>18</v>
      </c>
      <c r="L4554">
        <v>4</v>
      </c>
      <c r="M4554">
        <v>61.93</v>
      </c>
      <c r="N4554">
        <v>341350</v>
      </c>
      <c r="O4554">
        <v>1</v>
      </c>
    </row>
    <row r="4555" spans="1:15">
      <c r="A4555" t="s">
        <v>4581</v>
      </c>
      <c r="B4555" t="s">
        <v>27</v>
      </c>
      <c r="C4555">
        <v>4</v>
      </c>
      <c r="D4555">
        <v>13767573</v>
      </c>
      <c r="E4555">
        <v>3</v>
      </c>
      <c r="F4555">
        <v>3</v>
      </c>
      <c r="G4555">
        <v>108</v>
      </c>
      <c r="H4555">
        <v>85205960</v>
      </c>
      <c r="I4555">
        <v>359621</v>
      </c>
      <c r="J4555" t="s">
        <v>25</v>
      </c>
      <c r="K4555" t="s">
        <v>22</v>
      </c>
      <c r="L4555">
        <v>7</v>
      </c>
      <c r="M4555">
        <v>35.229999999999997</v>
      </c>
      <c r="N4555">
        <v>657359</v>
      </c>
      <c r="O4555">
        <v>1</v>
      </c>
    </row>
    <row r="4556" spans="1:15">
      <c r="A4556" t="s">
        <v>4582</v>
      </c>
      <c r="B4556" t="s">
        <v>20</v>
      </c>
      <c r="C4556">
        <v>2</v>
      </c>
      <c r="D4556">
        <v>49976050</v>
      </c>
      <c r="E4556">
        <v>3</v>
      </c>
      <c r="F4556">
        <v>17</v>
      </c>
      <c r="G4556">
        <v>379</v>
      </c>
      <c r="H4556">
        <v>60952961</v>
      </c>
      <c r="I4556">
        <v>591410</v>
      </c>
      <c r="J4556" t="s">
        <v>17</v>
      </c>
      <c r="K4556" t="s">
        <v>18</v>
      </c>
      <c r="L4556">
        <v>2</v>
      </c>
      <c r="M4556">
        <v>35.18</v>
      </c>
      <c r="N4556">
        <v>78682</v>
      </c>
      <c r="O4556">
        <v>1</v>
      </c>
    </row>
    <row r="4557" spans="1:15">
      <c r="A4557" t="s">
        <v>4583</v>
      </c>
      <c r="B4557" t="s">
        <v>24</v>
      </c>
      <c r="C4557">
        <v>11</v>
      </c>
      <c r="D4557">
        <v>47935283</v>
      </c>
      <c r="E4557">
        <v>2</v>
      </c>
      <c r="F4557">
        <v>16</v>
      </c>
      <c r="G4557">
        <v>582</v>
      </c>
      <c r="H4557">
        <v>77308836</v>
      </c>
      <c r="I4557">
        <v>248639</v>
      </c>
      <c r="J4557" t="s">
        <v>17</v>
      </c>
      <c r="K4557" t="s">
        <v>18</v>
      </c>
      <c r="L4557">
        <v>9</v>
      </c>
      <c r="M4557">
        <v>39.880000000000003</v>
      </c>
      <c r="N4557">
        <v>79406</v>
      </c>
      <c r="O4557">
        <v>1</v>
      </c>
    </row>
    <row r="4558" spans="1:15">
      <c r="A4558" t="s">
        <v>4584</v>
      </c>
      <c r="B4558" t="s">
        <v>20</v>
      </c>
      <c r="C4558">
        <v>14</v>
      </c>
      <c r="D4558">
        <v>18169478</v>
      </c>
      <c r="E4558">
        <v>4</v>
      </c>
      <c r="F4558">
        <v>20</v>
      </c>
      <c r="G4558">
        <v>521</v>
      </c>
      <c r="H4558">
        <v>33117645</v>
      </c>
      <c r="I4558">
        <v>618326</v>
      </c>
      <c r="J4558" t="s">
        <v>17</v>
      </c>
      <c r="K4558" t="s">
        <v>30</v>
      </c>
      <c r="L4558">
        <v>6</v>
      </c>
      <c r="M4558">
        <v>84.56</v>
      </c>
      <c r="N4558">
        <v>867998</v>
      </c>
      <c r="O4558">
        <v>1</v>
      </c>
    </row>
    <row r="4559" spans="1:15">
      <c r="A4559" t="s">
        <v>4585</v>
      </c>
      <c r="B4559" t="s">
        <v>24</v>
      </c>
      <c r="C4559">
        <v>14</v>
      </c>
      <c r="D4559">
        <v>27261803</v>
      </c>
      <c r="E4559">
        <v>2</v>
      </c>
      <c r="F4559">
        <v>17</v>
      </c>
      <c r="G4559">
        <v>536</v>
      </c>
      <c r="H4559">
        <v>47784409</v>
      </c>
      <c r="I4559">
        <v>794760</v>
      </c>
      <c r="J4559" t="s">
        <v>25</v>
      </c>
      <c r="K4559" t="s">
        <v>30</v>
      </c>
      <c r="L4559">
        <v>1</v>
      </c>
      <c r="M4559">
        <v>39.17</v>
      </c>
      <c r="N4559">
        <v>544002</v>
      </c>
      <c r="O4559">
        <v>1</v>
      </c>
    </row>
    <row r="4560" spans="1:15">
      <c r="A4560" t="s">
        <v>4586</v>
      </c>
      <c r="B4560" t="s">
        <v>38</v>
      </c>
      <c r="C4560">
        <v>1</v>
      </c>
      <c r="D4560">
        <v>21291527</v>
      </c>
      <c r="E4560">
        <v>4</v>
      </c>
      <c r="F4560">
        <v>20</v>
      </c>
      <c r="G4560">
        <v>471</v>
      </c>
      <c r="H4560">
        <v>31897572</v>
      </c>
      <c r="I4560">
        <v>981613</v>
      </c>
      <c r="J4560" t="s">
        <v>17</v>
      </c>
      <c r="K4560" t="s">
        <v>30</v>
      </c>
      <c r="L4560">
        <v>7</v>
      </c>
      <c r="M4560">
        <v>42.17</v>
      </c>
      <c r="N4560">
        <v>224502</v>
      </c>
      <c r="O4560">
        <v>1</v>
      </c>
    </row>
    <row r="4561" spans="1:15">
      <c r="A4561" t="s">
        <v>4587</v>
      </c>
      <c r="B4561" t="s">
        <v>27</v>
      </c>
      <c r="C4561">
        <v>0</v>
      </c>
      <c r="D4561">
        <v>42335043</v>
      </c>
      <c r="E4561">
        <v>3</v>
      </c>
      <c r="F4561">
        <v>29</v>
      </c>
      <c r="G4561">
        <v>986</v>
      </c>
      <c r="H4561">
        <v>50309457</v>
      </c>
      <c r="I4561">
        <v>617532</v>
      </c>
      <c r="J4561" t="s">
        <v>21</v>
      </c>
      <c r="K4561" t="s">
        <v>22</v>
      </c>
      <c r="L4561">
        <v>7</v>
      </c>
      <c r="M4561">
        <v>18.149999999999999</v>
      </c>
      <c r="N4561">
        <v>54468</v>
      </c>
      <c r="O4561">
        <v>1</v>
      </c>
    </row>
    <row r="4562" spans="1:15">
      <c r="A4562" t="s">
        <v>4588</v>
      </c>
      <c r="B4562" t="s">
        <v>20</v>
      </c>
      <c r="C4562">
        <v>6</v>
      </c>
      <c r="D4562">
        <v>33283761</v>
      </c>
      <c r="E4562">
        <v>3</v>
      </c>
      <c r="F4562">
        <v>2</v>
      </c>
      <c r="G4562">
        <v>525</v>
      </c>
      <c r="H4562">
        <v>60390650</v>
      </c>
      <c r="I4562">
        <v>567970</v>
      </c>
      <c r="J4562" t="s">
        <v>21</v>
      </c>
      <c r="K4562" t="s">
        <v>18</v>
      </c>
      <c r="L4562">
        <v>9</v>
      </c>
      <c r="M4562">
        <v>44.34</v>
      </c>
      <c r="N4562">
        <v>463317</v>
      </c>
      <c r="O4562">
        <v>1</v>
      </c>
    </row>
    <row r="4563" spans="1:15">
      <c r="A4563" t="s">
        <v>4589</v>
      </c>
      <c r="B4563" t="s">
        <v>38</v>
      </c>
      <c r="C4563">
        <v>1</v>
      </c>
      <c r="D4563">
        <v>39627588</v>
      </c>
      <c r="E4563">
        <v>4</v>
      </c>
      <c r="F4563">
        <v>5</v>
      </c>
      <c r="G4563">
        <v>45</v>
      </c>
      <c r="H4563">
        <v>2228287</v>
      </c>
      <c r="I4563">
        <v>430588</v>
      </c>
      <c r="J4563" t="s">
        <v>17</v>
      </c>
      <c r="K4563" t="s">
        <v>30</v>
      </c>
      <c r="L4563">
        <v>5</v>
      </c>
      <c r="M4563">
        <v>18.62</v>
      </c>
      <c r="N4563">
        <v>616983</v>
      </c>
      <c r="O4563">
        <v>1</v>
      </c>
    </row>
    <row r="4564" spans="1:15">
      <c r="A4564" t="s">
        <v>4590</v>
      </c>
      <c r="B4564" t="s">
        <v>32</v>
      </c>
      <c r="C4564">
        <v>8</v>
      </c>
      <c r="D4564">
        <v>17156261</v>
      </c>
      <c r="E4564">
        <v>1</v>
      </c>
      <c r="F4564">
        <v>14</v>
      </c>
      <c r="G4564">
        <v>422</v>
      </c>
      <c r="H4564">
        <v>90351475</v>
      </c>
      <c r="I4564">
        <v>731358</v>
      </c>
      <c r="J4564" t="s">
        <v>25</v>
      </c>
      <c r="K4564" t="s">
        <v>18</v>
      </c>
      <c r="L4564">
        <v>2</v>
      </c>
      <c r="M4564">
        <v>49.05</v>
      </c>
      <c r="N4564">
        <v>92813</v>
      </c>
      <c r="O4564">
        <v>1</v>
      </c>
    </row>
    <row r="4565" spans="1:15">
      <c r="A4565" t="s">
        <v>4591</v>
      </c>
      <c r="B4565" t="s">
        <v>20</v>
      </c>
      <c r="C4565">
        <v>12</v>
      </c>
      <c r="D4565">
        <v>36192583</v>
      </c>
      <c r="E4565">
        <v>3</v>
      </c>
      <c r="F4565">
        <v>8</v>
      </c>
      <c r="G4565">
        <v>786</v>
      </c>
      <c r="H4565">
        <v>41902147</v>
      </c>
      <c r="I4565">
        <v>955257</v>
      </c>
      <c r="J4565" t="s">
        <v>21</v>
      </c>
      <c r="K4565" t="s">
        <v>30</v>
      </c>
      <c r="L4565">
        <v>4</v>
      </c>
      <c r="M4565">
        <v>12.94</v>
      </c>
      <c r="N4565">
        <v>616262</v>
      </c>
      <c r="O4565">
        <v>1</v>
      </c>
    </row>
    <row r="4566" spans="1:15">
      <c r="A4566" t="s">
        <v>4592</v>
      </c>
      <c r="B4566" t="s">
        <v>38</v>
      </c>
      <c r="C4566">
        <v>8</v>
      </c>
      <c r="D4566">
        <v>26970522</v>
      </c>
      <c r="E4566">
        <v>3</v>
      </c>
      <c r="F4566">
        <v>6</v>
      </c>
      <c r="G4566">
        <v>806</v>
      </c>
      <c r="H4566">
        <v>64086667</v>
      </c>
      <c r="I4566">
        <v>261162</v>
      </c>
      <c r="J4566" t="s">
        <v>25</v>
      </c>
      <c r="K4566" t="s">
        <v>22</v>
      </c>
      <c r="L4566">
        <v>2</v>
      </c>
      <c r="M4566">
        <v>4.47</v>
      </c>
      <c r="N4566">
        <v>834561</v>
      </c>
      <c r="O4566">
        <v>1</v>
      </c>
    </row>
    <row r="4567" spans="1:15">
      <c r="A4567" t="s">
        <v>4593</v>
      </c>
      <c r="B4567" t="s">
        <v>16</v>
      </c>
      <c r="C4567">
        <v>8</v>
      </c>
      <c r="D4567">
        <v>47932541</v>
      </c>
      <c r="E4567">
        <v>4</v>
      </c>
      <c r="F4567">
        <v>10</v>
      </c>
      <c r="G4567">
        <v>235</v>
      </c>
      <c r="H4567">
        <v>95186906</v>
      </c>
      <c r="I4567">
        <v>247293</v>
      </c>
      <c r="J4567" t="s">
        <v>17</v>
      </c>
      <c r="K4567" t="s">
        <v>22</v>
      </c>
      <c r="L4567">
        <v>6</v>
      </c>
      <c r="M4567">
        <v>99.37</v>
      </c>
      <c r="N4567">
        <v>486721</v>
      </c>
      <c r="O4567">
        <v>1</v>
      </c>
    </row>
    <row r="4568" spans="1:15">
      <c r="A4568" t="s">
        <v>4594</v>
      </c>
      <c r="B4568" t="s">
        <v>16</v>
      </c>
      <c r="C4568">
        <v>3</v>
      </c>
      <c r="D4568">
        <v>15729102</v>
      </c>
      <c r="E4568">
        <v>4</v>
      </c>
      <c r="F4568">
        <v>18</v>
      </c>
      <c r="G4568">
        <v>995</v>
      </c>
      <c r="H4568">
        <v>86065378</v>
      </c>
      <c r="I4568">
        <v>379756</v>
      </c>
      <c r="J4568" t="s">
        <v>21</v>
      </c>
      <c r="K4568" t="s">
        <v>30</v>
      </c>
      <c r="L4568">
        <v>3</v>
      </c>
      <c r="M4568">
        <v>24.65</v>
      </c>
      <c r="N4568">
        <v>575382</v>
      </c>
      <c r="O4568">
        <v>1</v>
      </c>
    </row>
    <row r="4569" spans="1:15">
      <c r="A4569" t="s">
        <v>4595</v>
      </c>
      <c r="B4569" t="s">
        <v>29</v>
      </c>
      <c r="C4569">
        <v>8</v>
      </c>
      <c r="D4569">
        <v>27275797</v>
      </c>
      <c r="E4569">
        <v>2</v>
      </c>
      <c r="F4569">
        <v>16</v>
      </c>
      <c r="G4569">
        <v>958</v>
      </c>
      <c r="H4569">
        <v>18756146</v>
      </c>
      <c r="I4569">
        <v>374342</v>
      </c>
      <c r="J4569" t="s">
        <v>25</v>
      </c>
      <c r="K4569" t="s">
        <v>22</v>
      </c>
      <c r="L4569">
        <v>5</v>
      </c>
      <c r="M4569">
        <v>34.659999999999997</v>
      </c>
      <c r="N4569">
        <v>393690</v>
      </c>
      <c r="O4569">
        <v>1</v>
      </c>
    </row>
    <row r="4570" spans="1:15">
      <c r="A4570" t="s">
        <v>4596</v>
      </c>
      <c r="B4570" t="s">
        <v>24</v>
      </c>
      <c r="C4570">
        <v>14</v>
      </c>
      <c r="D4570">
        <v>33512589</v>
      </c>
      <c r="E4570">
        <v>1</v>
      </c>
      <c r="F4570">
        <v>9</v>
      </c>
      <c r="G4570">
        <v>698</v>
      </c>
      <c r="H4570">
        <v>12927765</v>
      </c>
      <c r="I4570">
        <v>698122</v>
      </c>
      <c r="J4570" t="s">
        <v>25</v>
      </c>
      <c r="K4570" t="s">
        <v>22</v>
      </c>
      <c r="L4570">
        <v>9</v>
      </c>
      <c r="M4570">
        <v>31.95</v>
      </c>
      <c r="N4570">
        <v>294297</v>
      </c>
      <c r="O4570">
        <v>1</v>
      </c>
    </row>
    <row r="4571" spans="1:15">
      <c r="A4571" t="s">
        <v>4597</v>
      </c>
      <c r="B4571" t="s">
        <v>24</v>
      </c>
      <c r="C4571">
        <v>9</v>
      </c>
      <c r="D4571">
        <v>40062501</v>
      </c>
      <c r="E4571">
        <v>1</v>
      </c>
      <c r="F4571">
        <v>26</v>
      </c>
      <c r="G4571">
        <v>582</v>
      </c>
      <c r="H4571">
        <v>79873999</v>
      </c>
      <c r="I4571">
        <v>101510</v>
      </c>
      <c r="J4571" t="s">
        <v>25</v>
      </c>
      <c r="K4571" t="s">
        <v>18</v>
      </c>
      <c r="L4571">
        <v>4</v>
      </c>
      <c r="M4571">
        <v>80.75</v>
      </c>
      <c r="N4571">
        <v>503915</v>
      </c>
      <c r="O4571">
        <v>1</v>
      </c>
    </row>
    <row r="4572" spans="1:15">
      <c r="A4572" t="s">
        <v>4598</v>
      </c>
      <c r="B4572" t="s">
        <v>29</v>
      </c>
      <c r="C4572">
        <v>4</v>
      </c>
      <c r="D4572">
        <v>36359066</v>
      </c>
      <c r="E4572">
        <v>2</v>
      </c>
      <c r="F4572">
        <v>19</v>
      </c>
      <c r="G4572">
        <v>553</v>
      </c>
      <c r="H4572">
        <v>78748893</v>
      </c>
      <c r="I4572">
        <v>568765</v>
      </c>
      <c r="J4572" t="s">
        <v>25</v>
      </c>
      <c r="K4572" t="s">
        <v>30</v>
      </c>
      <c r="L4572">
        <v>5</v>
      </c>
      <c r="M4572">
        <v>40.32</v>
      </c>
      <c r="N4572">
        <v>956703</v>
      </c>
      <c r="O4572">
        <v>1</v>
      </c>
    </row>
    <row r="4573" spans="1:15">
      <c r="A4573" t="s">
        <v>4599</v>
      </c>
      <c r="B4573" t="s">
        <v>20</v>
      </c>
      <c r="C4573">
        <v>8</v>
      </c>
      <c r="D4573">
        <v>10516241</v>
      </c>
      <c r="E4573">
        <v>2</v>
      </c>
      <c r="F4573">
        <v>7</v>
      </c>
      <c r="G4573">
        <v>166</v>
      </c>
      <c r="H4573">
        <v>21865037</v>
      </c>
      <c r="I4573">
        <v>752556</v>
      </c>
      <c r="J4573" t="s">
        <v>25</v>
      </c>
      <c r="K4573" t="s">
        <v>22</v>
      </c>
      <c r="L4573">
        <v>6</v>
      </c>
      <c r="M4573">
        <v>48.17</v>
      </c>
      <c r="N4573">
        <v>531905</v>
      </c>
      <c r="O4573">
        <v>1</v>
      </c>
    </row>
    <row r="4574" spans="1:15">
      <c r="A4574" t="s">
        <v>4600</v>
      </c>
      <c r="B4574" t="s">
        <v>16</v>
      </c>
      <c r="C4574">
        <v>3</v>
      </c>
      <c r="D4574">
        <v>43316255</v>
      </c>
      <c r="E4574">
        <v>4</v>
      </c>
      <c r="F4574">
        <v>13</v>
      </c>
      <c r="G4574">
        <v>77</v>
      </c>
      <c r="H4574">
        <v>19772565</v>
      </c>
      <c r="I4574">
        <v>661548</v>
      </c>
      <c r="J4574" t="s">
        <v>21</v>
      </c>
      <c r="K4574" t="s">
        <v>30</v>
      </c>
      <c r="L4574">
        <v>5</v>
      </c>
      <c r="M4574">
        <v>81.33</v>
      </c>
      <c r="N4574">
        <v>676219</v>
      </c>
      <c r="O4574">
        <v>1</v>
      </c>
    </row>
    <row r="4575" spans="1:15">
      <c r="A4575" t="s">
        <v>4601</v>
      </c>
      <c r="B4575" t="s">
        <v>27</v>
      </c>
      <c r="C4575">
        <v>11</v>
      </c>
      <c r="D4575">
        <v>36452858</v>
      </c>
      <c r="E4575">
        <v>4</v>
      </c>
      <c r="F4575">
        <v>14</v>
      </c>
      <c r="G4575">
        <v>738</v>
      </c>
      <c r="H4575">
        <v>3597180</v>
      </c>
      <c r="I4575">
        <v>496182</v>
      </c>
      <c r="J4575" t="s">
        <v>25</v>
      </c>
      <c r="K4575" t="s">
        <v>22</v>
      </c>
      <c r="L4575">
        <v>6</v>
      </c>
      <c r="M4575">
        <v>50.01</v>
      </c>
      <c r="N4575">
        <v>890992</v>
      </c>
      <c r="O4575">
        <v>1</v>
      </c>
    </row>
    <row r="4576" spans="1:15">
      <c r="A4576" t="s">
        <v>4602</v>
      </c>
      <c r="B4576" t="s">
        <v>16</v>
      </c>
      <c r="C4576">
        <v>7</v>
      </c>
      <c r="D4576">
        <v>28441216</v>
      </c>
      <c r="E4576">
        <v>3</v>
      </c>
      <c r="F4576">
        <v>17</v>
      </c>
      <c r="G4576">
        <v>551</v>
      </c>
      <c r="H4576">
        <v>9341792</v>
      </c>
      <c r="I4576">
        <v>577262</v>
      </c>
      <c r="J4576" t="s">
        <v>21</v>
      </c>
      <c r="K4576" t="s">
        <v>30</v>
      </c>
      <c r="L4576">
        <v>4</v>
      </c>
      <c r="M4576">
        <v>44.01</v>
      </c>
      <c r="N4576">
        <v>736887</v>
      </c>
      <c r="O4576">
        <v>1</v>
      </c>
    </row>
    <row r="4577" spans="1:15">
      <c r="A4577" t="s">
        <v>4603</v>
      </c>
      <c r="B4577" t="s">
        <v>20</v>
      </c>
      <c r="C4577">
        <v>12</v>
      </c>
      <c r="D4577">
        <v>1508935</v>
      </c>
      <c r="E4577">
        <v>2</v>
      </c>
      <c r="F4577">
        <v>6</v>
      </c>
      <c r="G4577">
        <v>957</v>
      </c>
      <c r="H4577">
        <v>42265912</v>
      </c>
      <c r="I4577">
        <v>887998</v>
      </c>
      <c r="J4577" t="s">
        <v>21</v>
      </c>
      <c r="K4577" t="s">
        <v>18</v>
      </c>
      <c r="L4577">
        <v>7</v>
      </c>
      <c r="M4577">
        <v>55.16</v>
      </c>
      <c r="N4577">
        <v>685088</v>
      </c>
      <c r="O4577">
        <v>1</v>
      </c>
    </row>
    <row r="4578" spans="1:15">
      <c r="A4578" t="s">
        <v>4604</v>
      </c>
      <c r="B4578" t="s">
        <v>16</v>
      </c>
      <c r="C4578">
        <v>1</v>
      </c>
      <c r="D4578">
        <v>28778724</v>
      </c>
      <c r="E4578">
        <v>1</v>
      </c>
      <c r="F4578">
        <v>0</v>
      </c>
      <c r="G4578">
        <v>640</v>
      </c>
      <c r="H4578">
        <v>34708272</v>
      </c>
      <c r="I4578">
        <v>754293</v>
      </c>
      <c r="J4578" t="s">
        <v>25</v>
      </c>
      <c r="K4578" t="s">
        <v>18</v>
      </c>
      <c r="L4578">
        <v>7</v>
      </c>
      <c r="M4578">
        <v>50.34</v>
      </c>
      <c r="N4578">
        <v>35944</v>
      </c>
      <c r="O4578">
        <v>1</v>
      </c>
    </row>
    <row r="4579" spans="1:15">
      <c r="A4579" t="s">
        <v>4605</v>
      </c>
      <c r="B4579" t="s">
        <v>38</v>
      </c>
      <c r="C4579">
        <v>12</v>
      </c>
      <c r="D4579">
        <v>36466944</v>
      </c>
      <c r="E4579">
        <v>1</v>
      </c>
      <c r="F4579">
        <v>9</v>
      </c>
      <c r="G4579">
        <v>336</v>
      </c>
      <c r="H4579">
        <v>85422608</v>
      </c>
      <c r="I4579">
        <v>60211</v>
      </c>
      <c r="J4579" t="s">
        <v>17</v>
      </c>
      <c r="K4579" t="s">
        <v>30</v>
      </c>
      <c r="L4579">
        <v>3</v>
      </c>
      <c r="M4579">
        <v>30.66</v>
      </c>
      <c r="N4579">
        <v>648390</v>
      </c>
      <c r="O4579">
        <v>1</v>
      </c>
    </row>
    <row r="4580" spans="1:15">
      <c r="A4580" t="s">
        <v>4606</v>
      </c>
      <c r="B4580" t="s">
        <v>29</v>
      </c>
      <c r="C4580">
        <v>7</v>
      </c>
      <c r="D4580">
        <v>41277485</v>
      </c>
      <c r="E4580">
        <v>1</v>
      </c>
      <c r="F4580">
        <v>5</v>
      </c>
      <c r="G4580">
        <v>484</v>
      </c>
      <c r="H4580">
        <v>40194252</v>
      </c>
      <c r="I4580">
        <v>481984</v>
      </c>
      <c r="J4580" t="s">
        <v>17</v>
      </c>
      <c r="K4580" t="s">
        <v>22</v>
      </c>
      <c r="L4580">
        <v>8</v>
      </c>
      <c r="M4580">
        <v>72.75</v>
      </c>
      <c r="N4580">
        <v>21109</v>
      </c>
      <c r="O4580">
        <v>1</v>
      </c>
    </row>
    <row r="4581" spans="1:15">
      <c r="A4581" t="s">
        <v>4607</v>
      </c>
      <c r="B4581" t="s">
        <v>20</v>
      </c>
      <c r="C4581">
        <v>12</v>
      </c>
      <c r="D4581">
        <v>1178064</v>
      </c>
      <c r="E4581">
        <v>1</v>
      </c>
      <c r="F4581">
        <v>7</v>
      </c>
      <c r="G4581">
        <v>215</v>
      </c>
      <c r="H4581">
        <v>53793029</v>
      </c>
      <c r="I4581">
        <v>212008</v>
      </c>
      <c r="J4581" t="s">
        <v>17</v>
      </c>
      <c r="K4581" t="s">
        <v>30</v>
      </c>
      <c r="L4581">
        <v>8</v>
      </c>
      <c r="M4581">
        <v>86.9</v>
      </c>
      <c r="N4581">
        <v>394562</v>
      </c>
      <c r="O4581">
        <v>1</v>
      </c>
    </row>
    <row r="4582" spans="1:15">
      <c r="A4582" t="s">
        <v>4608</v>
      </c>
      <c r="B4582" t="s">
        <v>32</v>
      </c>
      <c r="C4582">
        <v>6</v>
      </c>
      <c r="D4582">
        <v>29988939</v>
      </c>
      <c r="E4582">
        <v>2</v>
      </c>
      <c r="F4582">
        <v>17</v>
      </c>
      <c r="G4582">
        <v>598</v>
      </c>
      <c r="H4582">
        <v>93960896</v>
      </c>
      <c r="I4582">
        <v>365877</v>
      </c>
      <c r="J4582" t="s">
        <v>21</v>
      </c>
      <c r="K4582" t="s">
        <v>18</v>
      </c>
      <c r="L4582">
        <v>6</v>
      </c>
      <c r="M4582">
        <v>84.75</v>
      </c>
      <c r="N4582">
        <v>233721</v>
      </c>
      <c r="O4582">
        <v>1</v>
      </c>
    </row>
    <row r="4583" spans="1:15">
      <c r="A4583" t="s">
        <v>4609</v>
      </c>
      <c r="B4583" t="s">
        <v>29</v>
      </c>
      <c r="C4583">
        <v>0</v>
      </c>
      <c r="D4583">
        <v>30969152</v>
      </c>
      <c r="E4583">
        <v>2</v>
      </c>
      <c r="F4583">
        <v>28</v>
      </c>
      <c r="G4583">
        <v>179</v>
      </c>
      <c r="H4583">
        <v>78199340</v>
      </c>
      <c r="I4583">
        <v>581417</v>
      </c>
      <c r="J4583" t="s">
        <v>25</v>
      </c>
      <c r="K4583" t="s">
        <v>22</v>
      </c>
      <c r="L4583">
        <v>3</v>
      </c>
      <c r="M4583">
        <v>54.78</v>
      </c>
      <c r="N4583">
        <v>967952</v>
      </c>
      <c r="O4583">
        <v>1</v>
      </c>
    </row>
    <row r="4584" spans="1:15">
      <c r="A4584" t="s">
        <v>4610</v>
      </c>
      <c r="B4584" t="s">
        <v>32</v>
      </c>
      <c r="C4584">
        <v>5</v>
      </c>
      <c r="D4584">
        <v>44329853</v>
      </c>
      <c r="E4584">
        <v>1</v>
      </c>
      <c r="F4584">
        <v>24</v>
      </c>
      <c r="G4584">
        <v>855</v>
      </c>
      <c r="H4584">
        <v>91440884</v>
      </c>
      <c r="I4584">
        <v>904577</v>
      </c>
      <c r="J4584" t="s">
        <v>25</v>
      </c>
      <c r="K4584" t="s">
        <v>30</v>
      </c>
      <c r="L4584">
        <v>4</v>
      </c>
      <c r="M4584">
        <v>39.72</v>
      </c>
      <c r="N4584">
        <v>401280</v>
      </c>
      <c r="O4584">
        <v>1</v>
      </c>
    </row>
    <row r="4585" spans="1:15">
      <c r="A4585" t="s">
        <v>4611</v>
      </c>
      <c r="B4585" t="s">
        <v>32</v>
      </c>
      <c r="C4585">
        <v>2</v>
      </c>
      <c r="D4585">
        <v>17227411</v>
      </c>
      <c r="E4585">
        <v>3</v>
      </c>
      <c r="F4585">
        <v>22</v>
      </c>
      <c r="G4585">
        <v>582</v>
      </c>
      <c r="H4585">
        <v>44950346</v>
      </c>
      <c r="I4585">
        <v>440491</v>
      </c>
      <c r="J4585" t="s">
        <v>17</v>
      </c>
      <c r="K4585" t="s">
        <v>22</v>
      </c>
      <c r="L4585">
        <v>4</v>
      </c>
      <c r="M4585">
        <v>22</v>
      </c>
      <c r="N4585">
        <v>374447</v>
      </c>
      <c r="O4585">
        <v>1</v>
      </c>
    </row>
    <row r="4586" spans="1:15">
      <c r="A4586" t="s">
        <v>4612</v>
      </c>
      <c r="B4586" t="s">
        <v>27</v>
      </c>
      <c r="C4586">
        <v>2</v>
      </c>
      <c r="D4586">
        <v>3702413</v>
      </c>
      <c r="E4586">
        <v>2</v>
      </c>
      <c r="F4586">
        <v>6</v>
      </c>
      <c r="G4586">
        <v>90</v>
      </c>
      <c r="H4586">
        <v>92897493</v>
      </c>
      <c r="I4586">
        <v>616203</v>
      </c>
      <c r="J4586" t="s">
        <v>21</v>
      </c>
      <c r="K4586" t="s">
        <v>30</v>
      </c>
      <c r="L4586">
        <v>5</v>
      </c>
      <c r="M4586">
        <v>35.97</v>
      </c>
      <c r="N4586">
        <v>573501</v>
      </c>
      <c r="O4586">
        <v>1</v>
      </c>
    </row>
    <row r="4587" spans="1:15">
      <c r="A4587" t="s">
        <v>4613</v>
      </c>
      <c r="B4587" t="s">
        <v>29</v>
      </c>
      <c r="C4587">
        <v>10</v>
      </c>
      <c r="D4587">
        <v>22055285</v>
      </c>
      <c r="E4587">
        <v>2</v>
      </c>
      <c r="F4587">
        <v>18</v>
      </c>
      <c r="G4587">
        <v>697</v>
      </c>
      <c r="H4587">
        <v>96754606</v>
      </c>
      <c r="I4587">
        <v>809958</v>
      </c>
      <c r="J4587" t="s">
        <v>21</v>
      </c>
      <c r="K4587" t="s">
        <v>30</v>
      </c>
      <c r="L4587">
        <v>5</v>
      </c>
      <c r="M4587">
        <v>94.62</v>
      </c>
      <c r="N4587">
        <v>745239</v>
      </c>
      <c r="O4587">
        <v>1</v>
      </c>
    </row>
    <row r="4588" spans="1:15">
      <c r="A4588" t="s">
        <v>4614</v>
      </c>
      <c r="B4588" t="s">
        <v>27</v>
      </c>
      <c r="C4588">
        <v>6</v>
      </c>
      <c r="D4588">
        <v>22228194</v>
      </c>
      <c r="E4588">
        <v>4</v>
      </c>
      <c r="F4588">
        <v>14</v>
      </c>
      <c r="G4588">
        <v>363</v>
      </c>
      <c r="H4588">
        <v>60501811</v>
      </c>
      <c r="I4588">
        <v>980396</v>
      </c>
      <c r="J4588" t="s">
        <v>21</v>
      </c>
      <c r="K4588" t="s">
        <v>18</v>
      </c>
      <c r="L4588">
        <v>1</v>
      </c>
      <c r="M4588">
        <v>28.85</v>
      </c>
      <c r="N4588">
        <v>669632</v>
      </c>
      <c r="O4588">
        <v>1</v>
      </c>
    </row>
    <row r="4589" spans="1:15">
      <c r="A4589" t="s">
        <v>4615</v>
      </c>
      <c r="B4589" t="s">
        <v>29</v>
      </c>
      <c r="C4589">
        <v>6</v>
      </c>
      <c r="D4589">
        <v>48048881</v>
      </c>
      <c r="E4589">
        <v>3</v>
      </c>
      <c r="F4589">
        <v>27</v>
      </c>
      <c r="G4589">
        <v>642</v>
      </c>
      <c r="H4589">
        <v>92759352</v>
      </c>
      <c r="I4589">
        <v>293640</v>
      </c>
      <c r="J4589" t="s">
        <v>21</v>
      </c>
      <c r="K4589" t="s">
        <v>18</v>
      </c>
      <c r="L4589">
        <v>6</v>
      </c>
      <c r="M4589">
        <v>59.08</v>
      </c>
      <c r="N4589">
        <v>642792</v>
      </c>
      <c r="O4589">
        <v>1</v>
      </c>
    </row>
    <row r="4590" spans="1:15">
      <c r="A4590" t="s">
        <v>4616</v>
      </c>
      <c r="B4590" t="s">
        <v>32</v>
      </c>
      <c r="C4590">
        <v>1</v>
      </c>
      <c r="D4590">
        <v>25120896</v>
      </c>
      <c r="E4590">
        <v>1</v>
      </c>
      <c r="F4590">
        <v>8</v>
      </c>
      <c r="G4590">
        <v>562</v>
      </c>
      <c r="H4590">
        <v>86102399</v>
      </c>
      <c r="I4590">
        <v>152319</v>
      </c>
      <c r="J4590" t="s">
        <v>21</v>
      </c>
      <c r="K4590" t="s">
        <v>18</v>
      </c>
      <c r="L4590">
        <v>8</v>
      </c>
      <c r="M4590">
        <v>59.72</v>
      </c>
      <c r="N4590">
        <v>239032</v>
      </c>
      <c r="O4590">
        <v>1</v>
      </c>
    </row>
    <row r="4591" spans="1:15">
      <c r="A4591" t="s">
        <v>4617</v>
      </c>
      <c r="B4591" t="s">
        <v>24</v>
      </c>
      <c r="C4591">
        <v>7</v>
      </c>
      <c r="D4591">
        <v>44804369</v>
      </c>
      <c r="E4591">
        <v>1</v>
      </c>
      <c r="F4591">
        <v>29</v>
      </c>
      <c r="G4591">
        <v>520</v>
      </c>
      <c r="H4591">
        <v>95786994</v>
      </c>
      <c r="I4591">
        <v>24885</v>
      </c>
      <c r="J4591" t="s">
        <v>17</v>
      </c>
      <c r="K4591" t="s">
        <v>18</v>
      </c>
      <c r="L4591">
        <v>5</v>
      </c>
      <c r="M4591">
        <v>20.02</v>
      </c>
      <c r="N4591">
        <v>874165</v>
      </c>
      <c r="O4591">
        <v>1</v>
      </c>
    </row>
    <row r="4592" spans="1:15">
      <c r="A4592" t="s">
        <v>4618</v>
      </c>
      <c r="B4592" t="s">
        <v>16</v>
      </c>
      <c r="C4592">
        <v>13</v>
      </c>
      <c r="D4592">
        <v>23607637</v>
      </c>
      <c r="E4592">
        <v>1</v>
      </c>
      <c r="F4592">
        <v>19</v>
      </c>
      <c r="G4592">
        <v>161</v>
      </c>
      <c r="H4592">
        <v>92048392</v>
      </c>
      <c r="I4592">
        <v>673517</v>
      </c>
      <c r="J4592" t="s">
        <v>21</v>
      </c>
      <c r="K4592" t="s">
        <v>30</v>
      </c>
      <c r="L4592">
        <v>7</v>
      </c>
      <c r="M4592">
        <v>31.1</v>
      </c>
      <c r="N4592">
        <v>585038</v>
      </c>
      <c r="O4592">
        <v>1</v>
      </c>
    </row>
    <row r="4593" spans="1:15">
      <c r="A4593" t="s">
        <v>4619</v>
      </c>
      <c r="B4593" t="s">
        <v>20</v>
      </c>
      <c r="C4593">
        <v>14</v>
      </c>
      <c r="D4593">
        <v>7748306</v>
      </c>
      <c r="E4593">
        <v>3</v>
      </c>
      <c r="F4593">
        <v>4</v>
      </c>
      <c r="G4593">
        <v>46</v>
      </c>
      <c r="H4593">
        <v>9687618</v>
      </c>
      <c r="I4593">
        <v>133371</v>
      </c>
      <c r="J4593" t="s">
        <v>17</v>
      </c>
      <c r="K4593" t="s">
        <v>30</v>
      </c>
      <c r="L4593">
        <v>1</v>
      </c>
      <c r="M4593">
        <v>33.5</v>
      </c>
      <c r="N4593">
        <v>157581</v>
      </c>
      <c r="O4593">
        <v>1</v>
      </c>
    </row>
    <row r="4594" spans="1:15">
      <c r="A4594" t="s">
        <v>4620</v>
      </c>
      <c r="B4594" t="s">
        <v>24</v>
      </c>
      <c r="C4594">
        <v>14</v>
      </c>
      <c r="D4594">
        <v>26593050</v>
      </c>
      <c r="E4594">
        <v>2</v>
      </c>
      <c r="F4594">
        <v>28</v>
      </c>
      <c r="G4594">
        <v>406</v>
      </c>
      <c r="H4594">
        <v>83102145</v>
      </c>
      <c r="I4594">
        <v>462493</v>
      </c>
      <c r="J4594" t="s">
        <v>21</v>
      </c>
      <c r="K4594" t="s">
        <v>18</v>
      </c>
      <c r="L4594">
        <v>6</v>
      </c>
      <c r="M4594">
        <v>90.37</v>
      </c>
      <c r="N4594">
        <v>886140</v>
      </c>
      <c r="O4594">
        <v>1</v>
      </c>
    </row>
    <row r="4595" spans="1:15">
      <c r="A4595" t="s">
        <v>4621</v>
      </c>
      <c r="B4595" t="s">
        <v>29</v>
      </c>
      <c r="C4595">
        <v>10</v>
      </c>
      <c r="D4595">
        <v>34103256</v>
      </c>
      <c r="E4595">
        <v>2</v>
      </c>
      <c r="F4595">
        <v>29</v>
      </c>
      <c r="G4595">
        <v>244</v>
      </c>
      <c r="H4595">
        <v>72561444</v>
      </c>
      <c r="I4595">
        <v>415240</v>
      </c>
      <c r="J4595" t="s">
        <v>25</v>
      </c>
      <c r="K4595" t="s">
        <v>30</v>
      </c>
      <c r="L4595">
        <v>1</v>
      </c>
      <c r="M4595">
        <v>61.85</v>
      </c>
      <c r="N4595">
        <v>405318</v>
      </c>
      <c r="O4595">
        <v>1</v>
      </c>
    </row>
    <row r="4596" spans="1:15">
      <c r="A4596" t="s">
        <v>4622</v>
      </c>
      <c r="B4596" t="s">
        <v>16</v>
      </c>
      <c r="C4596">
        <v>12</v>
      </c>
      <c r="D4596">
        <v>16490738</v>
      </c>
      <c r="E4596">
        <v>2</v>
      </c>
      <c r="F4596">
        <v>17</v>
      </c>
      <c r="G4596">
        <v>513</v>
      </c>
      <c r="H4596">
        <v>67385500</v>
      </c>
      <c r="I4596">
        <v>351656</v>
      </c>
      <c r="J4596" t="s">
        <v>25</v>
      </c>
      <c r="K4596" t="s">
        <v>22</v>
      </c>
      <c r="L4596">
        <v>1</v>
      </c>
      <c r="M4596">
        <v>29.4</v>
      </c>
      <c r="N4596">
        <v>77609</v>
      </c>
      <c r="O4596">
        <v>1</v>
      </c>
    </row>
    <row r="4597" spans="1:15">
      <c r="A4597" t="s">
        <v>4623</v>
      </c>
      <c r="B4597" t="s">
        <v>24</v>
      </c>
      <c r="C4597">
        <v>9</v>
      </c>
      <c r="D4597">
        <v>45997718</v>
      </c>
      <c r="E4597">
        <v>3</v>
      </c>
      <c r="F4597">
        <v>19</v>
      </c>
      <c r="G4597">
        <v>702</v>
      </c>
      <c r="H4597">
        <v>74870757</v>
      </c>
      <c r="I4597">
        <v>223604</v>
      </c>
      <c r="J4597" t="s">
        <v>17</v>
      </c>
      <c r="K4597" t="s">
        <v>22</v>
      </c>
      <c r="L4597">
        <v>2</v>
      </c>
      <c r="M4597">
        <v>4.67</v>
      </c>
      <c r="N4597">
        <v>658987</v>
      </c>
      <c r="O4597">
        <v>1</v>
      </c>
    </row>
    <row r="4598" spans="1:15">
      <c r="A4598" t="s">
        <v>4624</v>
      </c>
      <c r="B4598" t="s">
        <v>27</v>
      </c>
      <c r="C4598">
        <v>5</v>
      </c>
      <c r="D4598">
        <v>4482876</v>
      </c>
      <c r="E4598">
        <v>4</v>
      </c>
      <c r="F4598">
        <v>22</v>
      </c>
      <c r="G4598">
        <v>107</v>
      </c>
      <c r="H4598">
        <v>99116640</v>
      </c>
      <c r="I4598">
        <v>587071</v>
      </c>
      <c r="J4598" t="s">
        <v>21</v>
      </c>
      <c r="K4598" t="s">
        <v>18</v>
      </c>
      <c r="L4598">
        <v>4</v>
      </c>
      <c r="M4598">
        <v>96.26</v>
      </c>
      <c r="N4598">
        <v>908587</v>
      </c>
      <c r="O4598">
        <v>1</v>
      </c>
    </row>
    <row r="4599" spans="1:15">
      <c r="A4599" t="s">
        <v>4625</v>
      </c>
      <c r="B4599" t="s">
        <v>16</v>
      </c>
      <c r="C4599">
        <v>2</v>
      </c>
      <c r="D4599">
        <v>23982495</v>
      </c>
      <c r="E4599">
        <v>1</v>
      </c>
      <c r="F4599">
        <v>22</v>
      </c>
      <c r="G4599">
        <v>135</v>
      </c>
      <c r="H4599">
        <v>91826088</v>
      </c>
      <c r="I4599">
        <v>639622</v>
      </c>
      <c r="J4599" t="s">
        <v>21</v>
      </c>
      <c r="K4599" t="s">
        <v>30</v>
      </c>
      <c r="L4599">
        <v>9</v>
      </c>
      <c r="M4599">
        <v>41.89</v>
      </c>
      <c r="N4599">
        <v>116733</v>
      </c>
      <c r="O4599">
        <v>1</v>
      </c>
    </row>
    <row r="4600" spans="1:15">
      <c r="A4600" t="s">
        <v>4626</v>
      </c>
      <c r="B4600" t="s">
        <v>29</v>
      </c>
      <c r="C4600">
        <v>4</v>
      </c>
      <c r="D4600">
        <v>48573795</v>
      </c>
      <c r="E4600">
        <v>3</v>
      </c>
      <c r="F4600">
        <v>16</v>
      </c>
      <c r="G4600">
        <v>979</v>
      </c>
      <c r="H4600">
        <v>70864239</v>
      </c>
      <c r="I4600">
        <v>908662</v>
      </c>
      <c r="J4600" t="s">
        <v>21</v>
      </c>
      <c r="K4600" t="s">
        <v>18</v>
      </c>
      <c r="L4600">
        <v>2</v>
      </c>
      <c r="M4600">
        <v>96.38</v>
      </c>
      <c r="N4600">
        <v>74743</v>
      </c>
      <c r="O4600">
        <v>1</v>
      </c>
    </row>
    <row r="4601" spans="1:15">
      <c r="A4601" t="s">
        <v>4627</v>
      </c>
      <c r="B4601" t="s">
        <v>27</v>
      </c>
      <c r="C4601">
        <v>8</v>
      </c>
      <c r="D4601">
        <v>27479712</v>
      </c>
      <c r="E4601">
        <v>3</v>
      </c>
      <c r="F4601">
        <v>0</v>
      </c>
      <c r="G4601">
        <v>462</v>
      </c>
      <c r="H4601">
        <v>93658573</v>
      </c>
      <c r="I4601">
        <v>16030</v>
      </c>
      <c r="J4601" t="s">
        <v>21</v>
      </c>
      <c r="K4601" t="s">
        <v>18</v>
      </c>
      <c r="L4601">
        <v>5</v>
      </c>
      <c r="M4601">
        <v>90.08</v>
      </c>
      <c r="N4601">
        <v>668544</v>
      </c>
      <c r="O4601">
        <v>1</v>
      </c>
    </row>
    <row r="4602" spans="1:15">
      <c r="A4602" t="s">
        <v>4628</v>
      </c>
      <c r="B4602" t="s">
        <v>29</v>
      </c>
      <c r="C4602">
        <v>7</v>
      </c>
      <c r="D4602">
        <v>42151254</v>
      </c>
      <c r="E4602">
        <v>1</v>
      </c>
      <c r="F4602">
        <v>14</v>
      </c>
      <c r="G4602">
        <v>503</v>
      </c>
      <c r="H4602">
        <v>682700</v>
      </c>
      <c r="I4602">
        <v>891290</v>
      </c>
      <c r="J4602" t="s">
        <v>21</v>
      </c>
      <c r="K4602" t="s">
        <v>18</v>
      </c>
      <c r="L4602">
        <v>4</v>
      </c>
      <c r="M4602">
        <v>49.27</v>
      </c>
      <c r="N4602">
        <v>242885</v>
      </c>
      <c r="O4602">
        <v>1</v>
      </c>
    </row>
    <row r="4603" spans="1:15">
      <c r="A4603" t="s">
        <v>4629</v>
      </c>
      <c r="B4603" t="s">
        <v>38</v>
      </c>
      <c r="C4603">
        <v>13</v>
      </c>
      <c r="D4603">
        <v>12683532</v>
      </c>
      <c r="E4603">
        <v>4</v>
      </c>
      <c r="F4603">
        <v>12</v>
      </c>
      <c r="G4603">
        <v>572</v>
      </c>
      <c r="H4603">
        <v>79011101</v>
      </c>
      <c r="I4603">
        <v>902092</v>
      </c>
      <c r="J4603" t="s">
        <v>17</v>
      </c>
      <c r="K4603" t="s">
        <v>22</v>
      </c>
      <c r="L4603">
        <v>9</v>
      </c>
      <c r="M4603">
        <v>23.99</v>
      </c>
      <c r="N4603">
        <v>348298</v>
      </c>
      <c r="O4603">
        <v>1</v>
      </c>
    </row>
    <row r="4604" spans="1:15">
      <c r="A4604" t="s">
        <v>4630</v>
      </c>
      <c r="B4604" t="s">
        <v>38</v>
      </c>
      <c r="C4604">
        <v>2</v>
      </c>
      <c r="D4604">
        <v>47085256</v>
      </c>
      <c r="E4604">
        <v>4</v>
      </c>
      <c r="F4604">
        <v>8</v>
      </c>
      <c r="G4604">
        <v>570</v>
      </c>
      <c r="H4604">
        <v>83166784</v>
      </c>
      <c r="I4604">
        <v>123310</v>
      </c>
      <c r="J4604" t="s">
        <v>17</v>
      </c>
      <c r="K4604" t="s">
        <v>22</v>
      </c>
      <c r="L4604">
        <v>1</v>
      </c>
      <c r="M4604">
        <v>41.56</v>
      </c>
      <c r="N4604">
        <v>34043</v>
      </c>
      <c r="O4604">
        <v>1</v>
      </c>
    </row>
    <row r="4605" spans="1:15">
      <c r="A4605" t="s">
        <v>4631</v>
      </c>
      <c r="B4605" t="s">
        <v>29</v>
      </c>
      <c r="C4605">
        <v>1</v>
      </c>
      <c r="D4605">
        <v>24452312</v>
      </c>
      <c r="E4605">
        <v>4</v>
      </c>
      <c r="F4605">
        <v>26</v>
      </c>
      <c r="G4605">
        <v>177</v>
      </c>
      <c r="H4605">
        <v>66493124</v>
      </c>
      <c r="I4605">
        <v>581449</v>
      </c>
      <c r="J4605" t="s">
        <v>21</v>
      </c>
      <c r="K4605" t="s">
        <v>22</v>
      </c>
      <c r="L4605">
        <v>3</v>
      </c>
      <c r="M4605">
        <v>66.8</v>
      </c>
      <c r="N4605">
        <v>746853</v>
      </c>
      <c r="O4605">
        <v>1</v>
      </c>
    </row>
    <row r="4606" spans="1:15">
      <c r="A4606" t="s">
        <v>4632</v>
      </c>
      <c r="B4606" t="s">
        <v>29</v>
      </c>
      <c r="C4606">
        <v>5</v>
      </c>
      <c r="D4606">
        <v>33928059</v>
      </c>
      <c r="E4606">
        <v>1</v>
      </c>
      <c r="F4606">
        <v>24</v>
      </c>
      <c r="G4606">
        <v>972</v>
      </c>
      <c r="H4606">
        <v>66339551</v>
      </c>
      <c r="I4606">
        <v>160913</v>
      </c>
      <c r="J4606" t="s">
        <v>17</v>
      </c>
      <c r="K4606" t="s">
        <v>22</v>
      </c>
      <c r="L4606">
        <v>5</v>
      </c>
      <c r="M4606">
        <v>29.43</v>
      </c>
      <c r="N4606">
        <v>394114</v>
      </c>
      <c r="O4606">
        <v>1</v>
      </c>
    </row>
    <row r="4607" spans="1:15">
      <c r="A4607" t="s">
        <v>4633</v>
      </c>
      <c r="B4607" t="s">
        <v>38</v>
      </c>
      <c r="C4607">
        <v>13</v>
      </c>
      <c r="D4607">
        <v>21272169</v>
      </c>
      <c r="E4607">
        <v>2</v>
      </c>
      <c r="F4607">
        <v>5</v>
      </c>
      <c r="G4607">
        <v>104</v>
      </c>
      <c r="H4607">
        <v>17468043</v>
      </c>
      <c r="I4607">
        <v>867937</v>
      </c>
      <c r="J4607" t="s">
        <v>17</v>
      </c>
      <c r="K4607" t="s">
        <v>18</v>
      </c>
      <c r="L4607">
        <v>9</v>
      </c>
      <c r="M4607">
        <v>92.41</v>
      </c>
      <c r="N4607">
        <v>541240</v>
      </c>
      <c r="O4607">
        <v>1</v>
      </c>
    </row>
    <row r="4608" spans="1:15">
      <c r="A4608" t="s">
        <v>4634</v>
      </c>
      <c r="B4608" t="s">
        <v>16</v>
      </c>
      <c r="C4608">
        <v>9</v>
      </c>
      <c r="D4608">
        <v>6179941</v>
      </c>
      <c r="E4608">
        <v>1</v>
      </c>
      <c r="F4608">
        <v>8</v>
      </c>
      <c r="G4608">
        <v>92</v>
      </c>
      <c r="H4608">
        <v>7761351</v>
      </c>
      <c r="I4608">
        <v>214323</v>
      </c>
      <c r="J4608" t="s">
        <v>17</v>
      </c>
      <c r="K4608" t="s">
        <v>22</v>
      </c>
      <c r="L4608">
        <v>3</v>
      </c>
      <c r="M4608">
        <v>84.1</v>
      </c>
      <c r="N4608">
        <v>878624</v>
      </c>
      <c r="O4608">
        <v>1</v>
      </c>
    </row>
    <row r="4609" spans="1:15">
      <c r="A4609" t="s">
        <v>4635</v>
      </c>
      <c r="B4609" t="s">
        <v>29</v>
      </c>
      <c r="C4609">
        <v>0</v>
      </c>
      <c r="D4609">
        <v>32501678</v>
      </c>
      <c r="E4609">
        <v>1</v>
      </c>
      <c r="F4609">
        <v>2</v>
      </c>
      <c r="G4609">
        <v>681</v>
      </c>
      <c r="H4609">
        <v>63058932</v>
      </c>
      <c r="I4609">
        <v>881284</v>
      </c>
      <c r="J4609" t="s">
        <v>21</v>
      </c>
      <c r="K4609" t="s">
        <v>22</v>
      </c>
      <c r="L4609">
        <v>3</v>
      </c>
      <c r="M4609">
        <v>78.17</v>
      </c>
      <c r="N4609">
        <v>378409</v>
      </c>
      <c r="O4609">
        <v>1</v>
      </c>
    </row>
    <row r="4610" spans="1:15">
      <c r="A4610" t="s">
        <v>4636</v>
      </c>
      <c r="B4610" t="s">
        <v>27</v>
      </c>
      <c r="C4610">
        <v>6</v>
      </c>
      <c r="D4610">
        <v>5729781</v>
      </c>
      <c r="E4610">
        <v>1</v>
      </c>
      <c r="F4610">
        <v>0</v>
      </c>
      <c r="G4610">
        <v>169</v>
      </c>
      <c r="H4610">
        <v>56590600</v>
      </c>
      <c r="I4610">
        <v>562158</v>
      </c>
      <c r="J4610" t="s">
        <v>25</v>
      </c>
      <c r="K4610" t="s">
        <v>18</v>
      </c>
      <c r="L4610">
        <v>6</v>
      </c>
      <c r="M4610">
        <v>97.56</v>
      </c>
      <c r="N4610">
        <v>94383</v>
      </c>
      <c r="O4610">
        <v>1</v>
      </c>
    </row>
    <row r="4611" spans="1:15">
      <c r="A4611" t="s">
        <v>4637</v>
      </c>
      <c r="B4611" t="s">
        <v>24</v>
      </c>
      <c r="C4611">
        <v>12</v>
      </c>
      <c r="D4611">
        <v>13440078</v>
      </c>
      <c r="E4611">
        <v>1</v>
      </c>
      <c r="F4611">
        <v>25</v>
      </c>
      <c r="G4611">
        <v>269</v>
      </c>
      <c r="H4611">
        <v>6982465</v>
      </c>
      <c r="I4611">
        <v>315752</v>
      </c>
      <c r="J4611" t="s">
        <v>21</v>
      </c>
      <c r="K4611" t="s">
        <v>22</v>
      </c>
      <c r="L4611">
        <v>3</v>
      </c>
      <c r="M4611">
        <v>13.17</v>
      </c>
      <c r="N4611">
        <v>12791</v>
      </c>
      <c r="O4611">
        <v>1</v>
      </c>
    </row>
    <row r="4612" spans="1:15">
      <c r="A4612" t="s">
        <v>4638</v>
      </c>
      <c r="B4612" t="s">
        <v>29</v>
      </c>
      <c r="C4612">
        <v>12</v>
      </c>
      <c r="D4612">
        <v>33994448</v>
      </c>
      <c r="E4612">
        <v>3</v>
      </c>
      <c r="F4612">
        <v>24</v>
      </c>
      <c r="G4612">
        <v>66</v>
      </c>
      <c r="H4612">
        <v>66746523</v>
      </c>
      <c r="I4612">
        <v>936108</v>
      </c>
      <c r="J4612" t="s">
        <v>25</v>
      </c>
      <c r="K4612" t="s">
        <v>18</v>
      </c>
      <c r="L4612">
        <v>2</v>
      </c>
      <c r="M4612">
        <v>88.42</v>
      </c>
      <c r="N4612">
        <v>199779</v>
      </c>
      <c r="O4612">
        <v>1</v>
      </c>
    </row>
    <row r="4613" spans="1:15">
      <c r="A4613" t="s">
        <v>4639</v>
      </c>
      <c r="B4613" t="s">
        <v>38</v>
      </c>
      <c r="C4613">
        <v>14</v>
      </c>
      <c r="D4613">
        <v>11995880</v>
      </c>
      <c r="E4613">
        <v>4</v>
      </c>
      <c r="F4613">
        <v>4</v>
      </c>
      <c r="G4613">
        <v>519</v>
      </c>
      <c r="H4613">
        <v>75001880</v>
      </c>
      <c r="I4613">
        <v>193956</v>
      </c>
      <c r="J4613" t="s">
        <v>17</v>
      </c>
      <c r="K4613" t="s">
        <v>22</v>
      </c>
      <c r="L4613">
        <v>4</v>
      </c>
      <c r="M4613">
        <v>98.8</v>
      </c>
      <c r="N4613">
        <v>749767</v>
      </c>
      <c r="O4613">
        <v>1</v>
      </c>
    </row>
    <row r="4614" spans="1:15">
      <c r="A4614" t="s">
        <v>4640</v>
      </c>
      <c r="B4614" t="s">
        <v>29</v>
      </c>
      <c r="C4614">
        <v>3</v>
      </c>
      <c r="D4614">
        <v>18212905</v>
      </c>
      <c r="E4614">
        <v>2</v>
      </c>
      <c r="F4614">
        <v>28</v>
      </c>
      <c r="G4614">
        <v>750</v>
      </c>
      <c r="H4614">
        <v>56588890</v>
      </c>
      <c r="I4614">
        <v>170132</v>
      </c>
      <c r="J4614" t="s">
        <v>25</v>
      </c>
      <c r="K4614" t="s">
        <v>30</v>
      </c>
      <c r="L4614">
        <v>5</v>
      </c>
      <c r="M4614">
        <v>50.14</v>
      </c>
      <c r="N4614">
        <v>795045</v>
      </c>
      <c r="O4614">
        <v>1</v>
      </c>
    </row>
    <row r="4615" spans="1:15">
      <c r="A4615" t="s">
        <v>4641</v>
      </c>
      <c r="B4615" t="s">
        <v>29</v>
      </c>
      <c r="C4615">
        <v>7</v>
      </c>
      <c r="D4615">
        <v>42488203</v>
      </c>
      <c r="E4615">
        <v>2</v>
      </c>
      <c r="F4615">
        <v>4</v>
      </c>
      <c r="G4615">
        <v>446</v>
      </c>
      <c r="H4615">
        <v>69779127</v>
      </c>
      <c r="I4615">
        <v>750955</v>
      </c>
      <c r="J4615" t="s">
        <v>25</v>
      </c>
      <c r="K4615" t="s">
        <v>18</v>
      </c>
      <c r="L4615">
        <v>4</v>
      </c>
      <c r="M4615">
        <v>19.25</v>
      </c>
      <c r="N4615">
        <v>367388</v>
      </c>
      <c r="O4615">
        <v>1</v>
      </c>
    </row>
    <row r="4616" spans="1:15">
      <c r="A4616" t="s">
        <v>4642</v>
      </c>
      <c r="B4616" t="s">
        <v>38</v>
      </c>
      <c r="C4616">
        <v>7</v>
      </c>
      <c r="D4616">
        <v>31638615</v>
      </c>
      <c r="E4616">
        <v>1</v>
      </c>
      <c r="F4616">
        <v>22</v>
      </c>
      <c r="G4616">
        <v>908</v>
      </c>
      <c r="H4616">
        <v>72169834</v>
      </c>
      <c r="I4616">
        <v>244893</v>
      </c>
      <c r="J4616" t="s">
        <v>21</v>
      </c>
      <c r="K4616" t="s">
        <v>22</v>
      </c>
      <c r="L4616">
        <v>9</v>
      </c>
      <c r="M4616">
        <v>42.63</v>
      </c>
      <c r="N4616">
        <v>673775</v>
      </c>
      <c r="O4616">
        <v>1</v>
      </c>
    </row>
    <row r="4617" spans="1:15">
      <c r="A4617" t="s">
        <v>4643</v>
      </c>
      <c r="B4617" t="s">
        <v>24</v>
      </c>
      <c r="C4617">
        <v>9</v>
      </c>
      <c r="D4617">
        <v>32649912</v>
      </c>
      <c r="E4617">
        <v>3</v>
      </c>
      <c r="F4617">
        <v>28</v>
      </c>
      <c r="G4617">
        <v>119</v>
      </c>
      <c r="H4617">
        <v>255011</v>
      </c>
      <c r="I4617">
        <v>424242</v>
      </c>
      <c r="J4617" t="s">
        <v>25</v>
      </c>
      <c r="K4617" t="s">
        <v>22</v>
      </c>
      <c r="L4617">
        <v>6</v>
      </c>
      <c r="M4617">
        <v>76.77</v>
      </c>
      <c r="N4617">
        <v>940880</v>
      </c>
      <c r="O4617">
        <v>1</v>
      </c>
    </row>
    <row r="4618" spans="1:15">
      <c r="A4618" t="s">
        <v>4644</v>
      </c>
      <c r="B4618" t="s">
        <v>27</v>
      </c>
      <c r="C4618">
        <v>6</v>
      </c>
      <c r="D4618">
        <v>12039825</v>
      </c>
      <c r="E4618">
        <v>4</v>
      </c>
      <c r="F4618">
        <v>13</v>
      </c>
      <c r="G4618">
        <v>517</v>
      </c>
      <c r="H4618">
        <v>1555961</v>
      </c>
      <c r="I4618">
        <v>356482</v>
      </c>
      <c r="J4618" t="s">
        <v>21</v>
      </c>
      <c r="K4618" t="s">
        <v>18</v>
      </c>
      <c r="L4618">
        <v>5</v>
      </c>
      <c r="M4618">
        <v>39.39</v>
      </c>
      <c r="N4618">
        <v>921965</v>
      </c>
      <c r="O4618">
        <v>1</v>
      </c>
    </row>
    <row r="4619" spans="1:15">
      <c r="A4619" t="s">
        <v>4645</v>
      </c>
      <c r="B4619" t="s">
        <v>16</v>
      </c>
      <c r="C4619">
        <v>6</v>
      </c>
      <c r="D4619">
        <v>791110</v>
      </c>
      <c r="E4619">
        <v>1</v>
      </c>
      <c r="F4619">
        <v>9</v>
      </c>
      <c r="G4619">
        <v>329</v>
      </c>
      <c r="H4619">
        <v>2623566</v>
      </c>
      <c r="I4619">
        <v>659851</v>
      </c>
      <c r="J4619" t="s">
        <v>17</v>
      </c>
      <c r="K4619" t="s">
        <v>18</v>
      </c>
      <c r="L4619">
        <v>7</v>
      </c>
      <c r="M4619">
        <v>1.85</v>
      </c>
      <c r="N4619">
        <v>126212</v>
      </c>
      <c r="O4619">
        <v>1</v>
      </c>
    </row>
    <row r="4620" spans="1:15">
      <c r="A4620" t="s">
        <v>4646</v>
      </c>
      <c r="B4620" t="s">
        <v>24</v>
      </c>
      <c r="C4620">
        <v>7</v>
      </c>
      <c r="D4620">
        <v>34386668</v>
      </c>
      <c r="E4620">
        <v>2</v>
      </c>
      <c r="F4620">
        <v>18</v>
      </c>
      <c r="G4620">
        <v>484</v>
      </c>
      <c r="H4620">
        <v>94356300</v>
      </c>
      <c r="I4620">
        <v>56129</v>
      </c>
      <c r="J4620" t="s">
        <v>21</v>
      </c>
      <c r="K4620" t="s">
        <v>22</v>
      </c>
      <c r="L4620">
        <v>3</v>
      </c>
      <c r="M4620">
        <v>46.9</v>
      </c>
      <c r="N4620">
        <v>187456</v>
      </c>
      <c r="O4620">
        <v>1</v>
      </c>
    </row>
    <row r="4621" spans="1:15">
      <c r="A4621" t="s">
        <v>4647</v>
      </c>
      <c r="B4621" t="s">
        <v>16</v>
      </c>
      <c r="C4621">
        <v>3</v>
      </c>
      <c r="D4621">
        <v>1787375</v>
      </c>
      <c r="E4621">
        <v>4</v>
      </c>
      <c r="F4621">
        <v>2</v>
      </c>
      <c r="G4621">
        <v>705</v>
      </c>
      <c r="H4621">
        <v>19968160</v>
      </c>
      <c r="I4621">
        <v>930574</v>
      </c>
      <c r="J4621" t="s">
        <v>17</v>
      </c>
      <c r="K4621" t="s">
        <v>30</v>
      </c>
      <c r="L4621">
        <v>9</v>
      </c>
      <c r="M4621">
        <v>44.01</v>
      </c>
      <c r="N4621">
        <v>139952</v>
      </c>
      <c r="O4621">
        <v>1</v>
      </c>
    </row>
    <row r="4622" spans="1:15">
      <c r="A4622" t="s">
        <v>4648</v>
      </c>
      <c r="B4622" t="s">
        <v>32</v>
      </c>
      <c r="C4622">
        <v>7</v>
      </c>
      <c r="D4622">
        <v>6984551</v>
      </c>
      <c r="E4622">
        <v>2</v>
      </c>
      <c r="F4622">
        <v>5</v>
      </c>
      <c r="G4622">
        <v>515</v>
      </c>
      <c r="H4622">
        <v>81049702</v>
      </c>
      <c r="I4622">
        <v>719188</v>
      </c>
      <c r="J4622" t="s">
        <v>25</v>
      </c>
      <c r="K4622" t="s">
        <v>22</v>
      </c>
      <c r="L4622">
        <v>1</v>
      </c>
      <c r="M4622">
        <v>64.53</v>
      </c>
      <c r="N4622">
        <v>926335</v>
      </c>
      <c r="O4622">
        <v>1</v>
      </c>
    </row>
    <row r="4623" spans="1:15">
      <c r="A4623" t="s">
        <v>4649</v>
      </c>
      <c r="B4623" t="s">
        <v>27</v>
      </c>
      <c r="C4623">
        <v>7</v>
      </c>
      <c r="D4623">
        <v>31691198</v>
      </c>
      <c r="E4623">
        <v>4</v>
      </c>
      <c r="F4623">
        <v>26</v>
      </c>
      <c r="G4623">
        <v>912</v>
      </c>
      <c r="H4623">
        <v>70003541</v>
      </c>
      <c r="I4623">
        <v>764994</v>
      </c>
      <c r="J4623" t="s">
        <v>17</v>
      </c>
      <c r="K4623" t="s">
        <v>30</v>
      </c>
      <c r="L4623">
        <v>3</v>
      </c>
      <c r="M4623">
        <v>16.100000000000001</v>
      </c>
      <c r="N4623">
        <v>227348</v>
      </c>
      <c r="O4623">
        <v>1</v>
      </c>
    </row>
    <row r="4624" spans="1:15">
      <c r="A4624" t="s">
        <v>4650</v>
      </c>
      <c r="B4624" t="s">
        <v>27</v>
      </c>
      <c r="C4624">
        <v>9</v>
      </c>
      <c r="D4624">
        <v>21278323</v>
      </c>
      <c r="E4624">
        <v>3</v>
      </c>
      <c r="F4624">
        <v>13</v>
      </c>
      <c r="G4624">
        <v>45</v>
      </c>
      <c r="H4624">
        <v>69366067</v>
      </c>
      <c r="I4624">
        <v>171233</v>
      </c>
      <c r="J4624" t="s">
        <v>21</v>
      </c>
      <c r="K4624" t="s">
        <v>22</v>
      </c>
      <c r="L4624">
        <v>3</v>
      </c>
      <c r="M4624">
        <v>3.74</v>
      </c>
      <c r="N4624">
        <v>437036</v>
      </c>
      <c r="O4624">
        <v>1</v>
      </c>
    </row>
    <row r="4625" spans="1:15">
      <c r="A4625" t="s">
        <v>4651</v>
      </c>
      <c r="B4625" t="s">
        <v>20</v>
      </c>
      <c r="C4625">
        <v>3</v>
      </c>
      <c r="D4625">
        <v>44133659</v>
      </c>
      <c r="E4625">
        <v>1</v>
      </c>
      <c r="F4625">
        <v>22</v>
      </c>
      <c r="G4625">
        <v>564</v>
      </c>
      <c r="H4625">
        <v>15844199</v>
      </c>
      <c r="I4625">
        <v>406573</v>
      </c>
      <c r="J4625" t="s">
        <v>25</v>
      </c>
      <c r="K4625" t="s">
        <v>18</v>
      </c>
      <c r="L4625">
        <v>7</v>
      </c>
      <c r="M4625">
        <v>22.88</v>
      </c>
      <c r="N4625">
        <v>265048</v>
      </c>
      <c r="O4625">
        <v>1</v>
      </c>
    </row>
    <row r="4626" spans="1:15">
      <c r="A4626" t="s">
        <v>4652</v>
      </c>
      <c r="B4626" t="s">
        <v>16</v>
      </c>
      <c r="C4626">
        <v>10</v>
      </c>
      <c r="D4626">
        <v>33890967</v>
      </c>
      <c r="E4626">
        <v>2</v>
      </c>
      <c r="F4626">
        <v>14</v>
      </c>
      <c r="G4626">
        <v>150</v>
      </c>
      <c r="H4626">
        <v>23149230</v>
      </c>
      <c r="I4626">
        <v>16122</v>
      </c>
      <c r="J4626" t="s">
        <v>25</v>
      </c>
      <c r="K4626" t="s">
        <v>22</v>
      </c>
      <c r="L4626">
        <v>8</v>
      </c>
      <c r="M4626">
        <v>40.65</v>
      </c>
      <c r="N4626">
        <v>335245</v>
      </c>
      <c r="O4626">
        <v>1</v>
      </c>
    </row>
    <row r="4627" spans="1:15">
      <c r="A4627" t="s">
        <v>4653</v>
      </c>
      <c r="B4627" t="s">
        <v>16</v>
      </c>
      <c r="C4627">
        <v>0</v>
      </c>
      <c r="D4627">
        <v>32258480</v>
      </c>
      <c r="E4627">
        <v>2</v>
      </c>
      <c r="F4627">
        <v>16</v>
      </c>
      <c r="G4627">
        <v>440</v>
      </c>
      <c r="H4627">
        <v>12011188</v>
      </c>
      <c r="I4627">
        <v>306006</v>
      </c>
      <c r="J4627" t="s">
        <v>17</v>
      </c>
      <c r="K4627" t="s">
        <v>18</v>
      </c>
      <c r="L4627">
        <v>6</v>
      </c>
      <c r="M4627">
        <v>21.1</v>
      </c>
      <c r="N4627">
        <v>226154</v>
      </c>
      <c r="O4627">
        <v>1</v>
      </c>
    </row>
    <row r="4628" spans="1:15">
      <c r="A4628" t="s">
        <v>4654</v>
      </c>
      <c r="B4628" t="s">
        <v>24</v>
      </c>
      <c r="C4628">
        <v>13</v>
      </c>
      <c r="D4628">
        <v>20620889</v>
      </c>
      <c r="E4628">
        <v>2</v>
      </c>
      <c r="F4628">
        <v>26</v>
      </c>
      <c r="G4628">
        <v>396</v>
      </c>
      <c r="H4628">
        <v>39292716</v>
      </c>
      <c r="I4628">
        <v>572422</v>
      </c>
      <c r="J4628" t="s">
        <v>25</v>
      </c>
      <c r="K4628" t="s">
        <v>30</v>
      </c>
      <c r="L4628">
        <v>6</v>
      </c>
      <c r="M4628">
        <v>57.68</v>
      </c>
      <c r="N4628">
        <v>130435</v>
      </c>
      <c r="O4628">
        <v>1</v>
      </c>
    </row>
    <row r="4629" spans="1:15">
      <c r="A4629" t="s">
        <v>4655</v>
      </c>
      <c r="B4629" t="s">
        <v>38</v>
      </c>
      <c r="C4629">
        <v>10</v>
      </c>
      <c r="D4629">
        <v>1059766</v>
      </c>
      <c r="E4629">
        <v>4</v>
      </c>
      <c r="F4629">
        <v>21</v>
      </c>
      <c r="G4629">
        <v>281</v>
      </c>
      <c r="H4629">
        <v>24766295</v>
      </c>
      <c r="I4629">
        <v>154614</v>
      </c>
      <c r="J4629" t="s">
        <v>21</v>
      </c>
      <c r="K4629" t="s">
        <v>18</v>
      </c>
      <c r="L4629">
        <v>7</v>
      </c>
      <c r="M4629">
        <v>26.17</v>
      </c>
      <c r="N4629">
        <v>649672</v>
      </c>
      <c r="O4629">
        <v>1</v>
      </c>
    </row>
    <row r="4630" spans="1:15">
      <c r="A4630" t="s">
        <v>4656</v>
      </c>
      <c r="B4630" t="s">
        <v>27</v>
      </c>
      <c r="C4630">
        <v>14</v>
      </c>
      <c r="D4630">
        <v>13525557</v>
      </c>
      <c r="E4630">
        <v>2</v>
      </c>
      <c r="F4630">
        <v>16</v>
      </c>
      <c r="G4630">
        <v>165</v>
      </c>
      <c r="H4630">
        <v>56021231</v>
      </c>
      <c r="I4630">
        <v>411945</v>
      </c>
      <c r="J4630" t="s">
        <v>17</v>
      </c>
      <c r="K4630" t="s">
        <v>18</v>
      </c>
      <c r="L4630">
        <v>2</v>
      </c>
      <c r="M4630">
        <v>2.79</v>
      </c>
      <c r="N4630">
        <v>611746</v>
      </c>
      <c r="O4630">
        <v>1</v>
      </c>
    </row>
    <row r="4631" spans="1:15">
      <c r="A4631" t="s">
        <v>4657</v>
      </c>
      <c r="B4631" t="s">
        <v>29</v>
      </c>
      <c r="C4631">
        <v>12</v>
      </c>
      <c r="D4631">
        <v>4782489</v>
      </c>
      <c r="E4631">
        <v>1</v>
      </c>
      <c r="F4631">
        <v>8</v>
      </c>
      <c r="G4631">
        <v>340</v>
      </c>
      <c r="H4631">
        <v>54533734</v>
      </c>
      <c r="I4631">
        <v>229938</v>
      </c>
      <c r="J4631" t="s">
        <v>25</v>
      </c>
      <c r="K4631" t="s">
        <v>18</v>
      </c>
      <c r="L4631">
        <v>5</v>
      </c>
      <c r="M4631">
        <v>41.09</v>
      </c>
      <c r="N4631">
        <v>840755</v>
      </c>
      <c r="O4631">
        <v>1</v>
      </c>
    </row>
    <row r="4632" spans="1:15">
      <c r="A4632" t="s">
        <v>4658</v>
      </c>
      <c r="B4632" t="s">
        <v>27</v>
      </c>
      <c r="C4632">
        <v>0</v>
      </c>
      <c r="D4632">
        <v>12366265</v>
      </c>
      <c r="E4632">
        <v>2</v>
      </c>
      <c r="F4632">
        <v>24</v>
      </c>
      <c r="G4632">
        <v>69</v>
      </c>
      <c r="H4632">
        <v>85211167</v>
      </c>
      <c r="I4632">
        <v>907386</v>
      </c>
      <c r="J4632" t="s">
        <v>25</v>
      </c>
      <c r="K4632" t="s">
        <v>30</v>
      </c>
      <c r="L4632">
        <v>4</v>
      </c>
      <c r="M4632">
        <v>63.57</v>
      </c>
      <c r="N4632">
        <v>429005</v>
      </c>
      <c r="O4632">
        <v>1</v>
      </c>
    </row>
    <row r="4633" spans="1:15">
      <c r="A4633" t="s">
        <v>4659</v>
      </c>
      <c r="B4633" t="s">
        <v>32</v>
      </c>
      <c r="C4633">
        <v>4</v>
      </c>
      <c r="D4633">
        <v>32644882</v>
      </c>
      <c r="E4633">
        <v>2</v>
      </c>
      <c r="F4633">
        <v>28</v>
      </c>
      <c r="G4633">
        <v>809</v>
      </c>
      <c r="H4633">
        <v>72409268</v>
      </c>
      <c r="I4633">
        <v>302898</v>
      </c>
      <c r="J4633" t="s">
        <v>21</v>
      </c>
      <c r="K4633" t="s">
        <v>30</v>
      </c>
      <c r="L4633">
        <v>9</v>
      </c>
      <c r="M4633">
        <v>17.38</v>
      </c>
      <c r="N4633">
        <v>900619</v>
      </c>
      <c r="O4633">
        <v>1</v>
      </c>
    </row>
    <row r="4634" spans="1:15">
      <c r="A4634" t="s">
        <v>4660</v>
      </c>
      <c r="B4634" t="s">
        <v>16</v>
      </c>
      <c r="C4634">
        <v>10</v>
      </c>
      <c r="D4634">
        <v>15223884</v>
      </c>
      <c r="E4634">
        <v>4</v>
      </c>
      <c r="F4634">
        <v>10</v>
      </c>
      <c r="G4634">
        <v>621</v>
      </c>
      <c r="H4634">
        <v>40942196</v>
      </c>
      <c r="I4634">
        <v>643854</v>
      </c>
      <c r="J4634" t="s">
        <v>25</v>
      </c>
      <c r="K4634" t="s">
        <v>30</v>
      </c>
      <c r="L4634">
        <v>8</v>
      </c>
      <c r="M4634">
        <v>12.34</v>
      </c>
      <c r="N4634">
        <v>908482</v>
      </c>
      <c r="O4634">
        <v>1</v>
      </c>
    </row>
    <row r="4635" spans="1:15">
      <c r="A4635" t="s">
        <v>4661</v>
      </c>
      <c r="B4635" t="s">
        <v>24</v>
      </c>
      <c r="C4635">
        <v>8</v>
      </c>
      <c r="D4635">
        <v>39953671</v>
      </c>
      <c r="E4635">
        <v>4</v>
      </c>
      <c r="F4635">
        <v>20</v>
      </c>
      <c r="G4635">
        <v>409</v>
      </c>
      <c r="H4635">
        <v>96454172</v>
      </c>
      <c r="I4635">
        <v>803183</v>
      </c>
      <c r="J4635" t="s">
        <v>25</v>
      </c>
      <c r="K4635" t="s">
        <v>18</v>
      </c>
      <c r="L4635">
        <v>1</v>
      </c>
      <c r="M4635">
        <v>8.73</v>
      </c>
      <c r="N4635">
        <v>861919</v>
      </c>
      <c r="O4635">
        <v>1</v>
      </c>
    </row>
    <row r="4636" spans="1:15">
      <c r="A4636" t="s">
        <v>4662</v>
      </c>
      <c r="B4636" t="s">
        <v>20</v>
      </c>
      <c r="C4636">
        <v>7</v>
      </c>
      <c r="D4636">
        <v>28538583</v>
      </c>
      <c r="E4636">
        <v>1</v>
      </c>
      <c r="F4636">
        <v>25</v>
      </c>
      <c r="G4636">
        <v>990</v>
      </c>
      <c r="H4636">
        <v>40688347</v>
      </c>
      <c r="I4636">
        <v>456242</v>
      </c>
      <c r="J4636" t="s">
        <v>17</v>
      </c>
      <c r="K4636" t="s">
        <v>18</v>
      </c>
      <c r="L4636">
        <v>2</v>
      </c>
      <c r="M4636">
        <v>92.93</v>
      </c>
      <c r="N4636">
        <v>178093</v>
      </c>
      <c r="O4636">
        <v>1</v>
      </c>
    </row>
    <row r="4637" spans="1:15">
      <c r="A4637" t="s">
        <v>4663</v>
      </c>
      <c r="B4637" t="s">
        <v>24</v>
      </c>
      <c r="C4637">
        <v>2</v>
      </c>
      <c r="D4637">
        <v>49619769</v>
      </c>
      <c r="E4637">
        <v>1</v>
      </c>
      <c r="F4637">
        <v>17</v>
      </c>
      <c r="G4637">
        <v>990</v>
      </c>
      <c r="H4637">
        <v>67790808</v>
      </c>
      <c r="I4637">
        <v>166307</v>
      </c>
      <c r="J4637" t="s">
        <v>17</v>
      </c>
      <c r="K4637" t="s">
        <v>22</v>
      </c>
      <c r="L4637">
        <v>1</v>
      </c>
      <c r="M4637">
        <v>65.63</v>
      </c>
      <c r="N4637">
        <v>622990</v>
      </c>
      <c r="O4637">
        <v>1</v>
      </c>
    </row>
    <row r="4638" spans="1:15">
      <c r="A4638" t="s">
        <v>4664</v>
      </c>
      <c r="B4638" t="s">
        <v>20</v>
      </c>
      <c r="C4638">
        <v>8</v>
      </c>
      <c r="D4638">
        <v>10170756</v>
      </c>
      <c r="E4638">
        <v>3</v>
      </c>
      <c r="F4638">
        <v>7</v>
      </c>
      <c r="G4638">
        <v>544</v>
      </c>
      <c r="H4638">
        <v>90808600</v>
      </c>
      <c r="I4638">
        <v>505796</v>
      </c>
      <c r="J4638" t="s">
        <v>17</v>
      </c>
      <c r="K4638" t="s">
        <v>30</v>
      </c>
      <c r="L4638">
        <v>7</v>
      </c>
      <c r="M4638">
        <v>51.27</v>
      </c>
      <c r="N4638">
        <v>232306</v>
      </c>
      <c r="O4638">
        <v>1</v>
      </c>
    </row>
    <row r="4639" spans="1:15">
      <c r="A4639" t="s">
        <v>4665</v>
      </c>
      <c r="B4639" t="s">
        <v>24</v>
      </c>
      <c r="C4639">
        <v>4</v>
      </c>
      <c r="D4639">
        <v>44236119</v>
      </c>
      <c r="E4639">
        <v>2</v>
      </c>
      <c r="F4639">
        <v>28</v>
      </c>
      <c r="G4639">
        <v>516</v>
      </c>
      <c r="H4639">
        <v>3031490</v>
      </c>
      <c r="I4639">
        <v>5181</v>
      </c>
      <c r="J4639" t="s">
        <v>17</v>
      </c>
      <c r="K4639" t="s">
        <v>18</v>
      </c>
      <c r="L4639">
        <v>8</v>
      </c>
      <c r="M4639">
        <v>18.309999999999999</v>
      </c>
      <c r="N4639">
        <v>162283</v>
      </c>
      <c r="O4639">
        <v>1</v>
      </c>
    </row>
    <row r="4640" spans="1:15">
      <c r="A4640" t="s">
        <v>4666</v>
      </c>
      <c r="B4640" t="s">
        <v>16</v>
      </c>
      <c r="C4640">
        <v>1</v>
      </c>
      <c r="D4640">
        <v>658135</v>
      </c>
      <c r="E4640">
        <v>4</v>
      </c>
      <c r="F4640">
        <v>17</v>
      </c>
      <c r="G4640">
        <v>421</v>
      </c>
      <c r="H4640">
        <v>63771630</v>
      </c>
      <c r="I4640">
        <v>743511</v>
      </c>
      <c r="J4640" t="s">
        <v>21</v>
      </c>
      <c r="K4640" t="s">
        <v>30</v>
      </c>
      <c r="L4640">
        <v>8</v>
      </c>
      <c r="M4640">
        <v>37.700000000000003</v>
      </c>
      <c r="N4640">
        <v>282848</v>
      </c>
      <c r="O4640">
        <v>1</v>
      </c>
    </row>
    <row r="4641" spans="1:15">
      <c r="A4641" t="s">
        <v>4667</v>
      </c>
      <c r="B4641" t="s">
        <v>38</v>
      </c>
      <c r="C4641">
        <v>9</v>
      </c>
      <c r="D4641">
        <v>42113064</v>
      </c>
      <c r="E4641">
        <v>2</v>
      </c>
      <c r="F4641">
        <v>10</v>
      </c>
      <c r="G4641">
        <v>206</v>
      </c>
      <c r="H4641">
        <v>441052</v>
      </c>
      <c r="I4641">
        <v>278479</v>
      </c>
      <c r="J4641" t="s">
        <v>25</v>
      </c>
      <c r="K4641" t="s">
        <v>30</v>
      </c>
      <c r="L4641">
        <v>3</v>
      </c>
      <c r="M4641">
        <v>69.77</v>
      </c>
      <c r="N4641">
        <v>583775</v>
      </c>
      <c r="O4641">
        <v>1</v>
      </c>
    </row>
    <row r="4642" spans="1:15">
      <c r="A4642" t="s">
        <v>4668</v>
      </c>
      <c r="B4642" t="s">
        <v>24</v>
      </c>
      <c r="C4642">
        <v>7</v>
      </c>
      <c r="D4642">
        <v>41590693</v>
      </c>
      <c r="E4642">
        <v>1</v>
      </c>
      <c r="F4642">
        <v>15</v>
      </c>
      <c r="G4642">
        <v>104</v>
      </c>
      <c r="H4642">
        <v>24699928</v>
      </c>
      <c r="I4642">
        <v>871698</v>
      </c>
      <c r="J4642" t="s">
        <v>21</v>
      </c>
      <c r="K4642" t="s">
        <v>18</v>
      </c>
      <c r="L4642">
        <v>3</v>
      </c>
      <c r="M4642">
        <v>11.59</v>
      </c>
      <c r="N4642">
        <v>366546</v>
      </c>
      <c r="O4642">
        <v>1</v>
      </c>
    </row>
    <row r="4643" spans="1:15">
      <c r="A4643" t="s">
        <v>4669</v>
      </c>
      <c r="B4643" t="s">
        <v>24</v>
      </c>
      <c r="C4643">
        <v>3</v>
      </c>
      <c r="D4643">
        <v>36494310</v>
      </c>
      <c r="E4643">
        <v>2</v>
      </c>
      <c r="F4643">
        <v>8</v>
      </c>
      <c r="G4643">
        <v>987</v>
      </c>
      <c r="H4643">
        <v>19123927</v>
      </c>
      <c r="I4643">
        <v>572761</v>
      </c>
      <c r="J4643" t="s">
        <v>25</v>
      </c>
      <c r="K4643" t="s">
        <v>30</v>
      </c>
      <c r="L4643">
        <v>7</v>
      </c>
      <c r="M4643">
        <v>92.85</v>
      </c>
      <c r="N4643">
        <v>877633</v>
      </c>
      <c r="O4643">
        <v>1</v>
      </c>
    </row>
    <row r="4644" spans="1:15">
      <c r="A4644" t="s">
        <v>4670</v>
      </c>
      <c r="B4644" t="s">
        <v>29</v>
      </c>
      <c r="C4644">
        <v>5</v>
      </c>
      <c r="D4644">
        <v>8826860</v>
      </c>
      <c r="E4644">
        <v>4</v>
      </c>
      <c r="F4644">
        <v>1</v>
      </c>
      <c r="G4644">
        <v>568</v>
      </c>
      <c r="H4644">
        <v>12005073</v>
      </c>
      <c r="I4644">
        <v>640471</v>
      </c>
      <c r="J4644" t="s">
        <v>25</v>
      </c>
      <c r="K4644" t="s">
        <v>30</v>
      </c>
      <c r="L4644">
        <v>2</v>
      </c>
      <c r="M4644">
        <v>39.49</v>
      </c>
      <c r="N4644">
        <v>707534</v>
      </c>
      <c r="O4644">
        <v>1</v>
      </c>
    </row>
    <row r="4645" spans="1:15">
      <c r="A4645" t="s">
        <v>4671</v>
      </c>
      <c r="B4645" t="s">
        <v>38</v>
      </c>
      <c r="C4645">
        <v>3</v>
      </c>
      <c r="D4645">
        <v>41777354</v>
      </c>
      <c r="E4645">
        <v>4</v>
      </c>
      <c r="F4645">
        <v>26</v>
      </c>
      <c r="G4645">
        <v>792</v>
      </c>
      <c r="H4645">
        <v>4401203</v>
      </c>
      <c r="I4645">
        <v>189315</v>
      </c>
      <c r="J4645" t="s">
        <v>21</v>
      </c>
      <c r="K4645" t="s">
        <v>30</v>
      </c>
      <c r="L4645">
        <v>6</v>
      </c>
      <c r="M4645">
        <v>49.61</v>
      </c>
      <c r="N4645">
        <v>774645</v>
      </c>
      <c r="O4645">
        <v>1</v>
      </c>
    </row>
    <row r="4646" spans="1:15">
      <c r="A4646" t="s">
        <v>4672</v>
      </c>
      <c r="B4646" t="s">
        <v>16</v>
      </c>
      <c r="C4646">
        <v>11</v>
      </c>
      <c r="D4646">
        <v>31451088</v>
      </c>
      <c r="E4646">
        <v>2</v>
      </c>
      <c r="F4646">
        <v>0</v>
      </c>
      <c r="G4646">
        <v>192</v>
      </c>
      <c r="H4646">
        <v>124216</v>
      </c>
      <c r="I4646">
        <v>291854</v>
      </c>
      <c r="J4646" t="s">
        <v>17</v>
      </c>
      <c r="K4646" t="s">
        <v>18</v>
      </c>
      <c r="L4646">
        <v>7</v>
      </c>
      <c r="M4646">
        <v>63.93</v>
      </c>
      <c r="N4646">
        <v>874105</v>
      </c>
      <c r="O4646">
        <v>1</v>
      </c>
    </row>
    <row r="4647" spans="1:15">
      <c r="A4647" t="s">
        <v>4673</v>
      </c>
      <c r="B4647" t="s">
        <v>32</v>
      </c>
      <c r="C4647">
        <v>7</v>
      </c>
      <c r="D4647">
        <v>6017574</v>
      </c>
      <c r="E4647">
        <v>4</v>
      </c>
      <c r="F4647">
        <v>26</v>
      </c>
      <c r="G4647">
        <v>991</v>
      </c>
      <c r="H4647">
        <v>20934377</v>
      </c>
      <c r="I4647">
        <v>152350</v>
      </c>
      <c r="J4647" t="s">
        <v>21</v>
      </c>
      <c r="K4647" t="s">
        <v>22</v>
      </c>
      <c r="L4647">
        <v>6</v>
      </c>
      <c r="M4647">
        <v>91.89</v>
      </c>
      <c r="N4647">
        <v>416724</v>
      </c>
      <c r="O4647">
        <v>1</v>
      </c>
    </row>
    <row r="4648" spans="1:15">
      <c r="A4648" t="s">
        <v>4674</v>
      </c>
      <c r="B4648" t="s">
        <v>27</v>
      </c>
      <c r="C4648">
        <v>2</v>
      </c>
      <c r="D4648">
        <v>42453590</v>
      </c>
      <c r="E4648">
        <v>3</v>
      </c>
      <c r="F4648">
        <v>14</v>
      </c>
      <c r="G4648">
        <v>874</v>
      </c>
      <c r="H4648">
        <v>26283648</v>
      </c>
      <c r="I4648">
        <v>581504</v>
      </c>
      <c r="J4648" t="s">
        <v>25</v>
      </c>
      <c r="K4648" t="s">
        <v>22</v>
      </c>
      <c r="L4648">
        <v>7</v>
      </c>
      <c r="M4648">
        <v>94.45</v>
      </c>
      <c r="N4648">
        <v>237486</v>
      </c>
      <c r="O4648">
        <v>1</v>
      </c>
    </row>
    <row r="4649" spans="1:15">
      <c r="A4649" t="s">
        <v>4675</v>
      </c>
      <c r="B4649" t="s">
        <v>32</v>
      </c>
      <c r="C4649">
        <v>6</v>
      </c>
      <c r="D4649">
        <v>39951459</v>
      </c>
      <c r="E4649">
        <v>4</v>
      </c>
      <c r="F4649">
        <v>14</v>
      </c>
      <c r="G4649">
        <v>298</v>
      </c>
      <c r="H4649">
        <v>85067188</v>
      </c>
      <c r="I4649">
        <v>626838</v>
      </c>
      <c r="J4649" t="s">
        <v>25</v>
      </c>
      <c r="K4649" t="s">
        <v>18</v>
      </c>
      <c r="L4649">
        <v>4</v>
      </c>
      <c r="M4649">
        <v>61.86</v>
      </c>
      <c r="N4649">
        <v>102580</v>
      </c>
      <c r="O4649">
        <v>1</v>
      </c>
    </row>
    <row r="4650" spans="1:15">
      <c r="A4650" t="s">
        <v>4676</v>
      </c>
      <c r="B4650" t="s">
        <v>29</v>
      </c>
      <c r="C4650">
        <v>3</v>
      </c>
      <c r="D4650">
        <v>21372093</v>
      </c>
      <c r="E4650">
        <v>4</v>
      </c>
      <c r="F4650">
        <v>25</v>
      </c>
      <c r="G4650">
        <v>488</v>
      </c>
      <c r="H4650">
        <v>81598858</v>
      </c>
      <c r="I4650">
        <v>109386</v>
      </c>
      <c r="J4650" t="s">
        <v>25</v>
      </c>
      <c r="K4650" t="s">
        <v>30</v>
      </c>
      <c r="L4650">
        <v>2</v>
      </c>
      <c r="M4650">
        <v>79.44</v>
      </c>
      <c r="N4650">
        <v>21676</v>
      </c>
      <c r="O4650">
        <v>1</v>
      </c>
    </row>
    <row r="4651" spans="1:15">
      <c r="A4651" t="s">
        <v>4677</v>
      </c>
      <c r="B4651" t="s">
        <v>32</v>
      </c>
      <c r="C4651">
        <v>11</v>
      </c>
      <c r="D4651">
        <v>6831581</v>
      </c>
      <c r="E4651">
        <v>1</v>
      </c>
      <c r="F4651">
        <v>10</v>
      </c>
      <c r="G4651">
        <v>394</v>
      </c>
      <c r="H4651">
        <v>14515317</v>
      </c>
      <c r="I4651">
        <v>362295</v>
      </c>
      <c r="J4651" t="s">
        <v>17</v>
      </c>
      <c r="K4651" t="s">
        <v>22</v>
      </c>
      <c r="L4651">
        <v>9</v>
      </c>
      <c r="M4651">
        <v>90.82</v>
      </c>
      <c r="N4651">
        <v>439237</v>
      </c>
      <c r="O4651">
        <v>1</v>
      </c>
    </row>
    <row r="4652" spans="1:15">
      <c r="A4652" t="s">
        <v>4678</v>
      </c>
      <c r="B4652" t="s">
        <v>29</v>
      </c>
      <c r="C4652">
        <v>9</v>
      </c>
      <c r="D4652">
        <v>7389615</v>
      </c>
      <c r="E4652">
        <v>2</v>
      </c>
      <c r="F4652">
        <v>3</v>
      </c>
      <c r="G4652">
        <v>412</v>
      </c>
      <c r="H4652">
        <v>8259764</v>
      </c>
      <c r="I4652">
        <v>109712</v>
      </c>
      <c r="J4652" t="s">
        <v>17</v>
      </c>
      <c r="K4652" t="s">
        <v>30</v>
      </c>
      <c r="L4652">
        <v>6</v>
      </c>
      <c r="M4652">
        <v>53.93</v>
      </c>
      <c r="N4652">
        <v>919151</v>
      </c>
      <c r="O4652">
        <v>1</v>
      </c>
    </row>
    <row r="4653" spans="1:15">
      <c r="A4653" t="s">
        <v>4679</v>
      </c>
      <c r="B4653" t="s">
        <v>38</v>
      </c>
      <c r="C4653">
        <v>3</v>
      </c>
      <c r="D4653">
        <v>11050623</v>
      </c>
      <c r="E4653">
        <v>3</v>
      </c>
      <c r="F4653">
        <v>1</v>
      </c>
      <c r="G4653">
        <v>390</v>
      </c>
      <c r="H4653">
        <v>73863382</v>
      </c>
      <c r="I4653">
        <v>557720</v>
      </c>
      <c r="J4653" t="s">
        <v>21</v>
      </c>
      <c r="K4653" t="s">
        <v>30</v>
      </c>
      <c r="L4653">
        <v>7</v>
      </c>
      <c r="M4653">
        <v>65.38</v>
      </c>
      <c r="N4653">
        <v>932516</v>
      </c>
      <c r="O4653">
        <v>1</v>
      </c>
    </row>
    <row r="4654" spans="1:15">
      <c r="A4654" t="s">
        <v>4680</v>
      </c>
      <c r="B4654" t="s">
        <v>20</v>
      </c>
      <c r="C4654">
        <v>0</v>
      </c>
      <c r="D4654">
        <v>19849041</v>
      </c>
      <c r="E4654">
        <v>4</v>
      </c>
      <c r="F4654">
        <v>12</v>
      </c>
      <c r="G4654">
        <v>639</v>
      </c>
      <c r="H4654">
        <v>8452167</v>
      </c>
      <c r="I4654">
        <v>48251</v>
      </c>
      <c r="J4654" t="s">
        <v>25</v>
      </c>
      <c r="K4654" t="s">
        <v>22</v>
      </c>
      <c r="L4654">
        <v>6</v>
      </c>
      <c r="M4654">
        <v>13.54</v>
      </c>
      <c r="N4654">
        <v>62358</v>
      </c>
      <c r="O4654">
        <v>1</v>
      </c>
    </row>
    <row r="4655" spans="1:15">
      <c r="A4655" t="s">
        <v>4681</v>
      </c>
      <c r="B4655" t="s">
        <v>32</v>
      </c>
      <c r="C4655">
        <v>0</v>
      </c>
      <c r="D4655">
        <v>10109243</v>
      </c>
      <c r="E4655">
        <v>3</v>
      </c>
      <c r="F4655">
        <v>27</v>
      </c>
      <c r="G4655">
        <v>431</v>
      </c>
      <c r="H4655">
        <v>72706263</v>
      </c>
      <c r="I4655">
        <v>329596</v>
      </c>
      <c r="J4655" t="s">
        <v>25</v>
      </c>
      <c r="K4655" t="s">
        <v>22</v>
      </c>
      <c r="L4655">
        <v>9</v>
      </c>
      <c r="M4655">
        <v>48.65</v>
      </c>
      <c r="N4655">
        <v>411651</v>
      </c>
      <c r="O4655">
        <v>1</v>
      </c>
    </row>
    <row r="4656" spans="1:15">
      <c r="A4656" t="s">
        <v>4682</v>
      </c>
      <c r="B4656" t="s">
        <v>32</v>
      </c>
      <c r="C4656">
        <v>5</v>
      </c>
      <c r="D4656">
        <v>42271202</v>
      </c>
      <c r="E4656">
        <v>4</v>
      </c>
      <c r="F4656">
        <v>0</v>
      </c>
      <c r="G4656">
        <v>75</v>
      </c>
      <c r="H4656">
        <v>12677051</v>
      </c>
      <c r="I4656">
        <v>339392</v>
      </c>
      <c r="J4656" t="s">
        <v>21</v>
      </c>
      <c r="K4656" t="s">
        <v>30</v>
      </c>
      <c r="L4656">
        <v>9</v>
      </c>
      <c r="M4656">
        <v>51.52</v>
      </c>
      <c r="N4656">
        <v>700585</v>
      </c>
      <c r="O4656">
        <v>1</v>
      </c>
    </row>
    <row r="4657" spans="1:15">
      <c r="A4657" t="s">
        <v>4683</v>
      </c>
      <c r="B4657" t="s">
        <v>38</v>
      </c>
      <c r="C4657">
        <v>10</v>
      </c>
      <c r="D4657">
        <v>47766181</v>
      </c>
      <c r="E4657">
        <v>3</v>
      </c>
      <c r="F4657">
        <v>19</v>
      </c>
      <c r="G4657">
        <v>37</v>
      </c>
      <c r="H4657">
        <v>16385319</v>
      </c>
      <c r="I4657">
        <v>346258</v>
      </c>
      <c r="J4657" t="s">
        <v>21</v>
      </c>
      <c r="K4657" t="s">
        <v>18</v>
      </c>
      <c r="L4657">
        <v>3</v>
      </c>
      <c r="M4657">
        <v>11.71</v>
      </c>
      <c r="N4657">
        <v>368921</v>
      </c>
      <c r="O4657">
        <v>1</v>
      </c>
    </row>
    <row r="4658" spans="1:15">
      <c r="A4658" t="s">
        <v>4684</v>
      </c>
      <c r="B4658" t="s">
        <v>29</v>
      </c>
      <c r="C4658">
        <v>6</v>
      </c>
      <c r="D4658">
        <v>21674843</v>
      </c>
      <c r="E4658">
        <v>1</v>
      </c>
      <c r="F4658">
        <v>0</v>
      </c>
      <c r="G4658">
        <v>912</v>
      </c>
      <c r="H4658">
        <v>81084481</v>
      </c>
      <c r="I4658">
        <v>422244</v>
      </c>
      <c r="J4658" t="s">
        <v>21</v>
      </c>
      <c r="K4658" t="s">
        <v>22</v>
      </c>
      <c r="L4658">
        <v>4</v>
      </c>
      <c r="M4658">
        <v>92.81</v>
      </c>
      <c r="N4658">
        <v>710866</v>
      </c>
      <c r="O4658">
        <v>1</v>
      </c>
    </row>
    <row r="4659" spans="1:15">
      <c r="A4659" t="s">
        <v>4685</v>
      </c>
      <c r="B4659" t="s">
        <v>20</v>
      </c>
      <c r="C4659">
        <v>14</v>
      </c>
      <c r="D4659">
        <v>9546254</v>
      </c>
      <c r="E4659">
        <v>4</v>
      </c>
      <c r="F4659">
        <v>27</v>
      </c>
      <c r="G4659">
        <v>143</v>
      </c>
      <c r="H4659">
        <v>92600739</v>
      </c>
      <c r="I4659">
        <v>966461</v>
      </c>
      <c r="J4659" t="s">
        <v>17</v>
      </c>
      <c r="K4659" t="s">
        <v>22</v>
      </c>
      <c r="L4659">
        <v>2</v>
      </c>
      <c r="M4659">
        <v>37.07</v>
      </c>
      <c r="N4659">
        <v>235218</v>
      </c>
      <c r="O4659">
        <v>1</v>
      </c>
    </row>
    <row r="4660" spans="1:15">
      <c r="A4660" t="s">
        <v>4686</v>
      </c>
      <c r="B4660" t="s">
        <v>38</v>
      </c>
      <c r="C4660">
        <v>0</v>
      </c>
      <c r="D4660">
        <v>4031458</v>
      </c>
      <c r="E4660">
        <v>1</v>
      </c>
      <c r="F4660">
        <v>25</v>
      </c>
      <c r="G4660">
        <v>779</v>
      </c>
      <c r="H4660">
        <v>9094228</v>
      </c>
      <c r="I4660">
        <v>217650</v>
      </c>
      <c r="J4660" t="s">
        <v>17</v>
      </c>
      <c r="K4660" t="s">
        <v>30</v>
      </c>
      <c r="L4660">
        <v>3</v>
      </c>
      <c r="M4660">
        <v>65.41</v>
      </c>
      <c r="N4660">
        <v>782581</v>
      </c>
      <c r="O4660">
        <v>1</v>
      </c>
    </row>
    <row r="4661" spans="1:15">
      <c r="A4661" t="s">
        <v>4687</v>
      </c>
      <c r="B4661" t="s">
        <v>27</v>
      </c>
      <c r="C4661">
        <v>4</v>
      </c>
      <c r="D4661">
        <v>19038096</v>
      </c>
      <c r="E4661">
        <v>3</v>
      </c>
      <c r="F4661">
        <v>8</v>
      </c>
      <c r="G4661">
        <v>256</v>
      </c>
      <c r="H4661">
        <v>59353509</v>
      </c>
      <c r="I4661">
        <v>31811</v>
      </c>
      <c r="J4661" t="s">
        <v>25</v>
      </c>
      <c r="K4661" t="s">
        <v>30</v>
      </c>
      <c r="L4661">
        <v>5</v>
      </c>
      <c r="M4661">
        <v>29.81</v>
      </c>
      <c r="N4661">
        <v>7687</v>
      </c>
      <c r="O4661">
        <v>1</v>
      </c>
    </row>
    <row r="4662" spans="1:15">
      <c r="A4662" t="s">
        <v>4688</v>
      </c>
      <c r="B4662" t="s">
        <v>20</v>
      </c>
      <c r="C4662">
        <v>6</v>
      </c>
      <c r="D4662">
        <v>31441958</v>
      </c>
      <c r="E4662">
        <v>3</v>
      </c>
      <c r="F4662">
        <v>24</v>
      </c>
      <c r="G4662">
        <v>388</v>
      </c>
      <c r="H4662">
        <v>28330845</v>
      </c>
      <c r="I4662">
        <v>451566</v>
      </c>
      <c r="J4662" t="s">
        <v>17</v>
      </c>
      <c r="K4662" t="s">
        <v>22</v>
      </c>
      <c r="L4662">
        <v>9</v>
      </c>
      <c r="M4662">
        <v>4.6500000000000004</v>
      </c>
      <c r="N4662">
        <v>691069</v>
      </c>
      <c r="O4662">
        <v>1</v>
      </c>
    </row>
    <row r="4663" spans="1:15">
      <c r="A4663" t="s">
        <v>4689</v>
      </c>
      <c r="B4663" t="s">
        <v>27</v>
      </c>
      <c r="C4663">
        <v>3</v>
      </c>
      <c r="D4663">
        <v>36525169</v>
      </c>
      <c r="E4663">
        <v>1</v>
      </c>
      <c r="F4663">
        <v>9</v>
      </c>
      <c r="G4663">
        <v>189</v>
      </c>
      <c r="H4663">
        <v>89390378</v>
      </c>
      <c r="I4663">
        <v>466585</v>
      </c>
      <c r="J4663" t="s">
        <v>17</v>
      </c>
      <c r="K4663" t="s">
        <v>22</v>
      </c>
      <c r="L4663">
        <v>6</v>
      </c>
      <c r="M4663">
        <v>41.17</v>
      </c>
      <c r="N4663">
        <v>914571</v>
      </c>
      <c r="O4663">
        <v>1</v>
      </c>
    </row>
    <row r="4664" spans="1:15">
      <c r="A4664" t="s">
        <v>4690</v>
      </c>
      <c r="B4664" t="s">
        <v>29</v>
      </c>
      <c r="C4664">
        <v>0</v>
      </c>
      <c r="D4664">
        <v>46165994</v>
      </c>
      <c r="E4664">
        <v>3</v>
      </c>
      <c r="F4664">
        <v>1</v>
      </c>
      <c r="G4664">
        <v>510</v>
      </c>
      <c r="H4664">
        <v>49444722</v>
      </c>
      <c r="I4664">
        <v>59426</v>
      </c>
      <c r="J4664" t="s">
        <v>21</v>
      </c>
      <c r="K4664" t="s">
        <v>30</v>
      </c>
      <c r="L4664">
        <v>8</v>
      </c>
      <c r="M4664">
        <v>29.38</v>
      </c>
      <c r="N4664">
        <v>352817</v>
      </c>
      <c r="O4664">
        <v>1</v>
      </c>
    </row>
    <row r="4665" spans="1:15">
      <c r="A4665" t="s">
        <v>4691</v>
      </c>
      <c r="B4665" t="s">
        <v>16</v>
      </c>
      <c r="C4665">
        <v>1</v>
      </c>
      <c r="D4665">
        <v>13837745</v>
      </c>
      <c r="E4665">
        <v>2</v>
      </c>
      <c r="F4665">
        <v>10</v>
      </c>
      <c r="G4665">
        <v>994</v>
      </c>
      <c r="H4665">
        <v>93419498</v>
      </c>
      <c r="I4665">
        <v>936439</v>
      </c>
      <c r="J4665" t="s">
        <v>25</v>
      </c>
      <c r="K4665" t="s">
        <v>30</v>
      </c>
      <c r="L4665">
        <v>6</v>
      </c>
      <c r="M4665">
        <v>31.58</v>
      </c>
      <c r="N4665">
        <v>361758</v>
      </c>
      <c r="O4665">
        <v>1</v>
      </c>
    </row>
    <row r="4666" spans="1:15">
      <c r="A4666" t="s">
        <v>4692</v>
      </c>
      <c r="B4666" t="s">
        <v>32</v>
      </c>
      <c r="C4666">
        <v>14</v>
      </c>
      <c r="D4666">
        <v>16425760</v>
      </c>
      <c r="E4666">
        <v>2</v>
      </c>
      <c r="F4666">
        <v>27</v>
      </c>
      <c r="G4666">
        <v>437</v>
      </c>
      <c r="H4666">
        <v>95802094</v>
      </c>
      <c r="I4666">
        <v>724838</v>
      </c>
      <c r="J4666" t="s">
        <v>17</v>
      </c>
      <c r="K4666" t="s">
        <v>22</v>
      </c>
      <c r="L4666">
        <v>5</v>
      </c>
      <c r="M4666">
        <v>21.07</v>
      </c>
      <c r="N4666">
        <v>939453</v>
      </c>
      <c r="O4666">
        <v>1</v>
      </c>
    </row>
    <row r="4667" spans="1:15">
      <c r="A4667" t="s">
        <v>4693</v>
      </c>
      <c r="B4667" t="s">
        <v>20</v>
      </c>
      <c r="C4667">
        <v>14</v>
      </c>
      <c r="D4667">
        <v>44517335</v>
      </c>
      <c r="E4667">
        <v>2</v>
      </c>
      <c r="F4667">
        <v>3</v>
      </c>
      <c r="G4667">
        <v>823</v>
      </c>
      <c r="H4667">
        <v>19663318</v>
      </c>
      <c r="I4667">
        <v>311848</v>
      </c>
      <c r="J4667" t="s">
        <v>25</v>
      </c>
      <c r="K4667" t="s">
        <v>30</v>
      </c>
      <c r="L4667">
        <v>2</v>
      </c>
      <c r="M4667">
        <v>73.89</v>
      </c>
      <c r="N4667">
        <v>638888</v>
      </c>
      <c r="O4667">
        <v>1</v>
      </c>
    </row>
    <row r="4668" spans="1:15">
      <c r="A4668" t="s">
        <v>4694</v>
      </c>
      <c r="B4668" t="s">
        <v>32</v>
      </c>
      <c r="C4668">
        <v>12</v>
      </c>
      <c r="D4668">
        <v>16918072</v>
      </c>
      <c r="E4668">
        <v>2</v>
      </c>
      <c r="F4668">
        <v>11</v>
      </c>
      <c r="G4668">
        <v>663</v>
      </c>
      <c r="H4668">
        <v>37644111</v>
      </c>
      <c r="I4668">
        <v>169886</v>
      </c>
      <c r="J4668" t="s">
        <v>21</v>
      </c>
      <c r="K4668" t="s">
        <v>22</v>
      </c>
      <c r="L4668">
        <v>5</v>
      </c>
      <c r="M4668">
        <v>88.75</v>
      </c>
      <c r="N4668">
        <v>265759</v>
      </c>
      <c r="O4668">
        <v>1</v>
      </c>
    </row>
    <row r="4669" spans="1:15">
      <c r="A4669" t="s">
        <v>4695</v>
      </c>
      <c r="B4669" t="s">
        <v>29</v>
      </c>
      <c r="C4669">
        <v>7</v>
      </c>
      <c r="D4669">
        <v>6471232</v>
      </c>
      <c r="E4669">
        <v>4</v>
      </c>
      <c r="F4669">
        <v>10</v>
      </c>
      <c r="G4669">
        <v>778</v>
      </c>
      <c r="H4669">
        <v>29312498</v>
      </c>
      <c r="I4669">
        <v>753244</v>
      </c>
      <c r="J4669" t="s">
        <v>21</v>
      </c>
      <c r="K4669" t="s">
        <v>18</v>
      </c>
      <c r="L4669">
        <v>2</v>
      </c>
      <c r="M4669">
        <v>57.9</v>
      </c>
      <c r="N4669">
        <v>310260</v>
      </c>
      <c r="O4669">
        <v>1</v>
      </c>
    </row>
    <row r="4670" spans="1:15">
      <c r="A4670" t="s">
        <v>4696</v>
      </c>
      <c r="B4670" t="s">
        <v>27</v>
      </c>
      <c r="C4670">
        <v>7</v>
      </c>
      <c r="D4670">
        <v>19037623</v>
      </c>
      <c r="E4670">
        <v>1</v>
      </c>
      <c r="F4670">
        <v>21</v>
      </c>
      <c r="G4670">
        <v>404</v>
      </c>
      <c r="H4670">
        <v>83035579</v>
      </c>
      <c r="I4670">
        <v>794116</v>
      </c>
      <c r="J4670" t="s">
        <v>25</v>
      </c>
      <c r="K4670" t="s">
        <v>30</v>
      </c>
      <c r="L4670">
        <v>7</v>
      </c>
      <c r="M4670">
        <v>97.63</v>
      </c>
      <c r="N4670">
        <v>175174</v>
      </c>
      <c r="O4670">
        <v>1</v>
      </c>
    </row>
    <row r="4671" spans="1:15">
      <c r="A4671" t="s">
        <v>4697</v>
      </c>
      <c r="B4671" t="s">
        <v>27</v>
      </c>
      <c r="C4671">
        <v>0</v>
      </c>
      <c r="D4671">
        <v>33460677</v>
      </c>
      <c r="E4671">
        <v>2</v>
      </c>
      <c r="F4671">
        <v>14</v>
      </c>
      <c r="G4671">
        <v>747</v>
      </c>
      <c r="H4671">
        <v>6693610</v>
      </c>
      <c r="I4671">
        <v>900888</v>
      </c>
      <c r="J4671" t="s">
        <v>25</v>
      </c>
      <c r="K4671" t="s">
        <v>22</v>
      </c>
      <c r="L4671">
        <v>3</v>
      </c>
      <c r="M4671">
        <v>46.62</v>
      </c>
      <c r="N4671">
        <v>481201</v>
      </c>
      <c r="O4671">
        <v>1</v>
      </c>
    </row>
    <row r="4672" spans="1:15">
      <c r="A4672" t="s">
        <v>4698</v>
      </c>
      <c r="B4672" t="s">
        <v>20</v>
      </c>
      <c r="C4672">
        <v>6</v>
      </c>
      <c r="D4672">
        <v>37307355</v>
      </c>
      <c r="E4672">
        <v>1</v>
      </c>
      <c r="F4672">
        <v>6</v>
      </c>
      <c r="G4672">
        <v>582</v>
      </c>
      <c r="H4672">
        <v>8264196</v>
      </c>
      <c r="I4672">
        <v>329389</v>
      </c>
      <c r="J4672" t="s">
        <v>25</v>
      </c>
      <c r="K4672" t="s">
        <v>30</v>
      </c>
      <c r="L4672">
        <v>8</v>
      </c>
      <c r="M4672">
        <v>73.02</v>
      </c>
      <c r="N4672">
        <v>61630</v>
      </c>
      <c r="O4672">
        <v>1</v>
      </c>
    </row>
    <row r="4673" spans="1:15">
      <c r="A4673" t="s">
        <v>4699</v>
      </c>
      <c r="B4673" t="s">
        <v>32</v>
      </c>
      <c r="C4673">
        <v>7</v>
      </c>
      <c r="D4673">
        <v>24868047</v>
      </c>
      <c r="E4673">
        <v>2</v>
      </c>
      <c r="F4673">
        <v>26</v>
      </c>
      <c r="G4673">
        <v>741</v>
      </c>
      <c r="H4673">
        <v>48510959</v>
      </c>
      <c r="I4673">
        <v>271897</v>
      </c>
      <c r="J4673" t="s">
        <v>25</v>
      </c>
      <c r="K4673" t="s">
        <v>18</v>
      </c>
      <c r="L4673">
        <v>4</v>
      </c>
      <c r="M4673">
        <v>7.19</v>
      </c>
      <c r="N4673">
        <v>165960</v>
      </c>
      <c r="O4673">
        <v>1</v>
      </c>
    </row>
    <row r="4674" spans="1:15">
      <c r="A4674" t="s">
        <v>4700</v>
      </c>
      <c r="B4674" t="s">
        <v>29</v>
      </c>
      <c r="C4674">
        <v>13</v>
      </c>
      <c r="D4674">
        <v>18216090</v>
      </c>
      <c r="E4674">
        <v>3</v>
      </c>
      <c r="F4674">
        <v>3</v>
      </c>
      <c r="G4674">
        <v>186</v>
      </c>
      <c r="H4674">
        <v>49279885</v>
      </c>
      <c r="I4674">
        <v>39047</v>
      </c>
      <c r="J4674" t="s">
        <v>21</v>
      </c>
      <c r="K4674" t="s">
        <v>18</v>
      </c>
      <c r="L4674">
        <v>9</v>
      </c>
      <c r="M4674">
        <v>40.4</v>
      </c>
      <c r="N4674">
        <v>10179</v>
      </c>
      <c r="O4674">
        <v>1</v>
      </c>
    </row>
    <row r="4675" spans="1:15">
      <c r="A4675" t="s">
        <v>4701</v>
      </c>
      <c r="B4675" t="s">
        <v>32</v>
      </c>
      <c r="C4675">
        <v>2</v>
      </c>
      <c r="D4675">
        <v>38394595</v>
      </c>
      <c r="E4675">
        <v>3</v>
      </c>
      <c r="F4675">
        <v>13</v>
      </c>
      <c r="G4675">
        <v>250</v>
      </c>
      <c r="H4675">
        <v>14653731</v>
      </c>
      <c r="I4675">
        <v>909972</v>
      </c>
      <c r="J4675" t="s">
        <v>25</v>
      </c>
      <c r="K4675" t="s">
        <v>22</v>
      </c>
      <c r="L4675">
        <v>6</v>
      </c>
      <c r="M4675">
        <v>18.149999999999999</v>
      </c>
      <c r="N4675">
        <v>63503</v>
      </c>
      <c r="O4675">
        <v>1</v>
      </c>
    </row>
    <row r="4676" spans="1:15">
      <c r="A4676" t="s">
        <v>4702</v>
      </c>
      <c r="B4676" t="s">
        <v>20</v>
      </c>
      <c r="C4676">
        <v>6</v>
      </c>
      <c r="D4676">
        <v>42251630</v>
      </c>
      <c r="E4676">
        <v>3</v>
      </c>
      <c r="F4676">
        <v>1</v>
      </c>
      <c r="G4676">
        <v>110</v>
      </c>
      <c r="H4676">
        <v>12534364</v>
      </c>
      <c r="I4676">
        <v>96361</v>
      </c>
      <c r="J4676" t="s">
        <v>25</v>
      </c>
      <c r="K4676" t="s">
        <v>30</v>
      </c>
      <c r="L4676">
        <v>1</v>
      </c>
      <c r="M4676">
        <v>45.08</v>
      </c>
      <c r="N4676">
        <v>821194</v>
      </c>
      <c r="O4676">
        <v>1</v>
      </c>
    </row>
    <row r="4677" spans="1:15">
      <c r="A4677" t="s">
        <v>4703</v>
      </c>
      <c r="B4677" t="s">
        <v>27</v>
      </c>
      <c r="C4677">
        <v>9</v>
      </c>
      <c r="D4677">
        <v>17892781</v>
      </c>
      <c r="E4677">
        <v>2</v>
      </c>
      <c r="F4677">
        <v>13</v>
      </c>
      <c r="G4677">
        <v>527</v>
      </c>
      <c r="H4677">
        <v>13507765</v>
      </c>
      <c r="I4677">
        <v>144324</v>
      </c>
      <c r="J4677" t="s">
        <v>21</v>
      </c>
      <c r="K4677" t="s">
        <v>30</v>
      </c>
      <c r="L4677">
        <v>3</v>
      </c>
      <c r="M4677">
        <v>92.8</v>
      </c>
      <c r="N4677">
        <v>958537</v>
      </c>
      <c r="O4677">
        <v>1</v>
      </c>
    </row>
    <row r="4678" spans="1:15">
      <c r="A4678" t="s">
        <v>4704</v>
      </c>
      <c r="B4678" t="s">
        <v>20</v>
      </c>
      <c r="C4678">
        <v>5</v>
      </c>
      <c r="D4678">
        <v>41935533</v>
      </c>
      <c r="E4678">
        <v>3</v>
      </c>
      <c r="F4678">
        <v>15</v>
      </c>
      <c r="G4678">
        <v>471</v>
      </c>
      <c r="H4678">
        <v>26462882</v>
      </c>
      <c r="I4678">
        <v>188546</v>
      </c>
      <c r="J4678" t="s">
        <v>21</v>
      </c>
      <c r="K4678" t="s">
        <v>22</v>
      </c>
      <c r="L4678">
        <v>6</v>
      </c>
      <c r="M4678">
        <v>22.41</v>
      </c>
      <c r="N4678">
        <v>966905</v>
      </c>
      <c r="O4678">
        <v>1</v>
      </c>
    </row>
    <row r="4679" spans="1:15">
      <c r="A4679" t="s">
        <v>4705</v>
      </c>
      <c r="B4679" t="s">
        <v>16</v>
      </c>
      <c r="C4679">
        <v>6</v>
      </c>
      <c r="D4679">
        <v>34837354</v>
      </c>
      <c r="E4679">
        <v>1</v>
      </c>
      <c r="F4679">
        <v>9</v>
      </c>
      <c r="G4679">
        <v>523</v>
      </c>
      <c r="H4679">
        <v>82441998</v>
      </c>
      <c r="I4679">
        <v>902732</v>
      </c>
      <c r="J4679" t="s">
        <v>17</v>
      </c>
      <c r="K4679" t="s">
        <v>30</v>
      </c>
      <c r="L4679">
        <v>8</v>
      </c>
      <c r="M4679">
        <v>75.180000000000007</v>
      </c>
      <c r="N4679">
        <v>232607</v>
      </c>
      <c r="O4679">
        <v>1</v>
      </c>
    </row>
    <row r="4680" spans="1:15">
      <c r="A4680" t="s">
        <v>4706</v>
      </c>
      <c r="B4680" t="s">
        <v>27</v>
      </c>
      <c r="C4680">
        <v>1</v>
      </c>
      <c r="D4680">
        <v>31122141</v>
      </c>
      <c r="E4680">
        <v>2</v>
      </c>
      <c r="F4680">
        <v>29</v>
      </c>
      <c r="G4680">
        <v>236</v>
      </c>
      <c r="H4680">
        <v>36084529</v>
      </c>
      <c r="I4680">
        <v>19766</v>
      </c>
      <c r="J4680" t="s">
        <v>21</v>
      </c>
      <c r="K4680" t="s">
        <v>22</v>
      </c>
      <c r="L4680">
        <v>6</v>
      </c>
      <c r="M4680">
        <v>99.91</v>
      </c>
      <c r="N4680">
        <v>920823</v>
      </c>
      <c r="O4680">
        <v>1</v>
      </c>
    </row>
    <row r="4681" spans="1:15">
      <c r="A4681" t="s">
        <v>4707</v>
      </c>
      <c r="B4681" t="s">
        <v>27</v>
      </c>
      <c r="C4681">
        <v>6</v>
      </c>
      <c r="D4681">
        <v>49729662</v>
      </c>
      <c r="E4681">
        <v>2</v>
      </c>
      <c r="F4681">
        <v>16</v>
      </c>
      <c r="G4681">
        <v>290</v>
      </c>
      <c r="H4681">
        <v>4149797</v>
      </c>
      <c r="I4681">
        <v>987939</v>
      </c>
      <c r="J4681" t="s">
        <v>17</v>
      </c>
      <c r="K4681" t="s">
        <v>22</v>
      </c>
      <c r="L4681">
        <v>8</v>
      </c>
      <c r="M4681">
        <v>52.22</v>
      </c>
      <c r="N4681">
        <v>654044</v>
      </c>
      <c r="O4681">
        <v>1</v>
      </c>
    </row>
    <row r="4682" spans="1:15">
      <c r="A4682" t="s">
        <v>4708</v>
      </c>
      <c r="B4682" t="s">
        <v>24</v>
      </c>
      <c r="C4682">
        <v>6</v>
      </c>
      <c r="D4682">
        <v>29047411</v>
      </c>
      <c r="E4682">
        <v>4</v>
      </c>
      <c r="F4682">
        <v>6</v>
      </c>
      <c r="G4682">
        <v>146</v>
      </c>
      <c r="H4682">
        <v>92124236</v>
      </c>
      <c r="I4682">
        <v>100666</v>
      </c>
      <c r="J4682" t="s">
        <v>17</v>
      </c>
      <c r="K4682" t="s">
        <v>30</v>
      </c>
      <c r="L4682">
        <v>1</v>
      </c>
      <c r="M4682">
        <v>44.04</v>
      </c>
      <c r="N4682">
        <v>485041</v>
      </c>
      <c r="O4682">
        <v>1</v>
      </c>
    </row>
    <row r="4683" spans="1:15">
      <c r="A4683" t="s">
        <v>4709</v>
      </c>
      <c r="B4683" t="s">
        <v>16</v>
      </c>
      <c r="C4683">
        <v>1</v>
      </c>
      <c r="D4683">
        <v>27930584</v>
      </c>
      <c r="E4683">
        <v>3</v>
      </c>
      <c r="F4683">
        <v>2</v>
      </c>
      <c r="G4683">
        <v>28</v>
      </c>
      <c r="H4683">
        <v>55511685</v>
      </c>
      <c r="I4683">
        <v>640094</v>
      </c>
      <c r="J4683" t="s">
        <v>17</v>
      </c>
      <c r="K4683" t="s">
        <v>30</v>
      </c>
      <c r="L4683">
        <v>1</v>
      </c>
      <c r="M4683">
        <v>87.78</v>
      </c>
      <c r="N4683">
        <v>39771</v>
      </c>
      <c r="O4683">
        <v>1</v>
      </c>
    </row>
    <row r="4684" spans="1:15">
      <c r="A4684" t="s">
        <v>4710</v>
      </c>
      <c r="B4684" t="s">
        <v>29</v>
      </c>
      <c r="C4684">
        <v>6</v>
      </c>
      <c r="D4684">
        <v>39232482</v>
      </c>
      <c r="E4684">
        <v>4</v>
      </c>
      <c r="F4684">
        <v>27</v>
      </c>
      <c r="G4684">
        <v>973</v>
      </c>
      <c r="H4684">
        <v>45125976</v>
      </c>
      <c r="I4684">
        <v>136114</v>
      </c>
      <c r="J4684" t="s">
        <v>25</v>
      </c>
      <c r="K4684" t="s">
        <v>18</v>
      </c>
      <c r="L4684">
        <v>2</v>
      </c>
      <c r="M4684">
        <v>30.73</v>
      </c>
      <c r="N4684">
        <v>799360</v>
      </c>
      <c r="O4684">
        <v>1</v>
      </c>
    </row>
    <row r="4685" spans="1:15">
      <c r="A4685" t="s">
        <v>4711</v>
      </c>
      <c r="B4685" t="s">
        <v>38</v>
      </c>
      <c r="C4685">
        <v>7</v>
      </c>
      <c r="D4685">
        <v>41963033</v>
      </c>
      <c r="E4685">
        <v>3</v>
      </c>
      <c r="F4685">
        <v>19</v>
      </c>
      <c r="G4685">
        <v>349</v>
      </c>
      <c r="H4685">
        <v>84955041</v>
      </c>
      <c r="I4685">
        <v>208820</v>
      </c>
      <c r="J4685" t="s">
        <v>25</v>
      </c>
      <c r="K4685" t="s">
        <v>18</v>
      </c>
      <c r="L4685">
        <v>8</v>
      </c>
      <c r="M4685">
        <v>90.61</v>
      </c>
      <c r="N4685">
        <v>273964</v>
      </c>
      <c r="O4685">
        <v>1</v>
      </c>
    </row>
    <row r="4686" spans="1:15">
      <c r="A4686" t="s">
        <v>4712</v>
      </c>
      <c r="B4686" t="s">
        <v>29</v>
      </c>
      <c r="C4686">
        <v>6</v>
      </c>
      <c r="D4686">
        <v>44544178</v>
      </c>
      <c r="E4686">
        <v>1</v>
      </c>
      <c r="F4686">
        <v>15</v>
      </c>
      <c r="G4686">
        <v>145</v>
      </c>
      <c r="H4686">
        <v>43130204</v>
      </c>
      <c r="I4686">
        <v>463504</v>
      </c>
      <c r="J4686" t="s">
        <v>17</v>
      </c>
      <c r="K4686" t="s">
        <v>22</v>
      </c>
      <c r="L4686">
        <v>7</v>
      </c>
      <c r="M4686">
        <v>43.12</v>
      </c>
      <c r="N4686">
        <v>151122</v>
      </c>
      <c r="O4686">
        <v>1</v>
      </c>
    </row>
    <row r="4687" spans="1:15">
      <c r="A4687" t="s">
        <v>4713</v>
      </c>
      <c r="B4687" t="s">
        <v>32</v>
      </c>
      <c r="C4687">
        <v>9</v>
      </c>
      <c r="D4687">
        <v>20071673</v>
      </c>
      <c r="E4687">
        <v>4</v>
      </c>
      <c r="F4687">
        <v>12</v>
      </c>
      <c r="G4687">
        <v>459</v>
      </c>
      <c r="H4687">
        <v>17911186</v>
      </c>
      <c r="I4687">
        <v>61881</v>
      </c>
      <c r="J4687" t="s">
        <v>17</v>
      </c>
      <c r="K4687" t="s">
        <v>22</v>
      </c>
      <c r="L4687">
        <v>6</v>
      </c>
      <c r="M4687">
        <v>17.13</v>
      </c>
      <c r="N4687">
        <v>612400</v>
      </c>
      <c r="O4687">
        <v>1</v>
      </c>
    </row>
    <row r="4688" spans="1:15">
      <c r="A4688" t="s">
        <v>4714</v>
      </c>
      <c r="B4688" t="s">
        <v>32</v>
      </c>
      <c r="C4688">
        <v>11</v>
      </c>
      <c r="D4688">
        <v>1670805</v>
      </c>
      <c r="E4688">
        <v>2</v>
      </c>
      <c r="F4688">
        <v>29</v>
      </c>
      <c r="G4688">
        <v>26</v>
      </c>
      <c r="H4688">
        <v>66975313</v>
      </c>
      <c r="I4688">
        <v>519693</v>
      </c>
      <c r="J4688" t="s">
        <v>25</v>
      </c>
      <c r="K4688" t="s">
        <v>18</v>
      </c>
      <c r="L4688">
        <v>3</v>
      </c>
      <c r="M4688">
        <v>84.35</v>
      </c>
      <c r="N4688">
        <v>784547</v>
      </c>
      <c r="O4688">
        <v>1</v>
      </c>
    </row>
    <row r="4689" spans="1:15">
      <c r="A4689" t="s">
        <v>4715</v>
      </c>
      <c r="B4689" t="s">
        <v>20</v>
      </c>
      <c r="C4689">
        <v>7</v>
      </c>
      <c r="D4689">
        <v>4459292</v>
      </c>
      <c r="E4689">
        <v>1</v>
      </c>
      <c r="F4689">
        <v>28</v>
      </c>
      <c r="G4689">
        <v>92</v>
      </c>
      <c r="H4689">
        <v>18259926</v>
      </c>
      <c r="I4689">
        <v>148798</v>
      </c>
      <c r="J4689" t="s">
        <v>17</v>
      </c>
      <c r="K4689" t="s">
        <v>22</v>
      </c>
      <c r="L4689">
        <v>8</v>
      </c>
      <c r="M4689">
        <v>52.12</v>
      </c>
      <c r="N4689">
        <v>20543</v>
      </c>
      <c r="O4689">
        <v>1</v>
      </c>
    </row>
    <row r="4690" spans="1:15">
      <c r="A4690" t="s">
        <v>4716</v>
      </c>
      <c r="B4690" t="s">
        <v>32</v>
      </c>
      <c r="C4690">
        <v>2</v>
      </c>
      <c r="D4690">
        <v>37821488</v>
      </c>
      <c r="E4690">
        <v>2</v>
      </c>
      <c r="F4690">
        <v>8</v>
      </c>
      <c r="G4690">
        <v>100</v>
      </c>
      <c r="H4690">
        <v>80237377</v>
      </c>
      <c r="I4690">
        <v>670229</v>
      </c>
      <c r="J4690" t="s">
        <v>17</v>
      </c>
      <c r="K4690" t="s">
        <v>30</v>
      </c>
      <c r="L4690">
        <v>6</v>
      </c>
      <c r="M4690">
        <v>75.930000000000007</v>
      </c>
      <c r="N4690">
        <v>365680</v>
      </c>
      <c r="O4690">
        <v>1</v>
      </c>
    </row>
    <row r="4691" spans="1:15">
      <c r="A4691" t="s">
        <v>4717</v>
      </c>
      <c r="B4691" t="s">
        <v>38</v>
      </c>
      <c r="C4691">
        <v>1</v>
      </c>
      <c r="D4691">
        <v>40641452</v>
      </c>
      <c r="E4691">
        <v>2</v>
      </c>
      <c r="F4691">
        <v>15</v>
      </c>
      <c r="G4691">
        <v>734</v>
      </c>
      <c r="H4691">
        <v>34485092</v>
      </c>
      <c r="I4691">
        <v>89309</v>
      </c>
      <c r="J4691" t="s">
        <v>17</v>
      </c>
      <c r="K4691" t="s">
        <v>18</v>
      </c>
      <c r="L4691">
        <v>9</v>
      </c>
      <c r="M4691">
        <v>1.95</v>
      </c>
      <c r="N4691">
        <v>815437</v>
      </c>
      <c r="O4691">
        <v>1</v>
      </c>
    </row>
    <row r="4692" spans="1:15">
      <c r="A4692" t="s">
        <v>4718</v>
      </c>
      <c r="B4692" t="s">
        <v>32</v>
      </c>
      <c r="C4692">
        <v>12</v>
      </c>
      <c r="D4692">
        <v>33361468</v>
      </c>
      <c r="E4692">
        <v>3</v>
      </c>
      <c r="F4692">
        <v>2</v>
      </c>
      <c r="G4692">
        <v>377</v>
      </c>
      <c r="H4692">
        <v>96303777</v>
      </c>
      <c r="I4692">
        <v>891620</v>
      </c>
      <c r="J4692" t="s">
        <v>17</v>
      </c>
      <c r="K4692" t="s">
        <v>22</v>
      </c>
      <c r="L4692">
        <v>3</v>
      </c>
      <c r="M4692">
        <v>97.86</v>
      </c>
      <c r="N4692">
        <v>689221</v>
      </c>
      <c r="O4692">
        <v>1</v>
      </c>
    </row>
    <row r="4693" spans="1:15">
      <c r="A4693" t="s">
        <v>4719</v>
      </c>
      <c r="B4693" t="s">
        <v>32</v>
      </c>
      <c r="C4693">
        <v>2</v>
      </c>
      <c r="D4693">
        <v>23279661</v>
      </c>
      <c r="E4693">
        <v>2</v>
      </c>
      <c r="F4693">
        <v>21</v>
      </c>
      <c r="G4693">
        <v>228</v>
      </c>
      <c r="H4693">
        <v>43441021</v>
      </c>
      <c r="I4693">
        <v>97149</v>
      </c>
      <c r="J4693" t="s">
        <v>21</v>
      </c>
      <c r="K4693" t="s">
        <v>18</v>
      </c>
      <c r="L4693">
        <v>2</v>
      </c>
      <c r="M4693">
        <v>52.99</v>
      </c>
      <c r="N4693">
        <v>979363</v>
      </c>
      <c r="O4693">
        <v>1</v>
      </c>
    </row>
    <row r="4694" spans="1:15">
      <c r="A4694" t="s">
        <v>4720</v>
      </c>
      <c r="B4694" t="s">
        <v>16</v>
      </c>
      <c r="C4694">
        <v>9</v>
      </c>
      <c r="D4694">
        <v>26511021</v>
      </c>
      <c r="E4694">
        <v>4</v>
      </c>
      <c r="F4694">
        <v>28</v>
      </c>
      <c r="G4694">
        <v>81</v>
      </c>
      <c r="H4694">
        <v>81013243</v>
      </c>
      <c r="I4694">
        <v>269045</v>
      </c>
      <c r="J4694" t="s">
        <v>17</v>
      </c>
      <c r="K4694" t="s">
        <v>30</v>
      </c>
      <c r="L4694">
        <v>7</v>
      </c>
      <c r="M4694">
        <v>79.84</v>
      </c>
      <c r="N4694">
        <v>144524</v>
      </c>
      <c r="O4694">
        <v>1</v>
      </c>
    </row>
    <row r="4695" spans="1:15">
      <c r="A4695" t="s">
        <v>4721</v>
      </c>
      <c r="B4695" t="s">
        <v>27</v>
      </c>
      <c r="C4695">
        <v>6</v>
      </c>
      <c r="D4695">
        <v>28603484</v>
      </c>
      <c r="E4695">
        <v>1</v>
      </c>
      <c r="F4695">
        <v>16</v>
      </c>
      <c r="G4695">
        <v>643</v>
      </c>
      <c r="H4695">
        <v>17865098</v>
      </c>
      <c r="I4695">
        <v>463267</v>
      </c>
      <c r="J4695" t="s">
        <v>25</v>
      </c>
      <c r="K4695" t="s">
        <v>22</v>
      </c>
      <c r="L4695">
        <v>7</v>
      </c>
      <c r="M4695">
        <v>61.44</v>
      </c>
      <c r="N4695">
        <v>550812</v>
      </c>
      <c r="O4695">
        <v>1</v>
      </c>
    </row>
    <row r="4696" spans="1:15">
      <c r="A4696" t="s">
        <v>4722</v>
      </c>
      <c r="B4696" t="s">
        <v>24</v>
      </c>
      <c r="C4696">
        <v>14</v>
      </c>
      <c r="D4696">
        <v>49516653</v>
      </c>
      <c r="E4696">
        <v>3</v>
      </c>
      <c r="F4696">
        <v>0</v>
      </c>
      <c r="G4696">
        <v>438</v>
      </c>
      <c r="H4696">
        <v>9988799</v>
      </c>
      <c r="I4696">
        <v>835247</v>
      </c>
      <c r="J4696" t="s">
        <v>21</v>
      </c>
      <c r="K4696" t="s">
        <v>18</v>
      </c>
      <c r="L4696">
        <v>6</v>
      </c>
      <c r="M4696">
        <v>31.29</v>
      </c>
      <c r="N4696">
        <v>343898</v>
      </c>
      <c r="O4696">
        <v>1</v>
      </c>
    </row>
    <row r="4697" spans="1:15">
      <c r="A4697" t="s">
        <v>4723</v>
      </c>
      <c r="B4697" t="s">
        <v>29</v>
      </c>
      <c r="C4697">
        <v>4</v>
      </c>
      <c r="D4697">
        <v>5868359</v>
      </c>
      <c r="E4697">
        <v>1</v>
      </c>
      <c r="F4697">
        <v>6</v>
      </c>
      <c r="G4697">
        <v>736</v>
      </c>
      <c r="H4697">
        <v>16746631</v>
      </c>
      <c r="I4697">
        <v>35806</v>
      </c>
      <c r="J4697" t="s">
        <v>25</v>
      </c>
      <c r="K4697" t="s">
        <v>18</v>
      </c>
      <c r="L4697">
        <v>8</v>
      </c>
      <c r="M4697">
        <v>25.87</v>
      </c>
      <c r="N4697">
        <v>47632</v>
      </c>
      <c r="O4697">
        <v>1</v>
      </c>
    </row>
    <row r="4698" spans="1:15">
      <c r="A4698" t="s">
        <v>4724</v>
      </c>
      <c r="B4698" t="s">
        <v>32</v>
      </c>
      <c r="C4698">
        <v>4</v>
      </c>
      <c r="D4698">
        <v>17864893</v>
      </c>
      <c r="E4698">
        <v>3</v>
      </c>
      <c r="F4698">
        <v>28</v>
      </c>
      <c r="G4698">
        <v>381</v>
      </c>
      <c r="H4698">
        <v>28319837</v>
      </c>
      <c r="I4698">
        <v>530004</v>
      </c>
      <c r="J4698" t="s">
        <v>21</v>
      </c>
      <c r="K4698" t="s">
        <v>22</v>
      </c>
      <c r="L4698">
        <v>3</v>
      </c>
      <c r="M4698">
        <v>97.46</v>
      </c>
      <c r="N4698">
        <v>423186</v>
      </c>
      <c r="O4698">
        <v>1</v>
      </c>
    </row>
    <row r="4699" spans="1:15">
      <c r="A4699" t="s">
        <v>4725</v>
      </c>
      <c r="B4699" t="s">
        <v>27</v>
      </c>
      <c r="C4699">
        <v>3</v>
      </c>
      <c r="D4699">
        <v>22664415</v>
      </c>
      <c r="E4699">
        <v>4</v>
      </c>
      <c r="F4699">
        <v>24</v>
      </c>
      <c r="G4699">
        <v>660</v>
      </c>
      <c r="H4699">
        <v>58536379</v>
      </c>
      <c r="I4699">
        <v>154860</v>
      </c>
      <c r="J4699" t="s">
        <v>25</v>
      </c>
      <c r="K4699" t="s">
        <v>30</v>
      </c>
      <c r="L4699">
        <v>7</v>
      </c>
      <c r="M4699">
        <v>39.56</v>
      </c>
      <c r="N4699">
        <v>539707</v>
      </c>
      <c r="O4699">
        <v>1</v>
      </c>
    </row>
    <row r="4700" spans="1:15">
      <c r="A4700" t="s">
        <v>4726</v>
      </c>
      <c r="B4700" t="s">
        <v>24</v>
      </c>
      <c r="C4700">
        <v>7</v>
      </c>
      <c r="D4700">
        <v>48341366</v>
      </c>
      <c r="E4700">
        <v>4</v>
      </c>
      <c r="F4700">
        <v>0</v>
      </c>
      <c r="G4700">
        <v>671</v>
      </c>
      <c r="H4700">
        <v>6416873</v>
      </c>
      <c r="I4700">
        <v>68835</v>
      </c>
      <c r="J4700" t="s">
        <v>25</v>
      </c>
      <c r="K4700" t="s">
        <v>30</v>
      </c>
      <c r="L4700">
        <v>9</v>
      </c>
      <c r="M4700">
        <v>23.02</v>
      </c>
      <c r="N4700">
        <v>18595</v>
      </c>
      <c r="O4700">
        <v>1</v>
      </c>
    </row>
    <row r="4701" spans="1:15">
      <c r="A4701" t="s">
        <v>4727</v>
      </c>
      <c r="B4701" t="s">
        <v>16</v>
      </c>
      <c r="C4701">
        <v>14</v>
      </c>
      <c r="D4701">
        <v>27902819</v>
      </c>
      <c r="E4701">
        <v>2</v>
      </c>
      <c r="F4701">
        <v>14</v>
      </c>
      <c r="G4701">
        <v>261</v>
      </c>
      <c r="H4701">
        <v>16211661</v>
      </c>
      <c r="I4701">
        <v>81025</v>
      </c>
      <c r="J4701" t="s">
        <v>21</v>
      </c>
      <c r="K4701" t="s">
        <v>18</v>
      </c>
      <c r="L4701">
        <v>8</v>
      </c>
      <c r="M4701">
        <v>54.87</v>
      </c>
      <c r="N4701">
        <v>452004</v>
      </c>
      <c r="O4701">
        <v>1</v>
      </c>
    </row>
    <row r="4702" spans="1:15">
      <c r="A4702" t="s">
        <v>4728</v>
      </c>
      <c r="B4702" t="s">
        <v>24</v>
      </c>
      <c r="C4702">
        <v>0</v>
      </c>
      <c r="D4702">
        <v>40816455</v>
      </c>
      <c r="E4702">
        <v>2</v>
      </c>
      <c r="F4702">
        <v>7</v>
      </c>
      <c r="G4702">
        <v>82</v>
      </c>
      <c r="H4702">
        <v>51723022</v>
      </c>
      <c r="I4702">
        <v>711249</v>
      </c>
      <c r="J4702" t="s">
        <v>21</v>
      </c>
      <c r="K4702" t="s">
        <v>22</v>
      </c>
      <c r="L4702">
        <v>1</v>
      </c>
      <c r="M4702">
        <v>56.4</v>
      </c>
      <c r="N4702">
        <v>165194</v>
      </c>
      <c r="O4702">
        <v>1</v>
      </c>
    </row>
    <row r="4703" spans="1:15">
      <c r="A4703" t="s">
        <v>4729</v>
      </c>
      <c r="B4703" t="s">
        <v>29</v>
      </c>
      <c r="C4703">
        <v>5</v>
      </c>
      <c r="D4703">
        <v>19481182</v>
      </c>
      <c r="E4703">
        <v>2</v>
      </c>
      <c r="F4703">
        <v>19</v>
      </c>
      <c r="G4703">
        <v>659</v>
      </c>
      <c r="H4703">
        <v>31604452</v>
      </c>
      <c r="I4703">
        <v>261253</v>
      </c>
      <c r="J4703" t="s">
        <v>21</v>
      </c>
      <c r="K4703" t="s">
        <v>30</v>
      </c>
      <c r="L4703">
        <v>9</v>
      </c>
      <c r="M4703">
        <v>54.98</v>
      </c>
      <c r="N4703">
        <v>732175</v>
      </c>
      <c r="O4703">
        <v>1</v>
      </c>
    </row>
    <row r="4704" spans="1:15">
      <c r="A4704" t="s">
        <v>4730</v>
      </c>
      <c r="B4704" t="s">
        <v>16</v>
      </c>
      <c r="C4704">
        <v>0</v>
      </c>
      <c r="D4704">
        <v>47605686</v>
      </c>
      <c r="E4704">
        <v>3</v>
      </c>
      <c r="F4704">
        <v>5</v>
      </c>
      <c r="G4704">
        <v>391</v>
      </c>
      <c r="H4704">
        <v>92976005</v>
      </c>
      <c r="I4704">
        <v>452386</v>
      </c>
      <c r="J4704" t="s">
        <v>25</v>
      </c>
      <c r="K4704" t="s">
        <v>30</v>
      </c>
      <c r="L4704">
        <v>7</v>
      </c>
      <c r="M4704">
        <v>71.72</v>
      </c>
      <c r="N4704">
        <v>738785</v>
      </c>
      <c r="O4704">
        <v>1</v>
      </c>
    </row>
    <row r="4705" spans="1:15">
      <c r="A4705" t="s">
        <v>4731</v>
      </c>
      <c r="B4705" t="s">
        <v>16</v>
      </c>
      <c r="C4705">
        <v>13</v>
      </c>
      <c r="D4705">
        <v>12166210</v>
      </c>
      <c r="E4705">
        <v>3</v>
      </c>
      <c r="F4705">
        <v>18</v>
      </c>
      <c r="G4705">
        <v>254</v>
      </c>
      <c r="H4705">
        <v>94193118</v>
      </c>
      <c r="I4705">
        <v>539805</v>
      </c>
      <c r="J4705" t="s">
        <v>25</v>
      </c>
      <c r="K4705" t="s">
        <v>22</v>
      </c>
      <c r="L4705">
        <v>2</v>
      </c>
      <c r="M4705">
        <v>7</v>
      </c>
      <c r="N4705">
        <v>920192</v>
      </c>
      <c r="O4705">
        <v>1</v>
      </c>
    </row>
    <row r="4706" spans="1:15">
      <c r="A4706" t="s">
        <v>4732</v>
      </c>
      <c r="B4706" t="s">
        <v>32</v>
      </c>
      <c r="C4706">
        <v>13</v>
      </c>
      <c r="D4706">
        <v>2598349</v>
      </c>
      <c r="E4706">
        <v>4</v>
      </c>
      <c r="F4706">
        <v>17</v>
      </c>
      <c r="G4706">
        <v>811</v>
      </c>
      <c r="H4706">
        <v>15856354</v>
      </c>
      <c r="I4706">
        <v>858606</v>
      </c>
      <c r="J4706" t="s">
        <v>21</v>
      </c>
      <c r="K4706" t="s">
        <v>30</v>
      </c>
      <c r="L4706">
        <v>3</v>
      </c>
      <c r="M4706">
        <v>46.81</v>
      </c>
      <c r="N4706">
        <v>343320</v>
      </c>
      <c r="O4706">
        <v>1</v>
      </c>
    </row>
    <row r="4707" spans="1:15">
      <c r="A4707" t="s">
        <v>4733</v>
      </c>
      <c r="B4707" t="s">
        <v>32</v>
      </c>
      <c r="C4707">
        <v>3</v>
      </c>
      <c r="D4707">
        <v>40550973</v>
      </c>
      <c r="E4707">
        <v>3</v>
      </c>
      <c r="F4707">
        <v>7</v>
      </c>
      <c r="G4707">
        <v>701</v>
      </c>
      <c r="H4707">
        <v>98076999</v>
      </c>
      <c r="I4707">
        <v>53390</v>
      </c>
      <c r="J4707" t="s">
        <v>21</v>
      </c>
      <c r="K4707" t="s">
        <v>22</v>
      </c>
      <c r="L4707">
        <v>3</v>
      </c>
      <c r="M4707">
        <v>61.19</v>
      </c>
      <c r="N4707">
        <v>9976</v>
      </c>
      <c r="O4707">
        <v>1</v>
      </c>
    </row>
    <row r="4708" spans="1:15">
      <c r="A4708" t="s">
        <v>4734</v>
      </c>
      <c r="B4708" t="s">
        <v>38</v>
      </c>
      <c r="C4708">
        <v>14</v>
      </c>
      <c r="D4708">
        <v>47727542</v>
      </c>
      <c r="E4708">
        <v>4</v>
      </c>
      <c r="F4708">
        <v>16</v>
      </c>
      <c r="G4708">
        <v>579</v>
      </c>
      <c r="H4708">
        <v>37403410</v>
      </c>
      <c r="I4708">
        <v>137956</v>
      </c>
      <c r="J4708" t="s">
        <v>17</v>
      </c>
      <c r="K4708" t="s">
        <v>18</v>
      </c>
      <c r="L4708">
        <v>8</v>
      </c>
      <c r="M4708">
        <v>31.77</v>
      </c>
      <c r="N4708">
        <v>892906</v>
      </c>
      <c r="O4708">
        <v>1</v>
      </c>
    </row>
    <row r="4709" spans="1:15">
      <c r="A4709" t="s">
        <v>4735</v>
      </c>
      <c r="B4709" t="s">
        <v>16</v>
      </c>
      <c r="C4709">
        <v>9</v>
      </c>
      <c r="D4709">
        <v>33829734</v>
      </c>
      <c r="E4709">
        <v>2</v>
      </c>
      <c r="F4709">
        <v>22</v>
      </c>
      <c r="G4709">
        <v>683</v>
      </c>
      <c r="H4709">
        <v>12666932</v>
      </c>
      <c r="I4709">
        <v>820274</v>
      </c>
      <c r="J4709" t="s">
        <v>17</v>
      </c>
      <c r="K4709" t="s">
        <v>18</v>
      </c>
      <c r="L4709">
        <v>5</v>
      </c>
      <c r="M4709">
        <v>39.64</v>
      </c>
      <c r="N4709">
        <v>912100</v>
      </c>
      <c r="O4709">
        <v>1</v>
      </c>
    </row>
    <row r="4710" spans="1:15">
      <c r="A4710" t="s">
        <v>4736</v>
      </c>
      <c r="B4710" t="s">
        <v>20</v>
      </c>
      <c r="C4710">
        <v>5</v>
      </c>
      <c r="D4710">
        <v>40933248</v>
      </c>
      <c r="E4710">
        <v>4</v>
      </c>
      <c r="F4710">
        <v>10</v>
      </c>
      <c r="G4710">
        <v>609</v>
      </c>
      <c r="H4710">
        <v>70347995</v>
      </c>
      <c r="I4710">
        <v>307585</v>
      </c>
      <c r="J4710" t="s">
        <v>17</v>
      </c>
      <c r="K4710" t="s">
        <v>30</v>
      </c>
      <c r="L4710">
        <v>2</v>
      </c>
      <c r="M4710">
        <v>95.8</v>
      </c>
      <c r="N4710">
        <v>342383</v>
      </c>
      <c r="O4710">
        <v>1</v>
      </c>
    </row>
    <row r="4711" spans="1:15">
      <c r="A4711" t="s">
        <v>4737</v>
      </c>
      <c r="B4711" t="s">
        <v>38</v>
      </c>
      <c r="C4711">
        <v>11</v>
      </c>
      <c r="D4711">
        <v>32284211</v>
      </c>
      <c r="E4711">
        <v>4</v>
      </c>
      <c r="F4711">
        <v>23</v>
      </c>
      <c r="G4711">
        <v>602</v>
      </c>
      <c r="H4711">
        <v>63155522</v>
      </c>
      <c r="I4711">
        <v>933420</v>
      </c>
      <c r="J4711" t="s">
        <v>21</v>
      </c>
      <c r="K4711" t="s">
        <v>22</v>
      </c>
      <c r="L4711">
        <v>9</v>
      </c>
      <c r="M4711">
        <v>79.58</v>
      </c>
      <c r="N4711">
        <v>298824</v>
      </c>
      <c r="O4711">
        <v>1</v>
      </c>
    </row>
    <row r="4712" spans="1:15">
      <c r="A4712" t="s">
        <v>4738</v>
      </c>
      <c r="B4712" t="s">
        <v>38</v>
      </c>
      <c r="C4712">
        <v>13</v>
      </c>
      <c r="D4712">
        <v>13717342</v>
      </c>
      <c r="E4712">
        <v>3</v>
      </c>
      <c r="F4712">
        <v>4</v>
      </c>
      <c r="G4712">
        <v>417</v>
      </c>
      <c r="H4712">
        <v>63310291</v>
      </c>
      <c r="I4712">
        <v>240475</v>
      </c>
      <c r="J4712" t="s">
        <v>21</v>
      </c>
      <c r="K4712" t="s">
        <v>22</v>
      </c>
      <c r="L4712">
        <v>9</v>
      </c>
      <c r="M4712">
        <v>9.2799999999999994</v>
      </c>
      <c r="N4712">
        <v>308022</v>
      </c>
      <c r="O4712">
        <v>1</v>
      </c>
    </row>
    <row r="4713" spans="1:15">
      <c r="A4713" t="s">
        <v>4739</v>
      </c>
      <c r="B4713" t="s">
        <v>38</v>
      </c>
      <c r="C4713">
        <v>2</v>
      </c>
      <c r="D4713">
        <v>26734727</v>
      </c>
      <c r="E4713">
        <v>1</v>
      </c>
      <c r="F4713">
        <v>25</v>
      </c>
      <c r="G4713">
        <v>421</v>
      </c>
      <c r="H4713">
        <v>21638627</v>
      </c>
      <c r="I4713">
        <v>636595</v>
      </c>
      <c r="J4713" t="s">
        <v>25</v>
      </c>
      <c r="K4713" t="s">
        <v>22</v>
      </c>
      <c r="L4713">
        <v>5</v>
      </c>
      <c r="M4713">
        <v>16.37</v>
      </c>
      <c r="N4713">
        <v>377602</v>
      </c>
      <c r="O4713">
        <v>1</v>
      </c>
    </row>
    <row r="4714" spans="1:15">
      <c r="A4714" t="s">
        <v>4740</v>
      </c>
      <c r="B4714" t="s">
        <v>20</v>
      </c>
      <c r="C4714">
        <v>11</v>
      </c>
      <c r="D4714">
        <v>25467635</v>
      </c>
      <c r="E4714">
        <v>2</v>
      </c>
      <c r="F4714">
        <v>28</v>
      </c>
      <c r="G4714">
        <v>192</v>
      </c>
      <c r="H4714">
        <v>97749548</v>
      </c>
      <c r="I4714">
        <v>443118</v>
      </c>
      <c r="J4714" t="s">
        <v>17</v>
      </c>
      <c r="K4714" t="s">
        <v>30</v>
      </c>
      <c r="L4714">
        <v>9</v>
      </c>
      <c r="M4714">
        <v>26.14</v>
      </c>
      <c r="N4714">
        <v>464169</v>
      </c>
      <c r="O4714">
        <v>1</v>
      </c>
    </row>
    <row r="4715" spans="1:15">
      <c r="A4715" t="s">
        <v>4741</v>
      </c>
      <c r="B4715" t="s">
        <v>24</v>
      </c>
      <c r="C4715">
        <v>11</v>
      </c>
      <c r="D4715">
        <v>10124691</v>
      </c>
      <c r="E4715">
        <v>4</v>
      </c>
      <c r="F4715">
        <v>4</v>
      </c>
      <c r="G4715">
        <v>375</v>
      </c>
      <c r="H4715">
        <v>39975407</v>
      </c>
      <c r="I4715">
        <v>351827</v>
      </c>
      <c r="J4715" t="s">
        <v>17</v>
      </c>
      <c r="K4715" t="s">
        <v>22</v>
      </c>
      <c r="L4715">
        <v>3</v>
      </c>
      <c r="M4715">
        <v>23.28</v>
      </c>
      <c r="N4715">
        <v>461005</v>
      </c>
      <c r="O4715">
        <v>1</v>
      </c>
    </row>
    <row r="4716" spans="1:15">
      <c r="A4716" t="s">
        <v>4742</v>
      </c>
      <c r="B4716" t="s">
        <v>20</v>
      </c>
      <c r="C4716">
        <v>0</v>
      </c>
      <c r="D4716">
        <v>29363255</v>
      </c>
      <c r="E4716">
        <v>1</v>
      </c>
      <c r="F4716">
        <v>7</v>
      </c>
      <c r="G4716">
        <v>146</v>
      </c>
      <c r="H4716">
        <v>17667769</v>
      </c>
      <c r="I4716">
        <v>39715</v>
      </c>
      <c r="J4716" t="s">
        <v>17</v>
      </c>
      <c r="K4716" t="s">
        <v>18</v>
      </c>
      <c r="L4716">
        <v>3</v>
      </c>
      <c r="M4716">
        <v>29</v>
      </c>
      <c r="N4716">
        <v>559678</v>
      </c>
      <c r="O4716">
        <v>1</v>
      </c>
    </row>
    <row r="4717" spans="1:15">
      <c r="A4717" t="s">
        <v>4743</v>
      </c>
      <c r="B4717" t="s">
        <v>38</v>
      </c>
      <c r="C4717">
        <v>1</v>
      </c>
      <c r="D4717">
        <v>42096057</v>
      </c>
      <c r="E4717">
        <v>1</v>
      </c>
      <c r="F4717">
        <v>26</v>
      </c>
      <c r="G4717">
        <v>524</v>
      </c>
      <c r="H4717">
        <v>55202653</v>
      </c>
      <c r="I4717">
        <v>882188</v>
      </c>
      <c r="J4717" t="s">
        <v>21</v>
      </c>
      <c r="K4717" t="s">
        <v>22</v>
      </c>
      <c r="L4717">
        <v>3</v>
      </c>
      <c r="M4717">
        <v>48.99</v>
      </c>
      <c r="N4717">
        <v>957253</v>
      </c>
      <c r="O4717">
        <v>1</v>
      </c>
    </row>
    <row r="4718" spans="1:15">
      <c r="A4718" t="s">
        <v>4744</v>
      </c>
      <c r="B4718" t="s">
        <v>20</v>
      </c>
      <c r="C4718">
        <v>2</v>
      </c>
      <c r="D4718">
        <v>27615577</v>
      </c>
      <c r="E4718">
        <v>2</v>
      </c>
      <c r="F4718">
        <v>11</v>
      </c>
      <c r="G4718">
        <v>211</v>
      </c>
      <c r="H4718">
        <v>21494531</v>
      </c>
      <c r="I4718">
        <v>632715</v>
      </c>
      <c r="J4718" t="s">
        <v>21</v>
      </c>
      <c r="K4718" t="s">
        <v>22</v>
      </c>
      <c r="L4718">
        <v>2</v>
      </c>
      <c r="M4718">
        <v>52.99</v>
      </c>
      <c r="N4718">
        <v>778210</v>
      </c>
      <c r="O4718">
        <v>1</v>
      </c>
    </row>
    <row r="4719" spans="1:15">
      <c r="A4719" t="s">
        <v>4745</v>
      </c>
      <c r="B4719" t="s">
        <v>27</v>
      </c>
      <c r="C4719">
        <v>2</v>
      </c>
      <c r="D4719">
        <v>4668179</v>
      </c>
      <c r="E4719">
        <v>4</v>
      </c>
      <c r="F4719">
        <v>8</v>
      </c>
      <c r="G4719">
        <v>459</v>
      </c>
      <c r="H4719">
        <v>63828745</v>
      </c>
      <c r="I4719">
        <v>135249</v>
      </c>
      <c r="J4719" t="s">
        <v>25</v>
      </c>
      <c r="K4719" t="s">
        <v>30</v>
      </c>
      <c r="L4719">
        <v>9</v>
      </c>
      <c r="M4719">
        <v>97.17</v>
      </c>
      <c r="N4719">
        <v>419248</v>
      </c>
      <c r="O4719">
        <v>1</v>
      </c>
    </row>
    <row r="4720" spans="1:15">
      <c r="A4720" t="s">
        <v>4746</v>
      </c>
      <c r="B4720" t="s">
        <v>27</v>
      </c>
      <c r="C4720">
        <v>14</v>
      </c>
      <c r="D4720">
        <v>37815376</v>
      </c>
      <c r="E4720">
        <v>1</v>
      </c>
      <c r="F4720">
        <v>17</v>
      </c>
      <c r="G4720">
        <v>898</v>
      </c>
      <c r="H4720">
        <v>37102298</v>
      </c>
      <c r="I4720">
        <v>609650</v>
      </c>
      <c r="J4720" t="s">
        <v>17</v>
      </c>
      <c r="K4720" t="s">
        <v>30</v>
      </c>
      <c r="L4720">
        <v>8</v>
      </c>
      <c r="M4720">
        <v>89.29</v>
      </c>
      <c r="N4720">
        <v>151773</v>
      </c>
      <c r="O4720">
        <v>1</v>
      </c>
    </row>
    <row r="4721" spans="1:15">
      <c r="A4721" t="s">
        <v>4747</v>
      </c>
      <c r="B4721" t="s">
        <v>27</v>
      </c>
      <c r="C4721">
        <v>12</v>
      </c>
      <c r="D4721">
        <v>19685255</v>
      </c>
      <c r="E4721">
        <v>2</v>
      </c>
      <c r="F4721">
        <v>23</v>
      </c>
      <c r="G4721">
        <v>993</v>
      </c>
      <c r="H4721">
        <v>55336720</v>
      </c>
      <c r="I4721">
        <v>590921</v>
      </c>
      <c r="J4721" t="s">
        <v>21</v>
      </c>
      <c r="K4721" t="s">
        <v>18</v>
      </c>
      <c r="L4721">
        <v>2</v>
      </c>
      <c r="M4721">
        <v>46.89</v>
      </c>
      <c r="N4721">
        <v>267419</v>
      </c>
      <c r="O4721">
        <v>1</v>
      </c>
    </row>
    <row r="4722" spans="1:15">
      <c r="A4722" t="s">
        <v>4748</v>
      </c>
      <c r="B4722" t="s">
        <v>16</v>
      </c>
      <c r="C4722">
        <v>7</v>
      </c>
      <c r="D4722">
        <v>14903206</v>
      </c>
      <c r="E4722">
        <v>3</v>
      </c>
      <c r="F4722">
        <v>10</v>
      </c>
      <c r="G4722">
        <v>612</v>
      </c>
      <c r="H4722">
        <v>73481495</v>
      </c>
      <c r="I4722">
        <v>239868</v>
      </c>
      <c r="J4722" t="s">
        <v>21</v>
      </c>
      <c r="K4722" t="s">
        <v>18</v>
      </c>
      <c r="L4722">
        <v>5</v>
      </c>
      <c r="M4722">
        <v>31.61</v>
      </c>
      <c r="N4722">
        <v>27500</v>
      </c>
      <c r="O4722">
        <v>1</v>
      </c>
    </row>
    <row r="4723" spans="1:15">
      <c r="A4723" t="s">
        <v>4749</v>
      </c>
      <c r="B4723" t="s">
        <v>32</v>
      </c>
      <c r="C4723">
        <v>12</v>
      </c>
      <c r="D4723">
        <v>45963299</v>
      </c>
      <c r="E4723">
        <v>1</v>
      </c>
      <c r="F4723">
        <v>20</v>
      </c>
      <c r="G4723">
        <v>890</v>
      </c>
      <c r="H4723">
        <v>84016983</v>
      </c>
      <c r="I4723">
        <v>131220</v>
      </c>
      <c r="J4723" t="s">
        <v>17</v>
      </c>
      <c r="K4723" t="s">
        <v>18</v>
      </c>
      <c r="L4723">
        <v>1</v>
      </c>
      <c r="M4723">
        <v>27.85</v>
      </c>
      <c r="N4723">
        <v>948672</v>
      </c>
      <c r="O4723">
        <v>1</v>
      </c>
    </row>
    <row r="4724" spans="1:15">
      <c r="A4724" t="s">
        <v>4750</v>
      </c>
      <c r="B4724" t="s">
        <v>24</v>
      </c>
      <c r="C4724">
        <v>12</v>
      </c>
      <c r="D4724">
        <v>14850977</v>
      </c>
      <c r="E4724">
        <v>4</v>
      </c>
      <c r="F4724">
        <v>10</v>
      </c>
      <c r="G4724">
        <v>653</v>
      </c>
      <c r="H4724">
        <v>20668181</v>
      </c>
      <c r="I4724">
        <v>738388</v>
      </c>
      <c r="J4724" t="s">
        <v>21</v>
      </c>
      <c r="K4724" t="s">
        <v>22</v>
      </c>
      <c r="L4724">
        <v>2</v>
      </c>
      <c r="M4724">
        <v>7.18</v>
      </c>
      <c r="N4724">
        <v>792679</v>
      </c>
      <c r="O4724">
        <v>1</v>
      </c>
    </row>
    <row r="4725" spans="1:15">
      <c r="A4725" t="s">
        <v>4751</v>
      </c>
      <c r="B4725" t="s">
        <v>20</v>
      </c>
      <c r="C4725">
        <v>1</v>
      </c>
      <c r="D4725">
        <v>37745721</v>
      </c>
      <c r="E4725">
        <v>2</v>
      </c>
      <c r="F4725">
        <v>4</v>
      </c>
      <c r="G4725">
        <v>732</v>
      </c>
      <c r="H4725">
        <v>45684340</v>
      </c>
      <c r="I4725">
        <v>864138</v>
      </c>
      <c r="J4725" t="s">
        <v>17</v>
      </c>
      <c r="K4725" t="s">
        <v>18</v>
      </c>
      <c r="L4725">
        <v>8</v>
      </c>
      <c r="M4725">
        <v>67.47</v>
      </c>
      <c r="N4725">
        <v>594243</v>
      </c>
      <c r="O4725">
        <v>1</v>
      </c>
    </row>
    <row r="4726" spans="1:15">
      <c r="A4726" t="s">
        <v>4752</v>
      </c>
      <c r="B4726" t="s">
        <v>29</v>
      </c>
      <c r="C4726">
        <v>14</v>
      </c>
      <c r="D4726">
        <v>48275214</v>
      </c>
      <c r="E4726">
        <v>3</v>
      </c>
      <c r="F4726">
        <v>20</v>
      </c>
      <c r="G4726">
        <v>123</v>
      </c>
      <c r="H4726">
        <v>75146190</v>
      </c>
      <c r="I4726">
        <v>647912</v>
      </c>
      <c r="J4726" t="s">
        <v>17</v>
      </c>
      <c r="K4726" t="s">
        <v>30</v>
      </c>
      <c r="L4726">
        <v>6</v>
      </c>
      <c r="M4726">
        <v>54.98</v>
      </c>
      <c r="N4726">
        <v>745600</v>
      </c>
      <c r="O4726">
        <v>1</v>
      </c>
    </row>
    <row r="4727" spans="1:15">
      <c r="A4727" t="s">
        <v>4753</v>
      </c>
      <c r="B4727" t="s">
        <v>38</v>
      </c>
      <c r="C4727">
        <v>12</v>
      </c>
      <c r="D4727">
        <v>8492790</v>
      </c>
      <c r="E4727">
        <v>4</v>
      </c>
      <c r="F4727">
        <v>20</v>
      </c>
      <c r="G4727">
        <v>460</v>
      </c>
      <c r="H4727">
        <v>14819528</v>
      </c>
      <c r="I4727">
        <v>339771</v>
      </c>
      <c r="J4727" t="s">
        <v>17</v>
      </c>
      <c r="K4727" t="s">
        <v>30</v>
      </c>
      <c r="L4727">
        <v>6</v>
      </c>
      <c r="M4727">
        <v>54.53</v>
      </c>
      <c r="N4727">
        <v>990621</v>
      </c>
      <c r="O4727">
        <v>1</v>
      </c>
    </row>
    <row r="4728" spans="1:15">
      <c r="A4728" t="s">
        <v>4754</v>
      </c>
      <c r="B4728" t="s">
        <v>29</v>
      </c>
      <c r="C4728">
        <v>6</v>
      </c>
      <c r="D4728">
        <v>44888852</v>
      </c>
      <c r="E4728">
        <v>1</v>
      </c>
      <c r="F4728">
        <v>13</v>
      </c>
      <c r="G4728">
        <v>170</v>
      </c>
      <c r="H4728">
        <v>2179811</v>
      </c>
      <c r="I4728">
        <v>352423</v>
      </c>
      <c r="J4728" t="s">
        <v>17</v>
      </c>
      <c r="K4728" t="s">
        <v>22</v>
      </c>
      <c r="L4728">
        <v>4</v>
      </c>
      <c r="M4728">
        <v>51.69</v>
      </c>
      <c r="N4728">
        <v>951025</v>
      </c>
      <c r="O4728">
        <v>1</v>
      </c>
    </row>
    <row r="4729" spans="1:15">
      <c r="A4729" t="s">
        <v>4755</v>
      </c>
      <c r="B4729" t="s">
        <v>29</v>
      </c>
      <c r="C4729">
        <v>14</v>
      </c>
      <c r="D4729">
        <v>42733335</v>
      </c>
      <c r="E4729">
        <v>4</v>
      </c>
      <c r="F4729">
        <v>11</v>
      </c>
      <c r="G4729">
        <v>222</v>
      </c>
      <c r="H4729">
        <v>33881644</v>
      </c>
      <c r="I4729">
        <v>975308</v>
      </c>
      <c r="J4729" t="s">
        <v>17</v>
      </c>
      <c r="K4729" t="s">
        <v>30</v>
      </c>
      <c r="L4729">
        <v>5</v>
      </c>
      <c r="M4729">
        <v>76.87</v>
      </c>
      <c r="N4729">
        <v>216492</v>
      </c>
      <c r="O4729">
        <v>1</v>
      </c>
    </row>
    <row r="4730" spans="1:15">
      <c r="A4730" t="s">
        <v>4756</v>
      </c>
      <c r="B4730" t="s">
        <v>20</v>
      </c>
      <c r="C4730">
        <v>3</v>
      </c>
      <c r="D4730">
        <v>8422432</v>
      </c>
      <c r="E4730">
        <v>2</v>
      </c>
      <c r="F4730">
        <v>18</v>
      </c>
      <c r="G4730">
        <v>838</v>
      </c>
      <c r="H4730">
        <v>77680240</v>
      </c>
      <c r="I4730">
        <v>63280</v>
      </c>
      <c r="J4730" t="s">
        <v>21</v>
      </c>
      <c r="K4730" t="s">
        <v>22</v>
      </c>
      <c r="L4730">
        <v>1</v>
      </c>
      <c r="M4730">
        <v>99.75</v>
      </c>
      <c r="N4730">
        <v>841162</v>
      </c>
      <c r="O4730">
        <v>1</v>
      </c>
    </row>
    <row r="4731" spans="1:15">
      <c r="A4731" t="s">
        <v>4757</v>
      </c>
      <c r="B4731" t="s">
        <v>16</v>
      </c>
      <c r="C4731">
        <v>4</v>
      </c>
      <c r="D4731">
        <v>19030256</v>
      </c>
      <c r="E4731">
        <v>1</v>
      </c>
      <c r="F4731">
        <v>9</v>
      </c>
      <c r="G4731">
        <v>643</v>
      </c>
      <c r="H4731">
        <v>34768527</v>
      </c>
      <c r="I4731">
        <v>627614</v>
      </c>
      <c r="J4731" t="s">
        <v>25</v>
      </c>
      <c r="K4731" t="s">
        <v>30</v>
      </c>
      <c r="L4731">
        <v>1</v>
      </c>
      <c r="M4731">
        <v>82.58</v>
      </c>
      <c r="N4731">
        <v>987809</v>
      </c>
      <c r="O4731">
        <v>1</v>
      </c>
    </row>
    <row r="4732" spans="1:15">
      <c r="A4732" t="s">
        <v>4758</v>
      </c>
      <c r="B4732" t="s">
        <v>20</v>
      </c>
      <c r="C4732">
        <v>13</v>
      </c>
      <c r="D4732">
        <v>30160527</v>
      </c>
      <c r="E4732">
        <v>3</v>
      </c>
      <c r="F4732">
        <v>19</v>
      </c>
      <c r="G4732">
        <v>22</v>
      </c>
      <c r="H4732">
        <v>46480510</v>
      </c>
      <c r="I4732">
        <v>188368</v>
      </c>
      <c r="J4732" t="s">
        <v>21</v>
      </c>
      <c r="K4732" t="s">
        <v>30</v>
      </c>
      <c r="L4732">
        <v>9</v>
      </c>
      <c r="M4732">
        <v>47.51</v>
      </c>
      <c r="N4732">
        <v>497559</v>
      </c>
      <c r="O4732">
        <v>1</v>
      </c>
    </row>
    <row r="4733" spans="1:15">
      <c r="A4733" t="s">
        <v>4759</v>
      </c>
      <c r="B4733" t="s">
        <v>27</v>
      </c>
      <c r="C4733">
        <v>2</v>
      </c>
      <c r="D4733">
        <v>11725437</v>
      </c>
      <c r="E4733">
        <v>2</v>
      </c>
      <c r="F4733">
        <v>4</v>
      </c>
      <c r="G4733">
        <v>386</v>
      </c>
      <c r="H4733">
        <v>7533449</v>
      </c>
      <c r="I4733">
        <v>60296</v>
      </c>
      <c r="J4733" t="s">
        <v>21</v>
      </c>
      <c r="K4733" t="s">
        <v>30</v>
      </c>
      <c r="L4733">
        <v>3</v>
      </c>
      <c r="M4733">
        <v>61.46</v>
      </c>
      <c r="N4733">
        <v>568507</v>
      </c>
      <c r="O4733">
        <v>1</v>
      </c>
    </row>
    <row r="4734" spans="1:15">
      <c r="A4734" t="s">
        <v>4760</v>
      </c>
      <c r="B4734" t="s">
        <v>32</v>
      </c>
      <c r="C4734">
        <v>11</v>
      </c>
      <c r="D4734">
        <v>5700522</v>
      </c>
      <c r="E4734">
        <v>3</v>
      </c>
      <c r="F4734">
        <v>29</v>
      </c>
      <c r="G4734">
        <v>914</v>
      </c>
      <c r="H4734">
        <v>60458816</v>
      </c>
      <c r="I4734">
        <v>753717</v>
      </c>
      <c r="J4734" t="s">
        <v>17</v>
      </c>
      <c r="K4734" t="s">
        <v>22</v>
      </c>
      <c r="L4734">
        <v>4</v>
      </c>
      <c r="M4734">
        <v>43.32</v>
      </c>
      <c r="N4734">
        <v>776173</v>
      </c>
      <c r="O4734">
        <v>1</v>
      </c>
    </row>
    <row r="4735" spans="1:15">
      <c r="A4735" t="s">
        <v>4761</v>
      </c>
      <c r="B4735" t="s">
        <v>24</v>
      </c>
      <c r="C4735">
        <v>11</v>
      </c>
      <c r="D4735">
        <v>363106</v>
      </c>
      <c r="E4735">
        <v>4</v>
      </c>
      <c r="F4735">
        <v>20</v>
      </c>
      <c r="G4735">
        <v>593</v>
      </c>
      <c r="H4735">
        <v>86165869</v>
      </c>
      <c r="I4735">
        <v>840232</v>
      </c>
      <c r="J4735" t="s">
        <v>21</v>
      </c>
      <c r="K4735" t="s">
        <v>18</v>
      </c>
      <c r="L4735">
        <v>2</v>
      </c>
      <c r="M4735">
        <v>41.81</v>
      </c>
      <c r="N4735">
        <v>787486</v>
      </c>
      <c r="O4735">
        <v>1</v>
      </c>
    </row>
    <row r="4736" spans="1:15">
      <c r="A4736" t="s">
        <v>4762</v>
      </c>
      <c r="B4736" t="s">
        <v>29</v>
      </c>
      <c r="C4736">
        <v>10</v>
      </c>
      <c r="D4736">
        <v>31980657</v>
      </c>
      <c r="E4736">
        <v>1</v>
      </c>
      <c r="F4736">
        <v>9</v>
      </c>
      <c r="G4736">
        <v>575</v>
      </c>
      <c r="H4736">
        <v>30599</v>
      </c>
      <c r="I4736">
        <v>423425</v>
      </c>
      <c r="J4736" t="s">
        <v>21</v>
      </c>
      <c r="K4736" t="s">
        <v>18</v>
      </c>
      <c r="L4736">
        <v>6</v>
      </c>
      <c r="M4736">
        <v>67</v>
      </c>
      <c r="N4736">
        <v>950391</v>
      </c>
      <c r="O4736">
        <v>1</v>
      </c>
    </row>
    <row r="4737" spans="1:15">
      <c r="A4737" t="s">
        <v>4763</v>
      </c>
      <c r="B4737" t="s">
        <v>16</v>
      </c>
      <c r="C4737">
        <v>10</v>
      </c>
      <c r="D4737">
        <v>25715908</v>
      </c>
      <c r="E4737">
        <v>3</v>
      </c>
      <c r="F4737">
        <v>18</v>
      </c>
      <c r="G4737">
        <v>280</v>
      </c>
      <c r="H4737">
        <v>8749894</v>
      </c>
      <c r="I4737">
        <v>195294</v>
      </c>
      <c r="J4737" t="s">
        <v>25</v>
      </c>
      <c r="K4737" t="s">
        <v>18</v>
      </c>
      <c r="L4737">
        <v>3</v>
      </c>
      <c r="M4737">
        <v>23.95</v>
      </c>
      <c r="N4737">
        <v>458391</v>
      </c>
      <c r="O4737">
        <v>1</v>
      </c>
    </row>
    <row r="4738" spans="1:15">
      <c r="A4738" t="s">
        <v>4764</v>
      </c>
      <c r="B4738" t="s">
        <v>16</v>
      </c>
      <c r="C4738">
        <v>9</v>
      </c>
      <c r="D4738">
        <v>42321001</v>
      </c>
      <c r="E4738">
        <v>4</v>
      </c>
      <c r="F4738">
        <v>25</v>
      </c>
      <c r="G4738">
        <v>437</v>
      </c>
      <c r="H4738">
        <v>80839883</v>
      </c>
      <c r="I4738">
        <v>109091</v>
      </c>
      <c r="J4738" t="s">
        <v>17</v>
      </c>
      <c r="K4738" t="s">
        <v>30</v>
      </c>
      <c r="L4738">
        <v>2</v>
      </c>
      <c r="M4738">
        <v>54.6</v>
      </c>
      <c r="N4738">
        <v>445198</v>
      </c>
      <c r="O4738">
        <v>1</v>
      </c>
    </row>
    <row r="4739" spans="1:15">
      <c r="A4739" t="s">
        <v>4765</v>
      </c>
      <c r="B4739" t="s">
        <v>29</v>
      </c>
      <c r="C4739">
        <v>9</v>
      </c>
      <c r="D4739">
        <v>10236281</v>
      </c>
      <c r="E4739">
        <v>2</v>
      </c>
      <c r="F4739">
        <v>17</v>
      </c>
      <c r="G4739">
        <v>825</v>
      </c>
      <c r="H4739">
        <v>23614430</v>
      </c>
      <c r="I4739">
        <v>879336</v>
      </c>
      <c r="J4739" t="s">
        <v>17</v>
      </c>
      <c r="K4739" t="s">
        <v>18</v>
      </c>
      <c r="L4739">
        <v>5</v>
      </c>
      <c r="M4739">
        <v>66.319999999999993</v>
      </c>
      <c r="N4739">
        <v>192197</v>
      </c>
      <c r="O4739">
        <v>1</v>
      </c>
    </row>
    <row r="4740" spans="1:15">
      <c r="A4740" t="s">
        <v>4766</v>
      </c>
      <c r="B4740" t="s">
        <v>29</v>
      </c>
      <c r="C4740">
        <v>5</v>
      </c>
      <c r="D4740">
        <v>42553042</v>
      </c>
      <c r="E4740">
        <v>2</v>
      </c>
      <c r="F4740">
        <v>11</v>
      </c>
      <c r="G4740">
        <v>752</v>
      </c>
      <c r="H4740">
        <v>22249180</v>
      </c>
      <c r="I4740">
        <v>75621</v>
      </c>
      <c r="J4740" t="s">
        <v>21</v>
      </c>
      <c r="K4740" t="s">
        <v>18</v>
      </c>
      <c r="L4740">
        <v>7</v>
      </c>
      <c r="M4740">
        <v>25.52</v>
      </c>
      <c r="N4740">
        <v>976112</v>
      </c>
      <c r="O4740">
        <v>1</v>
      </c>
    </row>
    <row r="4741" spans="1:15">
      <c r="A4741" t="s">
        <v>4767</v>
      </c>
      <c r="B4741" t="s">
        <v>24</v>
      </c>
      <c r="C4741">
        <v>13</v>
      </c>
      <c r="D4741">
        <v>43038670</v>
      </c>
      <c r="E4741">
        <v>3</v>
      </c>
      <c r="F4741">
        <v>2</v>
      </c>
      <c r="G4741">
        <v>941</v>
      </c>
      <c r="H4741">
        <v>92534754</v>
      </c>
      <c r="I4741">
        <v>74361</v>
      </c>
      <c r="J4741" t="s">
        <v>21</v>
      </c>
      <c r="K4741" t="s">
        <v>18</v>
      </c>
      <c r="L4741">
        <v>4</v>
      </c>
      <c r="M4741">
        <v>12.19</v>
      </c>
      <c r="N4741">
        <v>133397</v>
      </c>
      <c r="O4741">
        <v>1</v>
      </c>
    </row>
    <row r="4742" spans="1:15">
      <c r="A4742" t="s">
        <v>4768</v>
      </c>
      <c r="B4742" t="s">
        <v>32</v>
      </c>
      <c r="C4742">
        <v>12</v>
      </c>
      <c r="D4742">
        <v>15485154</v>
      </c>
      <c r="E4742">
        <v>4</v>
      </c>
      <c r="F4742">
        <v>14</v>
      </c>
      <c r="G4742">
        <v>437</v>
      </c>
      <c r="H4742">
        <v>20682778</v>
      </c>
      <c r="I4742">
        <v>389816</v>
      </c>
      <c r="J4742" t="s">
        <v>25</v>
      </c>
      <c r="K4742" t="s">
        <v>18</v>
      </c>
      <c r="L4742">
        <v>5</v>
      </c>
      <c r="M4742">
        <v>51.76</v>
      </c>
      <c r="N4742">
        <v>508581</v>
      </c>
      <c r="O4742">
        <v>1</v>
      </c>
    </row>
    <row r="4743" spans="1:15">
      <c r="A4743" t="s">
        <v>4769</v>
      </c>
      <c r="B4743" t="s">
        <v>32</v>
      </c>
      <c r="C4743">
        <v>3</v>
      </c>
      <c r="D4743">
        <v>5258254</v>
      </c>
      <c r="E4743">
        <v>3</v>
      </c>
      <c r="F4743">
        <v>7</v>
      </c>
      <c r="G4743">
        <v>300</v>
      </c>
      <c r="H4743">
        <v>15989372</v>
      </c>
      <c r="I4743">
        <v>8238</v>
      </c>
      <c r="J4743" t="s">
        <v>17</v>
      </c>
      <c r="K4743" t="s">
        <v>18</v>
      </c>
      <c r="L4743">
        <v>4</v>
      </c>
      <c r="M4743">
        <v>10.89</v>
      </c>
      <c r="N4743">
        <v>980688</v>
      </c>
      <c r="O4743">
        <v>1</v>
      </c>
    </row>
    <row r="4744" spans="1:15">
      <c r="A4744" t="s">
        <v>4770</v>
      </c>
      <c r="B4744" t="s">
        <v>24</v>
      </c>
      <c r="C4744">
        <v>13</v>
      </c>
      <c r="D4744">
        <v>25201191</v>
      </c>
      <c r="E4744">
        <v>1</v>
      </c>
      <c r="F4744">
        <v>14</v>
      </c>
      <c r="G4744">
        <v>627</v>
      </c>
      <c r="H4744">
        <v>41767782</v>
      </c>
      <c r="I4744">
        <v>148413</v>
      </c>
      <c r="J4744" t="s">
        <v>17</v>
      </c>
      <c r="K4744" t="s">
        <v>30</v>
      </c>
      <c r="L4744">
        <v>4</v>
      </c>
      <c r="M4744">
        <v>41.54</v>
      </c>
      <c r="N4744">
        <v>685099</v>
      </c>
      <c r="O4744">
        <v>1</v>
      </c>
    </row>
    <row r="4745" spans="1:15">
      <c r="A4745" t="s">
        <v>4771</v>
      </c>
      <c r="B4745" t="s">
        <v>38</v>
      </c>
      <c r="C4745">
        <v>8</v>
      </c>
      <c r="D4745">
        <v>40794564</v>
      </c>
      <c r="E4745">
        <v>1</v>
      </c>
      <c r="F4745">
        <v>22</v>
      </c>
      <c r="G4745">
        <v>931</v>
      </c>
      <c r="H4745">
        <v>11394472</v>
      </c>
      <c r="I4745">
        <v>264203</v>
      </c>
      <c r="J4745" t="s">
        <v>21</v>
      </c>
      <c r="K4745" t="s">
        <v>18</v>
      </c>
      <c r="L4745">
        <v>2</v>
      </c>
      <c r="M4745">
        <v>80.38</v>
      </c>
      <c r="N4745">
        <v>824830</v>
      </c>
      <c r="O4745">
        <v>1</v>
      </c>
    </row>
    <row r="4746" spans="1:15">
      <c r="A4746" t="s">
        <v>4772</v>
      </c>
      <c r="B4746" t="s">
        <v>27</v>
      </c>
      <c r="C4746">
        <v>9</v>
      </c>
      <c r="D4746">
        <v>2398947</v>
      </c>
      <c r="E4746">
        <v>1</v>
      </c>
      <c r="F4746">
        <v>20</v>
      </c>
      <c r="G4746">
        <v>851</v>
      </c>
      <c r="H4746">
        <v>37647833</v>
      </c>
      <c r="I4746">
        <v>36004</v>
      </c>
      <c r="J4746" t="s">
        <v>21</v>
      </c>
      <c r="K4746" t="s">
        <v>30</v>
      </c>
      <c r="L4746">
        <v>6</v>
      </c>
      <c r="M4746">
        <v>21.19</v>
      </c>
      <c r="N4746">
        <v>863235</v>
      </c>
      <c r="O4746">
        <v>1</v>
      </c>
    </row>
    <row r="4747" spans="1:15">
      <c r="A4747" t="s">
        <v>4773</v>
      </c>
      <c r="B4747" t="s">
        <v>16</v>
      </c>
      <c r="C4747">
        <v>5</v>
      </c>
      <c r="D4747">
        <v>4858863</v>
      </c>
      <c r="E4747">
        <v>2</v>
      </c>
      <c r="F4747">
        <v>7</v>
      </c>
      <c r="G4747">
        <v>645</v>
      </c>
      <c r="H4747">
        <v>91686159</v>
      </c>
      <c r="I4747">
        <v>842267</v>
      </c>
      <c r="J4747" t="s">
        <v>25</v>
      </c>
      <c r="K4747" t="s">
        <v>30</v>
      </c>
      <c r="L4747">
        <v>7</v>
      </c>
      <c r="M4747">
        <v>17.98</v>
      </c>
      <c r="N4747">
        <v>936620</v>
      </c>
      <c r="O4747">
        <v>1</v>
      </c>
    </row>
    <row r="4748" spans="1:15">
      <c r="A4748" t="s">
        <v>4774</v>
      </c>
      <c r="B4748" t="s">
        <v>29</v>
      </c>
      <c r="C4748">
        <v>1</v>
      </c>
      <c r="D4748">
        <v>14672122</v>
      </c>
      <c r="E4748">
        <v>1</v>
      </c>
      <c r="F4748">
        <v>2</v>
      </c>
      <c r="G4748">
        <v>47</v>
      </c>
      <c r="H4748">
        <v>10146286</v>
      </c>
      <c r="I4748">
        <v>926944</v>
      </c>
      <c r="J4748" t="s">
        <v>17</v>
      </c>
      <c r="K4748" t="s">
        <v>22</v>
      </c>
      <c r="L4748">
        <v>9</v>
      </c>
      <c r="M4748">
        <v>60.11</v>
      </c>
      <c r="N4748">
        <v>140671</v>
      </c>
      <c r="O4748">
        <v>1</v>
      </c>
    </row>
    <row r="4749" spans="1:15">
      <c r="A4749" t="s">
        <v>4775</v>
      </c>
      <c r="B4749" t="s">
        <v>38</v>
      </c>
      <c r="C4749">
        <v>12</v>
      </c>
      <c r="D4749">
        <v>1297952</v>
      </c>
      <c r="E4749">
        <v>4</v>
      </c>
      <c r="F4749">
        <v>24</v>
      </c>
      <c r="G4749">
        <v>869</v>
      </c>
      <c r="H4749">
        <v>81557483</v>
      </c>
      <c r="I4749">
        <v>503222</v>
      </c>
      <c r="J4749" t="s">
        <v>25</v>
      </c>
      <c r="K4749" t="s">
        <v>22</v>
      </c>
      <c r="L4749">
        <v>8</v>
      </c>
      <c r="M4749">
        <v>72.760000000000005</v>
      </c>
      <c r="N4749">
        <v>384179</v>
      </c>
      <c r="O4749">
        <v>1</v>
      </c>
    </row>
    <row r="4750" spans="1:15">
      <c r="A4750" t="s">
        <v>4776</v>
      </c>
      <c r="B4750" t="s">
        <v>24</v>
      </c>
      <c r="C4750">
        <v>1</v>
      </c>
      <c r="D4750">
        <v>1311568</v>
      </c>
      <c r="E4750">
        <v>2</v>
      </c>
      <c r="F4750">
        <v>29</v>
      </c>
      <c r="G4750">
        <v>580</v>
      </c>
      <c r="H4750">
        <v>20763543</v>
      </c>
      <c r="I4750">
        <v>70900</v>
      </c>
      <c r="J4750" t="s">
        <v>25</v>
      </c>
      <c r="K4750" t="s">
        <v>30</v>
      </c>
      <c r="L4750">
        <v>9</v>
      </c>
      <c r="M4750">
        <v>50.12</v>
      </c>
      <c r="N4750">
        <v>499763</v>
      </c>
      <c r="O4750">
        <v>1</v>
      </c>
    </row>
    <row r="4751" spans="1:15">
      <c r="A4751" t="s">
        <v>4777</v>
      </c>
      <c r="B4751" t="s">
        <v>20</v>
      </c>
      <c r="C4751">
        <v>11</v>
      </c>
      <c r="D4751">
        <v>4268089</v>
      </c>
      <c r="E4751">
        <v>4</v>
      </c>
      <c r="F4751">
        <v>10</v>
      </c>
      <c r="G4751">
        <v>207</v>
      </c>
      <c r="H4751">
        <v>57820715</v>
      </c>
      <c r="I4751">
        <v>729993</v>
      </c>
      <c r="J4751" t="s">
        <v>17</v>
      </c>
      <c r="K4751" t="s">
        <v>30</v>
      </c>
      <c r="L4751">
        <v>5</v>
      </c>
      <c r="M4751">
        <v>62.94</v>
      </c>
      <c r="N4751">
        <v>370174</v>
      </c>
      <c r="O4751">
        <v>1</v>
      </c>
    </row>
    <row r="4752" spans="1:15">
      <c r="A4752" t="s">
        <v>4778</v>
      </c>
      <c r="B4752" t="s">
        <v>16</v>
      </c>
      <c r="C4752">
        <v>11</v>
      </c>
      <c r="D4752">
        <v>34589807</v>
      </c>
      <c r="E4752">
        <v>4</v>
      </c>
      <c r="F4752">
        <v>10</v>
      </c>
      <c r="G4752">
        <v>994</v>
      </c>
      <c r="H4752">
        <v>81731474</v>
      </c>
      <c r="I4752">
        <v>835729</v>
      </c>
      <c r="J4752" t="s">
        <v>21</v>
      </c>
      <c r="K4752" t="s">
        <v>18</v>
      </c>
      <c r="L4752">
        <v>2</v>
      </c>
      <c r="M4752">
        <v>80.84</v>
      </c>
      <c r="N4752">
        <v>814279</v>
      </c>
      <c r="O4752">
        <v>1</v>
      </c>
    </row>
    <row r="4753" spans="1:15">
      <c r="A4753" t="s">
        <v>4779</v>
      </c>
      <c r="B4753" t="s">
        <v>27</v>
      </c>
      <c r="C4753">
        <v>9</v>
      </c>
      <c r="D4753">
        <v>41141072</v>
      </c>
      <c r="E4753">
        <v>4</v>
      </c>
      <c r="F4753">
        <v>11</v>
      </c>
      <c r="G4753">
        <v>146</v>
      </c>
      <c r="H4753">
        <v>70786888</v>
      </c>
      <c r="I4753">
        <v>353355</v>
      </c>
      <c r="J4753" t="s">
        <v>25</v>
      </c>
      <c r="K4753" t="s">
        <v>22</v>
      </c>
      <c r="L4753">
        <v>1</v>
      </c>
      <c r="M4753">
        <v>64.92</v>
      </c>
      <c r="N4753">
        <v>52674</v>
      </c>
      <c r="O4753">
        <v>1</v>
      </c>
    </row>
    <row r="4754" spans="1:15">
      <c r="A4754" t="s">
        <v>4780</v>
      </c>
      <c r="B4754" t="s">
        <v>20</v>
      </c>
      <c r="C4754">
        <v>8</v>
      </c>
      <c r="D4754">
        <v>2018998</v>
      </c>
      <c r="E4754">
        <v>4</v>
      </c>
      <c r="F4754">
        <v>17</v>
      </c>
      <c r="G4754">
        <v>100</v>
      </c>
      <c r="H4754">
        <v>62663834</v>
      </c>
      <c r="I4754">
        <v>720631</v>
      </c>
      <c r="J4754" t="s">
        <v>21</v>
      </c>
      <c r="K4754" t="s">
        <v>30</v>
      </c>
      <c r="L4754">
        <v>9</v>
      </c>
      <c r="M4754">
        <v>97.54</v>
      </c>
      <c r="N4754">
        <v>764560</v>
      </c>
      <c r="O4754">
        <v>1</v>
      </c>
    </row>
    <row r="4755" spans="1:15">
      <c r="A4755" t="s">
        <v>4781</v>
      </c>
      <c r="B4755" t="s">
        <v>27</v>
      </c>
      <c r="C4755">
        <v>10</v>
      </c>
      <c r="D4755">
        <v>46375943</v>
      </c>
      <c r="E4755">
        <v>1</v>
      </c>
      <c r="F4755">
        <v>19</v>
      </c>
      <c r="G4755">
        <v>8</v>
      </c>
      <c r="H4755">
        <v>81643684</v>
      </c>
      <c r="I4755">
        <v>379056</v>
      </c>
      <c r="J4755" t="s">
        <v>21</v>
      </c>
      <c r="K4755" t="s">
        <v>18</v>
      </c>
      <c r="L4755">
        <v>7</v>
      </c>
      <c r="M4755">
        <v>80.45</v>
      </c>
      <c r="N4755">
        <v>868642</v>
      </c>
      <c r="O4755">
        <v>1</v>
      </c>
    </row>
    <row r="4756" spans="1:15">
      <c r="A4756" t="s">
        <v>4782</v>
      </c>
      <c r="B4756" t="s">
        <v>29</v>
      </c>
      <c r="C4756">
        <v>10</v>
      </c>
      <c r="D4756">
        <v>29555371</v>
      </c>
      <c r="E4756">
        <v>3</v>
      </c>
      <c r="F4756">
        <v>13</v>
      </c>
      <c r="G4756">
        <v>40</v>
      </c>
      <c r="H4756">
        <v>25200104</v>
      </c>
      <c r="I4756">
        <v>487542</v>
      </c>
      <c r="J4756" t="s">
        <v>17</v>
      </c>
      <c r="K4756" t="s">
        <v>22</v>
      </c>
      <c r="L4756">
        <v>2</v>
      </c>
      <c r="M4756">
        <v>55.97</v>
      </c>
      <c r="N4756">
        <v>526181</v>
      </c>
      <c r="O4756">
        <v>1</v>
      </c>
    </row>
    <row r="4757" spans="1:15">
      <c r="A4757" t="s">
        <v>4783</v>
      </c>
      <c r="B4757" t="s">
        <v>32</v>
      </c>
      <c r="C4757">
        <v>11</v>
      </c>
      <c r="D4757">
        <v>25888774</v>
      </c>
      <c r="E4757">
        <v>3</v>
      </c>
      <c r="F4757">
        <v>29</v>
      </c>
      <c r="G4757">
        <v>929</v>
      </c>
      <c r="H4757">
        <v>63839088</v>
      </c>
      <c r="I4757">
        <v>475397</v>
      </c>
      <c r="J4757" t="s">
        <v>17</v>
      </c>
      <c r="K4757" t="s">
        <v>22</v>
      </c>
      <c r="L4757">
        <v>3</v>
      </c>
      <c r="M4757">
        <v>5.03</v>
      </c>
      <c r="N4757">
        <v>197230</v>
      </c>
      <c r="O4757">
        <v>1</v>
      </c>
    </row>
    <row r="4758" spans="1:15">
      <c r="A4758" t="s">
        <v>4784</v>
      </c>
      <c r="B4758" t="s">
        <v>16</v>
      </c>
      <c r="C4758">
        <v>5</v>
      </c>
      <c r="D4758">
        <v>36342224</v>
      </c>
      <c r="E4758">
        <v>3</v>
      </c>
      <c r="F4758">
        <v>27</v>
      </c>
      <c r="G4758">
        <v>816</v>
      </c>
      <c r="H4758">
        <v>69420837</v>
      </c>
      <c r="I4758">
        <v>626613</v>
      </c>
      <c r="J4758" t="s">
        <v>25</v>
      </c>
      <c r="K4758" t="s">
        <v>22</v>
      </c>
      <c r="L4758">
        <v>4</v>
      </c>
      <c r="M4758">
        <v>68.040000000000006</v>
      </c>
      <c r="N4758">
        <v>871662</v>
      </c>
      <c r="O4758">
        <v>1</v>
      </c>
    </row>
    <row r="4759" spans="1:15">
      <c r="A4759" t="s">
        <v>4785</v>
      </c>
      <c r="B4759" t="s">
        <v>38</v>
      </c>
      <c r="C4759">
        <v>2</v>
      </c>
      <c r="D4759">
        <v>48443481</v>
      </c>
      <c r="E4759">
        <v>2</v>
      </c>
      <c r="F4759">
        <v>26</v>
      </c>
      <c r="G4759">
        <v>768</v>
      </c>
      <c r="H4759">
        <v>99123973</v>
      </c>
      <c r="I4759">
        <v>894434</v>
      </c>
      <c r="J4759" t="s">
        <v>17</v>
      </c>
      <c r="K4759" t="s">
        <v>18</v>
      </c>
      <c r="L4759">
        <v>1</v>
      </c>
      <c r="M4759">
        <v>66.95</v>
      </c>
      <c r="N4759">
        <v>394987</v>
      </c>
      <c r="O4759">
        <v>1</v>
      </c>
    </row>
    <row r="4760" spans="1:15">
      <c r="A4760" t="s">
        <v>4786</v>
      </c>
      <c r="B4760" t="s">
        <v>32</v>
      </c>
      <c r="C4760">
        <v>11</v>
      </c>
      <c r="D4760">
        <v>20687941</v>
      </c>
      <c r="E4760">
        <v>4</v>
      </c>
      <c r="F4760">
        <v>11</v>
      </c>
      <c r="G4760">
        <v>729</v>
      </c>
      <c r="H4760">
        <v>40966460</v>
      </c>
      <c r="I4760">
        <v>366205</v>
      </c>
      <c r="J4760" t="s">
        <v>21</v>
      </c>
      <c r="K4760" t="s">
        <v>18</v>
      </c>
      <c r="L4760">
        <v>4</v>
      </c>
      <c r="M4760">
        <v>55.56</v>
      </c>
      <c r="N4760">
        <v>186164</v>
      </c>
      <c r="O4760">
        <v>1</v>
      </c>
    </row>
    <row r="4761" spans="1:15">
      <c r="A4761" t="s">
        <v>4787</v>
      </c>
      <c r="B4761" t="s">
        <v>32</v>
      </c>
      <c r="C4761">
        <v>14</v>
      </c>
      <c r="D4761">
        <v>48439210</v>
      </c>
      <c r="E4761">
        <v>4</v>
      </c>
      <c r="F4761">
        <v>29</v>
      </c>
      <c r="G4761">
        <v>220</v>
      </c>
      <c r="H4761">
        <v>8272753</v>
      </c>
      <c r="I4761">
        <v>166596</v>
      </c>
      <c r="J4761" t="s">
        <v>21</v>
      </c>
      <c r="K4761" t="s">
        <v>30</v>
      </c>
      <c r="L4761">
        <v>8</v>
      </c>
      <c r="M4761">
        <v>81.400000000000006</v>
      </c>
      <c r="N4761">
        <v>74822</v>
      </c>
      <c r="O4761">
        <v>1</v>
      </c>
    </row>
    <row r="4762" spans="1:15">
      <c r="A4762" t="s">
        <v>4788</v>
      </c>
      <c r="B4762" t="s">
        <v>29</v>
      </c>
      <c r="C4762">
        <v>10</v>
      </c>
      <c r="D4762">
        <v>34591622</v>
      </c>
      <c r="E4762">
        <v>3</v>
      </c>
      <c r="F4762">
        <v>12</v>
      </c>
      <c r="G4762">
        <v>826</v>
      </c>
      <c r="H4762">
        <v>19678305</v>
      </c>
      <c r="I4762">
        <v>597437</v>
      </c>
      <c r="J4762" t="s">
        <v>17</v>
      </c>
      <c r="K4762" t="s">
        <v>18</v>
      </c>
      <c r="L4762">
        <v>4</v>
      </c>
      <c r="M4762">
        <v>3.54</v>
      </c>
      <c r="N4762">
        <v>706839</v>
      </c>
      <c r="O4762">
        <v>1</v>
      </c>
    </row>
    <row r="4763" spans="1:15">
      <c r="A4763" t="s">
        <v>4789</v>
      </c>
      <c r="B4763" t="s">
        <v>38</v>
      </c>
      <c r="C4763">
        <v>10</v>
      </c>
      <c r="D4763">
        <v>43733314</v>
      </c>
      <c r="E4763">
        <v>2</v>
      </c>
      <c r="F4763">
        <v>6</v>
      </c>
      <c r="G4763">
        <v>808</v>
      </c>
      <c r="H4763">
        <v>1260018</v>
      </c>
      <c r="I4763">
        <v>442748</v>
      </c>
      <c r="J4763" t="s">
        <v>25</v>
      </c>
      <c r="K4763" t="s">
        <v>18</v>
      </c>
      <c r="L4763">
        <v>6</v>
      </c>
      <c r="M4763">
        <v>9.49</v>
      </c>
      <c r="N4763">
        <v>742880</v>
      </c>
      <c r="O4763">
        <v>1</v>
      </c>
    </row>
    <row r="4764" spans="1:15">
      <c r="A4764" t="s">
        <v>4790</v>
      </c>
      <c r="B4764" t="s">
        <v>29</v>
      </c>
      <c r="C4764">
        <v>2</v>
      </c>
      <c r="D4764">
        <v>4305324</v>
      </c>
      <c r="E4764">
        <v>3</v>
      </c>
      <c r="F4764">
        <v>17</v>
      </c>
      <c r="G4764">
        <v>34</v>
      </c>
      <c r="H4764">
        <v>39011005</v>
      </c>
      <c r="I4764">
        <v>83045</v>
      </c>
      <c r="J4764" t="s">
        <v>17</v>
      </c>
      <c r="K4764" t="s">
        <v>18</v>
      </c>
      <c r="L4764">
        <v>9</v>
      </c>
      <c r="M4764">
        <v>45.77</v>
      </c>
      <c r="N4764">
        <v>932727</v>
      </c>
      <c r="O4764">
        <v>1</v>
      </c>
    </row>
    <row r="4765" spans="1:15">
      <c r="A4765" t="s">
        <v>4791</v>
      </c>
      <c r="B4765" t="s">
        <v>38</v>
      </c>
      <c r="C4765">
        <v>2</v>
      </c>
      <c r="D4765">
        <v>49859629</v>
      </c>
      <c r="E4765">
        <v>2</v>
      </c>
      <c r="F4765">
        <v>11</v>
      </c>
      <c r="G4765">
        <v>969</v>
      </c>
      <c r="H4765">
        <v>7577056</v>
      </c>
      <c r="I4765">
        <v>414364</v>
      </c>
      <c r="J4765" t="s">
        <v>25</v>
      </c>
      <c r="K4765" t="s">
        <v>18</v>
      </c>
      <c r="L4765">
        <v>6</v>
      </c>
      <c r="M4765">
        <v>89.08</v>
      </c>
      <c r="N4765">
        <v>317016</v>
      </c>
      <c r="O4765">
        <v>1</v>
      </c>
    </row>
    <row r="4766" spans="1:15">
      <c r="A4766" t="s">
        <v>4792</v>
      </c>
      <c r="B4766" t="s">
        <v>20</v>
      </c>
      <c r="C4766">
        <v>2</v>
      </c>
      <c r="D4766">
        <v>49927813</v>
      </c>
      <c r="E4766">
        <v>1</v>
      </c>
      <c r="F4766">
        <v>21</v>
      </c>
      <c r="G4766">
        <v>515</v>
      </c>
      <c r="H4766">
        <v>34154285</v>
      </c>
      <c r="I4766">
        <v>561072</v>
      </c>
      <c r="J4766" t="s">
        <v>25</v>
      </c>
      <c r="K4766" t="s">
        <v>22</v>
      </c>
      <c r="L4766">
        <v>6</v>
      </c>
      <c r="M4766">
        <v>40.97</v>
      </c>
      <c r="N4766">
        <v>675607</v>
      </c>
      <c r="O4766">
        <v>1</v>
      </c>
    </row>
    <row r="4767" spans="1:15">
      <c r="A4767" t="s">
        <v>4793</v>
      </c>
      <c r="B4767" t="s">
        <v>29</v>
      </c>
      <c r="C4767">
        <v>8</v>
      </c>
      <c r="D4767">
        <v>25146630</v>
      </c>
      <c r="E4767">
        <v>2</v>
      </c>
      <c r="F4767">
        <v>16</v>
      </c>
      <c r="G4767">
        <v>213</v>
      </c>
      <c r="H4767">
        <v>93273949</v>
      </c>
      <c r="I4767">
        <v>718646</v>
      </c>
      <c r="J4767" t="s">
        <v>17</v>
      </c>
      <c r="K4767" t="s">
        <v>30</v>
      </c>
      <c r="L4767">
        <v>6</v>
      </c>
      <c r="M4767">
        <v>21.88</v>
      </c>
      <c r="N4767">
        <v>41124</v>
      </c>
      <c r="O4767">
        <v>1</v>
      </c>
    </row>
    <row r="4768" spans="1:15">
      <c r="A4768" t="s">
        <v>4794</v>
      </c>
      <c r="B4768" t="s">
        <v>29</v>
      </c>
      <c r="C4768">
        <v>4</v>
      </c>
      <c r="D4768">
        <v>11077900</v>
      </c>
      <c r="E4768">
        <v>1</v>
      </c>
      <c r="F4768">
        <v>23</v>
      </c>
      <c r="G4768">
        <v>248</v>
      </c>
      <c r="H4768">
        <v>4437399</v>
      </c>
      <c r="I4768">
        <v>128039</v>
      </c>
      <c r="J4768" t="s">
        <v>17</v>
      </c>
      <c r="K4768" t="s">
        <v>30</v>
      </c>
      <c r="L4768">
        <v>3</v>
      </c>
      <c r="M4768">
        <v>99.98</v>
      </c>
      <c r="N4768">
        <v>225568</v>
      </c>
      <c r="O4768">
        <v>1</v>
      </c>
    </row>
    <row r="4769" spans="1:15">
      <c r="A4769" t="s">
        <v>4795</v>
      </c>
      <c r="B4769" t="s">
        <v>38</v>
      </c>
      <c r="C4769">
        <v>4</v>
      </c>
      <c r="D4769">
        <v>17412751</v>
      </c>
      <c r="E4769">
        <v>4</v>
      </c>
      <c r="F4769">
        <v>4</v>
      </c>
      <c r="G4769">
        <v>17</v>
      </c>
      <c r="H4769">
        <v>17920460</v>
      </c>
      <c r="I4769">
        <v>579586</v>
      </c>
      <c r="J4769" t="s">
        <v>17</v>
      </c>
      <c r="K4769" t="s">
        <v>22</v>
      </c>
      <c r="L4769">
        <v>9</v>
      </c>
      <c r="M4769">
        <v>60.34</v>
      </c>
      <c r="N4769">
        <v>228309</v>
      </c>
      <c r="O4769">
        <v>1</v>
      </c>
    </row>
    <row r="4770" spans="1:15">
      <c r="A4770" t="s">
        <v>4796</v>
      </c>
      <c r="B4770" t="s">
        <v>20</v>
      </c>
      <c r="C4770">
        <v>0</v>
      </c>
      <c r="D4770">
        <v>15033278</v>
      </c>
      <c r="E4770">
        <v>1</v>
      </c>
      <c r="F4770">
        <v>20</v>
      </c>
      <c r="G4770">
        <v>652</v>
      </c>
      <c r="H4770">
        <v>81997242</v>
      </c>
      <c r="I4770">
        <v>717407</v>
      </c>
      <c r="J4770" t="s">
        <v>17</v>
      </c>
      <c r="K4770" t="s">
        <v>30</v>
      </c>
      <c r="L4770">
        <v>9</v>
      </c>
      <c r="M4770">
        <v>20.41</v>
      </c>
      <c r="N4770">
        <v>553545</v>
      </c>
      <c r="O4770">
        <v>1</v>
      </c>
    </row>
    <row r="4771" spans="1:15">
      <c r="A4771" t="s">
        <v>4797</v>
      </c>
      <c r="B4771" t="s">
        <v>24</v>
      </c>
      <c r="C4771">
        <v>10</v>
      </c>
      <c r="D4771">
        <v>4219122</v>
      </c>
      <c r="E4771">
        <v>4</v>
      </c>
      <c r="F4771">
        <v>25</v>
      </c>
      <c r="G4771">
        <v>224</v>
      </c>
      <c r="H4771">
        <v>60305691</v>
      </c>
      <c r="I4771">
        <v>715647</v>
      </c>
      <c r="J4771" t="s">
        <v>21</v>
      </c>
      <c r="K4771" t="s">
        <v>22</v>
      </c>
      <c r="L4771">
        <v>3</v>
      </c>
      <c r="M4771">
        <v>16.600000000000001</v>
      </c>
      <c r="N4771">
        <v>504882</v>
      </c>
      <c r="O4771">
        <v>1</v>
      </c>
    </row>
    <row r="4772" spans="1:15">
      <c r="A4772" t="s">
        <v>4798</v>
      </c>
      <c r="B4772" t="s">
        <v>38</v>
      </c>
      <c r="C4772">
        <v>8</v>
      </c>
      <c r="D4772">
        <v>4876194</v>
      </c>
      <c r="E4772">
        <v>2</v>
      </c>
      <c r="F4772">
        <v>16</v>
      </c>
      <c r="G4772">
        <v>411</v>
      </c>
      <c r="H4772">
        <v>91086765</v>
      </c>
      <c r="I4772">
        <v>624737</v>
      </c>
      <c r="J4772" t="s">
        <v>21</v>
      </c>
      <c r="K4772" t="s">
        <v>30</v>
      </c>
      <c r="L4772">
        <v>2</v>
      </c>
      <c r="M4772">
        <v>52.84</v>
      </c>
      <c r="N4772">
        <v>378478</v>
      </c>
      <c r="O4772">
        <v>1</v>
      </c>
    </row>
    <row r="4773" spans="1:15">
      <c r="A4773" t="s">
        <v>4799</v>
      </c>
      <c r="B4773" t="s">
        <v>29</v>
      </c>
      <c r="C4773">
        <v>2</v>
      </c>
      <c r="D4773">
        <v>31601140</v>
      </c>
      <c r="E4773">
        <v>4</v>
      </c>
      <c r="F4773">
        <v>0</v>
      </c>
      <c r="G4773">
        <v>8</v>
      </c>
      <c r="H4773">
        <v>6742461</v>
      </c>
      <c r="I4773">
        <v>884983</v>
      </c>
      <c r="J4773" t="s">
        <v>25</v>
      </c>
      <c r="K4773" t="s">
        <v>18</v>
      </c>
      <c r="L4773">
        <v>5</v>
      </c>
      <c r="M4773">
        <v>32.869999999999997</v>
      </c>
      <c r="N4773">
        <v>238591</v>
      </c>
      <c r="O4773">
        <v>1</v>
      </c>
    </row>
    <row r="4774" spans="1:15">
      <c r="A4774" t="s">
        <v>4800</v>
      </c>
      <c r="B4774" t="s">
        <v>32</v>
      </c>
      <c r="C4774">
        <v>11</v>
      </c>
      <c r="D4774">
        <v>31650200</v>
      </c>
      <c r="E4774">
        <v>1</v>
      </c>
      <c r="F4774">
        <v>26</v>
      </c>
      <c r="G4774">
        <v>659</v>
      </c>
      <c r="H4774">
        <v>36030373</v>
      </c>
      <c r="I4774">
        <v>231442</v>
      </c>
      <c r="J4774" t="s">
        <v>17</v>
      </c>
      <c r="K4774" t="s">
        <v>30</v>
      </c>
      <c r="L4774">
        <v>2</v>
      </c>
      <c r="M4774">
        <v>20.45</v>
      </c>
      <c r="N4774">
        <v>480990</v>
      </c>
      <c r="O4774">
        <v>1</v>
      </c>
    </row>
    <row r="4775" spans="1:15">
      <c r="A4775" t="s">
        <v>4801</v>
      </c>
      <c r="B4775" t="s">
        <v>29</v>
      </c>
      <c r="C4775">
        <v>2</v>
      </c>
      <c r="D4775">
        <v>43432060</v>
      </c>
      <c r="E4775">
        <v>3</v>
      </c>
      <c r="F4775">
        <v>13</v>
      </c>
      <c r="G4775">
        <v>43</v>
      </c>
      <c r="H4775">
        <v>24364056</v>
      </c>
      <c r="I4775">
        <v>884023</v>
      </c>
      <c r="J4775" t="s">
        <v>25</v>
      </c>
      <c r="K4775" t="s">
        <v>22</v>
      </c>
      <c r="L4775">
        <v>2</v>
      </c>
      <c r="M4775">
        <v>92.42</v>
      </c>
      <c r="N4775">
        <v>209616</v>
      </c>
      <c r="O4775">
        <v>1</v>
      </c>
    </row>
    <row r="4776" spans="1:15">
      <c r="A4776" t="s">
        <v>4802</v>
      </c>
      <c r="B4776" t="s">
        <v>20</v>
      </c>
      <c r="C4776">
        <v>14</v>
      </c>
      <c r="D4776">
        <v>11349256</v>
      </c>
      <c r="E4776">
        <v>1</v>
      </c>
      <c r="F4776">
        <v>10</v>
      </c>
      <c r="G4776">
        <v>530</v>
      </c>
      <c r="H4776">
        <v>15779858</v>
      </c>
      <c r="I4776">
        <v>647341</v>
      </c>
      <c r="J4776" t="s">
        <v>17</v>
      </c>
      <c r="K4776" t="s">
        <v>18</v>
      </c>
      <c r="L4776">
        <v>3</v>
      </c>
      <c r="M4776">
        <v>12.71</v>
      </c>
      <c r="N4776">
        <v>774372</v>
      </c>
      <c r="O4776">
        <v>1</v>
      </c>
    </row>
    <row r="4777" spans="1:15">
      <c r="A4777" t="s">
        <v>4803</v>
      </c>
      <c r="B4777" t="s">
        <v>29</v>
      </c>
      <c r="C4777">
        <v>14</v>
      </c>
      <c r="D4777">
        <v>1048830</v>
      </c>
      <c r="E4777">
        <v>1</v>
      </c>
      <c r="F4777">
        <v>11</v>
      </c>
      <c r="G4777">
        <v>15</v>
      </c>
      <c r="H4777">
        <v>13414265</v>
      </c>
      <c r="I4777">
        <v>73077</v>
      </c>
      <c r="J4777" t="s">
        <v>25</v>
      </c>
      <c r="K4777" t="s">
        <v>22</v>
      </c>
      <c r="L4777">
        <v>2</v>
      </c>
      <c r="M4777">
        <v>85.36</v>
      </c>
      <c r="N4777">
        <v>172609</v>
      </c>
      <c r="O4777">
        <v>1</v>
      </c>
    </row>
    <row r="4778" spans="1:15">
      <c r="A4778" t="s">
        <v>4804</v>
      </c>
      <c r="B4778" t="s">
        <v>16</v>
      </c>
      <c r="C4778">
        <v>2</v>
      </c>
      <c r="D4778">
        <v>46145736</v>
      </c>
      <c r="E4778">
        <v>1</v>
      </c>
      <c r="F4778">
        <v>17</v>
      </c>
      <c r="G4778">
        <v>443</v>
      </c>
      <c r="H4778">
        <v>68085348</v>
      </c>
      <c r="I4778">
        <v>333518</v>
      </c>
      <c r="J4778" t="s">
        <v>21</v>
      </c>
      <c r="K4778" t="s">
        <v>22</v>
      </c>
      <c r="L4778">
        <v>1</v>
      </c>
      <c r="M4778">
        <v>50.4</v>
      </c>
      <c r="N4778">
        <v>394588</v>
      </c>
      <c r="O4778">
        <v>1</v>
      </c>
    </row>
    <row r="4779" spans="1:15">
      <c r="A4779" t="s">
        <v>4805</v>
      </c>
      <c r="B4779" t="s">
        <v>16</v>
      </c>
      <c r="C4779">
        <v>11</v>
      </c>
      <c r="D4779">
        <v>26338124</v>
      </c>
      <c r="E4779">
        <v>3</v>
      </c>
      <c r="F4779">
        <v>24</v>
      </c>
      <c r="G4779">
        <v>768</v>
      </c>
      <c r="H4779">
        <v>65397007</v>
      </c>
      <c r="I4779">
        <v>613384</v>
      </c>
      <c r="J4779" t="s">
        <v>17</v>
      </c>
      <c r="K4779" t="s">
        <v>22</v>
      </c>
      <c r="L4779">
        <v>9</v>
      </c>
      <c r="M4779">
        <v>97.17</v>
      </c>
      <c r="N4779">
        <v>31008</v>
      </c>
      <c r="O4779">
        <v>1</v>
      </c>
    </row>
    <row r="4780" spans="1:15">
      <c r="A4780" t="s">
        <v>4806</v>
      </c>
      <c r="B4780" t="s">
        <v>29</v>
      </c>
      <c r="C4780">
        <v>0</v>
      </c>
      <c r="D4780">
        <v>17734613</v>
      </c>
      <c r="E4780">
        <v>1</v>
      </c>
      <c r="F4780">
        <v>2</v>
      </c>
      <c r="G4780">
        <v>754</v>
      </c>
      <c r="H4780">
        <v>80015167</v>
      </c>
      <c r="I4780">
        <v>642220</v>
      </c>
      <c r="J4780" t="s">
        <v>25</v>
      </c>
      <c r="K4780" t="s">
        <v>18</v>
      </c>
      <c r="L4780">
        <v>8</v>
      </c>
      <c r="M4780">
        <v>99.98</v>
      </c>
      <c r="N4780">
        <v>608559</v>
      </c>
      <c r="O4780">
        <v>1</v>
      </c>
    </row>
    <row r="4781" spans="1:15">
      <c r="A4781" t="s">
        <v>4807</v>
      </c>
      <c r="B4781" t="s">
        <v>24</v>
      </c>
      <c r="C4781">
        <v>13</v>
      </c>
      <c r="D4781">
        <v>12049696</v>
      </c>
      <c r="E4781">
        <v>4</v>
      </c>
      <c r="F4781">
        <v>19</v>
      </c>
      <c r="G4781">
        <v>494</v>
      </c>
      <c r="H4781">
        <v>33508549</v>
      </c>
      <c r="I4781">
        <v>265396</v>
      </c>
      <c r="J4781" t="s">
        <v>17</v>
      </c>
      <c r="K4781" t="s">
        <v>22</v>
      </c>
      <c r="L4781">
        <v>2</v>
      </c>
      <c r="M4781">
        <v>27.42</v>
      </c>
      <c r="N4781">
        <v>441509</v>
      </c>
      <c r="O4781">
        <v>1</v>
      </c>
    </row>
    <row r="4782" spans="1:15">
      <c r="A4782" t="s">
        <v>4808</v>
      </c>
      <c r="B4782" t="s">
        <v>20</v>
      </c>
      <c r="C4782">
        <v>2</v>
      </c>
      <c r="D4782">
        <v>42389356</v>
      </c>
      <c r="E4782">
        <v>3</v>
      </c>
      <c r="F4782">
        <v>13</v>
      </c>
      <c r="G4782">
        <v>501</v>
      </c>
      <c r="H4782">
        <v>3676712</v>
      </c>
      <c r="I4782">
        <v>876782</v>
      </c>
      <c r="J4782" t="s">
        <v>25</v>
      </c>
      <c r="K4782" t="s">
        <v>30</v>
      </c>
      <c r="L4782">
        <v>9</v>
      </c>
      <c r="M4782">
        <v>27.42</v>
      </c>
      <c r="N4782">
        <v>74496</v>
      </c>
      <c r="O4782">
        <v>1</v>
      </c>
    </row>
    <row r="4783" spans="1:15">
      <c r="A4783" t="s">
        <v>4809</v>
      </c>
      <c r="B4783" t="s">
        <v>24</v>
      </c>
      <c r="C4783">
        <v>0</v>
      </c>
      <c r="D4783">
        <v>5646127</v>
      </c>
      <c r="E4783">
        <v>3</v>
      </c>
      <c r="F4783">
        <v>17</v>
      </c>
      <c r="G4783">
        <v>344</v>
      </c>
      <c r="H4783">
        <v>6392609</v>
      </c>
      <c r="I4783">
        <v>26918</v>
      </c>
      <c r="J4783" t="s">
        <v>21</v>
      </c>
      <c r="K4783" t="s">
        <v>30</v>
      </c>
      <c r="L4783">
        <v>2</v>
      </c>
      <c r="M4783">
        <v>37.08</v>
      </c>
      <c r="N4783">
        <v>462305</v>
      </c>
      <c r="O4783">
        <v>1</v>
      </c>
    </row>
    <row r="4784" spans="1:15">
      <c r="A4784" t="s">
        <v>4810</v>
      </c>
      <c r="B4784" t="s">
        <v>32</v>
      </c>
      <c r="C4784">
        <v>14</v>
      </c>
      <c r="D4784">
        <v>17286407</v>
      </c>
      <c r="E4784">
        <v>4</v>
      </c>
      <c r="F4784">
        <v>1</v>
      </c>
      <c r="G4784">
        <v>478</v>
      </c>
      <c r="H4784">
        <v>50808608</v>
      </c>
      <c r="I4784">
        <v>224152</v>
      </c>
      <c r="J4784" t="s">
        <v>17</v>
      </c>
      <c r="K4784" t="s">
        <v>22</v>
      </c>
      <c r="L4784">
        <v>2</v>
      </c>
      <c r="M4784">
        <v>74.5</v>
      </c>
      <c r="N4784">
        <v>392798</v>
      </c>
      <c r="O4784">
        <v>1</v>
      </c>
    </row>
    <row r="4785" spans="1:15">
      <c r="A4785" t="s">
        <v>4811</v>
      </c>
      <c r="B4785" t="s">
        <v>29</v>
      </c>
      <c r="C4785">
        <v>14</v>
      </c>
      <c r="D4785">
        <v>10251372</v>
      </c>
      <c r="E4785">
        <v>2</v>
      </c>
      <c r="F4785">
        <v>4</v>
      </c>
      <c r="G4785">
        <v>154</v>
      </c>
      <c r="H4785">
        <v>97883379</v>
      </c>
      <c r="I4785">
        <v>321090</v>
      </c>
      <c r="J4785" t="s">
        <v>25</v>
      </c>
      <c r="K4785" t="s">
        <v>18</v>
      </c>
      <c r="L4785">
        <v>3</v>
      </c>
      <c r="M4785">
        <v>82.34</v>
      </c>
      <c r="N4785">
        <v>399326</v>
      </c>
      <c r="O4785">
        <v>1</v>
      </c>
    </row>
    <row r="4786" spans="1:15">
      <c r="A4786" t="s">
        <v>4812</v>
      </c>
      <c r="B4786" t="s">
        <v>32</v>
      </c>
      <c r="C4786">
        <v>13</v>
      </c>
      <c r="D4786">
        <v>42395023</v>
      </c>
      <c r="E4786">
        <v>1</v>
      </c>
      <c r="F4786">
        <v>1</v>
      </c>
      <c r="G4786">
        <v>33</v>
      </c>
      <c r="H4786">
        <v>25681234</v>
      </c>
      <c r="I4786">
        <v>560178</v>
      </c>
      <c r="J4786" t="s">
        <v>21</v>
      </c>
      <c r="K4786" t="s">
        <v>30</v>
      </c>
      <c r="L4786">
        <v>3</v>
      </c>
      <c r="M4786">
        <v>56.85</v>
      </c>
      <c r="N4786">
        <v>522912</v>
      </c>
      <c r="O4786">
        <v>1</v>
      </c>
    </row>
    <row r="4787" spans="1:15">
      <c r="A4787" t="s">
        <v>4813</v>
      </c>
      <c r="B4787" t="s">
        <v>24</v>
      </c>
      <c r="C4787">
        <v>0</v>
      </c>
      <c r="D4787">
        <v>17422401</v>
      </c>
      <c r="E4787">
        <v>3</v>
      </c>
      <c r="F4787">
        <v>25</v>
      </c>
      <c r="G4787">
        <v>853</v>
      </c>
      <c r="H4787">
        <v>81414641</v>
      </c>
      <c r="I4787">
        <v>122693</v>
      </c>
      <c r="J4787" t="s">
        <v>25</v>
      </c>
      <c r="K4787" t="s">
        <v>18</v>
      </c>
      <c r="L4787">
        <v>4</v>
      </c>
      <c r="M4787">
        <v>43.26</v>
      </c>
      <c r="N4787">
        <v>244952</v>
      </c>
      <c r="O4787">
        <v>1</v>
      </c>
    </row>
    <row r="4788" spans="1:15">
      <c r="A4788" t="s">
        <v>4814</v>
      </c>
      <c r="B4788" t="s">
        <v>16</v>
      </c>
      <c r="C4788">
        <v>8</v>
      </c>
      <c r="D4788">
        <v>48900924</v>
      </c>
      <c r="E4788">
        <v>1</v>
      </c>
      <c r="F4788">
        <v>27</v>
      </c>
      <c r="G4788">
        <v>489</v>
      </c>
      <c r="H4788">
        <v>45404393</v>
      </c>
      <c r="I4788">
        <v>259787</v>
      </c>
      <c r="J4788" t="s">
        <v>25</v>
      </c>
      <c r="K4788" t="s">
        <v>22</v>
      </c>
      <c r="L4788">
        <v>3</v>
      </c>
      <c r="M4788">
        <v>53.89</v>
      </c>
      <c r="N4788">
        <v>373224</v>
      </c>
      <c r="O4788">
        <v>1</v>
      </c>
    </row>
    <row r="4789" spans="1:15">
      <c r="A4789" t="s">
        <v>4815</v>
      </c>
      <c r="B4789" t="s">
        <v>29</v>
      </c>
      <c r="C4789">
        <v>8</v>
      </c>
      <c r="D4789">
        <v>34697834</v>
      </c>
      <c r="E4789">
        <v>4</v>
      </c>
      <c r="F4789">
        <v>20</v>
      </c>
      <c r="G4789">
        <v>626</v>
      </c>
      <c r="H4789">
        <v>2401306</v>
      </c>
      <c r="I4789">
        <v>812856</v>
      </c>
      <c r="J4789" t="s">
        <v>17</v>
      </c>
      <c r="K4789" t="s">
        <v>22</v>
      </c>
      <c r="L4789">
        <v>6</v>
      </c>
      <c r="M4789">
        <v>27.45</v>
      </c>
      <c r="N4789">
        <v>770391</v>
      </c>
      <c r="O4789">
        <v>1</v>
      </c>
    </row>
    <row r="4790" spans="1:15">
      <c r="A4790" t="s">
        <v>4816</v>
      </c>
      <c r="B4790" t="s">
        <v>24</v>
      </c>
      <c r="C4790">
        <v>0</v>
      </c>
      <c r="D4790">
        <v>4931888</v>
      </c>
      <c r="E4790">
        <v>2</v>
      </c>
      <c r="F4790">
        <v>5</v>
      </c>
      <c r="G4790">
        <v>298</v>
      </c>
      <c r="H4790">
        <v>30050691</v>
      </c>
      <c r="I4790">
        <v>237628</v>
      </c>
      <c r="J4790" t="s">
        <v>17</v>
      </c>
      <c r="K4790" t="s">
        <v>30</v>
      </c>
      <c r="L4790">
        <v>6</v>
      </c>
      <c r="M4790">
        <v>59.65</v>
      </c>
      <c r="N4790">
        <v>771596</v>
      </c>
      <c r="O4790">
        <v>1</v>
      </c>
    </row>
    <row r="4791" spans="1:15">
      <c r="A4791" t="s">
        <v>4817</v>
      </c>
      <c r="B4791" t="s">
        <v>20</v>
      </c>
      <c r="C4791">
        <v>9</v>
      </c>
      <c r="D4791">
        <v>14195463</v>
      </c>
      <c r="E4791">
        <v>3</v>
      </c>
      <c r="F4791">
        <v>10</v>
      </c>
      <c r="G4791">
        <v>872</v>
      </c>
      <c r="H4791">
        <v>65366768</v>
      </c>
      <c r="I4791">
        <v>458258</v>
      </c>
      <c r="J4791" t="s">
        <v>25</v>
      </c>
      <c r="K4791" t="s">
        <v>30</v>
      </c>
      <c r="L4791">
        <v>3</v>
      </c>
      <c r="M4791">
        <v>91.12</v>
      </c>
      <c r="N4791">
        <v>446116</v>
      </c>
      <c r="O4791">
        <v>1</v>
      </c>
    </row>
    <row r="4792" spans="1:15">
      <c r="A4792" t="s">
        <v>4818</v>
      </c>
      <c r="B4792" t="s">
        <v>16</v>
      </c>
      <c r="C4792">
        <v>13</v>
      </c>
      <c r="D4792">
        <v>28110479</v>
      </c>
      <c r="E4792">
        <v>4</v>
      </c>
      <c r="F4792">
        <v>20</v>
      </c>
      <c r="G4792">
        <v>666</v>
      </c>
      <c r="H4792">
        <v>90627473</v>
      </c>
      <c r="I4792">
        <v>375456</v>
      </c>
      <c r="J4792" t="s">
        <v>21</v>
      </c>
      <c r="K4792" t="s">
        <v>22</v>
      </c>
      <c r="L4792">
        <v>8</v>
      </c>
      <c r="M4792">
        <v>16.3</v>
      </c>
      <c r="N4792">
        <v>9274</v>
      </c>
      <c r="O4792">
        <v>1</v>
      </c>
    </row>
    <row r="4793" spans="1:15">
      <c r="A4793" t="s">
        <v>4819</v>
      </c>
      <c r="B4793" t="s">
        <v>29</v>
      </c>
      <c r="C4793">
        <v>3</v>
      </c>
      <c r="D4793">
        <v>4528570</v>
      </c>
      <c r="E4793">
        <v>2</v>
      </c>
      <c r="F4793">
        <v>4</v>
      </c>
      <c r="G4793">
        <v>396</v>
      </c>
      <c r="H4793">
        <v>64541850</v>
      </c>
      <c r="I4793">
        <v>128573</v>
      </c>
      <c r="J4793" t="s">
        <v>17</v>
      </c>
      <c r="K4793" t="s">
        <v>30</v>
      </c>
      <c r="L4793">
        <v>1</v>
      </c>
      <c r="M4793">
        <v>16.100000000000001</v>
      </c>
      <c r="N4793">
        <v>661521</v>
      </c>
      <c r="O4793">
        <v>1</v>
      </c>
    </row>
    <row r="4794" spans="1:15">
      <c r="A4794" t="s">
        <v>4820</v>
      </c>
      <c r="B4794" t="s">
        <v>29</v>
      </c>
      <c r="C4794">
        <v>13</v>
      </c>
      <c r="D4794">
        <v>18150549</v>
      </c>
      <c r="E4794">
        <v>2</v>
      </c>
      <c r="F4794">
        <v>12</v>
      </c>
      <c r="G4794">
        <v>244</v>
      </c>
      <c r="H4794">
        <v>24355475</v>
      </c>
      <c r="I4794">
        <v>721459</v>
      </c>
      <c r="J4794" t="s">
        <v>25</v>
      </c>
      <c r="K4794" t="s">
        <v>22</v>
      </c>
      <c r="L4794">
        <v>9</v>
      </c>
      <c r="M4794">
        <v>78.56</v>
      </c>
      <c r="N4794">
        <v>954085</v>
      </c>
      <c r="O4794">
        <v>1</v>
      </c>
    </row>
    <row r="4795" spans="1:15">
      <c r="A4795" t="s">
        <v>4821</v>
      </c>
      <c r="B4795" t="s">
        <v>16</v>
      </c>
      <c r="C4795">
        <v>8</v>
      </c>
      <c r="D4795">
        <v>33001530</v>
      </c>
      <c r="E4795">
        <v>1</v>
      </c>
      <c r="F4795">
        <v>10</v>
      </c>
      <c r="G4795">
        <v>72</v>
      </c>
      <c r="H4795">
        <v>15597522</v>
      </c>
      <c r="I4795">
        <v>888941</v>
      </c>
      <c r="J4795" t="s">
        <v>25</v>
      </c>
      <c r="K4795" t="s">
        <v>22</v>
      </c>
      <c r="L4795">
        <v>5</v>
      </c>
      <c r="M4795">
        <v>36.82</v>
      </c>
      <c r="N4795">
        <v>304803</v>
      </c>
      <c r="O4795">
        <v>1</v>
      </c>
    </row>
    <row r="4796" spans="1:15">
      <c r="A4796" t="s">
        <v>4822</v>
      </c>
      <c r="B4796" t="s">
        <v>32</v>
      </c>
      <c r="C4796">
        <v>5</v>
      </c>
      <c r="D4796">
        <v>9818388</v>
      </c>
      <c r="E4796">
        <v>3</v>
      </c>
      <c r="F4796">
        <v>3</v>
      </c>
      <c r="G4796">
        <v>191</v>
      </c>
      <c r="H4796">
        <v>1878371</v>
      </c>
      <c r="I4796">
        <v>55133</v>
      </c>
      <c r="J4796" t="s">
        <v>17</v>
      </c>
      <c r="K4796" t="s">
        <v>18</v>
      </c>
      <c r="L4796">
        <v>4</v>
      </c>
      <c r="M4796">
        <v>25.63</v>
      </c>
      <c r="N4796">
        <v>24732</v>
      </c>
      <c r="O4796">
        <v>1</v>
      </c>
    </row>
    <row r="4797" spans="1:15">
      <c r="A4797" t="s">
        <v>4823</v>
      </c>
      <c r="B4797" t="s">
        <v>20</v>
      </c>
      <c r="C4797">
        <v>13</v>
      </c>
      <c r="D4797">
        <v>19138622</v>
      </c>
      <c r="E4797">
        <v>1</v>
      </c>
      <c r="F4797">
        <v>13</v>
      </c>
      <c r="G4797">
        <v>483</v>
      </c>
      <c r="H4797">
        <v>90635841</v>
      </c>
      <c r="I4797">
        <v>624061</v>
      </c>
      <c r="J4797" t="s">
        <v>25</v>
      </c>
      <c r="K4797" t="s">
        <v>22</v>
      </c>
      <c r="L4797">
        <v>4</v>
      </c>
      <c r="M4797">
        <v>10.44</v>
      </c>
      <c r="N4797">
        <v>552051</v>
      </c>
      <c r="O4797">
        <v>1</v>
      </c>
    </row>
    <row r="4798" spans="1:15">
      <c r="A4798" t="s">
        <v>4824</v>
      </c>
      <c r="B4798" t="s">
        <v>32</v>
      </c>
      <c r="C4798">
        <v>3</v>
      </c>
      <c r="D4798">
        <v>22307608</v>
      </c>
      <c r="E4798">
        <v>4</v>
      </c>
      <c r="F4798">
        <v>1</v>
      </c>
      <c r="G4798">
        <v>377</v>
      </c>
      <c r="H4798">
        <v>30297836</v>
      </c>
      <c r="I4798">
        <v>489321</v>
      </c>
      <c r="J4798" t="s">
        <v>25</v>
      </c>
      <c r="K4798" t="s">
        <v>22</v>
      </c>
      <c r="L4798">
        <v>2</v>
      </c>
      <c r="M4798">
        <v>78.52</v>
      </c>
      <c r="N4798">
        <v>837768</v>
      </c>
      <c r="O4798">
        <v>1</v>
      </c>
    </row>
    <row r="4799" spans="1:15">
      <c r="A4799" t="s">
        <v>4825</v>
      </c>
      <c r="B4799" t="s">
        <v>24</v>
      </c>
      <c r="C4799">
        <v>9</v>
      </c>
      <c r="D4799">
        <v>32183036</v>
      </c>
      <c r="E4799">
        <v>3</v>
      </c>
      <c r="F4799">
        <v>14</v>
      </c>
      <c r="G4799">
        <v>783</v>
      </c>
      <c r="H4799">
        <v>98846653</v>
      </c>
      <c r="I4799">
        <v>946706</v>
      </c>
      <c r="J4799" t="s">
        <v>17</v>
      </c>
      <c r="K4799" t="s">
        <v>18</v>
      </c>
      <c r="L4799">
        <v>2</v>
      </c>
      <c r="M4799">
        <v>34.44</v>
      </c>
      <c r="N4799">
        <v>380718</v>
      </c>
      <c r="O4799">
        <v>1</v>
      </c>
    </row>
    <row r="4800" spans="1:15">
      <c r="A4800" t="s">
        <v>4826</v>
      </c>
      <c r="B4800" t="s">
        <v>27</v>
      </c>
      <c r="C4800">
        <v>5</v>
      </c>
      <c r="D4800">
        <v>37242592</v>
      </c>
      <c r="E4800">
        <v>1</v>
      </c>
      <c r="F4800">
        <v>29</v>
      </c>
      <c r="G4800">
        <v>70</v>
      </c>
      <c r="H4800">
        <v>47279210</v>
      </c>
      <c r="I4800">
        <v>201143</v>
      </c>
      <c r="J4800" t="s">
        <v>21</v>
      </c>
      <c r="K4800" t="s">
        <v>22</v>
      </c>
      <c r="L4800">
        <v>3</v>
      </c>
      <c r="M4800">
        <v>8.8800000000000008</v>
      </c>
      <c r="N4800">
        <v>10485</v>
      </c>
      <c r="O4800">
        <v>1</v>
      </c>
    </row>
    <row r="4801" spans="1:15">
      <c r="A4801" t="s">
        <v>4827</v>
      </c>
      <c r="B4801" t="s">
        <v>32</v>
      </c>
      <c r="C4801">
        <v>2</v>
      </c>
      <c r="D4801">
        <v>2051490</v>
      </c>
      <c r="E4801">
        <v>3</v>
      </c>
      <c r="F4801">
        <v>12</v>
      </c>
      <c r="G4801">
        <v>871</v>
      </c>
      <c r="H4801">
        <v>73312466</v>
      </c>
      <c r="I4801">
        <v>305814</v>
      </c>
      <c r="J4801" t="s">
        <v>21</v>
      </c>
      <c r="K4801" t="s">
        <v>22</v>
      </c>
      <c r="L4801">
        <v>5</v>
      </c>
      <c r="M4801">
        <v>7.44</v>
      </c>
      <c r="N4801">
        <v>483399</v>
      </c>
      <c r="O4801">
        <v>1</v>
      </c>
    </row>
    <row r="4802" spans="1:15">
      <c r="A4802" t="s">
        <v>4828</v>
      </c>
      <c r="B4802" t="s">
        <v>38</v>
      </c>
      <c r="C4802">
        <v>10</v>
      </c>
      <c r="D4802">
        <v>11846500</v>
      </c>
      <c r="E4802">
        <v>4</v>
      </c>
      <c r="F4802">
        <v>16</v>
      </c>
      <c r="G4802">
        <v>95</v>
      </c>
      <c r="H4802">
        <v>17372312</v>
      </c>
      <c r="I4802">
        <v>645500</v>
      </c>
      <c r="J4802" t="s">
        <v>25</v>
      </c>
      <c r="K4802" t="s">
        <v>18</v>
      </c>
      <c r="L4802">
        <v>5</v>
      </c>
      <c r="M4802">
        <v>96.02</v>
      </c>
      <c r="N4802">
        <v>273183</v>
      </c>
      <c r="O4802">
        <v>1</v>
      </c>
    </row>
    <row r="4803" spans="1:15">
      <c r="A4803" t="s">
        <v>4829</v>
      </c>
      <c r="B4803" t="s">
        <v>32</v>
      </c>
      <c r="C4803">
        <v>0</v>
      </c>
      <c r="D4803">
        <v>9671322</v>
      </c>
      <c r="E4803">
        <v>2</v>
      </c>
      <c r="F4803">
        <v>12</v>
      </c>
      <c r="G4803">
        <v>312</v>
      </c>
      <c r="H4803">
        <v>84831566</v>
      </c>
      <c r="I4803">
        <v>927022</v>
      </c>
      <c r="J4803" t="s">
        <v>25</v>
      </c>
      <c r="K4803" t="s">
        <v>30</v>
      </c>
      <c r="L4803">
        <v>7</v>
      </c>
      <c r="M4803">
        <v>83.66</v>
      </c>
      <c r="N4803">
        <v>799721</v>
      </c>
      <c r="O4803">
        <v>1</v>
      </c>
    </row>
    <row r="4804" spans="1:15">
      <c r="A4804" t="s">
        <v>4830</v>
      </c>
      <c r="B4804" t="s">
        <v>24</v>
      </c>
      <c r="C4804">
        <v>6</v>
      </c>
      <c r="D4804">
        <v>24166752</v>
      </c>
      <c r="E4804">
        <v>4</v>
      </c>
      <c r="F4804">
        <v>14</v>
      </c>
      <c r="G4804">
        <v>358</v>
      </c>
      <c r="H4804">
        <v>68736225</v>
      </c>
      <c r="I4804">
        <v>493051</v>
      </c>
      <c r="J4804" t="s">
        <v>25</v>
      </c>
      <c r="K4804" t="s">
        <v>22</v>
      </c>
      <c r="L4804">
        <v>2</v>
      </c>
      <c r="M4804">
        <v>23.5</v>
      </c>
      <c r="N4804">
        <v>267042</v>
      </c>
      <c r="O4804">
        <v>1</v>
      </c>
    </row>
    <row r="4805" spans="1:15">
      <c r="A4805" t="s">
        <v>4831</v>
      </c>
      <c r="B4805" t="s">
        <v>24</v>
      </c>
      <c r="C4805">
        <v>10</v>
      </c>
      <c r="D4805">
        <v>37218207</v>
      </c>
      <c r="E4805">
        <v>4</v>
      </c>
      <c r="F4805">
        <v>17</v>
      </c>
      <c r="G4805">
        <v>282</v>
      </c>
      <c r="H4805">
        <v>32007991</v>
      </c>
      <c r="I4805">
        <v>609249</v>
      </c>
      <c r="J4805" t="s">
        <v>17</v>
      </c>
      <c r="K4805" t="s">
        <v>18</v>
      </c>
      <c r="L4805">
        <v>5</v>
      </c>
      <c r="M4805">
        <v>34.81</v>
      </c>
      <c r="N4805">
        <v>99372</v>
      </c>
      <c r="O4805">
        <v>1</v>
      </c>
    </row>
    <row r="4806" spans="1:15">
      <c r="A4806" t="s">
        <v>4832</v>
      </c>
      <c r="B4806" t="s">
        <v>20</v>
      </c>
      <c r="C4806">
        <v>3</v>
      </c>
      <c r="D4806">
        <v>10576531</v>
      </c>
      <c r="E4806">
        <v>1</v>
      </c>
      <c r="F4806">
        <v>16</v>
      </c>
      <c r="G4806">
        <v>588</v>
      </c>
      <c r="H4806">
        <v>90189168</v>
      </c>
      <c r="I4806">
        <v>640528</v>
      </c>
      <c r="J4806" t="s">
        <v>17</v>
      </c>
      <c r="K4806" t="s">
        <v>22</v>
      </c>
      <c r="L4806">
        <v>3</v>
      </c>
      <c r="M4806">
        <v>38.130000000000003</v>
      </c>
      <c r="N4806">
        <v>335125</v>
      </c>
      <c r="O4806">
        <v>1</v>
      </c>
    </row>
    <row r="4807" spans="1:15">
      <c r="A4807" t="s">
        <v>4833</v>
      </c>
      <c r="B4807" t="s">
        <v>27</v>
      </c>
      <c r="C4807">
        <v>5</v>
      </c>
      <c r="D4807">
        <v>8565506</v>
      </c>
      <c r="E4807">
        <v>3</v>
      </c>
      <c r="F4807">
        <v>11</v>
      </c>
      <c r="G4807">
        <v>977</v>
      </c>
      <c r="H4807">
        <v>9732947</v>
      </c>
      <c r="I4807">
        <v>582081</v>
      </c>
      <c r="J4807" t="s">
        <v>25</v>
      </c>
      <c r="K4807" t="s">
        <v>18</v>
      </c>
      <c r="L4807">
        <v>4</v>
      </c>
      <c r="M4807">
        <v>20.97</v>
      </c>
      <c r="N4807">
        <v>865051</v>
      </c>
      <c r="O4807">
        <v>1</v>
      </c>
    </row>
    <row r="4808" spans="1:15">
      <c r="A4808" t="s">
        <v>4834</v>
      </c>
      <c r="B4808" t="s">
        <v>38</v>
      </c>
      <c r="C4808">
        <v>3</v>
      </c>
      <c r="D4808">
        <v>32703907</v>
      </c>
      <c r="E4808">
        <v>4</v>
      </c>
      <c r="F4808">
        <v>23</v>
      </c>
      <c r="G4808">
        <v>196</v>
      </c>
      <c r="H4808">
        <v>67622916</v>
      </c>
      <c r="I4808">
        <v>709008</v>
      </c>
      <c r="J4808" t="s">
        <v>17</v>
      </c>
      <c r="K4808" t="s">
        <v>30</v>
      </c>
      <c r="L4808">
        <v>2</v>
      </c>
      <c r="M4808">
        <v>51.73</v>
      </c>
      <c r="N4808">
        <v>948861</v>
      </c>
      <c r="O4808">
        <v>1</v>
      </c>
    </row>
    <row r="4809" spans="1:15">
      <c r="A4809" t="s">
        <v>4835</v>
      </c>
      <c r="B4809" t="s">
        <v>20</v>
      </c>
      <c r="C4809">
        <v>3</v>
      </c>
      <c r="D4809">
        <v>32077821</v>
      </c>
      <c r="E4809">
        <v>2</v>
      </c>
      <c r="F4809">
        <v>9</v>
      </c>
      <c r="G4809">
        <v>88</v>
      </c>
      <c r="H4809">
        <v>91962767</v>
      </c>
      <c r="I4809">
        <v>472340</v>
      </c>
      <c r="J4809" t="s">
        <v>21</v>
      </c>
      <c r="K4809" t="s">
        <v>18</v>
      </c>
      <c r="L4809">
        <v>7</v>
      </c>
      <c r="M4809">
        <v>82.12</v>
      </c>
      <c r="N4809">
        <v>8844</v>
      </c>
      <c r="O4809">
        <v>1</v>
      </c>
    </row>
    <row r="4810" spans="1:15">
      <c r="A4810" t="s">
        <v>4836</v>
      </c>
      <c r="B4810" t="s">
        <v>24</v>
      </c>
      <c r="C4810">
        <v>1</v>
      </c>
      <c r="D4810">
        <v>13000145</v>
      </c>
      <c r="E4810">
        <v>1</v>
      </c>
      <c r="F4810">
        <v>5</v>
      </c>
      <c r="G4810">
        <v>571</v>
      </c>
      <c r="H4810">
        <v>69169480</v>
      </c>
      <c r="I4810">
        <v>956224</v>
      </c>
      <c r="J4810" t="s">
        <v>21</v>
      </c>
      <c r="K4810" t="s">
        <v>22</v>
      </c>
      <c r="L4810">
        <v>1</v>
      </c>
      <c r="M4810">
        <v>91.33</v>
      </c>
      <c r="N4810">
        <v>128588</v>
      </c>
      <c r="O4810">
        <v>1</v>
      </c>
    </row>
    <row r="4811" spans="1:15">
      <c r="A4811" t="s">
        <v>4837</v>
      </c>
      <c r="B4811" t="s">
        <v>38</v>
      </c>
      <c r="C4811">
        <v>9</v>
      </c>
      <c r="D4811">
        <v>9796124</v>
      </c>
      <c r="E4811">
        <v>4</v>
      </c>
      <c r="F4811">
        <v>9</v>
      </c>
      <c r="G4811">
        <v>214</v>
      </c>
      <c r="H4811">
        <v>62814979</v>
      </c>
      <c r="I4811">
        <v>942346</v>
      </c>
      <c r="J4811" t="s">
        <v>25</v>
      </c>
      <c r="K4811" t="s">
        <v>18</v>
      </c>
      <c r="L4811">
        <v>3</v>
      </c>
      <c r="M4811">
        <v>19.420000000000002</v>
      </c>
      <c r="N4811">
        <v>639940</v>
      </c>
      <c r="O4811">
        <v>1</v>
      </c>
    </row>
    <row r="4812" spans="1:15">
      <c r="A4812" t="s">
        <v>4838</v>
      </c>
      <c r="B4812" t="s">
        <v>16</v>
      </c>
      <c r="C4812">
        <v>10</v>
      </c>
      <c r="D4812">
        <v>15531418</v>
      </c>
      <c r="E4812">
        <v>4</v>
      </c>
      <c r="F4812">
        <v>19</v>
      </c>
      <c r="G4812">
        <v>267</v>
      </c>
      <c r="H4812">
        <v>31799856</v>
      </c>
      <c r="I4812">
        <v>227423</v>
      </c>
      <c r="J4812" t="s">
        <v>17</v>
      </c>
      <c r="K4812" t="s">
        <v>22</v>
      </c>
      <c r="L4812">
        <v>1</v>
      </c>
      <c r="M4812">
        <v>25.54</v>
      </c>
      <c r="N4812">
        <v>916718</v>
      </c>
      <c r="O4812">
        <v>1</v>
      </c>
    </row>
    <row r="4813" spans="1:15">
      <c r="A4813" t="s">
        <v>4839</v>
      </c>
      <c r="B4813" t="s">
        <v>38</v>
      </c>
      <c r="C4813">
        <v>10</v>
      </c>
      <c r="D4813">
        <v>33126657</v>
      </c>
      <c r="E4813">
        <v>3</v>
      </c>
      <c r="F4813">
        <v>9</v>
      </c>
      <c r="G4813">
        <v>944</v>
      </c>
      <c r="H4813">
        <v>36849372</v>
      </c>
      <c r="I4813">
        <v>337706</v>
      </c>
      <c r="J4813" t="s">
        <v>25</v>
      </c>
      <c r="K4813" t="s">
        <v>18</v>
      </c>
      <c r="L4813">
        <v>8</v>
      </c>
      <c r="M4813">
        <v>8.7799999999999994</v>
      </c>
      <c r="N4813">
        <v>195045</v>
      </c>
      <c r="O4813">
        <v>1</v>
      </c>
    </row>
    <row r="4814" spans="1:15">
      <c r="A4814" t="s">
        <v>4840</v>
      </c>
      <c r="B4814" t="s">
        <v>32</v>
      </c>
      <c r="C4814">
        <v>8</v>
      </c>
      <c r="D4814">
        <v>16119185</v>
      </c>
      <c r="E4814">
        <v>4</v>
      </c>
      <c r="F4814">
        <v>22</v>
      </c>
      <c r="G4814">
        <v>788</v>
      </c>
      <c r="H4814">
        <v>43364465</v>
      </c>
      <c r="I4814">
        <v>216085</v>
      </c>
      <c r="J4814" t="s">
        <v>25</v>
      </c>
      <c r="K4814" t="s">
        <v>18</v>
      </c>
      <c r="L4814">
        <v>6</v>
      </c>
      <c r="M4814">
        <v>34.630000000000003</v>
      </c>
      <c r="N4814">
        <v>349839</v>
      </c>
      <c r="O4814">
        <v>1</v>
      </c>
    </row>
    <row r="4815" spans="1:15">
      <c r="A4815" t="s">
        <v>4841</v>
      </c>
      <c r="B4815" t="s">
        <v>20</v>
      </c>
      <c r="C4815">
        <v>2</v>
      </c>
      <c r="D4815">
        <v>44998273</v>
      </c>
      <c r="E4815">
        <v>4</v>
      </c>
      <c r="F4815">
        <v>8</v>
      </c>
      <c r="G4815">
        <v>464</v>
      </c>
      <c r="H4815">
        <v>57131232</v>
      </c>
      <c r="I4815">
        <v>806762</v>
      </c>
      <c r="J4815" t="s">
        <v>25</v>
      </c>
      <c r="K4815" t="s">
        <v>22</v>
      </c>
      <c r="L4815">
        <v>2</v>
      </c>
      <c r="M4815">
        <v>87.88</v>
      </c>
      <c r="N4815">
        <v>46560</v>
      </c>
      <c r="O4815">
        <v>1</v>
      </c>
    </row>
    <row r="4816" spans="1:15">
      <c r="A4816" t="s">
        <v>4842</v>
      </c>
      <c r="B4816" t="s">
        <v>27</v>
      </c>
      <c r="C4816">
        <v>10</v>
      </c>
      <c r="D4816">
        <v>8605551</v>
      </c>
      <c r="E4816">
        <v>1</v>
      </c>
      <c r="F4816">
        <v>21</v>
      </c>
      <c r="G4816">
        <v>869</v>
      </c>
      <c r="H4816">
        <v>93034943</v>
      </c>
      <c r="I4816">
        <v>942954</v>
      </c>
      <c r="J4816" t="s">
        <v>25</v>
      </c>
      <c r="K4816" t="s">
        <v>30</v>
      </c>
      <c r="L4816">
        <v>6</v>
      </c>
      <c r="M4816">
        <v>9.73</v>
      </c>
      <c r="N4816">
        <v>449425</v>
      </c>
      <c r="O4816">
        <v>1</v>
      </c>
    </row>
    <row r="4817" spans="1:15">
      <c r="A4817" t="s">
        <v>4843</v>
      </c>
      <c r="B4817" t="s">
        <v>16</v>
      </c>
      <c r="C4817">
        <v>7</v>
      </c>
      <c r="D4817">
        <v>36997980</v>
      </c>
      <c r="E4817">
        <v>1</v>
      </c>
      <c r="F4817">
        <v>21</v>
      </c>
      <c r="G4817">
        <v>648</v>
      </c>
      <c r="H4817">
        <v>98605935</v>
      </c>
      <c r="I4817">
        <v>968988</v>
      </c>
      <c r="J4817" t="s">
        <v>21</v>
      </c>
      <c r="K4817" t="s">
        <v>18</v>
      </c>
      <c r="L4817">
        <v>5</v>
      </c>
      <c r="M4817">
        <v>42.59</v>
      </c>
      <c r="N4817">
        <v>780064</v>
      </c>
      <c r="O4817">
        <v>1</v>
      </c>
    </row>
    <row r="4818" spans="1:15">
      <c r="A4818" t="s">
        <v>4844</v>
      </c>
      <c r="B4818" t="s">
        <v>32</v>
      </c>
      <c r="C4818">
        <v>14</v>
      </c>
      <c r="D4818">
        <v>27522276</v>
      </c>
      <c r="E4818">
        <v>1</v>
      </c>
      <c r="F4818">
        <v>24</v>
      </c>
      <c r="G4818">
        <v>515</v>
      </c>
      <c r="H4818">
        <v>39322881</v>
      </c>
      <c r="I4818">
        <v>229919</v>
      </c>
      <c r="J4818" t="s">
        <v>25</v>
      </c>
      <c r="K4818" t="s">
        <v>22</v>
      </c>
      <c r="L4818">
        <v>8</v>
      </c>
      <c r="M4818">
        <v>12.79</v>
      </c>
      <c r="N4818">
        <v>964840</v>
      </c>
      <c r="O4818">
        <v>1</v>
      </c>
    </row>
    <row r="4819" spans="1:15">
      <c r="A4819" t="s">
        <v>4845</v>
      </c>
      <c r="B4819" t="s">
        <v>27</v>
      </c>
      <c r="C4819">
        <v>12</v>
      </c>
      <c r="D4819">
        <v>27212134</v>
      </c>
      <c r="E4819">
        <v>4</v>
      </c>
      <c r="F4819">
        <v>5</v>
      </c>
      <c r="G4819">
        <v>788</v>
      </c>
      <c r="H4819">
        <v>70707356</v>
      </c>
      <c r="I4819">
        <v>805930</v>
      </c>
      <c r="J4819" t="s">
        <v>17</v>
      </c>
      <c r="K4819" t="s">
        <v>22</v>
      </c>
      <c r="L4819">
        <v>1</v>
      </c>
      <c r="M4819">
        <v>57.94</v>
      </c>
      <c r="N4819">
        <v>652558</v>
      </c>
      <c r="O4819">
        <v>1</v>
      </c>
    </row>
    <row r="4820" spans="1:15">
      <c r="A4820" t="s">
        <v>4846</v>
      </c>
      <c r="B4820" t="s">
        <v>24</v>
      </c>
      <c r="C4820">
        <v>9</v>
      </c>
      <c r="D4820">
        <v>15406775</v>
      </c>
      <c r="E4820">
        <v>1</v>
      </c>
      <c r="F4820">
        <v>5</v>
      </c>
      <c r="G4820">
        <v>305</v>
      </c>
      <c r="H4820">
        <v>68629410</v>
      </c>
      <c r="I4820">
        <v>967570</v>
      </c>
      <c r="J4820" t="s">
        <v>21</v>
      </c>
      <c r="K4820" t="s">
        <v>30</v>
      </c>
      <c r="L4820">
        <v>7</v>
      </c>
      <c r="M4820">
        <v>25.75</v>
      </c>
      <c r="N4820">
        <v>805860</v>
      </c>
      <c r="O4820">
        <v>1</v>
      </c>
    </row>
    <row r="4821" spans="1:15">
      <c r="A4821" t="s">
        <v>4847</v>
      </c>
      <c r="B4821" t="s">
        <v>32</v>
      </c>
      <c r="C4821">
        <v>11</v>
      </c>
      <c r="D4821">
        <v>34213460</v>
      </c>
      <c r="E4821">
        <v>1</v>
      </c>
      <c r="F4821">
        <v>7</v>
      </c>
      <c r="G4821">
        <v>647</v>
      </c>
      <c r="H4821">
        <v>92957130</v>
      </c>
      <c r="I4821">
        <v>716190</v>
      </c>
      <c r="J4821" t="s">
        <v>17</v>
      </c>
      <c r="K4821" t="s">
        <v>30</v>
      </c>
      <c r="L4821">
        <v>8</v>
      </c>
      <c r="M4821">
        <v>66.05</v>
      </c>
      <c r="N4821">
        <v>554890</v>
      </c>
      <c r="O4821">
        <v>1</v>
      </c>
    </row>
    <row r="4822" spans="1:15">
      <c r="A4822" t="s">
        <v>4848</v>
      </c>
      <c r="B4822" t="s">
        <v>27</v>
      </c>
      <c r="C4822">
        <v>7</v>
      </c>
      <c r="D4822">
        <v>2077959</v>
      </c>
      <c r="E4822">
        <v>3</v>
      </c>
      <c r="F4822">
        <v>2</v>
      </c>
      <c r="G4822">
        <v>286</v>
      </c>
      <c r="H4822">
        <v>3217539</v>
      </c>
      <c r="I4822">
        <v>102227</v>
      </c>
      <c r="J4822" t="s">
        <v>21</v>
      </c>
      <c r="K4822" t="s">
        <v>18</v>
      </c>
      <c r="L4822">
        <v>2</v>
      </c>
      <c r="M4822">
        <v>81.790000000000006</v>
      </c>
      <c r="N4822">
        <v>700393</v>
      </c>
      <c r="O4822">
        <v>1</v>
      </c>
    </row>
    <row r="4823" spans="1:15">
      <c r="A4823" t="s">
        <v>4849</v>
      </c>
      <c r="B4823" t="s">
        <v>32</v>
      </c>
      <c r="C4823">
        <v>7</v>
      </c>
      <c r="D4823">
        <v>4425427</v>
      </c>
      <c r="E4823">
        <v>2</v>
      </c>
      <c r="F4823">
        <v>29</v>
      </c>
      <c r="G4823">
        <v>82</v>
      </c>
      <c r="H4823">
        <v>3709454</v>
      </c>
      <c r="I4823">
        <v>251163</v>
      </c>
      <c r="J4823" t="s">
        <v>21</v>
      </c>
      <c r="K4823" t="s">
        <v>18</v>
      </c>
      <c r="L4823">
        <v>1</v>
      </c>
      <c r="M4823">
        <v>83.31</v>
      </c>
      <c r="N4823">
        <v>426789</v>
      </c>
      <c r="O4823">
        <v>1</v>
      </c>
    </row>
    <row r="4824" spans="1:15">
      <c r="A4824" t="s">
        <v>4850</v>
      </c>
      <c r="B4824" t="s">
        <v>38</v>
      </c>
      <c r="C4824">
        <v>5</v>
      </c>
      <c r="D4824">
        <v>17442152</v>
      </c>
      <c r="E4824">
        <v>1</v>
      </c>
      <c r="F4824">
        <v>20</v>
      </c>
      <c r="G4824">
        <v>854</v>
      </c>
      <c r="H4824">
        <v>3354509</v>
      </c>
      <c r="I4824">
        <v>992325</v>
      </c>
      <c r="J4824" t="s">
        <v>17</v>
      </c>
      <c r="K4824" t="s">
        <v>22</v>
      </c>
      <c r="L4824">
        <v>8</v>
      </c>
      <c r="M4824">
        <v>25.84</v>
      </c>
      <c r="N4824">
        <v>451185</v>
      </c>
      <c r="O4824">
        <v>1</v>
      </c>
    </row>
    <row r="4825" spans="1:15">
      <c r="A4825" t="s">
        <v>4851</v>
      </c>
      <c r="B4825" t="s">
        <v>20</v>
      </c>
      <c r="C4825">
        <v>8</v>
      </c>
      <c r="D4825">
        <v>18348108</v>
      </c>
      <c r="E4825">
        <v>4</v>
      </c>
      <c r="F4825">
        <v>11</v>
      </c>
      <c r="G4825">
        <v>634</v>
      </c>
      <c r="H4825">
        <v>62435253</v>
      </c>
      <c r="I4825">
        <v>517101</v>
      </c>
      <c r="J4825" t="s">
        <v>17</v>
      </c>
      <c r="K4825" t="s">
        <v>30</v>
      </c>
      <c r="L4825">
        <v>8</v>
      </c>
      <c r="M4825">
        <v>49.63</v>
      </c>
      <c r="N4825">
        <v>729895</v>
      </c>
      <c r="O4825">
        <v>1</v>
      </c>
    </row>
    <row r="4826" spans="1:15">
      <c r="A4826" t="s">
        <v>4852</v>
      </c>
      <c r="B4826" t="s">
        <v>27</v>
      </c>
      <c r="C4826">
        <v>11</v>
      </c>
      <c r="D4826">
        <v>31674158</v>
      </c>
      <c r="E4826">
        <v>3</v>
      </c>
      <c r="F4826">
        <v>2</v>
      </c>
      <c r="G4826">
        <v>650</v>
      </c>
      <c r="H4826">
        <v>60101710</v>
      </c>
      <c r="I4826">
        <v>807898</v>
      </c>
      <c r="J4826" t="s">
        <v>21</v>
      </c>
      <c r="K4826" t="s">
        <v>30</v>
      </c>
      <c r="L4826">
        <v>6</v>
      </c>
      <c r="M4826">
        <v>89.19</v>
      </c>
      <c r="N4826">
        <v>312822</v>
      </c>
      <c r="O4826">
        <v>1</v>
      </c>
    </row>
    <row r="4827" spans="1:15">
      <c r="A4827" t="s">
        <v>4853</v>
      </c>
      <c r="B4827" t="s">
        <v>24</v>
      </c>
      <c r="C4827">
        <v>11</v>
      </c>
      <c r="D4827">
        <v>12166519</v>
      </c>
      <c r="E4827">
        <v>3</v>
      </c>
      <c r="F4827">
        <v>28</v>
      </c>
      <c r="G4827">
        <v>36</v>
      </c>
      <c r="H4827">
        <v>22022864</v>
      </c>
      <c r="I4827">
        <v>871481</v>
      </c>
      <c r="J4827" t="s">
        <v>25</v>
      </c>
      <c r="K4827" t="s">
        <v>30</v>
      </c>
      <c r="L4827">
        <v>7</v>
      </c>
      <c r="M4827">
        <v>97.61</v>
      </c>
      <c r="N4827">
        <v>534771</v>
      </c>
      <c r="O4827">
        <v>1</v>
      </c>
    </row>
    <row r="4828" spans="1:15">
      <c r="A4828" t="s">
        <v>4854</v>
      </c>
      <c r="B4828" t="s">
        <v>27</v>
      </c>
      <c r="C4828">
        <v>11</v>
      </c>
      <c r="D4828">
        <v>48192108</v>
      </c>
      <c r="E4828">
        <v>3</v>
      </c>
      <c r="F4828">
        <v>3</v>
      </c>
      <c r="G4828">
        <v>248</v>
      </c>
      <c r="H4828">
        <v>28267386</v>
      </c>
      <c r="I4828">
        <v>769826</v>
      </c>
      <c r="J4828" t="s">
        <v>25</v>
      </c>
      <c r="K4828" t="s">
        <v>30</v>
      </c>
      <c r="L4828">
        <v>1</v>
      </c>
      <c r="M4828">
        <v>20.12</v>
      </c>
      <c r="N4828">
        <v>921203</v>
      </c>
      <c r="O4828">
        <v>1</v>
      </c>
    </row>
    <row r="4829" spans="1:15">
      <c r="A4829" t="s">
        <v>4855</v>
      </c>
      <c r="B4829" t="s">
        <v>38</v>
      </c>
      <c r="C4829">
        <v>7</v>
      </c>
      <c r="D4829">
        <v>38090258</v>
      </c>
      <c r="E4829">
        <v>2</v>
      </c>
      <c r="F4829">
        <v>13</v>
      </c>
      <c r="G4829">
        <v>49</v>
      </c>
      <c r="H4829">
        <v>90370005</v>
      </c>
      <c r="I4829">
        <v>468389</v>
      </c>
      <c r="J4829" t="s">
        <v>21</v>
      </c>
      <c r="K4829" t="s">
        <v>18</v>
      </c>
      <c r="L4829">
        <v>9</v>
      </c>
      <c r="M4829">
        <v>37.6</v>
      </c>
      <c r="N4829">
        <v>345598</v>
      </c>
      <c r="O4829">
        <v>1</v>
      </c>
    </row>
    <row r="4830" spans="1:15">
      <c r="A4830" t="s">
        <v>4856</v>
      </c>
      <c r="B4830" t="s">
        <v>32</v>
      </c>
      <c r="C4830">
        <v>0</v>
      </c>
      <c r="D4830">
        <v>16662819</v>
      </c>
      <c r="E4830">
        <v>3</v>
      </c>
      <c r="F4830">
        <v>4</v>
      </c>
      <c r="G4830">
        <v>123</v>
      </c>
      <c r="H4830">
        <v>37106346</v>
      </c>
      <c r="I4830">
        <v>307235</v>
      </c>
      <c r="J4830" t="s">
        <v>17</v>
      </c>
      <c r="K4830" t="s">
        <v>22</v>
      </c>
      <c r="L4830">
        <v>1</v>
      </c>
      <c r="M4830">
        <v>82.39</v>
      </c>
      <c r="N4830">
        <v>25723</v>
      </c>
      <c r="O4830">
        <v>1</v>
      </c>
    </row>
    <row r="4831" spans="1:15">
      <c r="A4831" t="s">
        <v>4857</v>
      </c>
      <c r="B4831" t="s">
        <v>16</v>
      </c>
      <c r="C4831">
        <v>11</v>
      </c>
      <c r="D4831">
        <v>29076100</v>
      </c>
      <c r="E4831">
        <v>3</v>
      </c>
      <c r="F4831">
        <v>12</v>
      </c>
      <c r="G4831">
        <v>940</v>
      </c>
      <c r="H4831">
        <v>49596662</v>
      </c>
      <c r="I4831">
        <v>775937</v>
      </c>
      <c r="J4831" t="s">
        <v>21</v>
      </c>
      <c r="K4831" t="s">
        <v>30</v>
      </c>
      <c r="L4831">
        <v>5</v>
      </c>
      <c r="M4831">
        <v>9.9499999999999993</v>
      </c>
      <c r="N4831">
        <v>397812</v>
      </c>
      <c r="O4831">
        <v>1</v>
      </c>
    </row>
    <row r="4832" spans="1:15">
      <c r="A4832" t="s">
        <v>4858</v>
      </c>
      <c r="B4832" t="s">
        <v>24</v>
      </c>
      <c r="C4832">
        <v>9</v>
      </c>
      <c r="D4832">
        <v>40939402</v>
      </c>
      <c r="E4832">
        <v>2</v>
      </c>
      <c r="F4832">
        <v>12</v>
      </c>
      <c r="G4832">
        <v>674</v>
      </c>
      <c r="H4832">
        <v>88757294</v>
      </c>
      <c r="I4832">
        <v>265257</v>
      </c>
      <c r="J4832" t="s">
        <v>17</v>
      </c>
      <c r="K4832" t="s">
        <v>22</v>
      </c>
      <c r="L4832">
        <v>6</v>
      </c>
      <c r="M4832">
        <v>52.6</v>
      </c>
      <c r="N4832">
        <v>36596</v>
      </c>
      <c r="O4832">
        <v>1</v>
      </c>
    </row>
    <row r="4833" spans="1:15">
      <c r="A4833" t="s">
        <v>4859</v>
      </c>
      <c r="B4833" t="s">
        <v>16</v>
      </c>
      <c r="C4833">
        <v>12</v>
      </c>
      <c r="D4833">
        <v>37821945</v>
      </c>
      <c r="E4833">
        <v>2</v>
      </c>
      <c r="F4833">
        <v>13</v>
      </c>
      <c r="G4833">
        <v>467</v>
      </c>
      <c r="H4833">
        <v>35034608</v>
      </c>
      <c r="I4833">
        <v>801326</v>
      </c>
      <c r="J4833" t="s">
        <v>21</v>
      </c>
      <c r="K4833" t="s">
        <v>30</v>
      </c>
      <c r="L4833">
        <v>8</v>
      </c>
      <c r="M4833">
        <v>97.12</v>
      </c>
      <c r="N4833">
        <v>785420</v>
      </c>
      <c r="O4833">
        <v>1</v>
      </c>
    </row>
    <row r="4834" spans="1:15">
      <c r="A4834" t="s">
        <v>4860</v>
      </c>
      <c r="B4834" t="s">
        <v>32</v>
      </c>
      <c r="C4834">
        <v>14</v>
      </c>
      <c r="D4834">
        <v>36225608</v>
      </c>
      <c r="E4834">
        <v>3</v>
      </c>
      <c r="F4834">
        <v>16</v>
      </c>
      <c r="G4834">
        <v>574</v>
      </c>
      <c r="H4834">
        <v>79540124</v>
      </c>
      <c r="I4834">
        <v>198533</v>
      </c>
      <c r="J4834" t="s">
        <v>21</v>
      </c>
      <c r="K4834" t="s">
        <v>22</v>
      </c>
      <c r="L4834">
        <v>2</v>
      </c>
      <c r="M4834">
        <v>3.98</v>
      </c>
      <c r="N4834">
        <v>726308</v>
      </c>
      <c r="O4834">
        <v>1</v>
      </c>
    </row>
    <row r="4835" spans="1:15">
      <c r="A4835" t="s">
        <v>4861</v>
      </c>
      <c r="B4835" t="s">
        <v>29</v>
      </c>
      <c r="C4835">
        <v>9</v>
      </c>
      <c r="D4835">
        <v>40060746</v>
      </c>
      <c r="E4835">
        <v>2</v>
      </c>
      <c r="F4835">
        <v>0</v>
      </c>
      <c r="G4835">
        <v>468</v>
      </c>
      <c r="H4835">
        <v>32657524</v>
      </c>
      <c r="I4835">
        <v>833589</v>
      </c>
      <c r="J4835" t="s">
        <v>17</v>
      </c>
      <c r="K4835" t="s">
        <v>18</v>
      </c>
      <c r="L4835">
        <v>8</v>
      </c>
      <c r="M4835">
        <v>35.65</v>
      </c>
      <c r="N4835">
        <v>332710</v>
      </c>
      <c r="O4835">
        <v>1</v>
      </c>
    </row>
    <row r="4836" spans="1:15">
      <c r="A4836" t="s">
        <v>4862</v>
      </c>
      <c r="B4836" t="s">
        <v>27</v>
      </c>
      <c r="C4836">
        <v>7</v>
      </c>
      <c r="D4836">
        <v>43482713</v>
      </c>
      <c r="E4836">
        <v>3</v>
      </c>
      <c r="F4836">
        <v>21</v>
      </c>
      <c r="G4836">
        <v>177</v>
      </c>
      <c r="H4836">
        <v>37642178</v>
      </c>
      <c r="I4836">
        <v>297879</v>
      </c>
      <c r="J4836" t="s">
        <v>21</v>
      </c>
      <c r="K4836" t="s">
        <v>30</v>
      </c>
      <c r="L4836">
        <v>3</v>
      </c>
      <c r="M4836">
        <v>61.49</v>
      </c>
      <c r="N4836">
        <v>403066</v>
      </c>
      <c r="O4836">
        <v>1</v>
      </c>
    </row>
    <row r="4837" spans="1:15">
      <c r="A4837" t="s">
        <v>4863</v>
      </c>
      <c r="B4837" t="s">
        <v>16</v>
      </c>
      <c r="C4837">
        <v>7</v>
      </c>
      <c r="D4837">
        <v>1403672</v>
      </c>
      <c r="E4837">
        <v>4</v>
      </c>
      <c r="F4837">
        <v>20</v>
      </c>
      <c r="G4837">
        <v>329</v>
      </c>
      <c r="H4837">
        <v>61148068</v>
      </c>
      <c r="I4837">
        <v>621093</v>
      </c>
      <c r="J4837" t="s">
        <v>21</v>
      </c>
      <c r="K4837" t="s">
        <v>22</v>
      </c>
      <c r="L4837">
        <v>9</v>
      </c>
      <c r="M4837">
        <v>34.58</v>
      </c>
      <c r="N4837">
        <v>714221</v>
      </c>
      <c r="O4837">
        <v>1</v>
      </c>
    </row>
    <row r="4838" spans="1:15">
      <c r="A4838" t="s">
        <v>4864</v>
      </c>
      <c r="B4838" t="s">
        <v>38</v>
      </c>
      <c r="C4838">
        <v>9</v>
      </c>
      <c r="D4838">
        <v>44351616</v>
      </c>
      <c r="E4838">
        <v>3</v>
      </c>
      <c r="F4838">
        <v>1</v>
      </c>
      <c r="G4838">
        <v>11</v>
      </c>
      <c r="H4838">
        <v>99996630</v>
      </c>
      <c r="I4838">
        <v>379808</v>
      </c>
      <c r="J4838" t="s">
        <v>21</v>
      </c>
      <c r="K4838" t="s">
        <v>18</v>
      </c>
      <c r="L4838">
        <v>4</v>
      </c>
      <c r="M4838">
        <v>16.850000000000001</v>
      </c>
      <c r="N4838">
        <v>212775</v>
      </c>
      <c r="O4838">
        <v>1</v>
      </c>
    </row>
    <row r="4839" spans="1:15">
      <c r="A4839" t="s">
        <v>4865</v>
      </c>
      <c r="B4839" t="s">
        <v>16</v>
      </c>
      <c r="C4839">
        <v>7</v>
      </c>
      <c r="D4839">
        <v>10553510</v>
      </c>
      <c r="E4839">
        <v>2</v>
      </c>
      <c r="F4839">
        <v>5</v>
      </c>
      <c r="G4839">
        <v>864</v>
      </c>
      <c r="H4839">
        <v>24135244</v>
      </c>
      <c r="I4839">
        <v>661949</v>
      </c>
      <c r="J4839" t="s">
        <v>25</v>
      </c>
      <c r="K4839" t="s">
        <v>30</v>
      </c>
      <c r="L4839">
        <v>9</v>
      </c>
      <c r="M4839">
        <v>92.73</v>
      </c>
      <c r="N4839">
        <v>754303</v>
      </c>
      <c r="O4839">
        <v>1</v>
      </c>
    </row>
    <row r="4840" spans="1:15">
      <c r="A4840" t="s">
        <v>4866</v>
      </c>
      <c r="B4840" t="s">
        <v>20</v>
      </c>
      <c r="C4840">
        <v>1</v>
      </c>
      <c r="D4840">
        <v>34091863</v>
      </c>
      <c r="E4840">
        <v>2</v>
      </c>
      <c r="F4840">
        <v>27</v>
      </c>
      <c r="G4840">
        <v>441</v>
      </c>
      <c r="H4840">
        <v>26478621</v>
      </c>
      <c r="I4840">
        <v>387609</v>
      </c>
      <c r="J4840" t="s">
        <v>25</v>
      </c>
      <c r="K4840" t="s">
        <v>18</v>
      </c>
      <c r="L4840">
        <v>1</v>
      </c>
      <c r="M4840">
        <v>7.62</v>
      </c>
      <c r="N4840">
        <v>62525</v>
      </c>
      <c r="O4840">
        <v>1</v>
      </c>
    </row>
    <row r="4841" spans="1:15">
      <c r="A4841" t="s">
        <v>4867</v>
      </c>
      <c r="B4841" t="s">
        <v>24</v>
      </c>
      <c r="C4841">
        <v>0</v>
      </c>
      <c r="D4841">
        <v>49625538</v>
      </c>
      <c r="E4841">
        <v>3</v>
      </c>
      <c r="F4841">
        <v>4</v>
      </c>
      <c r="G4841">
        <v>371</v>
      </c>
      <c r="H4841">
        <v>31274861</v>
      </c>
      <c r="I4841">
        <v>21027</v>
      </c>
      <c r="J4841" t="s">
        <v>25</v>
      </c>
      <c r="K4841" t="s">
        <v>22</v>
      </c>
      <c r="L4841">
        <v>5</v>
      </c>
      <c r="M4841">
        <v>0.28999999999999998</v>
      </c>
      <c r="N4841">
        <v>299088</v>
      </c>
      <c r="O4841">
        <v>1</v>
      </c>
    </row>
    <row r="4842" spans="1:15">
      <c r="A4842" t="s">
        <v>4868</v>
      </c>
      <c r="B4842" t="s">
        <v>20</v>
      </c>
      <c r="C4842">
        <v>5</v>
      </c>
      <c r="D4842">
        <v>19416590</v>
      </c>
      <c r="E4842">
        <v>1</v>
      </c>
      <c r="F4842">
        <v>18</v>
      </c>
      <c r="G4842">
        <v>982</v>
      </c>
      <c r="H4842">
        <v>80861885</v>
      </c>
      <c r="I4842">
        <v>424816</v>
      </c>
      <c r="J4842" t="s">
        <v>21</v>
      </c>
      <c r="K4842" t="s">
        <v>18</v>
      </c>
      <c r="L4842">
        <v>2</v>
      </c>
      <c r="M4842">
        <v>19.329999999999998</v>
      </c>
      <c r="N4842">
        <v>878821</v>
      </c>
      <c r="O4842">
        <v>1</v>
      </c>
    </row>
    <row r="4843" spans="1:15">
      <c r="A4843" t="s">
        <v>4869</v>
      </c>
      <c r="B4843" t="s">
        <v>38</v>
      </c>
      <c r="C4843">
        <v>5</v>
      </c>
      <c r="D4843">
        <v>46856326</v>
      </c>
      <c r="E4843">
        <v>4</v>
      </c>
      <c r="F4843">
        <v>0</v>
      </c>
      <c r="G4843">
        <v>601</v>
      </c>
      <c r="H4843">
        <v>254996</v>
      </c>
      <c r="I4843">
        <v>368001</v>
      </c>
      <c r="J4843" t="s">
        <v>25</v>
      </c>
      <c r="K4843" t="s">
        <v>18</v>
      </c>
      <c r="L4843">
        <v>8</v>
      </c>
      <c r="M4843">
        <v>53.52</v>
      </c>
      <c r="N4843">
        <v>963430</v>
      </c>
      <c r="O4843">
        <v>1</v>
      </c>
    </row>
    <row r="4844" spans="1:15">
      <c r="A4844" t="s">
        <v>4870</v>
      </c>
      <c r="B4844" t="s">
        <v>32</v>
      </c>
      <c r="C4844">
        <v>6</v>
      </c>
      <c r="D4844">
        <v>15997533</v>
      </c>
      <c r="E4844">
        <v>3</v>
      </c>
      <c r="F4844">
        <v>7</v>
      </c>
      <c r="G4844">
        <v>198</v>
      </c>
      <c r="H4844">
        <v>91689286</v>
      </c>
      <c r="I4844">
        <v>454096</v>
      </c>
      <c r="J4844" t="s">
        <v>17</v>
      </c>
      <c r="K4844" t="s">
        <v>18</v>
      </c>
      <c r="L4844">
        <v>3</v>
      </c>
      <c r="M4844">
        <v>65.540000000000006</v>
      </c>
      <c r="N4844">
        <v>913257</v>
      </c>
      <c r="O4844">
        <v>1</v>
      </c>
    </row>
    <row r="4845" spans="1:15">
      <c r="A4845" t="s">
        <v>4871</v>
      </c>
      <c r="B4845" t="s">
        <v>20</v>
      </c>
      <c r="C4845">
        <v>7</v>
      </c>
      <c r="D4845">
        <v>39303261</v>
      </c>
      <c r="E4845">
        <v>4</v>
      </c>
      <c r="F4845">
        <v>2</v>
      </c>
      <c r="G4845">
        <v>446</v>
      </c>
      <c r="H4845">
        <v>59158767</v>
      </c>
      <c r="I4845">
        <v>957082</v>
      </c>
      <c r="J4845" t="s">
        <v>21</v>
      </c>
      <c r="K4845" t="s">
        <v>22</v>
      </c>
      <c r="L4845">
        <v>1</v>
      </c>
      <c r="M4845">
        <v>63.24</v>
      </c>
      <c r="N4845">
        <v>79283</v>
      </c>
      <c r="O4845">
        <v>1</v>
      </c>
    </row>
    <row r="4846" spans="1:15">
      <c r="A4846" t="s">
        <v>4872</v>
      </c>
      <c r="B4846" t="s">
        <v>20</v>
      </c>
      <c r="C4846">
        <v>5</v>
      </c>
      <c r="D4846">
        <v>3893469</v>
      </c>
      <c r="E4846">
        <v>4</v>
      </c>
      <c r="F4846">
        <v>1</v>
      </c>
      <c r="G4846">
        <v>636</v>
      </c>
      <c r="H4846">
        <v>96005887</v>
      </c>
      <c r="I4846">
        <v>919059</v>
      </c>
      <c r="J4846" t="s">
        <v>25</v>
      </c>
      <c r="K4846" t="s">
        <v>30</v>
      </c>
      <c r="L4846">
        <v>1</v>
      </c>
      <c r="M4846">
        <v>26.21</v>
      </c>
      <c r="N4846">
        <v>839086</v>
      </c>
      <c r="O4846">
        <v>1</v>
      </c>
    </row>
    <row r="4847" spans="1:15">
      <c r="A4847" t="s">
        <v>4873</v>
      </c>
      <c r="B4847" t="s">
        <v>16</v>
      </c>
      <c r="C4847">
        <v>9</v>
      </c>
      <c r="D4847">
        <v>25880787</v>
      </c>
      <c r="E4847">
        <v>2</v>
      </c>
      <c r="F4847">
        <v>28</v>
      </c>
      <c r="G4847">
        <v>547</v>
      </c>
      <c r="H4847">
        <v>95243795</v>
      </c>
      <c r="I4847">
        <v>425090</v>
      </c>
      <c r="J4847" t="s">
        <v>21</v>
      </c>
      <c r="K4847" t="s">
        <v>18</v>
      </c>
      <c r="L4847">
        <v>2</v>
      </c>
      <c r="M4847">
        <v>95.29</v>
      </c>
      <c r="N4847">
        <v>929847</v>
      </c>
      <c r="O4847">
        <v>1</v>
      </c>
    </row>
    <row r="4848" spans="1:15">
      <c r="A4848" t="s">
        <v>4874</v>
      </c>
      <c r="B4848" t="s">
        <v>20</v>
      </c>
      <c r="C4848">
        <v>11</v>
      </c>
      <c r="D4848">
        <v>30167789</v>
      </c>
      <c r="E4848">
        <v>2</v>
      </c>
      <c r="F4848">
        <v>25</v>
      </c>
      <c r="G4848">
        <v>603</v>
      </c>
      <c r="H4848">
        <v>11260368</v>
      </c>
      <c r="I4848">
        <v>994264</v>
      </c>
      <c r="J4848" t="s">
        <v>17</v>
      </c>
      <c r="K4848" t="s">
        <v>22</v>
      </c>
      <c r="L4848">
        <v>6</v>
      </c>
      <c r="M4848">
        <v>38.729999999999997</v>
      </c>
      <c r="N4848">
        <v>591391</v>
      </c>
      <c r="O4848">
        <v>1</v>
      </c>
    </row>
    <row r="4849" spans="1:15">
      <c r="A4849" t="s">
        <v>4875</v>
      </c>
      <c r="B4849" t="s">
        <v>27</v>
      </c>
      <c r="C4849">
        <v>13</v>
      </c>
      <c r="D4849">
        <v>10666588</v>
      </c>
      <c r="E4849">
        <v>1</v>
      </c>
      <c r="F4849">
        <v>2</v>
      </c>
      <c r="G4849">
        <v>865</v>
      </c>
      <c r="H4849">
        <v>4258416</v>
      </c>
      <c r="I4849">
        <v>383888</v>
      </c>
      <c r="J4849" t="s">
        <v>21</v>
      </c>
      <c r="K4849" t="s">
        <v>30</v>
      </c>
      <c r="L4849">
        <v>5</v>
      </c>
      <c r="M4849">
        <v>80.13</v>
      </c>
      <c r="N4849">
        <v>735483</v>
      </c>
      <c r="O4849">
        <v>1</v>
      </c>
    </row>
    <row r="4850" spans="1:15">
      <c r="A4850" t="s">
        <v>4876</v>
      </c>
      <c r="B4850" t="s">
        <v>20</v>
      </c>
      <c r="C4850">
        <v>9</v>
      </c>
      <c r="D4850">
        <v>29415620</v>
      </c>
      <c r="E4850">
        <v>4</v>
      </c>
      <c r="F4850">
        <v>21</v>
      </c>
      <c r="G4850">
        <v>342</v>
      </c>
      <c r="H4850">
        <v>69808250</v>
      </c>
      <c r="I4850">
        <v>340457</v>
      </c>
      <c r="J4850" t="s">
        <v>17</v>
      </c>
      <c r="K4850" t="s">
        <v>30</v>
      </c>
      <c r="L4850">
        <v>1</v>
      </c>
      <c r="M4850">
        <v>54.93</v>
      </c>
      <c r="N4850">
        <v>475799</v>
      </c>
      <c r="O4850">
        <v>1</v>
      </c>
    </row>
    <row r="4851" spans="1:15">
      <c r="A4851" t="s">
        <v>4877</v>
      </c>
      <c r="B4851" t="s">
        <v>27</v>
      </c>
      <c r="C4851">
        <v>10</v>
      </c>
      <c r="D4851">
        <v>4827572</v>
      </c>
      <c r="E4851">
        <v>3</v>
      </c>
      <c r="F4851">
        <v>23</v>
      </c>
      <c r="G4851">
        <v>391</v>
      </c>
      <c r="H4851">
        <v>18455445</v>
      </c>
      <c r="I4851">
        <v>244418</v>
      </c>
      <c r="J4851" t="s">
        <v>17</v>
      </c>
      <c r="K4851" t="s">
        <v>18</v>
      </c>
      <c r="L4851">
        <v>7</v>
      </c>
      <c r="M4851">
        <v>50.67</v>
      </c>
      <c r="N4851">
        <v>503555</v>
      </c>
      <c r="O4851">
        <v>1</v>
      </c>
    </row>
    <row r="4852" spans="1:15">
      <c r="A4852" t="s">
        <v>4878</v>
      </c>
      <c r="B4852" t="s">
        <v>29</v>
      </c>
      <c r="C4852">
        <v>12</v>
      </c>
      <c r="D4852">
        <v>15208323</v>
      </c>
      <c r="E4852">
        <v>3</v>
      </c>
      <c r="F4852">
        <v>3</v>
      </c>
      <c r="G4852">
        <v>851</v>
      </c>
      <c r="H4852">
        <v>99268137</v>
      </c>
      <c r="I4852">
        <v>313457</v>
      </c>
      <c r="J4852" t="s">
        <v>25</v>
      </c>
      <c r="K4852" t="s">
        <v>30</v>
      </c>
      <c r="L4852">
        <v>2</v>
      </c>
      <c r="M4852">
        <v>97.42</v>
      </c>
      <c r="N4852">
        <v>279668</v>
      </c>
      <c r="O4852">
        <v>1</v>
      </c>
    </row>
    <row r="4853" spans="1:15">
      <c r="A4853" t="s">
        <v>4879</v>
      </c>
      <c r="B4853" t="s">
        <v>27</v>
      </c>
      <c r="C4853">
        <v>11</v>
      </c>
      <c r="D4853">
        <v>14955883</v>
      </c>
      <c r="E4853">
        <v>4</v>
      </c>
      <c r="F4853">
        <v>18</v>
      </c>
      <c r="G4853">
        <v>925</v>
      </c>
      <c r="H4853">
        <v>26865233</v>
      </c>
      <c r="I4853">
        <v>206469</v>
      </c>
      <c r="J4853" t="s">
        <v>21</v>
      </c>
      <c r="K4853" t="s">
        <v>22</v>
      </c>
      <c r="L4853">
        <v>4</v>
      </c>
      <c r="M4853">
        <v>6.2</v>
      </c>
      <c r="N4853">
        <v>216836</v>
      </c>
      <c r="O4853">
        <v>1</v>
      </c>
    </row>
    <row r="4854" spans="1:15">
      <c r="A4854" t="s">
        <v>4880</v>
      </c>
      <c r="B4854" t="s">
        <v>38</v>
      </c>
      <c r="C4854">
        <v>14</v>
      </c>
      <c r="D4854">
        <v>41833123</v>
      </c>
      <c r="E4854">
        <v>3</v>
      </c>
      <c r="F4854">
        <v>18</v>
      </c>
      <c r="G4854">
        <v>290</v>
      </c>
      <c r="H4854">
        <v>54481116</v>
      </c>
      <c r="I4854">
        <v>629502</v>
      </c>
      <c r="J4854" t="s">
        <v>17</v>
      </c>
      <c r="K4854" t="s">
        <v>30</v>
      </c>
      <c r="L4854">
        <v>2</v>
      </c>
      <c r="M4854">
        <v>92.75</v>
      </c>
      <c r="N4854">
        <v>890620</v>
      </c>
      <c r="O4854">
        <v>1</v>
      </c>
    </row>
    <row r="4855" spans="1:15">
      <c r="A4855" t="s">
        <v>4881</v>
      </c>
      <c r="B4855" t="s">
        <v>20</v>
      </c>
      <c r="C4855">
        <v>0</v>
      </c>
      <c r="D4855">
        <v>18873036</v>
      </c>
      <c r="E4855">
        <v>4</v>
      </c>
      <c r="F4855">
        <v>27</v>
      </c>
      <c r="G4855">
        <v>819</v>
      </c>
      <c r="H4855">
        <v>62122275</v>
      </c>
      <c r="I4855">
        <v>63733</v>
      </c>
      <c r="J4855" t="s">
        <v>21</v>
      </c>
      <c r="K4855" t="s">
        <v>30</v>
      </c>
      <c r="L4855">
        <v>5</v>
      </c>
      <c r="M4855">
        <v>2.46</v>
      </c>
      <c r="N4855">
        <v>512727</v>
      </c>
      <c r="O4855">
        <v>1</v>
      </c>
    </row>
    <row r="4856" spans="1:15">
      <c r="A4856" t="s">
        <v>4882</v>
      </c>
      <c r="B4856" t="s">
        <v>32</v>
      </c>
      <c r="C4856">
        <v>10</v>
      </c>
      <c r="D4856">
        <v>19128314</v>
      </c>
      <c r="E4856">
        <v>4</v>
      </c>
      <c r="F4856">
        <v>16</v>
      </c>
      <c r="G4856">
        <v>545</v>
      </c>
      <c r="H4856">
        <v>68321757</v>
      </c>
      <c r="I4856">
        <v>841362</v>
      </c>
      <c r="J4856" t="s">
        <v>17</v>
      </c>
      <c r="K4856" t="s">
        <v>30</v>
      </c>
      <c r="L4856">
        <v>7</v>
      </c>
      <c r="M4856">
        <v>42.33</v>
      </c>
      <c r="N4856">
        <v>412165</v>
      </c>
      <c r="O4856">
        <v>1</v>
      </c>
    </row>
    <row r="4857" spans="1:15">
      <c r="A4857" t="s">
        <v>4883</v>
      </c>
      <c r="B4857" t="s">
        <v>20</v>
      </c>
      <c r="C4857">
        <v>7</v>
      </c>
      <c r="D4857">
        <v>13311831</v>
      </c>
      <c r="E4857">
        <v>4</v>
      </c>
      <c r="F4857">
        <v>13</v>
      </c>
      <c r="G4857">
        <v>291</v>
      </c>
      <c r="H4857">
        <v>25635068</v>
      </c>
      <c r="I4857">
        <v>756654</v>
      </c>
      <c r="J4857" t="s">
        <v>17</v>
      </c>
      <c r="K4857" t="s">
        <v>18</v>
      </c>
      <c r="L4857">
        <v>1</v>
      </c>
      <c r="M4857">
        <v>89.34</v>
      </c>
      <c r="N4857">
        <v>294507</v>
      </c>
      <c r="O4857">
        <v>1</v>
      </c>
    </row>
    <row r="4858" spans="1:15">
      <c r="A4858" t="s">
        <v>4884</v>
      </c>
      <c r="B4858" t="s">
        <v>16</v>
      </c>
      <c r="C4858">
        <v>13</v>
      </c>
      <c r="D4858">
        <v>34957614</v>
      </c>
      <c r="E4858">
        <v>1</v>
      </c>
      <c r="F4858">
        <v>9</v>
      </c>
      <c r="G4858">
        <v>274</v>
      </c>
      <c r="H4858">
        <v>68784988</v>
      </c>
      <c r="I4858">
        <v>440950</v>
      </c>
      <c r="J4858" t="s">
        <v>17</v>
      </c>
      <c r="K4858" t="s">
        <v>30</v>
      </c>
      <c r="L4858">
        <v>4</v>
      </c>
      <c r="M4858">
        <v>69.13</v>
      </c>
      <c r="N4858">
        <v>317935</v>
      </c>
      <c r="O4858">
        <v>1</v>
      </c>
    </row>
    <row r="4859" spans="1:15">
      <c r="A4859" t="s">
        <v>4885</v>
      </c>
      <c r="B4859" t="s">
        <v>29</v>
      </c>
      <c r="C4859">
        <v>11</v>
      </c>
      <c r="D4859">
        <v>39430493</v>
      </c>
      <c r="E4859">
        <v>2</v>
      </c>
      <c r="F4859">
        <v>23</v>
      </c>
      <c r="G4859">
        <v>565</v>
      </c>
      <c r="H4859">
        <v>73100344</v>
      </c>
      <c r="I4859">
        <v>652527</v>
      </c>
      <c r="J4859" t="s">
        <v>17</v>
      </c>
      <c r="K4859" t="s">
        <v>22</v>
      </c>
      <c r="L4859">
        <v>2</v>
      </c>
      <c r="M4859">
        <v>60.81</v>
      </c>
      <c r="N4859">
        <v>95886</v>
      </c>
      <c r="O4859">
        <v>1</v>
      </c>
    </row>
    <row r="4860" spans="1:15">
      <c r="A4860" t="s">
        <v>4886</v>
      </c>
      <c r="B4860" t="s">
        <v>29</v>
      </c>
      <c r="C4860">
        <v>2</v>
      </c>
      <c r="D4860">
        <v>42454677</v>
      </c>
      <c r="E4860">
        <v>3</v>
      </c>
      <c r="F4860">
        <v>8</v>
      </c>
      <c r="G4860">
        <v>142</v>
      </c>
      <c r="H4860">
        <v>59086650</v>
      </c>
      <c r="I4860">
        <v>615666</v>
      </c>
      <c r="J4860" t="s">
        <v>25</v>
      </c>
      <c r="K4860" t="s">
        <v>18</v>
      </c>
      <c r="L4860">
        <v>1</v>
      </c>
      <c r="M4860">
        <v>91.12</v>
      </c>
      <c r="N4860">
        <v>831317</v>
      </c>
      <c r="O4860">
        <v>1</v>
      </c>
    </row>
    <row r="4861" spans="1:15">
      <c r="A4861" t="s">
        <v>4887</v>
      </c>
      <c r="B4861" t="s">
        <v>16</v>
      </c>
      <c r="C4861">
        <v>14</v>
      </c>
      <c r="D4861">
        <v>22572970</v>
      </c>
      <c r="E4861">
        <v>1</v>
      </c>
      <c r="F4861">
        <v>19</v>
      </c>
      <c r="G4861">
        <v>984</v>
      </c>
      <c r="H4861">
        <v>34450856</v>
      </c>
      <c r="I4861">
        <v>794017</v>
      </c>
      <c r="J4861" t="s">
        <v>17</v>
      </c>
      <c r="K4861" t="s">
        <v>30</v>
      </c>
      <c r="L4861">
        <v>1</v>
      </c>
      <c r="M4861">
        <v>74.95</v>
      </c>
      <c r="N4861">
        <v>684362</v>
      </c>
      <c r="O4861">
        <v>1</v>
      </c>
    </row>
    <row r="4862" spans="1:15">
      <c r="A4862" t="s">
        <v>4888</v>
      </c>
      <c r="B4862" t="s">
        <v>20</v>
      </c>
      <c r="C4862">
        <v>12</v>
      </c>
      <c r="D4862">
        <v>39325862</v>
      </c>
      <c r="E4862">
        <v>1</v>
      </c>
      <c r="F4862">
        <v>9</v>
      </c>
      <c r="G4862">
        <v>222</v>
      </c>
      <c r="H4862">
        <v>39302660</v>
      </c>
      <c r="I4862">
        <v>588236</v>
      </c>
      <c r="J4862" t="s">
        <v>17</v>
      </c>
      <c r="K4862" t="s">
        <v>18</v>
      </c>
      <c r="L4862">
        <v>1</v>
      </c>
      <c r="M4862">
        <v>16.489999999999998</v>
      </c>
      <c r="N4862">
        <v>806693</v>
      </c>
      <c r="O4862">
        <v>1</v>
      </c>
    </row>
    <row r="4863" spans="1:15">
      <c r="A4863" t="s">
        <v>4889</v>
      </c>
      <c r="B4863" t="s">
        <v>32</v>
      </c>
      <c r="C4863">
        <v>11</v>
      </c>
      <c r="D4863">
        <v>14115141</v>
      </c>
      <c r="E4863">
        <v>1</v>
      </c>
      <c r="F4863">
        <v>10</v>
      </c>
      <c r="G4863">
        <v>99</v>
      </c>
      <c r="H4863">
        <v>12896730</v>
      </c>
      <c r="I4863">
        <v>927323</v>
      </c>
      <c r="J4863" t="s">
        <v>17</v>
      </c>
      <c r="K4863" t="s">
        <v>18</v>
      </c>
      <c r="L4863">
        <v>9</v>
      </c>
      <c r="M4863">
        <v>99.59</v>
      </c>
      <c r="N4863">
        <v>228707</v>
      </c>
      <c r="O4863">
        <v>1</v>
      </c>
    </row>
    <row r="4864" spans="1:15">
      <c r="A4864" t="s">
        <v>4890</v>
      </c>
      <c r="B4864" t="s">
        <v>32</v>
      </c>
      <c r="C4864">
        <v>2</v>
      </c>
      <c r="D4864">
        <v>5312598</v>
      </c>
      <c r="E4864">
        <v>1</v>
      </c>
      <c r="F4864">
        <v>29</v>
      </c>
      <c r="G4864">
        <v>770</v>
      </c>
      <c r="H4864">
        <v>73726037</v>
      </c>
      <c r="I4864">
        <v>14000</v>
      </c>
      <c r="J4864" t="s">
        <v>25</v>
      </c>
      <c r="K4864" t="s">
        <v>18</v>
      </c>
      <c r="L4864">
        <v>7</v>
      </c>
      <c r="M4864">
        <v>59.73</v>
      </c>
      <c r="N4864">
        <v>862538</v>
      </c>
      <c r="O4864">
        <v>1</v>
      </c>
    </row>
    <row r="4865" spans="1:15">
      <c r="A4865" t="s">
        <v>4891</v>
      </c>
      <c r="B4865" t="s">
        <v>32</v>
      </c>
      <c r="C4865">
        <v>11</v>
      </c>
      <c r="D4865">
        <v>46138205</v>
      </c>
      <c r="E4865">
        <v>3</v>
      </c>
      <c r="F4865">
        <v>12</v>
      </c>
      <c r="G4865">
        <v>985</v>
      </c>
      <c r="H4865">
        <v>38879081</v>
      </c>
      <c r="I4865">
        <v>138764</v>
      </c>
      <c r="J4865" t="s">
        <v>17</v>
      </c>
      <c r="K4865" t="s">
        <v>18</v>
      </c>
      <c r="L4865">
        <v>4</v>
      </c>
      <c r="M4865">
        <v>96.14</v>
      </c>
      <c r="N4865">
        <v>774666</v>
      </c>
      <c r="O4865">
        <v>1</v>
      </c>
    </row>
    <row r="4866" spans="1:15">
      <c r="A4866" t="s">
        <v>4892</v>
      </c>
      <c r="B4866" t="s">
        <v>24</v>
      </c>
      <c r="C4866">
        <v>10</v>
      </c>
      <c r="D4866">
        <v>27736461</v>
      </c>
      <c r="E4866">
        <v>1</v>
      </c>
      <c r="F4866">
        <v>5</v>
      </c>
      <c r="G4866">
        <v>51</v>
      </c>
      <c r="H4866">
        <v>38380112</v>
      </c>
      <c r="I4866">
        <v>199625</v>
      </c>
      <c r="J4866" t="s">
        <v>21</v>
      </c>
      <c r="K4866" t="s">
        <v>30</v>
      </c>
      <c r="L4866">
        <v>2</v>
      </c>
      <c r="M4866">
        <v>21.55</v>
      </c>
      <c r="N4866">
        <v>67231</v>
      </c>
      <c r="O4866">
        <v>1</v>
      </c>
    </row>
    <row r="4867" spans="1:15">
      <c r="A4867" t="s">
        <v>4893</v>
      </c>
      <c r="B4867" t="s">
        <v>38</v>
      </c>
      <c r="C4867">
        <v>8</v>
      </c>
      <c r="D4867">
        <v>13841937</v>
      </c>
      <c r="E4867">
        <v>1</v>
      </c>
      <c r="F4867">
        <v>16</v>
      </c>
      <c r="G4867">
        <v>855</v>
      </c>
      <c r="H4867">
        <v>97653166</v>
      </c>
      <c r="I4867">
        <v>54697</v>
      </c>
      <c r="J4867" t="s">
        <v>21</v>
      </c>
      <c r="K4867" t="s">
        <v>30</v>
      </c>
      <c r="L4867">
        <v>3</v>
      </c>
      <c r="M4867">
        <v>75.42</v>
      </c>
      <c r="N4867">
        <v>866437</v>
      </c>
      <c r="O4867">
        <v>1</v>
      </c>
    </row>
    <row r="4868" spans="1:15">
      <c r="A4868" t="s">
        <v>4894</v>
      </c>
      <c r="B4868" t="s">
        <v>27</v>
      </c>
      <c r="C4868">
        <v>4</v>
      </c>
      <c r="D4868">
        <v>16331380</v>
      </c>
      <c r="E4868">
        <v>2</v>
      </c>
      <c r="F4868">
        <v>19</v>
      </c>
      <c r="G4868">
        <v>835</v>
      </c>
      <c r="H4868">
        <v>30148668</v>
      </c>
      <c r="I4868">
        <v>377670</v>
      </c>
      <c r="J4868" t="s">
        <v>25</v>
      </c>
      <c r="K4868" t="s">
        <v>30</v>
      </c>
      <c r="L4868">
        <v>2</v>
      </c>
      <c r="M4868">
        <v>77.58</v>
      </c>
      <c r="N4868">
        <v>435475</v>
      </c>
      <c r="O4868">
        <v>1</v>
      </c>
    </row>
    <row r="4869" spans="1:15">
      <c r="A4869" t="s">
        <v>4895</v>
      </c>
      <c r="B4869" t="s">
        <v>24</v>
      </c>
      <c r="C4869">
        <v>6</v>
      </c>
      <c r="D4869">
        <v>38510848</v>
      </c>
      <c r="E4869">
        <v>1</v>
      </c>
      <c r="F4869">
        <v>11</v>
      </c>
      <c r="G4869">
        <v>226</v>
      </c>
      <c r="H4869">
        <v>31458117</v>
      </c>
      <c r="I4869">
        <v>255909</v>
      </c>
      <c r="J4869" t="s">
        <v>17</v>
      </c>
      <c r="K4869" t="s">
        <v>22</v>
      </c>
      <c r="L4869">
        <v>8</v>
      </c>
      <c r="M4869">
        <v>9.39</v>
      </c>
      <c r="N4869">
        <v>940033</v>
      </c>
      <c r="O4869">
        <v>1</v>
      </c>
    </row>
    <row r="4870" spans="1:15">
      <c r="A4870" t="s">
        <v>4896</v>
      </c>
      <c r="B4870" t="s">
        <v>24</v>
      </c>
      <c r="C4870">
        <v>3</v>
      </c>
      <c r="D4870">
        <v>44695505</v>
      </c>
      <c r="E4870">
        <v>3</v>
      </c>
      <c r="F4870">
        <v>22</v>
      </c>
      <c r="G4870">
        <v>349</v>
      </c>
      <c r="H4870">
        <v>86774383</v>
      </c>
      <c r="I4870">
        <v>830290</v>
      </c>
      <c r="J4870" t="s">
        <v>25</v>
      </c>
      <c r="K4870" t="s">
        <v>30</v>
      </c>
      <c r="L4870">
        <v>3</v>
      </c>
      <c r="M4870">
        <v>51.45</v>
      </c>
      <c r="N4870">
        <v>198627</v>
      </c>
      <c r="O4870">
        <v>1</v>
      </c>
    </row>
    <row r="4871" spans="1:15">
      <c r="A4871" t="s">
        <v>4897</v>
      </c>
      <c r="B4871" t="s">
        <v>29</v>
      </c>
      <c r="C4871">
        <v>1</v>
      </c>
      <c r="D4871">
        <v>20822782</v>
      </c>
      <c r="E4871">
        <v>2</v>
      </c>
      <c r="F4871">
        <v>27</v>
      </c>
      <c r="G4871">
        <v>936</v>
      </c>
      <c r="H4871">
        <v>63621836</v>
      </c>
      <c r="I4871">
        <v>835400</v>
      </c>
      <c r="J4871" t="s">
        <v>17</v>
      </c>
      <c r="K4871" t="s">
        <v>22</v>
      </c>
      <c r="L4871">
        <v>7</v>
      </c>
      <c r="M4871">
        <v>40.6</v>
      </c>
      <c r="N4871">
        <v>430139</v>
      </c>
      <c r="O4871">
        <v>1</v>
      </c>
    </row>
    <row r="4872" spans="1:15">
      <c r="A4872" t="s">
        <v>4898</v>
      </c>
      <c r="B4872" t="s">
        <v>16</v>
      </c>
      <c r="C4872">
        <v>3</v>
      </c>
      <c r="D4872">
        <v>46869535</v>
      </c>
      <c r="E4872">
        <v>1</v>
      </c>
      <c r="F4872">
        <v>22</v>
      </c>
      <c r="G4872">
        <v>307</v>
      </c>
      <c r="H4872">
        <v>28409453</v>
      </c>
      <c r="I4872">
        <v>683006</v>
      </c>
      <c r="J4872" t="s">
        <v>17</v>
      </c>
      <c r="K4872" t="s">
        <v>30</v>
      </c>
      <c r="L4872">
        <v>3</v>
      </c>
      <c r="M4872">
        <v>89.64</v>
      </c>
      <c r="N4872">
        <v>192488</v>
      </c>
      <c r="O4872">
        <v>1</v>
      </c>
    </row>
    <row r="4873" spans="1:15">
      <c r="A4873" t="s">
        <v>4899</v>
      </c>
      <c r="B4873" t="s">
        <v>32</v>
      </c>
      <c r="C4873">
        <v>9</v>
      </c>
      <c r="D4873">
        <v>10681837</v>
      </c>
      <c r="E4873">
        <v>1</v>
      </c>
      <c r="F4873">
        <v>6</v>
      </c>
      <c r="G4873">
        <v>200</v>
      </c>
      <c r="H4873">
        <v>72173347</v>
      </c>
      <c r="I4873">
        <v>680991</v>
      </c>
      <c r="J4873" t="s">
        <v>25</v>
      </c>
      <c r="K4873" t="s">
        <v>22</v>
      </c>
      <c r="L4873">
        <v>8</v>
      </c>
      <c r="M4873">
        <v>64.55</v>
      </c>
      <c r="N4873">
        <v>563705</v>
      </c>
      <c r="O4873">
        <v>1</v>
      </c>
    </row>
    <row r="4874" spans="1:15">
      <c r="A4874" t="s">
        <v>4900</v>
      </c>
      <c r="B4874" t="s">
        <v>29</v>
      </c>
      <c r="C4874">
        <v>5</v>
      </c>
      <c r="D4874">
        <v>26147780</v>
      </c>
      <c r="E4874">
        <v>2</v>
      </c>
      <c r="F4874">
        <v>4</v>
      </c>
      <c r="G4874">
        <v>91</v>
      </c>
      <c r="H4874">
        <v>81940916</v>
      </c>
      <c r="I4874">
        <v>241573</v>
      </c>
      <c r="J4874" t="s">
        <v>25</v>
      </c>
      <c r="K4874" t="s">
        <v>18</v>
      </c>
      <c r="L4874">
        <v>1</v>
      </c>
      <c r="M4874">
        <v>63.01</v>
      </c>
      <c r="N4874">
        <v>805639</v>
      </c>
      <c r="O4874">
        <v>1</v>
      </c>
    </row>
    <row r="4875" spans="1:15">
      <c r="A4875" t="s">
        <v>4901</v>
      </c>
      <c r="B4875" t="s">
        <v>32</v>
      </c>
      <c r="C4875">
        <v>4</v>
      </c>
      <c r="D4875">
        <v>28402704</v>
      </c>
      <c r="E4875">
        <v>2</v>
      </c>
      <c r="F4875">
        <v>10</v>
      </c>
      <c r="G4875">
        <v>432</v>
      </c>
      <c r="H4875">
        <v>46059697</v>
      </c>
      <c r="I4875">
        <v>996745</v>
      </c>
      <c r="J4875" t="s">
        <v>25</v>
      </c>
      <c r="K4875" t="s">
        <v>30</v>
      </c>
      <c r="L4875">
        <v>3</v>
      </c>
      <c r="M4875">
        <v>3.61</v>
      </c>
      <c r="N4875">
        <v>528991</v>
      </c>
      <c r="O4875">
        <v>1</v>
      </c>
    </row>
    <row r="4876" spans="1:15">
      <c r="A4876" t="s">
        <v>4902</v>
      </c>
      <c r="B4876" t="s">
        <v>38</v>
      </c>
      <c r="C4876">
        <v>12</v>
      </c>
      <c r="D4876">
        <v>4563392</v>
      </c>
      <c r="E4876">
        <v>4</v>
      </c>
      <c r="F4876">
        <v>4</v>
      </c>
      <c r="G4876">
        <v>393</v>
      </c>
      <c r="H4876">
        <v>75024237</v>
      </c>
      <c r="I4876">
        <v>912366</v>
      </c>
      <c r="J4876" t="s">
        <v>21</v>
      </c>
      <c r="K4876" t="s">
        <v>18</v>
      </c>
      <c r="L4876">
        <v>4</v>
      </c>
      <c r="M4876">
        <v>46.28</v>
      </c>
      <c r="N4876">
        <v>493273</v>
      </c>
      <c r="O4876">
        <v>1</v>
      </c>
    </row>
    <row r="4877" spans="1:15">
      <c r="A4877" t="s">
        <v>4903</v>
      </c>
      <c r="B4877" t="s">
        <v>27</v>
      </c>
      <c r="C4877">
        <v>9</v>
      </c>
      <c r="D4877">
        <v>35305562</v>
      </c>
      <c r="E4877">
        <v>1</v>
      </c>
      <c r="F4877">
        <v>2</v>
      </c>
      <c r="G4877">
        <v>733</v>
      </c>
      <c r="H4877">
        <v>79640670</v>
      </c>
      <c r="I4877">
        <v>849542</v>
      </c>
      <c r="J4877" t="s">
        <v>25</v>
      </c>
      <c r="K4877" t="s">
        <v>30</v>
      </c>
      <c r="L4877">
        <v>5</v>
      </c>
      <c r="M4877">
        <v>32.369999999999997</v>
      </c>
      <c r="N4877">
        <v>876509</v>
      </c>
      <c r="O4877">
        <v>1</v>
      </c>
    </row>
    <row r="4878" spans="1:15">
      <c r="A4878" t="s">
        <v>4904</v>
      </c>
      <c r="B4878" t="s">
        <v>32</v>
      </c>
      <c r="C4878">
        <v>5</v>
      </c>
      <c r="D4878">
        <v>20312940</v>
      </c>
      <c r="E4878">
        <v>4</v>
      </c>
      <c r="F4878">
        <v>2</v>
      </c>
      <c r="G4878">
        <v>564</v>
      </c>
      <c r="H4878">
        <v>47111653</v>
      </c>
      <c r="I4878">
        <v>319210</v>
      </c>
      <c r="J4878" t="s">
        <v>17</v>
      </c>
      <c r="K4878" t="s">
        <v>18</v>
      </c>
      <c r="L4878">
        <v>3</v>
      </c>
      <c r="M4878">
        <v>50.19</v>
      </c>
      <c r="N4878">
        <v>56302</v>
      </c>
      <c r="O4878">
        <v>1</v>
      </c>
    </row>
    <row r="4879" spans="1:15">
      <c r="A4879" t="s">
        <v>4905</v>
      </c>
      <c r="B4879" t="s">
        <v>16</v>
      </c>
      <c r="C4879">
        <v>11</v>
      </c>
      <c r="D4879">
        <v>48887984</v>
      </c>
      <c r="E4879">
        <v>1</v>
      </c>
      <c r="F4879">
        <v>2</v>
      </c>
      <c r="G4879">
        <v>200</v>
      </c>
      <c r="H4879">
        <v>97743130</v>
      </c>
      <c r="I4879">
        <v>372865</v>
      </c>
      <c r="J4879" t="s">
        <v>25</v>
      </c>
      <c r="K4879" t="s">
        <v>22</v>
      </c>
      <c r="L4879">
        <v>4</v>
      </c>
      <c r="M4879">
        <v>98.24</v>
      </c>
      <c r="N4879">
        <v>717169</v>
      </c>
      <c r="O4879">
        <v>1</v>
      </c>
    </row>
    <row r="4880" spans="1:15">
      <c r="A4880" t="s">
        <v>4906</v>
      </c>
      <c r="B4880" t="s">
        <v>20</v>
      </c>
      <c r="C4880">
        <v>7</v>
      </c>
      <c r="D4880">
        <v>15004323</v>
      </c>
      <c r="E4880">
        <v>2</v>
      </c>
      <c r="F4880">
        <v>14</v>
      </c>
      <c r="G4880">
        <v>45</v>
      </c>
      <c r="H4880">
        <v>60396185</v>
      </c>
      <c r="I4880">
        <v>446604</v>
      </c>
      <c r="J4880" t="s">
        <v>17</v>
      </c>
      <c r="K4880" t="s">
        <v>30</v>
      </c>
      <c r="L4880">
        <v>2</v>
      </c>
      <c r="M4880">
        <v>66.790000000000006</v>
      </c>
      <c r="N4880">
        <v>333598</v>
      </c>
      <c r="O4880">
        <v>1</v>
      </c>
    </row>
    <row r="4881" spans="1:15">
      <c r="A4881" t="s">
        <v>4907</v>
      </c>
      <c r="B4881" t="s">
        <v>24</v>
      </c>
      <c r="C4881">
        <v>10</v>
      </c>
      <c r="D4881">
        <v>28525661</v>
      </c>
      <c r="E4881">
        <v>3</v>
      </c>
      <c r="F4881">
        <v>5</v>
      </c>
      <c r="G4881">
        <v>326</v>
      </c>
      <c r="H4881">
        <v>92685367</v>
      </c>
      <c r="I4881">
        <v>575562</v>
      </c>
      <c r="J4881" t="s">
        <v>21</v>
      </c>
      <c r="K4881" t="s">
        <v>22</v>
      </c>
      <c r="L4881">
        <v>2</v>
      </c>
      <c r="M4881">
        <v>16.239999999999998</v>
      </c>
      <c r="N4881">
        <v>398844</v>
      </c>
      <c r="O4881">
        <v>1</v>
      </c>
    </row>
    <row r="4882" spans="1:15">
      <c r="A4882" t="s">
        <v>4908</v>
      </c>
      <c r="B4882" t="s">
        <v>16</v>
      </c>
      <c r="C4882">
        <v>9</v>
      </c>
      <c r="D4882">
        <v>23893788</v>
      </c>
      <c r="E4882">
        <v>2</v>
      </c>
      <c r="F4882">
        <v>1</v>
      </c>
      <c r="G4882">
        <v>850</v>
      </c>
      <c r="H4882">
        <v>11700218</v>
      </c>
      <c r="I4882">
        <v>328245</v>
      </c>
      <c r="J4882" t="s">
        <v>21</v>
      </c>
      <c r="K4882" t="s">
        <v>18</v>
      </c>
      <c r="L4882">
        <v>6</v>
      </c>
      <c r="M4882">
        <v>7.72</v>
      </c>
      <c r="N4882">
        <v>346527</v>
      </c>
      <c r="O4882">
        <v>1</v>
      </c>
    </row>
    <row r="4883" spans="1:15">
      <c r="A4883" t="s">
        <v>4909</v>
      </c>
      <c r="B4883" t="s">
        <v>38</v>
      </c>
      <c r="C4883">
        <v>4</v>
      </c>
      <c r="D4883">
        <v>35704138</v>
      </c>
      <c r="E4883">
        <v>1</v>
      </c>
      <c r="F4883">
        <v>5</v>
      </c>
      <c r="G4883">
        <v>345</v>
      </c>
      <c r="H4883">
        <v>79108676</v>
      </c>
      <c r="I4883">
        <v>792302</v>
      </c>
      <c r="J4883" t="s">
        <v>21</v>
      </c>
      <c r="K4883" t="s">
        <v>22</v>
      </c>
      <c r="L4883">
        <v>5</v>
      </c>
      <c r="M4883">
        <v>91.34</v>
      </c>
      <c r="N4883">
        <v>443081</v>
      </c>
      <c r="O4883">
        <v>1</v>
      </c>
    </row>
    <row r="4884" spans="1:15">
      <c r="A4884" t="s">
        <v>4910</v>
      </c>
      <c r="B4884" t="s">
        <v>38</v>
      </c>
      <c r="C4884">
        <v>10</v>
      </c>
      <c r="D4884">
        <v>26494991</v>
      </c>
      <c r="E4884">
        <v>1</v>
      </c>
      <c r="F4884">
        <v>3</v>
      </c>
      <c r="G4884">
        <v>903</v>
      </c>
      <c r="H4884">
        <v>21860896</v>
      </c>
      <c r="I4884">
        <v>742752</v>
      </c>
      <c r="J4884" t="s">
        <v>25</v>
      </c>
      <c r="K4884" t="s">
        <v>30</v>
      </c>
      <c r="L4884">
        <v>6</v>
      </c>
      <c r="M4884">
        <v>17.37</v>
      </c>
      <c r="N4884">
        <v>751911</v>
      </c>
      <c r="O4884">
        <v>1</v>
      </c>
    </row>
    <row r="4885" spans="1:15">
      <c r="A4885" t="s">
        <v>4911</v>
      </c>
      <c r="B4885" t="s">
        <v>29</v>
      </c>
      <c r="C4885">
        <v>11</v>
      </c>
      <c r="D4885">
        <v>499438</v>
      </c>
      <c r="E4885">
        <v>1</v>
      </c>
      <c r="F4885">
        <v>14</v>
      </c>
      <c r="G4885">
        <v>424</v>
      </c>
      <c r="H4885">
        <v>3752014</v>
      </c>
      <c r="I4885">
        <v>927077</v>
      </c>
      <c r="J4885" t="s">
        <v>25</v>
      </c>
      <c r="K4885" t="s">
        <v>18</v>
      </c>
      <c r="L4885">
        <v>4</v>
      </c>
      <c r="M4885">
        <v>89.54</v>
      </c>
      <c r="N4885">
        <v>602209</v>
      </c>
      <c r="O4885">
        <v>1</v>
      </c>
    </row>
    <row r="4886" spans="1:15">
      <c r="A4886" t="s">
        <v>4912</v>
      </c>
      <c r="B4886" t="s">
        <v>16</v>
      </c>
      <c r="C4886">
        <v>9</v>
      </c>
      <c r="D4886">
        <v>48172476</v>
      </c>
      <c r="E4886">
        <v>3</v>
      </c>
      <c r="F4886">
        <v>1</v>
      </c>
      <c r="G4886">
        <v>398</v>
      </c>
      <c r="H4886">
        <v>91637239</v>
      </c>
      <c r="I4886">
        <v>750339</v>
      </c>
      <c r="J4886" t="s">
        <v>21</v>
      </c>
      <c r="K4886" t="s">
        <v>30</v>
      </c>
      <c r="L4886">
        <v>2</v>
      </c>
      <c r="M4886">
        <v>26.25</v>
      </c>
      <c r="N4886">
        <v>276852</v>
      </c>
      <c r="O4886">
        <v>1</v>
      </c>
    </row>
    <row r="4887" spans="1:15">
      <c r="A4887" t="s">
        <v>4913</v>
      </c>
      <c r="B4887" t="s">
        <v>29</v>
      </c>
      <c r="C4887">
        <v>5</v>
      </c>
      <c r="D4887">
        <v>31310465</v>
      </c>
      <c r="E4887">
        <v>2</v>
      </c>
      <c r="F4887">
        <v>24</v>
      </c>
      <c r="G4887">
        <v>2</v>
      </c>
      <c r="H4887">
        <v>91456651</v>
      </c>
      <c r="I4887">
        <v>681976</v>
      </c>
      <c r="J4887" t="s">
        <v>21</v>
      </c>
      <c r="K4887" t="s">
        <v>30</v>
      </c>
      <c r="L4887">
        <v>3</v>
      </c>
      <c r="M4887">
        <v>35.43</v>
      </c>
      <c r="N4887">
        <v>259742</v>
      </c>
      <c r="O4887">
        <v>1</v>
      </c>
    </row>
    <row r="4888" spans="1:15">
      <c r="A4888" t="s">
        <v>4914</v>
      </c>
      <c r="B4888" t="s">
        <v>20</v>
      </c>
      <c r="C4888">
        <v>14</v>
      </c>
      <c r="D4888">
        <v>32998013</v>
      </c>
      <c r="E4888">
        <v>3</v>
      </c>
      <c r="F4888">
        <v>0</v>
      </c>
      <c r="G4888">
        <v>202</v>
      </c>
      <c r="H4888">
        <v>30252279</v>
      </c>
      <c r="I4888">
        <v>310853</v>
      </c>
      <c r="J4888" t="s">
        <v>17</v>
      </c>
      <c r="K4888" t="s">
        <v>30</v>
      </c>
      <c r="L4888">
        <v>8</v>
      </c>
      <c r="M4888">
        <v>74.790000000000006</v>
      </c>
      <c r="N4888">
        <v>350626</v>
      </c>
      <c r="O4888">
        <v>1</v>
      </c>
    </row>
    <row r="4889" spans="1:15">
      <c r="A4889" t="s">
        <v>4915</v>
      </c>
      <c r="B4889" t="s">
        <v>20</v>
      </c>
      <c r="C4889">
        <v>11</v>
      </c>
      <c r="D4889">
        <v>12966362</v>
      </c>
      <c r="E4889">
        <v>4</v>
      </c>
      <c r="F4889">
        <v>29</v>
      </c>
      <c r="G4889">
        <v>769</v>
      </c>
      <c r="H4889">
        <v>1895124</v>
      </c>
      <c r="I4889">
        <v>458779</v>
      </c>
      <c r="J4889" t="s">
        <v>17</v>
      </c>
      <c r="K4889" t="s">
        <v>30</v>
      </c>
      <c r="L4889">
        <v>5</v>
      </c>
      <c r="M4889">
        <v>0.62</v>
      </c>
      <c r="N4889">
        <v>807653</v>
      </c>
      <c r="O4889">
        <v>1</v>
      </c>
    </row>
    <row r="4890" spans="1:15">
      <c r="A4890" t="s">
        <v>4916</v>
      </c>
      <c r="B4890" t="s">
        <v>24</v>
      </c>
      <c r="C4890">
        <v>5</v>
      </c>
      <c r="D4890">
        <v>16913474</v>
      </c>
      <c r="E4890">
        <v>4</v>
      </c>
      <c r="F4890">
        <v>3</v>
      </c>
      <c r="G4890">
        <v>601</v>
      </c>
      <c r="H4890">
        <v>16428988</v>
      </c>
      <c r="I4890">
        <v>394951</v>
      </c>
      <c r="J4890" t="s">
        <v>17</v>
      </c>
      <c r="K4890" t="s">
        <v>18</v>
      </c>
      <c r="L4890">
        <v>5</v>
      </c>
      <c r="M4890">
        <v>44.93</v>
      </c>
      <c r="N4890">
        <v>852504</v>
      </c>
      <c r="O4890">
        <v>1</v>
      </c>
    </row>
    <row r="4891" spans="1:15">
      <c r="A4891" t="s">
        <v>4917</v>
      </c>
      <c r="B4891" t="s">
        <v>32</v>
      </c>
      <c r="C4891">
        <v>7</v>
      </c>
      <c r="D4891">
        <v>28299776</v>
      </c>
      <c r="E4891">
        <v>3</v>
      </c>
      <c r="F4891">
        <v>21</v>
      </c>
      <c r="G4891">
        <v>408</v>
      </c>
      <c r="H4891">
        <v>82458881</v>
      </c>
      <c r="I4891">
        <v>30314</v>
      </c>
      <c r="J4891" t="s">
        <v>25</v>
      </c>
      <c r="K4891" t="s">
        <v>30</v>
      </c>
      <c r="L4891">
        <v>5</v>
      </c>
      <c r="M4891">
        <v>89.02</v>
      </c>
      <c r="N4891">
        <v>947736</v>
      </c>
      <c r="O4891">
        <v>1</v>
      </c>
    </row>
    <row r="4892" spans="1:15">
      <c r="A4892" t="s">
        <v>4918</v>
      </c>
      <c r="B4892" t="s">
        <v>16</v>
      </c>
      <c r="C4892">
        <v>9</v>
      </c>
      <c r="D4892">
        <v>32146442</v>
      </c>
      <c r="E4892">
        <v>4</v>
      </c>
      <c r="F4892">
        <v>15</v>
      </c>
      <c r="G4892">
        <v>645</v>
      </c>
      <c r="H4892">
        <v>4070806</v>
      </c>
      <c r="I4892">
        <v>206014</v>
      </c>
      <c r="J4892" t="s">
        <v>17</v>
      </c>
      <c r="K4892" t="s">
        <v>30</v>
      </c>
      <c r="L4892">
        <v>1</v>
      </c>
      <c r="M4892">
        <v>35.200000000000003</v>
      </c>
      <c r="N4892">
        <v>139710</v>
      </c>
      <c r="O4892">
        <v>1</v>
      </c>
    </row>
    <row r="4893" spans="1:15">
      <c r="A4893" t="s">
        <v>4919</v>
      </c>
      <c r="B4893" t="s">
        <v>16</v>
      </c>
      <c r="C4893">
        <v>7</v>
      </c>
      <c r="D4893">
        <v>18533711</v>
      </c>
      <c r="E4893">
        <v>2</v>
      </c>
      <c r="F4893">
        <v>9</v>
      </c>
      <c r="G4893">
        <v>472</v>
      </c>
      <c r="H4893">
        <v>66621491</v>
      </c>
      <c r="I4893">
        <v>393328</v>
      </c>
      <c r="J4893" t="s">
        <v>17</v>
      </c>
      <c r="K4893" t="s">
        <v>22</v>
      </c>
      <c r="L4893">
        <v>1</v>
      </c>
      <c r="M4893">
        <v>95.91</v>
      </c>
      <c r="N4893">
        <v>840320</v>
      </c>
      <c r="O4893">
        <v>1</v>
      </c>
    </row>
    <row r="4894" spans="1:15">
      <c r="A4894" t="s">
        <v>4920</v>
      </c>
      <c r="B4894" t="s">
        <v>24</v>
      </c>
      <c r="C4894">
        <v>5</v>
      </c>
      <c r="D4894">
        <v>11597626</v>
      </c>
      <c r="E4894">
        <v>3</v>
      </c>
      <c r="F4894">
        <v>22</v>
      </c>
      <c r="G4894">
        <v>597</v>
      </c>
      <c r="H4894">
        <v>60206695</v>
      </c>
      <c r="I4894">
        <v>965410</v>
      </c>
      <c r="J4894" t="s">
        <v>25</v>
      </c>
      <c r="K4894" t="s">
        <v>30</v>
      </c>
      <c r="L4894">
        <v>9</v>
      </c>
      <c r="M4894">
        <v>22.22</v>
      </c>
      <c r="N4894">
        <v>266169</v>
      </c>
      <c r="O4894">
        <v>1</v>
      </c>
    </row>
    <row r="4895" spans="1:15">
      <c r="A4895" t="s">
        <v>4921</v>
      </c>
      <c r="B4895" t="s">
        <v>20</v>
      </c>
      <c r="C4895">
        <v>9</v>
      </c>
      <c r="D4895">
        <v>43371201</v>
      </c>
      <c r="E4895">
        <v>3</v>
      </c>
      <c r="F4895">
        <v>12</v>
      </c>
      <c r="G4895">
        <v>143</v>
      </c>
      <c r="H4895">
        <v>78400157</v>
      </c>
      <c r="I4895">
        <v>326729</v>
      </c>
      <c r="J4895" t="s">
        <v>21</v>
      </c>
      <c r="K4895" t="s">
        <v>18</v>
      </c>
      <c r="L4895">
        <v>1</v>
      </c>
      <c r="M4895">
        <v>73.11</v>
      </c>
      <c r="N4895">
        <v>707463</v>
      </c>
      <c r="O4895">
        <v>1</v>
      </c>
    </row>
    <row r="4896" spans="1:15">
      <c r="A4896" t="s">
        <v>4922</v>
      </c>
      <c r="B4896" t="s">
        <v>20</v>
      </c>
      <c r="C4896">
        <v>14</v>
      </c>
      <c r="D4896">
        <v>18651773</v>
      </c>
      <c r="E4896">
        <v>1</v>
      </c>
      <c r="F4896">
        <v>21</v>
      </c>
      <c r="G4896">
        <v>915</v>
      </c>
      <c r="H4896">
        <v>85105619</v>
      </c>
      <c r="I4896">
        <v>511454</v>
      </c>
      <c r="J4896" t="s">
        <v>21</v>
      </c>
      <c r="K4896" t="s">
        <v>30</v>
      </c>
      <c r="L4896">
        <v>7</v>
      </c>
      <c r="M4896">
        <v>6.04</v>
      </c>
      <c r="N4896">
        <v>309359</v>
      </c>
      <c r="O4896">
        <v>1</v>
      </c>
    </row>
    <row r="4897" spans="1:15">
      <c r="A4897" t="s">
        <v>4923</v>
      </c>
      <c r="B4897" t="s">
        <v>24</v>
      </c>
      <c r="C4897">
        <v>5</v>
      </c>
      <c r="D4897">
        <v>43016590</v>
      </c>
      <c r="E4897">
        <v>2</v>
      </c>
      <c r="F4897">
        <v>4</v>
      </c>
      <c r="G4897">
        <v>293</v>
      </c>
      <c r="H4897">
        <v>55856004</v>
      </c>
      <c r="I4897">
        <v>287447</v>
      </c>
      <c r="J4897" t="s">
        <v>25</v>
      </c>
      <c r="K4897" t="s">
        <v>18</v>
      </c>
      <c r="L4897">
        <v>6</v>
      </c>
      <c r="M4897">
        <v>51.15</v>
      </c>
      <c r="N4897">
        <v>401069</v>
      </c>
      <c r="O4897">
        <v>1</v>
      </c>
    </row>
    <row r="4898" spans="1:15">
      <c r="A4898" t="s">
        <v>4924</v>
      </c>
      <c r="B4898" t="s">
        <v>27</v>
      </c>
      <c r="C4898">
        <v>6</v>
      </c>
      <c r="D4898">
        <v>36228595</v>
      </c>
      <c r="E4898">
        <v>1</v>
      </c>
      <c r="F4898">
        <v>24</v>
      </c>
      <c r="G4898">
        <v>935</v>
      </c>
      <c r="H4898">
        <v>19166096</v>
      </c>
      <c r="I4898">
        <v>517969</v>
      </c>
      <c r="J4898" t="s">
        <v>17</v>
      </c>
      <c r="K4898" t="s">
        <v>30</v>
      </c>
      <c r="L4898">
        <v>7</v>
      </c>
      <c r="M4898">
        <v>65.92</v>
      </c>
      <c r="N4898">
        <v>194019</v>
      </c>
      <c r="O4898">
        <v>1</v>
      </c>
    </row>
    <row r="4899" spans="1:15">
      <c r="A4899" t="s">
        <v>4925</v>
      </c>
      <c r="B4899" t="s">
        <v>16</v>
      </c>
      <c r="C4899">
        <v>9</v>
      </c>
      <c r="D4899">
        <v>29588502</v>
      </c>
      <c r="E4899">
        <v>1</v>
      </c>
      <c r="F4899">
        <v>5</v>
      </c>
      <c r="G4899">
        <v>476</v>
      </c>
      <c r="H4899">
        <v>35247702</v>
      </c>
      <c r="I4899">
        <v>519584</v>
      </c>
      <c r="J4899" t="s">
        <v>21</v>
      </c>
      <c r="K4899" t="s">
        <v>18</v>
      </c>
      <c r="L4899">
        <v>3</v>
      </c>
      <c r="M4899">
        <v>25.75</v>
      </c>
      <c r="N4899">
        <v>985396</v>
      </c>
      <c r="O4899">
        <v>1</v>
      </c>
    </row>
    <row r="4900" spans="1:15">
      <c r="A4900" t="s">
        <v>4926</v>
      </c>
      <c r="B4900" t="s">
        <v>27</v>
      </c>
      <c r="C4900">
        <v>9</v>
      </c>
      <c r="D4900">
        <v>45154784</v>
      </c>
      <c r="E4900">
        <v>3</v>
      </c>
      <c r="F4900">
        <v>4</v>
      </c>
      <c r="G4900">
        <v>68</v>
      </c>
      <c r="H4900">
        <v>62998118</v>
      </c>
      <c r="I4900">
        <v>496354</v>
      </c>
      <c r="J4900" t="s">
        <v>21</v>
      </c>
      <c r="K4900" t="s">
        <v>18</v>
      </c>
      <c r="L4900">
        <v>2</v>
      </c>
      <c r="M4900">
        <v>39.950000000000003</v>
      </c>
      <c r="N4900">
        <v>350780</v>
      </c>
      <c r="O4900">
        <v>1</v>
      </c>
    </row>
    <row r="4901" spans="1:15">
      <c r="A4901" t="s">
        <v>4927</v>
      </c>
      <c r="B4901" t="s">
        <v>32</v>
      </c>
      <c r="C4901">
        <v>10</v>
      </c>
      <c r="D4901">
        <v>44620097</v>
      </c>
      <c r="E4901">
        <v>2</v>
      </c>
      <c r="F4901">
        <v>11</v>
      </c>
      <c r="G4901">
        <v>684</v>
      </c>
      <c r="H4901">
        <v>44620466</v>
      </c>
      <c r="I4901">
        <v>860670</v>
      </c>
      <c r="J4901" t="s">
        <v>25</v>
      </c>
      <c r="K4901" t="s">
        <v>30</v>
      </c>
      <c r="L4901">
        <v>1</v>
      </c>
      <c r="M4901">
        <v>38.11</v>
      </c>
      <c r="N4901">
        <v>982028</v>
      </c>
      <c r="O4901">
        <v>1</v>
      </c>
    </row>
    <row r="4902" spans="1:15">
      <c r="A4902" t="s">
        <v>4928</v>
      </c>
      <c r="B4902" t="s">
        <v>29</v>
      </c>
      <c r="C4902">
        <v>7</v>
      </c>
      <c r="D4902">
        <v>11278906</v>
      </c>
      <c r="E4902">
        <v>3</v>
      </c>
      <c r="F4902">
        <v>16</v>
      </c>
      <c r="G4902">
        <v>716</v>
      </c>
      <c r="H4902">
        <v>45493271</v>
      </c>
      <c r="I4902">
        <v>432737</v>
      </c>
      <c r="J4902" t="s">
        <v>21</v>
      </c>
      <c r="K4902" t="s">
        <v>18</v>
      </c>
      <c r="L4902">
        <v>7</v>
      </c>
      <c r="M4902">
        <v>64.239999999999995</v>
      </c>
      <c r="N4902">
        <v>586489</v>
      </c>
      <c r="O4902">
        <v>1</v>
      </c>
    </row>
    <row r="4903" spans="1:15">
      <c r="A4903" t="s">
        <v>4929</v>
      </c>
      <c r="B4903" t="s">
        <v>27</v>
      </c>
      <c r="C4903">
        <v>8</v>
      </c>
      <c r="D4903">
        <v>47578640</v>
      </c>
      <c r="E4903">
        <v>3</v>
      </c>
      <c r="F4903">
        <v>2</v>
      </c>
      <c r="G4903">
        <v>218</v>
      </c>
      <c r="H4903">
        <v>67760401</v>
      </c>
      <c r="I4903">
        <v>18254</v>
      </c>
      <c r="J4903" t="s">
        <v>21</v>
      </c>
      <c r="K4903" t="s">
        <v>22</v>
      </c>
      <c r="L4903">
        <v>7</v>
      </c>
      <c r="M4903">
        <v>95.68</v>
      </c>
      <c r="N4903">
        <v>574625</v>
      </c>
      <c r="O4903">
        <v>1</v>
      </c>
    </row>
    <row r="4904" spans="1:15">
      <c r="A4904" t="s">
        <v>4930</v>
      </c>
      <c r="B4904" t="s">
        <v>16</v>
      </c>
      <c r="C4904">
        <v>1</v>
      </c>
      <c r="D4904">
        <v>227163</v>
      </c>
      <c r="E4904">
        <v>4</v>
      </c>
      <c r="F4904">
        <v>21</v>
      </c>
      <c r="G4904">
        <v>300</v>
      </c>
      <c r="H4904">
        <v>15956312</v>
      </c>
      <c r="I4904">
        <v>118875</v>
      </c>
      <c r="J4904" t="s">
        <v>17</v>
      </c>
      <c r="K4904" t="s">
        <v>18</v>
      </c>
      <c r="L4904">
        <v>9</v>
      </c>
      <c r="M4904">
        <v>38.479999999999997</v>
      </c>
      <c r="N4904">
        <v>970874</v>
      </c>
      <c r="O4904">
        <v>1</v>
      </c>
    </row>
    <row r="4905" spans="1:15">
      <c r="A4905" t="s">
        <v>4931</v>
      </c>
      <c r="B4905" t="s">
        <v>32</v>
      </c>
      <c r="C4905">
        <v>8</v>
      </c>
      <c r="D4905">
        <v>14539014</v>
      </c>
      <c r="E4905">
        <v>2</v>
      </c>
      <c r="F4905">
        <v>5</v>
      </c>
      <c r="G4905">
        <v>296</v>
      </c>
      <c r="H4905">
        <v>60491274</v>
      </c>
      <c r="I4905">
        <v>281972</v>
      </c>
      <c r="J4905" t="s">
        <v>21</v>
      </c>
      <c r="K4905" t="s">
        <v>30</v>
      </c>
      <c r="L4905">
        <v>3</v>
      </c>
      <c r="M4905">
        <v>96.28</v>
      </c>
      <c r="N4905">
        <v>257565</v>
      </c>
      <c r="O4905">
        <v>1</v>
      </c>
    </row>
    <row r="4906" spans="1:15">
      <c r="A4906" t="s">
        <v>4932</v>
      </c>
      <c r="B4906" t="s">
        <v>27</v>
      </c>
      <c r="C4906">
        <v>10</v>
      </c>
      <c r="D4906">
        <v>27881893</v>
      </c>
      <c r="E4906">
        <v>4</v>
      </c>
      <c r="F4906">
        <v>1</v>
      </c>
      <c r="G4906">
        <v>111</v>
      </c>
      <c r="H4906">
        <v>82206768</v>
      </c>
      <c r="I4906">
        <v>688664</v>
      </c>
      <c r="J4906" t="s">
        <v>17</v>
      </c>
      <c r="K4906" t="s">
        <v>22</v>
      </c>
      <c r="L4906">
        <v>2</v>
      </c>
      <c r="M4906">
        <v>75.77</v>
      </c>
      <c r="N4906">
        <v>411859</v>
      </c>
      <c r="O4906">
        <v>1</v>
      </c>
    </row>
    <row r="4907" spans="1:15">
      <c r="A4907" t="s">
        <v>4933</v>
      </c>
      <c r="B4907" t="s">
        <v>16</v>
      </c>
      <c r="C4907">
        <v>6</v>
      </c>
      <c r="D4907">
        <v>12171989</v>
      </c>
      <c r="E4907">
        <v>2</v>
      </c>
      <c r="F4907">
        <v>1</v>
      </c>
      <c r="G4907">
        <v>164</v>
      </c>
      <c r="H4907">
        <v>94332184</v>
      </c>
      <c r="I4907">
        <v>806904</v>
      </c>
      <c r="J4907" t="s">
        <v>21</v>
      </c>
      <c r="K4907" t="s">
        <v>22</v>
      </c>
      <c r="L4907">
        <v>8</v>
      </c>
      <c r="M4907">
        <v>45.82</v>
      </c>
      <c r="N4907">
        <v>669720</v>
      </c>
      <c r="O4907">
        <v>1</v>
      </c>
    </row>
    <row r="4908" spans="1:15">
      <c r="A4908" t="s">
        <v>4934</v>
      </c>
      <c r="B4908" t="s">
        <v>32</v>
      </c>
      <c r="C4908">
        <v>1</v>
      </c>
      <c r="D4908">
        <v>4348254</v>
      </c>
      <c r="E4908">
        <v>3</v>
      </c>
      <c r="F4908">
        <v>1</v>
      </c>
      <c r="G4908">
        <v>43</v>
      </c>
      <c r="H4908">
        <v>36073740</v>
      </c>
      <c r="I4908">
        <v>621077</v>
      </c>
      <c r="J4908" t="s">
        <v>21</v>
      </c>
      <c r="K4908" t="s">
        <v>18</v>
      </c>
      <c r="L4908">
        <v>1</v>
      </c>
      <c r="M4908">
        <v>21.55</v>
      </c>
      <c r="N4908">
        <v>64156</v>
      </c>
      <c r="O4908">
        <v>1</v>
      </c>
    </row>
    <row r="4909" spans="1:15">
      <c r="A4909" t="s">
        <v>4935</v>
      </c>
      <c r="B4909" t="s">
        <v>29</v>
      </c>
      <c r="C4909">
        <v>13</v>
      </c>
      <c r="D4909">
        <v>42933023</v>
      </c>
      <c r="E4909">
        <v>2</v>
      </c>
      <c r="F4909">
        <v>23</v>
      </c>
      <c r="G4909">
        <v>22</v>
      </c>
      <c r="H4909">
        <v>51229541</v>
      </c>
      <c r="I4909">
        <v>901280</v>
      </c>
      <c r="J4909" t="s">
        <v>17</v>
      </c>
      <c r="K4909" t="s">
        <v>22</v>
      </c>
      <c r="L4909">
        <v>9</v>
      </c>
      <c r="M4909">
        <v>92.66</v>
      </c>
      <c r="N4909">
        <v>237086</v>
      </c>
      <c r="O4909">
        <v>1</v>
      </c>
    </row>
    <row r="4910" spans="1:15">
      <c r="A4910" t="s">
        <v>4936</v>
      </c>
      <c r="B4910" t="s">
        <v>24</v>
      </c>
      <c r="C4910">
        <v>12</v>
      </c>
      <c r="D4910">
        <v>348940</v>
      </c>
      <c r="E4910">
        <v>4</v>
      </c>
      <c r="F4910">
        <v>17</v>
      </c>
      <c r="G4910">
        <v>523</v>
      </c>
      <c r="H4910">
        <v>36862467</v>
      </c>
      <c r="I4910">
        <v>413465</v>
      </c>
      <c r="J4910" t="s">
        <v>17</v>
      </c>
      <c r="K4910" t="s">
        <v>30</v>
      </c>
      <c r="L4910">
        <v>5</v>
      </c>
      <c r="M4910">
        <v>89.64</v>
      </c>
      <c r="N4910">
        <v>663776</v>
      </c>
      <c r="O4910">
        <v>1</v>
      </c>
    </row>
    <row r="4911" spans="1:15">
      <c r="A4911" t="s">
        <v>4937</v>
      </c>
      <c r="B4911" t="s">
        <v>24</v>
      </c>
      <c r="C4911">
        <v>10</v>
      </c>
      <c r="D4911">
        <v>13054556</v>
      </c>
      <c r="E4911">
        <v>2</v>
      </c>
      <c r="F4911">
        <v>10</v>
      </c>
      <c r="G4911">
        <v>976</v>
      </c>
      <c r="H4911">
        <v>61119866</v>
      </c>
      <c r="I4911">
        <v>947162</v>
      </c>
      <c r="J4911" t="s">
        <v>17</v>
      </c>
      <c r="K4911" t="s">
        <v>22</v>
      </c>
      <c r="L4911">
        <v>7</v>
      </c>
      <c r="M4911">
        <v>89.2</v>
      </c>
      <c r="N4911">
        <v>630318</v>
      </c>
      <c r="O4911">
        <v>1</v>
      </c>
    </row>
    <row r="4912" spans="1:15">
      <c r="A4912" t="s">
        <v>4938</v>
      </c>
      <c r="B4912" t="s">
        <v>24</v>
      </c>
      <c r="C4912">
        <v>9</v>
      </c>
      <c r="D4912">
        <v>2211267</v>
      </c>
      <c r="E4912">
        <v>1</v>
      </c>
      <c r="F4912">
        <v>27</v>
      </c>
      <c r="G4912">
        <v>634</v>
      </c>
      <c r="H4912">
        <v>38297234</v>
      </c>
      <c r="I4912">
        <v>792591</v>
      </c>
      <c r="J4912" t="s">
        <v>17</v>
      </c>
      <c r="K4912" t="s">
        <v>18</v>
      </c>
      <c r="L4912">
        <v>3</v>
      </c>
      <c r="M4912">
        <v>62.49</v>
      </c>
      <c r="N4912">
        <v>635821</v>
      </c>
      <c r="O4912">
        <v>1</v>
      </c>
    </row>
    <row r="4913" spans="1:15">
      <c r="A4913" t="s">
        <v>4939</v>
      </c>
      <c r="B4913" t="s">
        <v>32</v>
      </c>
      <c r="C4913">
        <v>13</v>
      </c>
      <c r="D4913">
        <v>40059911</v>
      </c>
      <c r="E4913">
        <v>2</v>
      </c>
      <c r="F4913">
        <v>25</v>
      </c>
      <c r="G4913">
        <v>850</v>
      </c>
      <c r="H4913">
        <v>95665311</v>
      </c>
      <c r="I4913">
        <v>314200</v>
      </c>
      <c r="J4913" t="s">
        <v>17</v>
      </c>
      <c r="K4913" t="s">
        <v>18</v>
      </c>
      <c r="L4913">
        <v>5</v>
      </c>
      <c r="M4913">
        <v>40.15</v>
      </c>
      <c r="N4913">
        <v>566223</v>
      </c>
      <c r="O4913">
        <v>1</v>
      </c>
    </row>
    <row r="4914" spans="1:15">
      <c r="A4914" t="s">
        <v>4940</v>
      </c>
      <c r="B4914" t="s">
        <v>20</v>
      </c>
      <c r="C4914">
        <v>6</v>
      </c>
      <c r="D4914">
        <v>37874407</v>
      </c>
      <c r="E4914">
        <v>4</v>
      </c>
      <c r="F4914">
        <v>0</v>
      </c>
      <c r="G4914">
        <v>710</v>
      </c>
      <c r="H4914">
        <v>78284957</v>
      </c>
      <c r="I4914">
        <v>497633</v>
      </c>
      <c r="J4914" t="s">
        <v>17</v>
      </c>
      <c r="K4914" t="s">
        <v>18</v>
      </c>
      <c r="L4914">
        <v>5</v>
      </c>
      <c r="M4914">
        <v>19.75</v>
      </c>
      <c r="N4914">
        <v>403695</v>
      </c>
      <c r="O4914">
        <v>1</v>
      </c>
    </row>
    <row r="4915" spans="1:15">
      <c r="A4915" t="s">
        <v>4941</v>
      </c>
      <c r="B4915" t="s">
        <v>32</v>
      </c>
      <c r="C4915">
        <v>5</v>
      </c>
      <c r="D4915">
        <v>20393633</v>
      </c>
      <c r="E4915">
        <v>1</v>
      </c>
      <c r="F4915">
        <v>22</v>
      </c>
      <c r="G4915">
        <v>495</v>
      </c>
      <c r="H4915">
        <v>46029744</v>
      </c>
      <c r="I4915">
        <v>989231</v>
      </c>
      <c r="J4915" t="s">
        <v>21</v>
      </c>
      <c r="K4915" t="s">
        <v>30</v>
      </c>
      <c r="L4915">
        <v>8</v>
      </c>
      <c r="M4915">
        <v>37.03</v>
      </c>
      <c r="N4915">
        <v>565513</v>
      </c>
      <c r="O4915">
        <v>1</v>
      </c>
    </row>
    <row r="4916" spans="1:15">
      <c r="A4916" t="s">
        <v>4942</v>
      </c>
      <c r="B4916" t="s">
        <v>27</v>
      </c>
      <c r="C4916">
        <v>5</v>
      </c>
      <c r="D4916">
        <v>26162376</v>
      </c>
      <c r="E4916">
        <v>1</v>
      </c>
      <c r="F4916">
        <v>26</v>
      </c>
      <c r="G4916">
        <v>673</v>
      </c>
      <c r="H4916">
        <v>25656978</v>
      </c>
      <c r="I4916">
        <v>457414</v>
      </c>
      <c r="J4916" t="s">
        <v>17</v>
      </c>
      <c r="K4916" t="s">
        <v>18</v>
      </c>
      <c r="L4916">
        <v>7</v>
      </c>
      <c r="M4916">
        <v>46.66</v>
      </c>
      <c r="N4916">
        <v>799248</v>
      </c>
      <c r="O4916">
        <v>1</v>
      </c>
    </row>
    <row r="4917" spans="1:15">
      <c r="A4917" t="s">
        <v>4943</v>
      </c>
      <c r="B4917" t="s">
        <v>27</v>
      </c>
      <c r="C4917">
        <v>6</v>
      </c>
      <c r="D4917">
        <v>8478863</v>
      </c>
      <c r="E4917">
        <v>2</v>
      </c>
      <c r="F4917">
        <v>8</v>
      </c>
      <c r="G4917">
        <v>147</v>
      </c>
      <c r="H4917">
        <v>70124234</v>
      </c>
      <c r="I4917">
        <v>71593</v>
      </c>
      <c r="J4917" t="s">
        <v>21</v>
      </c>
      <c r="K4917" t="s">
        <v>18</v>
      </c>
      <c r="L4917">
        <v>8</v>
      </c>
      <c r="M4917">
        <v>41.22</v>
      </c>
      <c r="N4917">
        <v>142686</v>
      </c>
      <c r="O4917">
        <v>1</v>
      </c>
    </row>
    <row r="4918" spans="1:15">
      <c r="A4918" t="s">
        <v>4944</v>
      </c>
      <c r="B4918" t="s">
        <v>29</v>
      </c>
      <c r="C4918">
        <v>0</v>
      </c>
      <c r="D4918">
        <v>41244296</v>
      </c>
      <c r="E4918">
        <v>2</v>
      </c>
      <c r="F4918">
        <v>19</v>
      </c>
      <c r="G4918">
        <v>223</v>
      </c>
      <c r="H4918">
        <v>93905776</v>
      </c>
      <c r="I4918">
        <v>496256</v>
      </c>
      <c r="J4918" t="s">
        <v>21</v>
      </c>
      <c r="K4918" t="s">
        <v>22</v>
      </c>
      <c r="L4918">
        <v>8</v>
      </c>
      <c r="M4918">
        <v>81.459999999999994</v>
      </c>
      <c r="N4918">
        <v>640188</v>
      </c>
      <c r="O4918">
        <v>1</v>
      </c>
    </row>
    <row r="4919" spans="1:15">
      <c r="A4919" t="s">
        <v>4945</v>
      </c>
      <c r="B4919" t="s">
        <v>16</v>
      </c>
      <c r="C4919">
        <v>0</v>
      </c>
      <c r="D4919">
        <v>32118014</v>
      </c>
      <c r="E4919">
        <v>4</v>
      </c>
      <c r="F4919">
        <v>8</v>
      </c>
      <c r="G4919">
        <v>450</v>
      </c>
      <c r="H4919">
        <v>14275112</v>
      </c>
      <c r="I4919">
        <v>918733</v>
      </c>
      <c r="J4919" t="s">
        <v>25</v>
      </c>
      <c r="K4919" t="s">
        <v>22</v>
      </c>
      <c r="L4919">
        <v>5</v>
      </c>
      <c r="M4919">
        <v>33.619999999999997</v>
      </c>
      <c r="N4919">
        <v>899425</v>
      </c>
      <c r="O4919">
        <v>1</v>
      </c>
    </row>
    <row r="4920" spans="1:15">
      <c r="A4920" t="s">
        <v>4946</v>
      </c>
      <c r="B4920" t="s">
        <v>20</v>
      </c>
      <c r="C4920">
        <v>2</v>
      </c>
      <c r="D4920">
        <v>5607447</v>
      </c>
      <c r="E4920">
        <v>2</v>
      </c>
      <c r="F4920">
        <v>24</v>
      </c>
      <c r="G4920">
        <v>368</v>
      </c>
      <c r="H4920">
        <v>17698530</v>
      </c>
      <c r="I4920">
        <v>473530</v>
      </c>
      <c r="J4920" t="s">
        <v>17</v>
      </c>
      <c r="K4920" t="s">
        <v>22</v>
      </c>
      <c r="L4920">
        <v>5</v>
      </c>
      <c r="M4920">
        <v>50.96</v>
      </c>
      <c r="N4920">
        <v>149936</v>
      </c>
      <c r="O4920">
        <v>1</v>
      </c>
    </row>
    <row r="4921" spans="1:15">
      <c r="A4921" t="s">
        <v>4947</v>
      </c>
      <c r="B4921" t="s">
        <v>29</v>
      </c>
      <c r="C4921">
        <v>4</v>
      </c>
      <c r="D4921">
        <v>7897927</v>
      </c>
      <c r="E4921">
        <v>1</v>
      </c>
      <c r="F4921">
        <v>15</v>
      </c>
      <c r="G4921">
        <v>309</v>
      </c>
      <c r="H4921">
        <v>66832864</v>
      </c>
      <c r="I4921">
        <v>582047</v>
      </c>
      <c r="J4921" t="s">
        <v>17</v>
      </c>
      <c r="K4921" t="s">
        <v>30</v>
      </c>
      <c r="L4921">
        <v>3</v>
      </c>
      <c r="M4921">
        <v>54.88</v>
      </c>
      <c r="N4921">
        <v>318290</v>
      </c>
      <c r="O4921">
        <v>1</v>
      </c>
    </row>
    <row r="4922" spans="1:15">
      <c r="A4922" t="s">
        <v>4948</v>
      </c>
      <c r="B4922" t="s">
        <v>24</v>
      </c>
      <c r="C4922">
        <v>5</v>
      </c>
      <c r="D4922">
        <v>48449249</v>
      </c>
      <c r="E4922">
        <v>1</v>
      </c>
      <c r="F4922">
        <v>4</v>
      </c>
      <c r="G4922">
        <v>857</v>
      </c>
      <c r="H4922">
        <v>37439135</v>
      </c>
      <c r="I4922">
        <v>290828</v>
      </c>
      <c r="J4922" t="s">
        <v>17</v>
      </c>
      <c r="K4922" t="s">
        <v>30</v>
      </c>
      <c r="L4922">
        <v>1</v>
      </c>
      <c r="M4922">
        <v>25.21</v>
      </c>
      <c r="N4922">
        <v>270073</v>
      </c>
      <c r="O4922">
        <v>1</v>
      </c>
    </row>
    <row r="4923" spans="1:15">
      <c r="A4923" t="s">
        <v>4949</v>
      </c>
      <c r="B4923" t="s">
        <v>16</v>
      </c>
      <c r="C4923">
        <v>11</v>
      </c>
      <c r="D4923">
        <v>34249661</v>
      </c>
      <c r="E4923">
        <v>4</v>
      </c>
      <c r="F4923">
        <v>24</v>
      </c>
      <c r="G4923">
        <v>745</v>
      </c>
      <c r="H4923">
        <v>69068823</v>
      </c>
      <c r="I4923">
        <v>506688</v>
      </c>
      <c r="J4923" t="s">
        <v>25</v>
      </c>
      <c r="K4923" t="s">
        <v>30</v>
      </c>
      <c r="L4923">
        <v>6</v>
      </c>
      <c r="M4923">
        <v>52.07</v>
      </c>
      <c r="N4923">
        <v>279275</v>
      </c>
      <c r="O4923">
        <v>1</v>
      </c>
    </row>
    <row r="4924" spans="1:15">
      <c r="A4924" t="s">
        <v>4950</v>
      </c>
      <c r="B4924" t="s">
        <v>24</v>
      </c>
      <c r="C4924">
        <v>0</v>
      </c>
      <c r="D4924">
        <v>9932408</v>
      </c>
      <c r="E4924">
        <v>3</v>
      </c>
      <c r="F4924">
        <v>8</v>
      </c>
      <c r="G4924">
        <v>443</v>
      </c>
      <c r="H4924">
        <v>90393199</v>
      </c>
      <c r="I4924">
        <v>840508</v>
      </c>
      <c r="J4924" t="s">
        <v>21</v>
      </c>
      <c r="K4924" t="s">
        <v>22</v>
      </c>
      <c r="L4924">
        <v>3</v>
      </c>
      <c r="M4924">
        <v>16.79</v>
      </c>
      <c r="N4924">
        <v>311947</v>
      </c>
      <c r="O4924">
        <v>1</v>
      </c>
    </row>
    <row r="4925" spans="1:15">
      <c r="A4925" t="s">
        <v>4951</v>
      </c>
      <c r="B4925" t="s">
        <v>32</v>
      </c>
      <c r="C4925">
        <v>11</v>
      </c>
      <c r="D4925">
        <v>33186362</v>
      </c>
      <c r="E4925">
        <v>1</v>
      </c>
      <c r="F4925">
        <v>28</v>
      </c>
      <c r="G4925">
        <v>382</v>
      </c>
      <c r="H4925">
        <v>29595314</v>
      </c>
      <c r="I4925">
        <v>27967</v>
      </c>
      <c r="J4925" t="s">
        <v>25</v>
      </c>
      <c r="K4925" t="s">
        <v>30</v>
      </c>
      <c r="L4925">
        <v>1</v>
      </c>
      <c r="M4925">
        <v>80.31</v>
      </c>
      <c r="N4925">
        <v>800652</v>
      </c>
      <c r="O4925">
        <v>1</v>
      </c>
    </row>
    <row r="4926" spans="1:15">
      <c r="A4926" t="s">
        <v>4952</v>
      </c>
      <c r="B4926" t="s">
        <v>32</v>
      </c>
      <c r="C4926">
        <v>11</v>
      </c>
      <c r="D4926">
        <v>25271749</v>
      </c>
      <c r="E4926">
        <v>3</v>
      </c>
      <c r="F4926">
        <v>26</v>
      </c>
      <c r="G4926">
        <v>140</v>
      </c>
      <c r="H4926">
        <v>37830563</v>
      </c>
      <c r="I4926">
        <v>569786</v>
      </c>
      <c r="J4926" t="s">
        <v>25</v>
      </c>
      <c r="K4926" t="s">
        <v>18</v>
      </c>
      <c r="L4926">
        <v>2</v>
      </c>
      <c r="M4926">
        <v>84.2</v>
      </c>
      <c r="N4926">
        <v>803628</v>
      </c>
      <c r="O4926">
        <v>1</v>
      </c>
    </row>
    <row r="4927" spans="1:15">
      <c r="A4927" t="s">
        <v>4953</v>
      </c>
      <c r="B4927" t="s">
        <v>27</v>
      </c>
      <c r="C4927">
        <v>2</v>
      </c>
      <c r="D4927">
        <v>24794160</v>
      </c>
      <c r="E4927">
        <v>4</v>
      </c>
      <c r="F4927">
        <v>6</v>
      </c>
      <c r="G4927">
        <v>469</v>
      </c>
      <c r="H4927">
        <v>19241040</v>
      </c>
      <c r="I4927">
        <v>833610</v>
      </c>
      <c r="J4927" t="s">
        <v>25</v>
      </c>
      <c r="K4927" t="s">
        <v>22</v>
      </c>
      <c r="L4927">
        <v>5</v>
      </c>
      <c r="M4927">
        <v>5.46</v>
      </c>
      <c r="N4927">
        <v>282794</v>
      </c>
      <c r="O4927">
        <v>1</v>
      </c>
    </row>
    <row r="4928" spans="1:15">
      <c r="A4928" t="s">
        <v>4954</v>
      </c>
      <c r="B4928" t="s">
        <v>32</v>
      </c>
      <c r="C4928">
        <v>4</v>
      </c>
      <c r="D4928">
        <v>44656882</v>
      </c>
      <c r="E4928">
        <v>4</v>
      </c>
      <c r="F4928">
        <v>13</v>
      </c>
      <c r="G4928">
        <v>378</v>
      </c>
      <c r="H4928">
        <v>69838165</v>
      </c>
      <c r="I4928">
        <v>777585</v>
      </c>
      <c r="J4928" t="s">
        <v>17</v>
      </c>
      <c r="K4928" t="s">
        <v>18</v>
      </c>
      <c r="L4928">
        <v>4</v>
      </c>
      <c r="M4928">
        <v>39.82</v>
      </c>
      <c r="N4928">
        <v>441938</v>
      </c>
      <c r="O4928">
        <v>1</v>
      </c>
    </row>
    <row r="4929" spans="1:15">
      <c r="A4929" t="s">
        <v>4955</v>
      </c>
      <c r="B4929" t="s">
        <v>20</v>
      </c>
      <c r="C4929">
        <v>6</v>
      </c>
      <c r="D4929">
        <v>27083668</v>
      </c>
      <c r="E4929">
        <v>3</v>
      </c>
      <c r="F4929">
        <v>17</v>
      </c>
      <c r="G4929">
        <v>535</v>
      </c>
      <c r="H4929">
        <v>1683860</v>
      </c>
      <c r="I4929">
        <v>689101</v>
      </c>
      <c r="J4929" t="s">
        <v>17</v>
      </c>
      <c r="K4929" t="s">
        <v>30</v>
      </c>
      <c r="L4929">
        <v>5</v>
      </c>
      <c r="M4929">
        <v>67.38</v>
      </c>
      <c r="N4929">
        <v>519093</v>
      </c>
      <c r="O4929">
        <v>1</v>
      </c>
    </row>
    <row r="4930" spans="1:15">
      <c r="A4930" t="s">
        <v>4956</v>
      </c>
      <c r="B4930" t="s">
        <v>20</v>
      </c>
      <c r="C4930">
        <v>8</v>
      </c>
      <c r="D4930">
        <v>27742885</v>
      </c>
      <c r="E4930">
        <v>4</v>
      </c>
      <c r="F4930">
        <v>25</v>
      </c>
      <c r="G4930">
        <v>659</v>
      </c>
      <c r="H4930">
        <v>24526197</v>
      </c>
      <c r="I4930">
        <v>932746</v>
      </c>
      <c r="J4930" t="s">
        <v>25</v>
      </c>
      <c r="K4930" t="s">
        <v>18</v>
      </c>
      <c r="L4930">
        <v>4</v>
      </c>
      <c r="M4930">
        <v>94.43</v>
      </c>
      <c r="N4930">
        <v>240905</v>
      </c>
      <c r="O4930">
        <v>1</v>
      </c>
    </row>
    <row r="4931" spans="1:15">
      <c r="A4931" t="s">
        <v>4957</v>
      </c>
      <c r="B4931" t="s">
        <v>20</v>
      </c>
      <c r="C4931">
        <v>3</v>
      </c>
      <c r="D4931">
        <v>37025797</v>
      </c>
      <c r="E4931">
        <v>1</v>
      </c>
      <c r="F4931">
        <v>2</v>
      </c>
      <c r="G4931">
        <v>565</v>
      </c>
      <c r="H4931">
        <v>97645425</v>
      </c>
      <c r="I4931">
        <v>617647</v>
      </c>
      <c r="J4931" t="s">
        <v>17</v>
      </c>
      <c r="K4931" t="s">
        <v>22</v>
      </c>
      <c r="L4931">
        <v>3</v>
      </c>
      <c r="M4931">
        <v>26.65</v>
      </c>
      <c r="N4931">
        <v>327421</v>
      </c>
      <c r="O4931">
        <v>1</v>
      </c>
    </row>
    <row r="4932" spans="1:15">
      <c r="A4932" t="s">
        <v>4958</v>
      </c>
      <c r="B4932" t="s">
        <v>16</v>
      </c>
      <c r="C4932">
        <v>3</v>
      </c>
      <c r="D4932">
        <v>7124924</v>
      </c>
      <c r="E4932">
        <v>3</v>
      </c>
      <c r="F4932">
        <v>0</v>
      </c>
      <c r="G4932">
        <v>679</v>
      </c>
      <c r="H4932">
        <v>54704445</v>
      </c>
      <c r="I4932">
        <v>173877</v>
      </c>
      <c r="J4932" t="s">
        <v>17</v>
      </c>
      <c r="K4932" t="s">
        <v>18</v>
      </c>
      <c r="L4932">
        <v>3</v>
      </c>
      <c r="M4932">
        <v>72.75</v>
      </c>
      <c r="N4932">
        <v>816390</v>
      </c>
      <c r="O4932">
        <v>1</v>
      </c>
    </row>
    <row r="4933" spans="1:15">
      <c r="A4933" t="s">
        <v>4959</v>
      </c>
      <c r="B4933" t="s">
        <v>27</v>
      </c>
      <c r="C4933">
        <v>14</v>
      </c>
      <c r="D4933">
        <v>6111048</v>
      </c>
      <c r="E4933">
        <v>1</v>
      </c>
      <c r="F4933">
        <v>18</v>
      </c>
      <c r="G4933">
        <v>427</v>
      </c>
      <c r="H4933">
        <v>10407458</v>
      </c>
      <c r="I4933">
        <v>329731</v>
      </c>
      <c r="J4933" t="s">
        <v>17</v>
      </c>
      <c r="K4933" t="s">
        <v>22</v>
      </c>
      <c r="L4933">
        <v>5</v>
      </c>
      <c r="M4933">
        <v>62.1</v>
      </c>
      <c r="N4933">
        <v>822940</v>
      </c>
      <c r="O4933">
        <v>1</v>
      </c>
    </row>
    <row r="4934" spans="1:15">
      <c r="A4934" t="s">
        <v>4960</v>
      </c>
      <c r="B4934" t="s">
        <v>16</v>
      </c>
      <c r="C4934">
        <v>7</v>
      </c>
      <c r="D4934">
        <v>10397298</v>
      </c>
      <c r="E4934">
        <v>1</v>
      </c>
      <c r="F4934">
        <v>23</v>
      </c>
      <c r="G4934">
        <v>423</v>
      </c>
      <c r="H4934">
        <v>96225178</v>
      </c>
      <c r="I4934">
        <v>724287</v>
      </c>
      <c r="J4934" t="s">
        <v>25</v>
      </c>
      <c r="K4934" t="s">
        <v>30</v>
      </c>
      <c r="L4934">
        <v>7</v>
      </c>
      <c r="M4934">
        <v>64.66</v>
      </c>
      <c r="N4934">
        <v>657057</v>
      </c>
      <c r="O4934">
        <v>1</v>
      </c>
    </row>
    <row r="4935" spans="1:15">
      <c r="A4935" t="s">
        <v>4961</v>
      </c>
      <c r="B4935" t="s">
        <v>24</v>
      </c>
      <c r="C4935">
        <v>10</v>
      </c>
      <c r="D4935">
        <v>28505987</v>
      </c>
      <c r="E4935">
        <v>1</v>
      </c>
      <c r="F4935">
        <v>2</v>
      </c>
      <c r="G4935">
        <v>516</v>
      </c>
      <c r="H4935">
        <v>72020438</v>
      </c>
      <c r="I4935">
        <v>306487</v>
      </c>
      <c r="J4935" t="s">
        <v>25</v>
      </c>
      <c r="K4935" t="s">
        <v>18</v>
      </c>
      <c r="L4935">
        <v>8</v>
      </c>
      <c r="M4935">
        <v>74.31</v>
      </c>
      <c r="N4935">
        <v>430882</v>
      </c>
      <c r="O4935">
        <v>1</v>
      </c>
    </row>
    <row r="4936" spans="1:15">
      <c r="A4936" t="s">
        <v>4962</v>
      </c>
      <c r="B4936" t="s">
        <v>38</v>
      </c>
      <c r="C4936">
        <v>0</v>
      </c>
      <c r="D4936">
        <v>47615964</v>
      </c>
      <c r="E4936">
        <v>2</v>
      </c>
      <c r="F4936">
        <v>25</v>
      </c>
      <c r="G4936">
        <v>219</v>
      </c>
      <c r="H4936">
        <v>2546458</v>
      </c>
      <c r="I4936">
        <v>820179</v>
      </c>
      <c r="J4936" t="s">
        <v>21</v>
      </c>
      <c r="K4936" t="s">
        <v>22</v>
      </c>
      <c r="L4936">
        <v>8</v>
      </c>
      <c r="M4936">
        <v>13.53</v>
      </c>
      <c r="N4936">
        <v>255615</v>
      </c>
      <c r="O4936">
        <v>1</v>
      </c>
    </row>
    <row r="4937" spans="1:15">
      <c r="A4937" t="s">
        <v>4963</v>
      </c>
      <c r="B4937" t="s">
        <v>32</v>
      </c>
      <c r="C4937">
        <v>1</v>
      </c>
      <c r="D4937">
        <v>38874842</v>
      </c>
      <c r="E4937">
        <v>3</v>
      </c>
      <c r="F4937">
        <v>10</v>
      </c>
      <c r="G4937">
        <v>207</v>
      </c>
      <c r="H4937">
        <v>62981588</v>
      </c>
      <c r="I4937">
        <v>98590</v>
      </c>
      <c r="J4937" t="s">
        <v>21</v>
      </c>
      <c r="K4937" t="s">
        <v>22</v>
      </c>
      <c r="L4937">
        <v>4</v>
      </c>
      <c r="M4937">
        <v>66.73</v>
      </c>
      <c r="N4937">
        <v>906591</v>
      </c>
      <c r="O4937">
        <v>1</v>
      </c>
    </row>
    <row r="4938" spans="1:15">
      <c r="A4938" t="s">
        <v>4964</v>
      </c>
      <c r="B4938" t="s">
        <v>20</v>
      </c>
      <c r="C4938">
        <v>1</v>
      </c>
      <c r="D4938">
        <v>36851248</v>
      </c>
      <c r="E4938">
        <v>2</v>
      </c>
      <c r="F4938">
        <v>10</v>
      </c>
      <c r="G4938">
        <v>815</v>
      </c>
      <c r="H4938">
        <v>74613120</v>
      </c>
      <c r="I4938">
        <v>322288</v>
      </c>
      <c r="J4938" t="s">
        <v>21</v>
      </c>
      <c r="K4938" t="s">
        <v>22</v>
      </c>
      <c r="L4938">
        <v>3</v>
      </c>
      <c r="M4938">
        <v>47.33</v>
      </c>
      <c r="N4938">
        <v>563222</v>
      </c>
      <c r="O4938">
        <v>1</v>
      </c>
    </row>
    <row r="4939" spans="1:15">
      <c r="A4939" t="s">
        <v>4965</v>
      </c>
      <c r="B4939" t="s">
        <v>20</v>
      </c>
      <c r="C4939">
        <v>4</v>
      </c>
      <c r="D4939">
        <v>8023725</v>
      </c>
      <c r="E4939">
        <v>2</v>
      </c>
      <c r="F4939">
        <v>4</v>
      </c>
      <c r="G4939">
        <v>51</v>
      </c>
      <c r="H4939">
        <v>23583640</v>
      </c>
      <c r="I4939">
        <v>82895</v>
      </c>
      <c r="J4939" t="s">
        <v>21</v>
      </c>
      <c r="K4939" t="s">
        <v>18</v>
      </c>
      <c r="L4939">
        <v>4</v>
      </c>
      <c r="M4939">
        <v>94.98</v>
      </c>
      <c r="N4939">
        <v>500710</v>
      </c>
      <c r="O4939">
        <v>1</v>
      </c>
    </row>
    <row r="4940" spans="1:15">
      <c r="A4940" t="s">
        <v>4966</v>
      </c>
      <c r="B4940" t="s">
        <v>20</v>
      </c>
      <c r="C4940">
        <v>12</v>
      </c>
      <c r="D4940">
        <v>2233109</v>
      </c>
      <c r="E4940">
        <v>1</v>
      </c>
      <c r="F4940">
        <v>13</v>
      </c>
      <c r="G4940">
        <v>785</v>
      </c>
      <c r="H4940">
        <v>36803273</v>
      </c>
      <c r="I4940">
        <v>70594</v>
      </c>
      <c r="J4940" t="s">
        <v>21</v>
      </c>
      <c r="K4940" t="s">
        <v>22</v>
      </c>
      <c r="L4940">
        <v>3</v>
      </c>
      <c r="M4940">
        <v>47.29</v>
      </c>
      <c r="N4940">
        <v>565876</v>
      </c>
      <c r="O4940">
        <v>1</v>
      </c>
    </row>
    <row r="4941" spans="1:15">
      <c r="A4941" t="s">
        <v>4967</v>
      </c>
      <c r="B4941" t="s">
        <v>27</v>
      </c>
      <c r="C4941">
        <v>5</v>
      </c>
      <c r="D4941">
        <v>14815546</v>
      </c>
      <c r="E4941">
        <v>1</v>
      </c>
      <c r="F4941">
        <v>8</v>
      </c>
      <c r="G4941">
        <v>697</v>
      </c>
      <c r="H4941">
        <v>36982330</v>
      </c>
      <c r="I4941">
        <v>146189</v>
      </c>
      <c r="J4941" t="s">
        <v>25</v>
      </c>
      <c r="K4941" t="s">
        <v>22</v>
      </c>
      <c r="L4941">
        <v>9</v>
      </c>
      <c r="M4941">
        <v>29.63</v>
      </c>
      <c r="N4941">
        <v>479373</v>
      </c>
      <c r="O4941">
        <v>1</v>
      </c>
    </row>
    <row r="4942" spans="1:15">
      <c r="A4942" t="s">
        <v>4968</v>
      </c>
      <c r="B4942" t="s">
        <v>38</v>
      </c>
      <c r="C4942">
        <v>8</v>
      </c>
      <c r="D4942">
        <v>32441748</v>
      </c>
      <c r="E4942">
        <v>3</v>
      </c>
      <c r="F4942">
        <v>25</v>
      </c>
      <c r="G4942">
        <v>129</v>
      </c>
      <c r="H4942">
        <v>79193399</v>
      </c>
      <c r="I4942">
        <v>486682</v>
      </c>
      <c r="J4942" t="s">
        <v>17</v>
      </c>
      <c r="K4942" t="s">
        <v>18</v>
      </c>
      <c r="L4942">
        <v>5</v>
      </c>
      <c r="M4942">
        <v>6.67</v>
      </c>
      <c r="N4942">
        <v>698412</v>
      </c>
      <c r="O4942">
        <v>1</v>
      </c>
    </row>
    <row r="4943" spans="1:15">
      <c r="A4943" t="s">
        <v>4969</v>
      </c>
      <c r="B4943" t="s">
        <v>16</v>
      </c>
      <c r="C4943">
        <v>3</v>
      </c>
      <c r="D4943">
        <v>49266290</v>
      </c>
      <c r="E4943">
        <v>1</v>
      </c>
      <c r="F4943">
        <v>0</v>
      </c>
      <c r="G4943">
        <v>58</v>
      </c>
      <c r="H4943">
        <v>97969628</v>
      </c>
      <c r="I4943">
        <v>601466</v>
      </c>
      <c r="J4943" t="s">
        <v>25</v>
      </c>
      <c r="K4943" t="s">
        <v>30</v>
      </c>
      <c r="L4943">
        <v>6</v>
      </c>
      <c r="M4943">
        <v>66.56</v>
      </c>
      <c r="N4943">
        <v>744563</v>
      </c>
      <c r="O4943">
        <v>1</v>
      </c>
    </row>
    <row r="4944" spans="1:15">
      <c r="A4944" t="s">
        <v>4970</v>
      </c>
      <c r="B4944" t="s">
        <v>20</v>
      </c>
      <c r="C4944">
        <v>8</v>
      </c>
      <c r="D4944">
        <v>12966384</v>
      </c>
      <c r="E4944">
        <v>1</v>
      </c>
      <c r="F4944">
        <v>1</v>
      </c>
      <c r="G4944">
        <v>355</v>
      </c>
      <c r="H4944">
        <v>73600547</v>
      </c>
      <c r="I4944">
        <v>113059</v>
      </c>
      <c r="J4944" t="s">
        <v>25</v>
      </c>
      <c r="K4944" t="s">
        <v>18</v>
      </c>
      <c r="L4944">
        <v>5</v>
      </c>
      <c r="M4944">
        <v>10.87</v>
      </c>
      <c r="N4944">
        <v>251574</v>
      </c>
      <c r="O4944">
        <v>1</v>
      </c>
    </row>
    <row r="4945" spans="1:15">
      <c r="A4945" t="s">
        <v>4971</v>
      </c>
      <c r="B4945" t="s">
        <v>20</v>
      </c>
      <c r="C4945">
        <v>11</v>
      </c>
      <c r="D4945">
        <v>15055138</v>
      </c>
      <c r="E4945">
        <v>2</v>
      </c>
      <c r="F4945">
        <v>27</v>
      </c>
      <c r="G4945">
        <v>914</v>
      </c>
      <c r="H4945">
        <v>77106676</v>
      </c>
      <c r="I4945">
        <v>361432</v>
      </c>
      <c r="J4945" t="s">
        <v>21</v>
      </c>
      <c r="K4945" t="s">
        <v>22</v>
      </c>
      <c r="L4945">
        <v>2</v>
      </c>
      <c r="M4945">
        <v>9.5500000000000007</v>
      </c>
      <c r="N4945">
        <v>862322</v>
      </c>
      <c r="O4945">
        <v>1</v>
      </c>
    </row>
    <row r="4946" spans="1:15">
      <c r="A4946" t="s">
        <v>4972</v>
      </c>
      <c r="B4946" t="s">
        <v>32</v>
      </c>
      <c r="C4946">
        <v>4</v>
      </c>
      <c r="D4946">
        <v>16729577</v>
      </c>
      <c r="E4946">
        <v>4</v>
      </c>
      <c r="F4946">
        <v>26</v>
      </c>
      <c r="G4946">
        <v>853</v>
      </c>
      <c r="H4946">
        <v>39308952</v>
      </c>
      <c r="I4946">
        <v>959309</v>
      </c>
      <c r="J4946" t="s">
        <v>25</v>
      </c>
      <c r="K4946" t="s">
        <v>22</v>
      </c>
      <c r="L4946">
        <v>1</v>
      </c>
      <c r="M4946">
        <v>30.56</v>
      </c>
      <c r="N4946">
        <v>836050</v>
      </c>
      <c r="O4946">
        <v>1</v>
      </c>
    </row>
    <row r="4947" spans="1:15">
      <c r="A4947" t="s">
        <v>4973</v>
      </c>
      <c r="B4947" t="s">
        <v>24</v>
      </c>
      <c r="C4947">
        <v>7</v>
      </c>
      <c r="D4947">
        <v>45551077</v>
      </c>
      <c r="E4947">
        <v>3</v>
      </c>
      <c r="F4947">
        <v>10</v>
      </c>
      <c r="G4947">
        <v>784</v>
      </c>
      <c r="H4947">
        <v>44459883</v>
      </c>
      <c r="I4947">
        <v>969495</v>
      </c>
      <c r="J4947" t="s">
        <v>25</v>
      </c>
      <c r="K4947" t="s">
        <v>18</v>
      </c>
      <c r="L4947">
        <v>7</v>
      </c>
      <c r="M4947">
        <v>96.3</v>
      </c>
      <c r="N4947">
        <v>748580</v>
      </c>
      <c r="O4947">
        <v>1</v>
      </c>
    </row>
    <row r="4948" spans="1:15">
      <c r="A4948" t="s">
        <v>4974</v>
      </c>
      <c r="B4948" t="s">
        <v>20</v>
      </c>
      <c r="C4948">
        <v>2</v>
      </c>
      <c r="D4948">
        <v>1490651</v>
      </c>
      <c r="E4948">
        <v>2</v>
      </c>
      <c r="F4948">
        <v>2</v>
      </c>
      <c r="G4948">
        <v>31</v>
      </c>
      <c r="H4948">
        <v>23273448</v>
      </c>
      <c r="I4948">
        <v>852516</v>
      </c>
      <c r="J4948" t="s">
        <v>21</v>
      </c>
      <c r="K4948" t="s">
        <v>22</v>
      </c>
      <c r="L4948">
        <v>7</v>
      </c>
      <c r="M4948">
        <v>2.91</v>
      </c>
      <c r="N4948">
        <v>885861</v>
      </c>
      <c r="O4948">
        <v>1</v>
      </c>
    </row>
    <row r="4949" spans="1:15">
      <c r="A4949" t="s">
        <v>4975</v>
      </c>
      <c r="B4949" t="s">
        <v>32</v>
      </c>
      <c r="C4949">
        <v>8</v>
      </c>
      <c r="D4949">
        <v>6997031</v>
      </c>
      <c r="E4949">
        <v>1</v>
      </c>
      <c r="F4949">
        <v>4</v>
      </c>
      <c r="G4949">
        <v>952</v>
      </c>
      <c r="H4949">
        <v>23521823</v>
      </c>
      <c r="I4949">
        <v>570292</v>
      </c>
      <c r="J4949" t="s">
        <v>21</v>
      </c>
      <c r="K4949" t="s">
        <v>22</v>
      </c>
      <c r="L4949">
        <v>7</v>
      </c>
      <c r="M4949">
        <v>39.11</v>
      </c>
      <c r="N4949">
        <v>507796</v>
      </c>
      <c r="O4949">
        <v>1</v>
      </c>
    </row>
    <row r="4950" spans="1:15">
      <c r="A4950" t="s">
        <v>4976</v>
      </c>
      <c r="B4950" t="s">
        <v>16</v>
      </c>
      <c r="C4950">
        <v>14</v>
      </c>
      <c r="D4950">
        <v>692369</v>
      </c>
      <c r="E4950">
        <v>2</v>
      </c>
      <c r="F4950">
        <v>8</v>
      </c>
      <c r="G4950">
        <v>538</v>
      </c>
      <c r="H4950">
        <v>50308652</v>
      </c>
      <c r="I4950">
        <v>10145</v>
      </c>
      <c r="J4950" t="s">
        <v>21</v>
      </c>
      <c r="K4950" t="s">
        <v>30</v>
      </c>
      <c r="L4950">
        <v>5</v>
      </c>
      <c r="M4950">
        <v>0.62</v>
      </c>
      <c r="N4950">
        <v>500449</v>
      </c>
      <c r="O4950">
        <v>1</v>
      </c>
    </row>
    <row r="4951" spans="1:15">
      <c r="A4951" t="s">
        <v>4977</v>
      </c>
      <c r="B4951" t="s">
        <v>32</v>
      </c>
      <c r="C4951">
        <v>9</v>
      </c>
      <c r="D4951">
        <v>7405077</v>
      </c>
      <c r="E4951">
        <v>4</v>
      </c>
      <c r="F4951">
        <v>19</v>
      </c>
      <c r="G4951">
        <v>108</v>
      </c>
      <c r="H4951">
        <v>13841648</v>
      </c>
      <c r="I4951">
        <v>181210</v>
      </c>
      <c r="J4951" t="s">
        <v>17</v>
      </c>
      <c r="K4951" t="s">
        <v>22</v>
      </c>
      <c r="L4951">
        <v>1</v>
      </c>
      <c r="M4951">
        <v>66.66</v>
      </c>
      <c r="N4951">
        <v>67635</v>
      </c>
      <c r="O4951">
        <v>1</v>
      </c>
    </row>
    <row r="4952" spans="1:15">
      <c r="A4952" t="s">
        <v>4978</v>
      </c>
      <c r="B4952" t="s">
        <v>16</v>
      </c>
      <c r="C4952">
        <v>6</v>
      </c>
      <c r="D4952">
        <v>10663121</v>
      </c>
      <c r="E4952">
        <v>2</v>
      </c>
      <c r="F4952">
        <v>12</v>
      </c>
      <c r="G4952">
        <v>661</v>
      </c>
      <c r="H4952">
        <v>69204405</v>
      </c>
      <c r="I4952">
        <v>33703</v>
      </c>
      <c r="J4952" t="s">
        <v>21</v>
      </c>
      <c r="K4952" t="s">
        <v>18</v>
      </c>
      <c r="L4952">
        <v>3</v>
      </c>
      <c r="M4952">
        <v>16.86</v>
      </c>
      <c r="N4952">
        <v>755031</v>
      </c>
      <c r="O4952">
        <v>1</v>
      </c>
    </row>
    <row r="4953" spans="1:15">
      <c r="A4953" t="s">
        <v>4979</v>
      </c>
      <c r="B4953" t="s">
        <v>27</v>
      </c>
      <c r="C4953">
        <v>11</v>
      </c>
      <c r="D4953">
        <v>25556468</v>
      </c>
      <c r="E4953">
        <v>3</v>
      </c>
      <c r="F4953">
        <v>10</v>
      </c>
      <c r="G4953">
        <v>390</v>
      </c>
      <c r="H4953">
        <v>24767056</v>
      </c>
      <c r="I4953">
        <v>783249</v>
      </c>
      <c r="J4953" t="s">
        <v>25</v>
      </c>
      <c r="K4953" t="s">
        <v>22</v>
      </c>
      <c r="L4953">
        <v>1</v>
      </c>
      <c r="M4953">
        <v>47.24</v>
      </c>
      <c r="N4953">
        <v>715286</v>
      </c>
      <c r="O4953">
        <v>1</v>
      </c>
    </row>
    <row r="4954" spans="1:15">
      <c r="A4954" t="s">
        <v>4980</v>
      </c>
      <c r="B4954" t="s">
        <v>38</v>
      </c>
      <c r="C4954">
        <v>12</v>
      </c>
      <c r="D4954">
        <v>41976789</v>
      </c>
      <c r="E4954">
        <v>1</v>
      </c>
      <c r="F4954">
        <v>19</v>
      </c>
      <c r="G4954">
        <v>234</v>
      </c>
      <c r="H4954">
        <v>89530085</v>
      </c>
      <c r="I4954">
        <v>652761</v>
      </c>
      <c r="J4954" t="s">
        <v>17</v>
      </c>
      <c r="K4954" t="s">
        <v>30</v>
      </c>
      <c r="L4954">
        <v>3</v>
      </c>
      <c r="M4954">
        <v>99.49</v>
      </c>
      <c r="N4954">
        <v>73395</v>
      </c>
      <c r="O4954">
        <v>1</v>
      </c>
    </row>
    <row r="4955" spans="1:15">
      <c r="A4955" t="s">
        <v>4981</v>
      </c>
      <c r="B4955" t="s">
        <v>20</v>
      </c>
      <c r="C4955">
        <v>3</v>
      </c>
      <c r="D4955">
        <v>46483268</v>
      </c>
      <c r="E4955">
        <v>3</v>
      </c>
      <c r="F4955">
        <v>24</v>
      </c>
      <c r="G4955">
        <v>875</v>
      </c>
      <c r="H4955">
        <v>47249951</v>
      </c>
      <c r="I4955">
        <v>199495</v>
      </c>
      <c r="J4955" t="s">
        <v>21</v>
      </c>
      <c r="K4955" t="s">
        <v>30</v>
      </c>
      <c r="L4955">
        <v>6</v>
      </c>
      <c r="M4955">
        <v>90.13</v>
      </c>
      <c r="N4955">
        <v>234597</v>
      </c>
      <c r="O4955">
        <v>1</v>
      </c>
    </row>
    <row r="4956" spans="1:15">
      <c r="A4956" t="s">
        <v>4982</v>
      </c>
      <c r="B4956" t="s">
        <v>29</v>
      </c>
      <c r="C4956">
        <v>5</v>
      </c>
      <c r="D4956">
        <v>34622769</v>
      </c>
      <c r="E4956">
        <v>1</v>
      </c>
      <c r="F4956">
        <v>14</v>
      </c>
      <c r="G4956">
        <v>139</v>
      </c>
      <c r="H4956">
        <v>99041969</v>
      </c>
      <c r="I4956">
        <v>357943</v>
      </c>
      <c r="J4956" t="s">
        <v>21</v>
      </c>
      <c r="K4956" t="s">
        <v>22</v>
      </c>
      <c r="L4956">
        <v>9</v>
      </c>
      <c r="M4956">
        <v>44.23</v>
      </c>
      <c r="N4956">
        <v>351942</v>
      </c>
      <c r="O4956">
        <v>1</v>
      </c>
    </row>
    <row r="4957" spans="1:15">
      <c r="A4957" t="s">
        <v>4983</v>
      </c>
      <c r="B4957" t="s">
        <v>24</v>
      </c>
      <c r="C4957">
        <v>9</v>
      </c>
      <c r="D4957">
        <v>26843101</v>
      </c>
      <c r="E4957">
        <v>2</v>
      </c>
      <c r="F4957">
        <v>27</v>
      </c>
      <c r="G4957">
        <v>999</v>
      </c>
      <c r="H4957">
        <v>67546052</v>
      </c>
      <c r="I4957">
        <v>41309</v>
      </c>
      <c r="J4957" t="s">
        <v>21</v>
      </c>
      <c r="K4957" t="s">
        <v>18</v>
      </c>
      <c r="L4957">
        <v>1</v>
      </c>
      <c r="M4957">
        <v>96.55</v>
      </c>
      <c r="N4957">
        <v>320718</v>
      </c>
      <c r="O4957">
        <v>1</v>
      </c>
    </row>
    <row r="4958" spans="1:15">
      <c r="A4958" t="s">
        <v>4984</v>
      </c>
      <c r="B4958" t="s">
        <v>38</v>
      </c>
      <c r="C4958">
        <v>7</v>
      </c>
      <c r="D4958">
        <v>48050662</v>
      </c>
      <c r="E4958">
        <v>3</v>
      </c>
      <c r="F4958">
        <v>10</v>
      </c>
      <c r="G4958">
        <v>101</v>
      </c>
      <c r="H4958">
        <v>48699011</v>
      </c>
      <c r="I4958">
        <v>806744</v>
      </c>
      <c r="J4958" t="s">
        <v>21</v>
      </c>
      <c r="K4958" t="s">
        <v>30</v>
      </c>
      <c r="L4958">
        <v>1</v>
      </c>
      <c r="M4958">
        <v>83.39</v>
      </c>
      <c r="N4958">
        <v>680329</v>
      </c>
      <c r="O4958">
        <v>1</v>
      </c>
    </row>
    <row r="4959" spans="1:15">
      <c r="A4959" t="s">
        <v>4985</v>
      </c>
      <c r="B4959" t="s">
        <v>20</v>
      </c>
      <c r="C4959">
        <v>0</v>
      </c>
      <c r="D4959">
        <v>13019528</v>
      </c>
      <c r="E4959">
        <v>4</v>
      </c>
      <c r="F4959">
        <v>20</v>
      </c>
      <c r="G4959">
        <v>295</v>
      </c>
      <c r="H4959">
        <v>99504266</v>
      </c>
      <c r="I4959">
        <v>258492</v>
      </c>
      <c r="J4959" t="s">
        <v>17</v>
      </c>
      <c r="K4959" t="s">
        <v>22</v>
      </c>
      <c r="L4959">
        <v>6</v>
      </c>
      <c r="M4959">
        <v>47.08</v>
      </c>
      <c r="N4959">
        <v>391192</v>
      </c>
      <c r="O4959">
        <v>1</v>
      </c>
    </row>
    <row r="4960" spans="1:15">
      <c r="A4960" t="s">
        <v>4986</v>
      </c>
      <c r="B4960" t="s">
        <v>20</v>
      </c>
      <c r="C4960">
        <v>3</v>
      </c>
      <c r="D4960">
        <v>43852559</v>
      </c>
      <c r="E4960">
        <v>4</v>
      </c>
      <c r="F4960">
        <v>3</v>
      </c>
      <c r="G4960">
        <v>541</v>
      </c>
      <c r="H4960">
        <v>57623051</v>
      </c>
      <c r="I4960">
        <v>284159</v>
      </c>
      <c r="J4960" t="s">
        <v>25</v>
      </c>
      <c r="K4960" t="s">
        <v>18</v>
      </c>
      <c r="L4960">
        <v>5</v>
      </c>
      <c r="M4960">
        <v>76.89</v>
      </c>
      <c r="N4960">
        <v>686684</v>
      </c>
      <c r="O4960">
        <v>1</v>
      </c>
    </row>
    <row r="4961" spans="1:15">
      <c r="A4961" t="s">
        <v>4987</v>
      </c>
      <c r="B4961" t="s">
        <v>32</v>
      </c>
      <c r="C4961">
        <v>9</v>
      </c>
      <c r="D4961">
        <v>23229313</v>
      </c>
      <c r="E4961">
        <v>1</v>
      </c>
      <c r="F4961">
        <v>16</v>
      </c>
      <c r="G4961">
        <v>805</v>
      </c>
      <c r="H4961">
        <v>84977963</v>
      </c>
      <c r="I4961">
        <v>578486</v>
      </c>
      <c r="J4961" t="s">
        <v>17</v>
      </c>
      <c r="K4961" t="s">
        <v>22</v>
      </c>
      <c r="L4961">
        <v>1</v>
      </c>
      <c r="M4961">
        <v>18.53</v>
      </c>
      <c r="N4961">
        <v>661976</v>
      </c>
      <c r="O4961">
        <v>1</v>
      </c>
    </row>
    <row r="4962" spans="1:15">
      <c r="A4962" t="s">
        <v>4988</v>
      </c>
      <c r="B4962" t="s">
        <v>32</v>
      </c>
      <c r="C4962">
        <v>9</v>
      </c>
      <c r="D4962">
        <v>44707137</v>
      </c>
      <c r="E4962">
        <v>4</v>
      </c>
      <c r="F4962">
        <v>22</v>
      </c>
      <c r="G4962">
        <v>708</v>
      </c>
      <c r="H4962">
        <v>38684925</v>
      </c>
      <c r="I4962">
        <v>279089</v>
      </c>
      <c r="J4962" t="s">
        <v>17</v>
      </c>
      <c r="K4962" t="s">
        <v>30</v>
      </c>
      <c r="L4962">
        <v>8</v>
      </c>
      <c r="M4962">
        <v>81.31</v>
      </c>
      <c r="N4962">
        <v>538065</v>
      </c>
      <c r="O4962">
        <v>1</v>
      </c>
    </row>
    <row r="4963" spans="1:15">
      <c r="A4963" t="s">
        <v>4989</v>
      </c>
      <c r="B4963" t="s">
        <v>29</v>
      </c>
      <c r="C4963">
        <v>5</v>
      </c>
      <c r="D4963">
        <v>35320947</v>
      </c>
      <c r="E4963">
        <v>1</v>
      </c>
      <c r="F4963">
        <v>23</v>
      </c>
      <c r="G4963">
        <v>419</v>
      </c>
      <c r="H4963">
        <v>25205827</v>
      </c>
      <c r="I4963">
        <v>422815</v>
      </c>
      <c r="J4963" t="s">
        <v>21</v>
      </c>
      <c r="K4963" t="s">
        <v>22</v>
      </c>
      <c r="L4963">
        <v>3</v>
      </c>
      <c r="M4963">
        <v>54.79</v>
      </c>
      <c r="N4963">
        <v>571630</v>
      </c>
      <c r="O4963">
        <v>1</v>
      </c>
    </row>
    <row r="4964" spans="1:15">
      <c r="A4964" t="s">
        <v>4990</v>
      </c>
      <c r="B4964" t="s">
        <v>24</v>
      </c>
      <c r="C4964">
        <v>0</v>
      </c>
      <c r="D4964">
        <v>42726857</v>
      </c>
      <c r="E4964">
        <v>1</v>
      </c>
      <c r="F4964">
        <v>2</v>
      </c>
      <c r="G4964">
        <v>666</v>
      </c>
      <c r="H4964">
        <v>90737968</v>
      </c>
      <c r="I4964">
        <v>870957</v>
      </c>
      <c r="J4964" t="s">
        <v>21</v>
      </c>
      <c r="K4964" t="s">
        <v>18</v>
      </c>
      <c r="L4964">
        <v>7</v>
      </c>
      <c r="M4964">
        <v>1.18</v>
      </c>
      <c r="N4964">
        <v>149506</v>
      </c>
      <c r="O4964">
        <v>1</v>
      </c>
    </row>
    <row r="4965" spans="1:15">
      <c r="A4965" t="s">
        <v>4991</v>
      </c>
      <c r="B4965" t="s">
        <v>32</v>
      </c>
      <c r="C4965">
        <v>5</v>
      </c>
      <c r="D4965">
        <v>25842085</v>
      </c>
      <c r="E4965">
        <v>1</v>
      </c>
      <c r="F4965">
        <v>23</v>
      </c>
      <c r="G4965">
        <v>322</v>
      </c>
      <c r="H4965">
        <v>2649585</v>
      </c>
      <c r="I4965">
        <v>578035</v>
      </c>
      <c r="J4965" t="s">
        <v>17</v>
      </c>
      <c r="K4965" t="s">
        <v>30</v>
      </c>
      <c r="L4965">
        <v>1</v>
      </c>
      <c r="M4965">
        <v>38.909999999999997</v>
      </c>
      <c r="N4965">
        <v>309040</v>
      </c>
      <c r="O4965">
        <v>1</v>
      </c>
    </row>
    <row r="4966" spans="1:15">
      <c r="A4966" t="s">
        <v>4992</v>
      </c>
      <c r="B4966" t="s">
        <v>16</v>
      </c>
      <c r="C4966">
        <v>9</v>
      </c>
      <c r="D4966">
        <v>13188177</v>
      </c>
      <c r="E4966">
        <v>3</v>
      </c>
      <c r="F4966">
        <v>4</v>
      </c>
      <c r="G4966">
        <v>385</v>
      </c>
      <c r="H4966">
        <v>97292952</v>
      </c>
      <c r="I4966">
        <v>880845</v>
      </c>
      <c r="J4966" t="s">
        <v>21</v>
      </c>
      <c r="K4966" t="s">
        <v>18</v>
      </c>
      <c r="L4966">
        <v>9</v>
      </c>
      <c r="M4966">
        <v>13.8</v>
      </c>
      <c r="N4966">
        <v>141371</v>
      </c>
      <c r="O4966">
        <v>1</v>
      </c>
    </row>
    <row r="4967" spans="1:15">
      <c r="A4967" t="s">
        <v>4993</v>
      </c>
      <c r="B4967" t="s">
        <v>38</v>
      </c>
      <c r="C4967">
        <v>6</v>
      </c>
      <c r="D4967">
        <v>31010453</v>
      </c>
      <c r="E4967">
        <v>2</v>
      </c>
      <c r="F4967">
        <v>11</v>
      </c>
      <c r="G4967">
        <v>538</v>
      </c>
      <c r="H4967">
        <v>7259931</v>
      </c>
      <c r="I4967">
        <v>276600</v>
      </c>
      <c r="J4967" t="s">
        <v>21</v>
      </c>
      <c r="K4967" t="s">
        <v>18</v>
      </c>
      <c r="L4967">
        <v>2</v>
      </c>
      <c r="M4967">
        <v>90.65</v>
      </c>
      <c r="N4967">
        <v>562331</v>
      </c>
      <c r="O4967">
        <v>1</v>
      </c>
    </row>
    <row r="4968" spans="1:15">
      <c r="A4968" t="s">
        <v>4994</v>
      </c>
      <c r="B4968" t="s">
        <v>24</v>
      </c>
      <c r="C4968">
        <v>12</v>
      </c>
      <c r="D4968">
        <v>919351</v>
      </c>
      <c r="E4968">
        <v>1</v>
      </c>
      <c r="F4968">
        <v>8</v>
      </c>
      <c r="G4968">
        <v>951</v>
      </c>
      <c r="H4968">
        <v>6314654</v>
      </c>
      <c r="I4968">
        <v>94868</v>
      </c>
      <c r="J4968" t="s">
        <v>21</v>
      </c>
      <c r="K4968" t="s">
        <v>22</v>
      </c>
      <c r="L4968">
        <v>6</v>
      </c>
      <c r="M4968">
        <v>42.45</v>
      </c>
      <c r="N4968">
        <v>930677</v>
      </c>
      <c r="O4968">
        <v>1</v>
      </c>
    </row>
    <row r="4969" spans="1:15">
      <c r="A4969" t="s">
        <v>4995</v>
      </c>
      <c r="B4969" t="s">
        <v>16</v>
      </c>
      <c r="C4969">
        <v>14</v>
      </c>
      <c r="D4969">
        <v>18102400</v>
      </c>
      <c r="E4969">
        <v>3</v>
      </c>
      <c r="F4969">
        <v>14</v>
      </c>
      <c r="G4969">
        <v>45</v>
      </c>
      <c r="H4969">
        <v>87298966</v>
      </c>
      <c r="I4969">
        <v>973543</v>
      </c>
      <c r="J4969" t="s">
        <v>17</v>
      </c>
      <c r="K4969" t="s">
        <v>18</v>
      </c>
      <c r="L4969">
        <v>3</v>
      </c>
      <c r="M4969">
        <v>57.48</v>
      </c>
      <c r="N4969">
        <v>734195</v>
      </c>
      <c r="O4969">
        <v>1</v>
      </c>
    </row>
    <row r="4970" spans="1:15">
      <c r="A4970" t="s">
        <v>4996</v>
      </c>
      <c r="B4970" t="s">
        <v>27</v>
      </c>
      <c r="C4970">
        <v>6</v>
      </c>
      <c r="D4970">
        <v>27951820</v>
      </c>
      <c r="E4970">
        <v>3</v>
      </c>
      <c r="F4970">
        <v>14</v>
      </c>
      <c r="G4970">
        <v>530</v>
      </c>
      <c r="H4970">
        <v>36380972</v>
      </c>
      <c r="I4970">
        <v>308158</v>
      </c>
      <c r="J4970" t="s">
        <v>21</v>
      </c>
      <c r="K4970" t="s">
        <v>30</v>
      </c>
      <c r="L4970">
        <v>1</v>
      </c>
      <c r="M4970">
        <v>86.78</v>
      </c>
      <c r="N4970">
        <v>822752</v>
      </c>
      <c r="O4970">
        <v>1</v>
      </c>
    </row>
    <row r="4971" spans="1:15">
      <c r="A4971" t="s">
        <v>4997</v>
      </c>
      <c r="B4971" t="s">
        <v>27</v>
      </c>
      <c r="C4971">
        <v>5</v>
      </c>
      <c r="D4971">
        <v>10941190</v>
      </c>
      <c r="E4971">
        <v>4</v>
      </c>
      <c r="F4971">
        <v>6</v>
      </c>
      <c r="G4971">
        <v>534</v>
      </c>
      <c r="H4971">
        <v>93368751</v>
      </c>
      <c r="I4971">
        <v>999554</v>
      </c>
      <c r="J4971" t="s">
        <v>17</v>
      </c>
      <c r="K4971" t="s">
        <v>30</v>
      </c>
      <c r="L4971">
        <v>2</v>
      </c>
      <c r="M4971">
        <v>44.19</v>
      </c>
      <c r="N4971">
        <v>112466</v>
      </c>
      <c r="O4971">
        <v>1</v>
      </c>
    </row>
    <row r="4972" spans="1:15">
      <c r="A4972" t="s">
        <v>4998</v>
      </c>
      <c r="B4972" t="s">
        <v>38</v>
      </c>
      <c r="C4972">
        <v>6</v>
      </c>
      <c r="D4972">
        <v>25244277</v>
      </c>
      <c r="E4972">
        <v>4</v>
      </c>
      <c r="F4972">
        <v>19</v>
      </c>
      <c r="G4972">
        <v>680</v>
      </c>
      <c r="H4972">
        <v>14619004</v>
      </c>
      <c r="I4972">
        <v>544830</v>
      </c>
      <c r="J4972" t="s">
        <v>17</v>
      </c>
      <c r="K4972" t="s">
        <v>18</v>
      </c>
      <c r="L4972">
        <v>3</v>
      </c>
      <c r="M4972">
        <v>98.05</v>
      </c>
      <c r="N4972">
        <v>374159</v>
      </c>
      <c r="O4972">
        <v>1</v>
      </c>
    </row>
    <row r="4973" spans="1:15">
      <c r="A4973" t="s">
        <v>4999</v>
      </c>
      <c r="B4973" t="s">
        <v>20</v>
      </c>
      <c r="C4973">
        <v>2</v>
      </c>
      <c r="D4973">
        <v>8530373</v>
      </c>
      <c r="E4973">
        <v>1</v>
      </c>
      <c r="F4973">
        <v>18</v>
      </c>
      <c r="G4973">
        <v>518</v>
      </c>
      <c r="H4973">
        <v>15506050</v>
      </c>
      <c r="I4973">
        <v>928031</v>
      </c>
      <c r="J4973" t="s">
        <v>17</v>
      </c>
      <c r="K4973" t="s">
        <v>18</v>
      </c>
      <c r="L4973">
        <v>3</v>
      </c>
      <c r="M4973">
        <v>95.59</v>
      </c>
      <c r="N4973">
        <v>85094</v>
      </c>
      <c r="O4973">
        <v>1</v>
      </c>
    </row>
    <row r="4974" spans="1:15">
      <c r="A4974" t="s">
        <v>5000</v>
      </c>
      <c r="B4974" t="s">
        <v>38</v>
      </c>
      <c r="C4974">
        <v>12</v>
      </c>
      <c r="D4974">
        <v>14907382</v>
      </c>
      <c r="E4974">
        <v>2</v>
      </c>
      <c r="F4974">
        <v>13</v>
      </c>
      <c r="G4974">
        <v>614</v>
      </c>
      <c r="H4974">
        <v>13554082</v>
      </c>
      <c r="I4974">
        <v>887859</v>
      </c>
      <c r="J4974" t="s">
        <v>17</v>
      </c>
      <c r="K4974" t="s">
        <v>30</v>
      </c>
      <c r="L4974">
        <v>2</v>
      </c>
      <c r="M4974">
        <v>7.21</v>
      </c>
      <c r="N4974">
        <v>414049</v>
      </c>
      <c r="O4974">
        <v>1</v>
      </c>
    </row>
    <row r="4975" spans="1:15">
      <c r="A4975" t="s">
        <v>5001</v>
      </c>
      <c r="B4975" t="s">
        <v>38</v>
      </c>
      <c r="C4975">
        <v>11</v>
      </c>
      <c r="D4975">
        <v>47697408</v>
      </c>
      <c r="E4975">
        <v>3</v>
      </c>
      <c r="F4975">
        <v>10</v>
      </c>
      <c r="G4975">
        <v>645</v>
      </c>
      <c r="H4975">
        <v>93619774</v>
      </c>
      <c r="I4975">
        <v>898975</v>
      </c>
      <c r="J4975" t="s">
        <v>21</v>
      </c>
      <c r="K4975" t="s">
        <v>30</v>
      </c>
      <c r="L4975">
        <v>7</v>
      </c>
      <c r="M4975">
        <v>61.65</v>
      </c>
      <c r="N4975">
        <v>664101</v>
      </c>
      <c r="O4975">
        <v>1</v>
      </c>
    </row>
    <row r="4976" spans="1:15">
      <c r="A4976" t="s">
        <v>5002</v>
      </c>
      <c r="B4976" t="s">
        <v>38</v>
      </c>
      <c r="C4976">
        <v>5</v>
      </c>
      <c r="D4976">
        <v>5066122</v>
      </c>
      <c r="E4976">
        <v>3</v>
      </c>
      <c r="F4976">
        <v>16</v>
      </c>
      <c r="G4976">
        <v>930</v>
      </c>
      <c r="H4976">
        <v>83720285</v>
      </c>
      <c r="I4976">
        <v>540627</v>
      </c>
      <c r="J4976" t="s">
        <v>17</v>
      </c>
      <c r="K4976" t="s">
        <v>22</v>
      </c>
      <c r="L4976">
        <v>5</v>
      </c>
      <c r="M4976">
        <v>1.63</v>
      </c>
      <c r="N4976">
        <v>254405</v>
      </c>
      <c r="O4976">
        <v>1</v>
      </c>
    </row>
    <row r="4977" spans="1:15">
      <c r="A4977" t="s">
        <v>5003</v>
      </c>
      <c r="B4977" t="s">
        <v>24</v>
      </c>
      <c r="C4977">
        <v>10</v>
      </c>
      <c r="D4977">
        <v>13258827</v>
      </c>
      <c r="E4977">
        <v>3</v>
      </c>
      <c r="F4977">
        <v>29</v>
      </c>
      <c r="G4977">
        <v>151</v>
      </c>
      <c r="H4977">
        <v>80884569</v>
      </c>
      <c r="I4977">
        <v>997967</v>
      </c>
      <c r="J4977" t="s">
        <v>17</v>
      </c>
      <c r="K4977" t="s">
        <v>22</v>
      </c>
      <c r="L4977">
        <v>9</v>
      </c>
      <c r="M4977">
        <v>45.73</v>
      </c>
      <c r="N4977">
        <v>619851</v>
      </c>
      <c r="O4977">
        <v>1</v>
      </c>
    </row>
    <row r="4978" spans="1:15">
      <c r="A4978" t="s">
        <v>5004</v>
      </c>
      <c r="B4978" t="s">
        <v>24</v>
      </c>
      <c r="C4978">
        <v>13</v>
      </c>
      <c r="D4978">
        <v>43902593</v>
      </c>
      <c r="E4978">
        <v>3</v>
      </c>
      <c r="F4978">
        <v>29</v>
      </c>
      <c r="G4978">
        <v>900</v>
      </c>
      <c r="H4978">
        <v>54474473</v>
      </c>
      <c r="I4978">
        <v>694521</v>
      </c>
      <c r="J4978" t="s">
        <v>25</v>
      </c>
      <c r="K4978" t="s">
        <v>30</v>
      </c>
      <c r="L4978">
        <v>3</v>
      </c>
      <c r="M4978">
        <v>27.14</v>
      </c>
      <c r="N4978">
        <v>337817</v>
      </c>
      <c r="O4978">
        <v>1</v>
      </c>
    </row>
    <row r="4979" spans="1:15">
      <c r="A4979" t="s">
        <v>5005</v>
      </c>
      <c r="B4979" t="s">
        <v>32</v>
      </c>
      <c r="C4979">
        <v>14</v>
      </c>
      <c r="D4979">
        <v>25924085</v>
      </c>
      <c r="E4979">
        <v>1</v>
      </c>
      <c r="F4979">
        <v>28</v>
      </c>
      <c r="G4979">
        <v>19</v>
      </c>
      <c r="H4979">
        <v>43288133</v>
      </c>
      <c r="I4979">
        <v>452628</v>
      </c>
      <c r="J4979" t="s">
        <v>21</v>
      </c>
      <c r="K4979" t="s">
        <v>22</v>
      </c>
      <c r="L4979">
        <v>4</v>
      </c>
      <c r="M4979">
        <v>30.46</v>
      </c>
      <c r="N4979">
        <v>224705</v>
      </c>
      <c r="O4979">
        <v>1</v>
      </c>
    </row>
    <row r="4980" spans="1:15">
      <c r="A4980" t="s">
        <v>5006</v>
      </c>
      <c r="B4980" t="s">
        <v>27</v>
      </c>
      <c r="C4980">
        <v>11</v>
      </c>
      <c r="D4980">
        <v>28869844</v>
      </c>
      <c r="E4980">
        <v>3</v>
      </c>
      <c r="F4980">
        <v>16</v>
      </c>
      <c r="G4980">
        <v>286</v>
      </c>
      <c r="H4980">
        <v>94461528</v>
      </c>
      <c r="I4980">
        <v>395050</v>
      </c>
      <c r="J4980" t="s">
        <v>25</v>
      </c>
      <c r="K4980" t="s">
        <v>22</v>
      </c>
      <c r="L4980">
        <v>3</v>
      </c>
      <c r="M4980">
        <v>75.849999999999994</v>
      </c>
      <c r="N4980">
        <v>242245</v>
      </c>
      <c r="O4980">
        <v>1</v>
      </c>
    </row>
    <row r="4981" spans="1:15">
      <c r="A4981" t="s">
        <v>5007</v>
      </c>
      <c r="B4981" t="s">
        <v>32</v>
      </c>
      <c r="C4981">
        <v>8</v>
      </c>
      <c r="D4981">
        <v>38350160</v>
      </c>
      <c r="E4981">
        <v>3</v>
      </c>
      <c r="F4981">
        <v>3</v>
      </c>
      <c r="G4981">
        <v>497</v>
      </c>
      <c r="H4981">
        <v>62914616</v>
      </c>
      <c r="I4981">
        <v>871275</v>
      </c>
      <c r="J4981" t="s">
        <v>21</v>
      </c>
      <c r="K4981" t="s">
        <v>22</v>
      </c>
      <c r="L4981">
        <v>8</v>
      </c>
      <c r="M4981">
        <v>62.7</v>
      </c>
      <c r="N4981">
        <v>39083</v>
      </c>
      <c r="O4981">
        <v>1</v>
      </c>
    </row>
    <row r="4982" spans="1:15">
      <c r="A4982" t="s">
        <v>5008</v>
      </c>
      <c r="B4982" t="s">
        <v>27</v>
      </c>
      <c r="C4982">
        <v>7</v>
      </c>
      <c r="D4982">
        <v>21681322</v>
      </c>
      <c r="E4982">
        <v>4</v>
      </c>
      <c r="F4982">
        <v>24</v>
      </c>
      <c r="G4982">
        <v>898</v>
      </c>
      <c r="H4982">
        <v>14880581</v>
      </c>
      <c r="I4982">
        <v>992558</v>
      </c>
      <c r="J4982" t="s">
        <v>21</v>
      </c>
      <c r="K4982" t="s">
        <v>18</v>
      </c>
      <c r="L4982">
        <v>5</v>
      </c>
      <c r="M4982">
        <v>35.47</v>
      </c>
      <c r="N4982">
        <v>545075</v>
      </c>
      <c r="O4982">
        <v>1</v>
      </c>
    </row>
    <row r="4983" spans="1:15">
      <c r="A4983" t="s">
        <v>5009</v>
      </c>
      <c r="B4983" t="s">
        <v>27</v>
      </c>
      <c r="C4983">
        <v>3</v>
      </c>
      <c r="D4983">
        <v>7342619</v>
      </c>
      <c r="E4983">
        <v>3</v>
      </c>
      <c r="F4983">
        <v>28</v>
      </c>
      <c r="G4983">
        <v>65</v>
      </c>
      <c r="H4983">
        <v>21511638</v>
      </c>
      <c r="I4983">
        <v>898015</v>
      </c>
      <c r="J4983" t="s">
        <v>17</v>
      </c>
      <c r="K4983" t="s">
        <v>30</v>
      </c>
      <c r="L4983">
        <v>1</v>
      </c>
      <c r="M4983">
        <v>48.73</v>
      </c>
      <c r="N4983">
        <v>835527</v>
      </c>
      <c r="O4983">
        <v>1</v>
      </c>
    </row>
    <row r="4984" spans="1:15">
      <c r="A4984" t="s">
        <v>5010</v>
      </c>
      <c r="B4984" t="s">
        <v>24</v>
      </c>
      <c r="C4984">
        <v>11</v>
      </c>
      <c r="D4984">
        <v>20178662</v>
      </c>
      <c r="E4984">
        <v>2</v>
      </c>
      <c r="F4984">
        <v>21</v>
      </c>
      <c r="G4984">
        <v>216</v>
      </c>
      <c r="H4984">
        <v>48232500</v>
      </c>
      <c r="I4984">
        <v>138770</v>
      </c>
      <c r="J4984" t="s">
        <v>21</v>
      </c>
      <c r="K4984" t="s">
        <v>18</v>
      </c>
      <c r="L4984">
        <v>1</v>
      </c>
      <c r="M4984">
        <v>66.5</v>
      </c>
      <c r="N4984">
        <v>86356</v>
      </c>
      <c r="O4984">
        <v>1</v>
      </c>
    </row>
    <row r="4985" spans="1:15">
      <c r="A4985" t="s">
        <v>5011</v>
      </c>
      <c r="B4985" t="s">
        <v>24</v>
      </c>
      <c r="C4985">
        <v>11</v>
      </c>
      <c r="D4985">
        <v>29021374</v>
      </c>
      <c r="E4985">
        <v>1</v>
      </c>
      <c r="F4985">
        <v>5</v>
      </c>
      <c r="G4985">
        <v>178</v>
      </c>
      <c r="H4985">
        <v>65660196</v>
      </c>
      <c r="I4985">
        <v>274462</v>
      </c>
      <c r="J4985" t="s">
        <v>17</v>
      </c>
      <c r="K4985" t="s">
        <v>22</v>
      </c>
      <c r="L4985">
        <v>1</v>
      </c>
      <c r="M4985">
        <v>69.349999999999994</v>
      </c>
      <c r="N4985">
        <v>858545</v>
      </c>
      <c r="O4985">
        <v>1</v>
      </c>
    </row>
    <row r="4986" spans="1:15">
      <c r="A4986" t="s">
        <v>5012</v>
      </c>
      <c r="B4986" t="s">
        <v>20</v>
      </c>
      <c r="C4986">
        <v>9</v>
      </c>
      <c r="D4986">
        <v>24179659</v>
      </c>
      <c r="E4986">
        <v>3</v>
      </c>
      <c r="F4986">
        <v>22</v>
      </c>
      <c r="G4986">
        <v>677</v>
      </c>
      <c r="H4986">
        <v>1546468</v>
      </c>
      <c r="I4986">
        <v>506283</v>
      </c>
      <c r="J4986" t="s">
        <v>21</v>
      </c>
      <c r="K4986" t="s">
        <v>18</v>
      </c>
      <c r="L4986">
        <v>4</v>
      </c>
      <c r="M4986">
        <v>86.53</v>
      </c>
      <c r="N4986">
        <v>296369</v>
      </c>
      <c r="O4986">
        <v>1</v>
      </c>
    </row>
    <row r="4987" spans="1:15">
      <c r="A4987" t="s">
        <v>5013</v>
      </c>
      <c r="B4987" t="s">
        <v>24</v>
      </c>
      <c r="C4987">
        <v>7</v>
      </c>
      <c r="D4987">
        <v>32199127</v>
      </c>
      <c r="E4987">
        <v>4</v>
      </c>
      <c r="F4987">
        <v>26</v>
      </c>
      <c r="G4987">
        <v>535</v>
      </c>
      <c r="H4987">
        <v>16881233</v>
      </c>
      <c r="I4987">
        <v>672378</v>
      </c>
      <c r="J4987" t="s">
        <v>21</v>
      </c>
      <c r="K4987" t="s">
        <v>18</v>
      </c>
      <c r="L4987">
        <v>6</v>
      </c>
      <c r="M4987">
        <v>0.04</v>
      </c>
      <c r="N4987">
        <v>221299</v>
      </c>
      <c r="O4987">
        <v>1</v>
      </c>
    </row>
    <row r="4988" spans="1:15">
      <c r="A4988" t="s">
        <v>5014</v>
      </c>
      <c r="B4988" t="s">
        <v>20</v>
      </c>
      <c r="C4988">
        <v>11</v>
      </c>
      <c r="D4988">
        <v>25687890</v>
      </c>
      <c r="E4988">
        <v>4</v>
      </c>
      <c r="F4988">
        <v>11</v>
      </c>
      <c r="G4988">
        <v>450</v>
      </c>
      <c r="H4988">
        <v>17388424</v>
      </c>
      <c r="I4988">
        <v>836851</v>
      </c>
      <c r="J4988" t="s">
        <v>25</v>
      </c>
      <c r="K4988" t="s">
        <v>22</v>
      </c>
      <c r="L4988">
        <v>8</v>
      </c>
      <c r="M4988">
        <v>91.75</v>
      </c>
      <c r="N4988">
        <v>188483</v>
      </c>
      <c r="O4988">
        <v>1</v>
      </c>
    </row>
    <row r="4989" spans="1:15">
      <c r="A4989" t="s">
        <v>5015</v>
      </c>
      <c r="B4989" t="s">
        <v>20</v>
      </c>
      <c r="C4989">
        <v>10</v>
      </c>
      <c r="D4989">
        <v>10740618</v>
      </c>
      <c r="E4989">
        <v>1</v>
      </c>
      <c r="F4989">
        <v>11</v>
      </c>
      <c r="G4989">
        <v>714</v>
      </c>
      <c r="H4989">
        <v>38427043</v>
      </c>
      <c r="I4989">
        <v>726677</v>
      </c>
      <c r="J4989" t="s">
        <v>21</v>
      </c>
      <c r="K4989" t="s">
        <v>22</v>
      </c>
      <c r="L4989">
        <v>5</v>
      </c>
      <c r="M4989">
        <v>35.44</v>
      </c>
      <c r="N4989">
        <v>6003</v>
      </c>
      <c r="O4989">
        <v>1</v>
      </c>
    </row>
    <row r="4990" spans="1:15">
      <c r="A4990" t="s">
        <v>5016</v>
      </c>
      <c r="B4990" t="s">
        <v>38</v>
      </c>
      <c r="C4990">
        <v>11</v>
      </c>
      <c r="D4990">
        <v>37005511</v>
      </c>
      <c r="E4990">
        <v>4</v>
      </c>
      <c r="F4990">
        <v>27</v>
      </c>
      <c r="G4990">
        <v>190</v>
      </c>
      <c r="H4990">
        <v>15751928</v>
      </c>
      <c r="I4990">
        <v>858648</v>
      </c>
      <c r="J4990" t="s">
        <v>21</v>
      </c>
      <c r="K4990" t="s">
        <v>30</v>
      </c>
      <c r="L4990">
        <v>3</v>
      </c>
      <c r="M4990">
        <v>7.93</v>
      </c>
      <c r="N4990">
        <v>773843</v>
      </c>
      <c r="O4990">
        <v>1</v>
      </c>
    </row>
    <row r="4991" spans="1:15">
      <c r="A4991" t="s">
        <v>5017</v>
      </c>
      <c r="B4991" t="s">
        <v>16</v>
      </c>
      <c r="C4991">
        <v>2</v>
      </c>
      <c r="D4991">
        <v>19543508</v>
      </c>
      <c r="E4991">
        <v>3</v>
      </c>
      <c r="F4991">
        <v>28</v>
      </c>
      <c r="G4991">
        <v>725</v>
      </c>
      <c r="H4991">
        <v>22400256</v>
      </c>
      <c r="I4991">
        <v>917732</v>
      </c>
      <c r="J4991" t="s">
        <v>25</v>
      </c>
      <c r="K4991" t="s">
        <v>18</v>
      </c>
      <c r="L4991">
        <v>1</v>
      </c>
      <c r="M4991">
        <v>5.73</v>
      </c>
      <c r="N4991">
        <v>938245</v>
      </c>
      <c r="O4991">
        <v>1</v>
      </c>
    </row>
    <row r="4992" spans="1:15">
      <c r="A4992" t="s">
        <v>5018</v>
      </c>
      <c r="B4992" t="s">
        <v>29</v>
      </c>
      <c r="C4992">
        <v>14</v>
      </c>
      <c r="D4992">
        <v>45786588</v>
      </c>
      <c r="E4992">
        <v>3</v>
      </c>
      <c r="F4992">
        <v>25</v>
      </c>
      <c r="G4992">
        <v>901</v>
      </c>
      <c r="H4992">
        <v>71009384</v>
      </c>
      <c r="I4992">
        <v>226670</v>
      </c>
      <c r="J4992" t="s">
        <v>21</v>
      </c>
      <c r="K4992" t="s">
        <v>18</v>
      </c>
      <c r="L4992">
        <v>3</v>
      </c>
      <c r="M4992">
        <v>36.159999999999997</v>
      </c>
      <c r="N4992">
        <v>326726</v>
      </c>
      <c r="O4992">
        <v>1</v>
      </c>
    </row>
    <row r="4993" spans="1:15">
      <c r="A4993" t="s">
        <v>5019</v>
      </c>
      <c r="B4993" t="s">
        <v>32</v>
      </c>
      <c r="C4993">
        <v>5</v>
      </c>
      <c r="D4993">
        <v>2181601</v>
      </c>
      <c r="E4993">
        <v>4</v>
      </c>
      <c r="F4993">
        <v>27</v>
      </c>
      <c r="G4993">
        <v>954</v>
      </c>
      <c r="H4993">
        <v>1895871</v>
      </c>
      <c r="I4993">
        <v>737363</v>
      </c>
      <c r="J4993" t="s">
        <v>25</v>
      </c>
      <c r="K4993" t="s">
        <v>18</v>
      </c>
      <c r="L4993">
        <v>7</v>
      </c>
      <c r="M4993">
        <v>39.880000000000003</v>
      </c>
      <c r="N4993">
        <v>501404</v>
      </c>
      <c r="O4993">
        <v>1</v>
      </c>
    </row>
    <row r="4994" spans="1:15">
      <c r="A4994" t="s">
        <v>5020</v>
      </c>
      <c r="B4994" t="s">
        <v>29</v>
      </c>
      <c r="C4994">
        <v>10</v>
      </c>
      <c r="D4994">
        <v>44624232</v>
      </c>
      <c r="E4994">
        <v>4</v>
      </c>
      <c r="F4994">
        <v>21</v>
      </c>
      <c r="G4994">
        <v>104</v>
      </c>
      <c r="H4994">
        <v>27108849</v>
      </c>
      <c r="I4994">
        <v>802414</v>
      </c>
      <c r="J4994" t="s">
        <v>21</v>
      </c>
      <c r="K4994" t="s">
        <v>18</v>
      </c>
      <c r="L4994">
        <v>6</v>
      </c>
      <c r="M4994">
        <v>44.46</v>
      </c>
      <c r="N4994">
        <v>417820</v>
      </c>
      <c r="O4994">
        <v>1</v>
      </c>
    </row>
    <row r="4995" spans="1:15">
      <c r="A4995" t="s">
        <v>5021</v>
      </c>
      <c r="B4995" t="s">
        <v>24</v>
      </c>
      <c r="C4995">
        <v>3</v>
      </c>
      <c r="D4995">
        <v>35852867</v>
      </c>
      <c r="E4995">
        <v>1</v>
      </c>
      <c r="F4995">
        <v>4</v>
      </c>
      <c r="G4995">
        <v>868</v>
      </c>
      <c r="H4995">
        <v>85206283</v>
      </c>
      <c r="I4995">
        <v>352344</v>
      </c>
      <c r="J4995" t="s">
        <v>17</v>
      </c>
      <c r="K4995" t="s">
        <v>30</v>
      </c>
      <c r="L4995">
        <v>3</v>
      </c>
      <c r="M4995">
        <v>83.19</v>
      </c>
      <c r="N4995">
        <v>261018</v>
      </c>
      <c r="O4995">
        <v>1</v>
      </c>
    </row>
    <row r="4996" spans="1:15">
      <c r="A4996" t="s">
        <v>5022</v>
      </c>
      <c r="B4996" t="s">
        <v>24</v>
      </c>
      <c r="C4996">
        <v>9</v>
      </c>
      <c r="D4996">
        <v>10093394</v>
      </c>
      <c r="E4996">
        <v>4</v>
      </c>
      <c r="F4996">
        <v>17</v>
      </c>
      <c r="G4996">
        <v>22</v>
      </c>
      <c r="H4996">
        <v>88476705</v>
      </c>
      <c r="I4996">
        <v>271295</v>
      </c>
      <c r="J4996" t="s">
        <v>17</v>
      </c>
      <c r="K4996" t="s">
        <v>22</v>
      </c>
      <c r="L4996">
        <v>4</v>
      </c>
      <c r="M4996">
        <v>87.97</v>
      </c>
      <c r="N4996">
        <v>153333</v>
      </c>
      <c r="O4996">
        <v>1</v>
      </c>
    </row>
    <row r="4997" spans="1:15">
      <c r="A4997" t="s">
        <v>5023</v>
      </c>
      <c r="B4997" t="s">
        <v>20</v>
      </c>
      <c r="C4997">
        <v>9</v>
      </c>
      <c r="D4997">
        <v>39609909</v>
      </c>
      <c r="E4997">
        <v>4</v>
      </c>
      <c r="F4997">
        <v>13</v>
      </c>
      <c r="G4997">
        <v>324</v>
      </c>
      <c r="H4997">
        <v>16090631</v>
      </c>
      <c r="I4997">
        <v>971733</v>
      </c>
      <c r="J4997" t="s">
        <v>25</v>
      </c>
      <c r="K4997" t="s">
        <v>18</v>
      </c>
      <c r="L4997">
        <v>7</v>
      </c>
      <c r="M4997">
        <v>21.56</v>
      </c>
      <c r="N4997">
        <v>568646</v>
      </c>
      <c r="O4997">
        <v>1</v>
      </c>
    </row>
    <row r="4998" spans="1:15">
      <c r="A4998" t="s">
        <v>5024</v>
      </c>
      <c r="B4998" t="s">
        <v>38</v>
      </c>
      <c r="C4998">
        <v>7</v>
      </c>
      <c r="D4998">
        <v>32167694</v>
      </c>
      <c r="E4998">
        <v>3</v>
      </c>
      <c r="F4998">
        <v>17</v>
      </c>
      <c r="G4998">
        <v>673</v>
      </c>
      <c r="H4998">
        <v>72563900</v>
      </c>
      <c r="I4998">
        <v>148322</v>
      </c>
      <c r="J4998" t="s">
        <v>21</v>
      </c>
      <c r="K4998" t="s">
        <v>22</v>
      </c>
      <c r="L4998">
        <v>5</v>
      </c>
      <c r="M4998">
        <v>89.58</v>
      </c>
      <c r="N4998">
        <v>466261</v>
      </c>
      <c r="O4998">
        <v>1</v>
      </c>
    </row>
    <row r="4999" spans="1:15">
      <c r="A4999" t="s">
        <v>5025</v>
      </c>
      <c r="B4999" t="s">
        <v>16</v>
      </c>
      <c r="C4999">
        <v>13</v>
      </c>
      <c r="D4999">
        <v>38902583</v>
      </c>
      <c r="E4999">
        <v>4</v>
      </c>
      <c r="F4999">
        <v>14</v>
      </c>
      <c r="G4999">
        <v>253</v>
      </c>
      <c r="H4999">
        <v>66629971</v>
      </c>
      <c r="I4999">
        <v>487704</v>
      </c>
      <c r="J4999" t="s">
        <v>17</v>
      </c>
      <c r="K4999" t="s">
        <v>22</v>
      </c>
      <c r="L4999">
        <v>6</v>
      </c>
      <c r="M4999">
        <v>17.21</v>
      </c>
      <c r="N4999">
        <v>468514</v>
      </c>
      <c r="O4999">
        <v>1</v>
      </c>
    </row>
    <row r="5000" spans="1:15">
      <c r="A5000" t="s">
        <v>5026</v>
      </c>
      <c r="B5000" t="s">
        <v>20</v>
      </c>
      <c r="C5000">
        <v>2</v>
      </c>
      <c r="D5000">
        <v>33410138</v>
      </c>
      <c r="E5000">
        <v>4</v>
      </c>
      <c r="F5000">
        <v>16</v>
      </c>
      <c r="G5000">
        <v>417</v>
      </c>
      <c r="H5000">
        <v>69293233</v>
      </c>
      <c r="I5000">
        <v>723237</v>
      </c>
      <c r="J5000" t="s">
        <v>17</v>
      </c>
      <c r="K5000" t="s">
        <v>18</v>
      </c>
      <c r="L5000">
        <v>9</v>
      </c>
      <c r="M5000">
        <v>39.35</v>
      </c>
      <c r="N5000">
        <v>134880</v>
      </c>
      <c r="O5000">
        <v>1</v>
      </c>
    </row>
    <row r="5001" spans="1:15">
      <c r="A5001" t="s">
        <v>5027</v>
      </c>
      <c r="B5001" t="s">
        <v>24</v>
      </c>
      <c r="C5001">
        <v>1</v>
      </c>
      <c r="D5001">
        <v>42246335</v>
      </c>
      <c r="E5001">
        <v>1</v>
      </c>
      <c r="F5001">
        <v>29</v>
      </c>
      <c r="G5001">
        <v>708</v>
      </c>
      <c r="H5001">
        <v>53330079</v>
      </c>
      <c r="I5001">
        <v>962039</v>
      </c>
      <c r="J5001" t="s">
        <v>21</v>
      </c>
      <c r="K5001" t="s">
        <v>22</v>
      </c>
      <c r="L5001">
        <v>7</v>
      </c>
      <c r="M5001">
        <v>16.32</v>
      </c>
      <c r="N5001">
        <v>217733</v>
      </c>
      <c r="O500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3F02-E92C-4762-A229-CD5A5FC208F8}">
  <dimension ref="A3:C18"/>
  <sheetViews>
    <sheetView workbookViewId="0">
      <selection activeCell="A2" sqref="A2"/>
    </sheetView>
  </sheetViews>
  <sheetFormatPr defaultRowHeight="14.4"/>
  <cols>
    <col min="1" max="1" width="18.33203125" customWidth="1"/>
    <col min="2" max="2" width="19.6640625" customWidth="1"/>
  </cols>
  <sheetData>
    <row r="3" spans="1:3">
      <c r="A3" s="4" t="s">
        <v>5028</v>
      </c>
      <c r="B3" s="4" t="s">
        <v>5033</v>
      </c>
    </row>
    <row r="4" spans="1:3">
      <c r="A4" s="2" t="s">
        <v>5029</v>
      </c>
      <c r="B4" s="5">
        <f>SUM(startupdata[Revenue])</f>
        <v>249600732833</v>
      </c>
      <c r="C4" s="1"/>
    </row>
    <row r="5" spans="1:3">
      <c r="A5" s="2" t="s">
        <v>5030</v>
      </c>
      <c r="B5" s="5">
        <f>AVERAGE(startupdata[Revenue])</f>
        <v>49920146.566600002</v>
      </c>
      <c r="C5" s="3"/>
    </row>
    <row r="6" spans="1:3">
      <c r="A6" s="2" t="s">
        <v>5031</v>
      </c>
      <c r="B6" s="5">
        <f>SUM(startupdata[Burn_Rate])</f>
        <v>2504799613</v>
      </c>
      <c r="C6" s="3"/>
    </row>
    <row r="7" spans="1:3">
      <c r="A7" s="2" t="s">
        <v>5032</v>
      </c>
      <c r="B7" s="5">
        <f>AVERAGE(startupdata[Burn_Rate])</f>
        <v>500959.92259999999</v>
      </c>
      <c r="C7" s="3"/>
    </row>
    <row r="8" spans="1:3" ht="28.8">
      <c r="A8" s="2" t="s">
        <v>5034</v>
      </c>
      <c r="B8" s="5">
        <f>SUM(startupdata[Marketing_Expense])</f>
        <v>2536521439</v>
      </c>
      <c r="C8" s="3"/>
    </row>
    <row r="9" spans="1:3" ht="28.8">
      <c r="A9" s="2" t="s">
        <v>5035</v>
      </c>
      <c r="B9" s="5">
        <f>AVERAGE(startupdata[Customer_Retention_Rate])</f>
        <v>50.218224000000205</v>
      </c>
      <c r="C9" s="3"/>
    </row>
    <row r="10" spans="1:3" ht="28.8">
      <c r="A10" s="2" t="s">
        <v>5036</v>
      </c>
      <c r="B10" s="5">
        <f>SUM(startupdata[Funding_Amount])</f>
        <v>124867070642</v>
      </c>
      <c r="C10" s="3"/>
    </row>
    <row r="11" spans="1:3">
      <c r="A11" s="2" t="s">
        <v>5037</v>
      </c>
      <c r="B11" s="5">
        <f>AVERAGE(startupdata[Startup_Age])</f>
        <v>6.992</v>
      </c>
      <c r="C11" s="3"/>
    </row>
    <row r="12" spans="1:3">
      <c r="A12" s="2"/>
      <c r="B12" s="4"/>
      <c r="C12" s="3"/>
    </row>
    <row r="13" spans="1:3">
      <c r="B13" s="4"/>
      <c r="C13" s="3"/>
    </row>
    <row r="14" spans="1:3">
      <c r="B14" s="4"/>
      <c r="C14" s="3"/>
    </row>
    <row r="15" spans="1:3">
      <c r="B15" s="4"/>
      <c r="C15" s="3"/>
    </row>
    <row r="16" spans="1:3">
      <c r="B16" s="4"/>
      <c r="C16" s="3"/>
    </row>
    <row r="17" spans="2:3">
      <c r="B17" s="4"/>
      <c r="C17" s="3"/>
    </row>
    <row r="18" spans="2:3">
      <c r="B18" s="4"/>
      <c r="C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 analysis</vt:lpstr>
      <vt:lpstr>Data</vt:lpstr>
      <vt:lpstr>KPI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 shree</dc:creator>
  <cp:lastModifiedBy>bhumi shree</cp:lastModifiedBy>
  <dcterms:created xsi:type="dcterms:W3CDTF">2026-07-27T14:02:39Z</dcterms:created>
  <dcterms:modified xsi:type="dcterms:W3CDTF">2026-07-27T14:19:44Z</dcterms:modified>
</cp:coreProperties>
</file>